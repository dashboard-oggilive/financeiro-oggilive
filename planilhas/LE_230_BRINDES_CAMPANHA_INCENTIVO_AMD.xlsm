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3 março\"/>
    </mc:Choice>
  </mc:AlternateContent>
  <xr:revisionPtr revIDLastSave="0" documentId="13_ncr:1_{2147E4D2-FBAC-4A32-8975-F513845B7A2A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3" r:id="rId1"/>
    <sheet name="BRINDES" sheetId="92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BRINDES!$A$1:$AL$14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93" l="1"/>
  <c r="D30" i="93"/>
  <c r="E29" i="93"/>
  <c r="F30" i="93"/>
  <c r="AL23" i="92"/>
  <c r="AL30" i="92"/>
  <c r="C22" i="93"/>
  <c r="AK18" i="92"/>
  <c r="AK19" i="92"/>
  <c r="AK31" i="92"/>
  <c r="AK17" i="92"/>
  <c r="C31" i="93"/>
  <c r="E3" i="93"/>
  <c r="AD23" i="92"/>
  <c r="AD25" i="92"/>
  <c r="R30" i="92"/>
  <c r="Q30" i="92"/>
  <c r="K30" i="92"/>
  <c r="R19" i="92"/>
  <c r="Q19" i="92"/>
  <c r="V19" i="92" s="1"/>
  <c r="K19" i="92"/>
  <c r="R29" i="92"/>
  <c r="Q29" i="92"/>
  <c r="V29" i="92" s="1"/>
  <c r="K29" i="92"/>
  <c r="R28" i="92"/>
  <c r="Q28" i="92"/>
  <c r="K28" i="92"/>
  <c r="R27" i="92"/>
  <c r="Q27" i="92"/>
  <c r="K27" i="92"/>
  <c r="R31" i="92"/>
  <c r="Q31" i="92"/>
  <c r="V31" i="92" s="1"/>
  <c r="K31" i="92"/>
  <c r="R26" i="92"/>
  <c r="Q26" i="92"/>
  <c r="K26" i="92"/>
  <c r="R25" i="92"/>
  <c r="Q25" i="92"/>
  <c r="K25" i="92"/>
  <c r="R24" i="92"/>
  <c r="Q24" i="92"/>
  <c r="V24" i="92" s="1"/>
  <c r="K24" i="92"/>
  <c r="R23" i="92"/>
  <c r="Q23" i="92"/>
  <c r="K23" i="92"/>
  <c r="Q22" i="92"/>
  <c r="Q21" i="92"/>
  <c r="AL33" i="92" l="1"/>
  <c r="C23" i="93"/>
  <c r="K32" i="92"/>
  <c r="U30" i="92"/>
  <c r="V30" i="92"/>
  <c r="L30" i="92"/>
  <c r="V26" i="92"/>
  <c r="U26" i="92"/>
  <c r="T19" i="92"/>
  <c r="L19" i="92"/>
  <c r="U29" i="92"/>
  <c r="L29" i="92"/>
  <c r="M29" i="92" s="1"/>
  <c r="V28" i="92"/>
  <c r="U28" i="92"/>
  <c r="U24" i="92"/>
  <c r="L28" i="92"/>
  <c r="V27" i="92"/>
  <c r="U27" i="92"/>
  <c r="L27" i="92"/>
  <c r="M27" i="92" s="1"/>
  <c r="T31" i="92"/>
  <c r="U31" i="92" s="1"/>
  <c r="L26" i="92"/>
  <c r="M26" i="92" s="1"/>
  <c r="N26" i="92" s="1"/>
  <c r="L25" i="92"/>
  <c r="L31" i="92"/>
  <c r="M31" i="92" s="1"/>
  <c r="L24" i="92"/>
  <c r="V23" i="92"/>
  <c r="L23" i="92"/>
  <c r="V25" i="92"/>
  <c r="U25" i="92"/>
  <c r="T32" i="92" l="1"/>
  <c r="L32" i="92"/>
  <c r="U19" i="92"/>
  <c r="T33" i="92"/>
  <c r="T20" i="92"/>
  <c r="Z30" i="92"/>
  <c r="M30" i="92"/>
  <c r="M19" i="92"/>
  <c r="Z29" i="92"/>
  <c r="W29" i="92"/>
  <c r="X29" i="92" s="1"/>
  <c r="AK29" i="92" s="1"/>
  <c r="W30" i="92"/>
  <c r="X30" i="92" s="1"/>
  <c r="AK30" i="92" s="1"/>
  <c r="Z19" i="92"/>
  <c r="W19" i="92"/>
  <c r="X19" i="92" s="1"/>
  <c r="Z28" i="92"/>
  <c r="M28" i="92"/>
  <c r="U23" i="92"/>
  <c r="U32" i="92" s="1"/>
  <c r="M23" i="92"/>
  <c r="M25" i="92"/>
  <c r="Y29" i="92"/>
  <c r="N29" i="92"/>
  <c r="W28" i="92"/>
  <c r="X28" i="92" s="1"/>
  <c r="AK28" i="92" s="1"/>
  <c r="W27" i="92"/>
  <c r="X27" i="92" s="1"/>
  <c r="Z27" i="92"/>
  <c r="N27" i="92"/>
  <c r="Z24" i="92"/>
  <c r="W24" i="92"/>
  <c r="X24" i="92" s="1"/>
  <c r="AK24" i="92" s="1"/>
  <c r="W31" i="92"/>
  <c r="X31" i="92" s="1"/>
  <c r="Y31" i="92" s="1"/>
  <c r="Z31" i="92"/>
  <c r="W26" i="92"/>
  <c r="X26" i="92" s="1"/>
  <c r="Z26" i="92"/>
  <c r="Z25" i="92"/>
  <c r="W25" i="92"/>
  <c r="X25" i="92" s="1"/>
  <c r="AK25" i="92" s="1"/>
  <c r="N31" i="92"/>
  <c r="M24" i="92"/>
  <c r="Y27" i="92" l="1"/>
  <c r="AK27" i="92"/>
  <c r="Y26" i="92"/>
  <c r="AK26" i="92"/>
  <c r="M32" i="92"/>
  <c r="Y19" i="92"/>
  <c r="N30" i="92"/>
  <c r="Y30" i="92"/>
  <c r="N19" i="92"/>
  <c r="N28" i="92"/>
  <c r="Y28" i="92"/>
  <c r="W23" i="92"/>
  <c r="X23" i="92" s="1"/>
  <c r="Z23" i="92"/>
  <c r="N23" i="92"/>
  <c r="N25" i="92"/>
  <c r="Y25" i="92"/>
  <c r="N24" i="92"/>
  <c r="Y24" i="92"/>
  <c r="X32" i="92" l="1"/>
  <c r="Y32" i="92" s="1"/>
  <c r="AK23" i="92"/>
  <c r="AK33" i="92" s="1"/>
  <c r="N32" i="92"/>
  <c r="Y23" i="92"/>
  <c r="Q18" i="92" l="1"/>
  <c r="K18" i="92"/>
  <c r="Q17" i="92"/>
  <c r="K17" i="92"/>
  <c r="Q16" i="92"/>
  <c r="Q15" i="92"/>
  <c r="Z12" i="92"/>
  <c r="K20" i="92" l="1"/>
  <c r="K33" i="92"/>
  <c r="L17" i="92"/>
  <c r="V17" i="92"/>
  <c r="V18" i="92"/>
  <c r="L18" i="92"/>
  <c r="L20" i="92" l="1"/>
  <c r="L33" i="92"/>
  <c r="AA20" i="92"/>
  <c r="M17" i="92"/>
  <c r="AA17" i="92"/>
  <c r="U18" i="92"/>
  <c r="AA18" i="92"/>
  <c r="M18" i="92"/>
  <c r="N18" i="92" s="1"/>
  <c r="U17" i="92"/>
  <c r="M20" i="92" l="1"/>
  <c r="M33" i="92"/>
  <c r="U20" i="92"/>
  <c r="U33" i="92"/>
  <c r="N17" i="92"/>
  <c r="Z18" i="92"/>
  <c r="W18" i="92"/>
  <c r="X18" i="92" s="1"/>
  <c r="Y18" i="92" s="1"/>
  <c r="Z17" i="92"/>
  <c r="W17" i="92"/>
  <c r="X17" i="92" s="1"/>
  <c r="N20" i="92" l="1"/>
  <c r="N33" i="92"/>
  <c r="X20" i="92"/>
  <c r="Y20" i="92" s="1"/>
  <c r="X33" i="92"/>
  <c r="Y17" i="92"/>
  <c r="Y33" i="92" s="1"/>
  <c r="AL36" i="92" l="1"/>
  <c r="AL37" i="92" s="1"/>
  <c r="AL35" i="92"/>
  <c r="D22" i="93"/>
  <c r="Z33" i="92"/>
  <c r="AA33" i="92" s="1"/>
  <c r="E22" i="93" l="1"/>
  <c r="D23" i="93"/>
  <c r="D29" i="93" s="1"/>
  <c r="E23" i="93" l="1"/>
  <c r="F23" i="93" s="1"/>
  <c r="F22" i="93"/>
  <c r="D31" i="93"/>
  <c r="F29" i="93" l="1"/>
  <c r="E31" i="93"/>
  <c r="F31" i="93" s="1"/>
</calcChain>
</file>

<file path=xl/sharedStrings.xml><?xml version="1.0" encoding="utf-8"?>
<sst xmlns="http://schemas.openxmlformats.org/spreadsheetml/2006/main" count="337" uniqueCount="220">
  <si>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</si>
  <si>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</si>
  <si>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</si>
  <si>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</si>
  <si>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</si>
  <si>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</si>
  <si>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</si>
  <si>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</si>
  <si>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</si>
  <si>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</si>
  <si>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</si>
  <si>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</si>
  <si>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</si>
  <si>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</si>
  <si>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</si>
  <si>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</si>
  <si>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</si>
  <si>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</si>
  <si>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</si>
  <si>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</si>
  <si>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</si>
  <si>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</si>
  <si>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</si>
  <si>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</si>
  <si>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</si>
  <si>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</si>
  <si>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</si>
  <si>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</si>
  <si>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</si>
  <si>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</si>
  <si>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</si>
  <si>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</si>
  <si>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</si>
  <si>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</si>
  <si>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</si>
  <si>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</si>
  <si>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</si>
  <si>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</si>
  <si>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</si>
  <si>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</si>
  <si>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</si>
  <si>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</si>
  <si>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</si>
  <si>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</si>
  <si>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</si>
  <si>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</si>
  <si>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</si>
  <si>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</si>
  <si>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</si>
  <si>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</si>
  <si>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</si>
  <si>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</si>
  <si>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</si>
  <si>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</si>
  <si>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</si>
  <si>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</si>
  <si>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</si>
  <si>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</si>
  <si>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</si>
  <si>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</si>
  <si>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</si>
  <si>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</si>
  <si>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</si>
  <si>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</si>
  <si>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</si>
  <si>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</si>
  <si>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</si>
  <si>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</si>
  <si>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</si>
  <si>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</si>
  <si>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</si>
  <si>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</si>
  <si>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</si>
  <si>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</si>
  <si>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</si>
  <si>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</si>
  <si>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</si>
  <si>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</si>
  <si>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</si>
  <si>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</si>
  <si>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</si>
  <si>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</si>
  <si>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</si>
  <si>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</si>
  <si>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</si>
  <si>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</si>
  <si>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</si>
  <si>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</si>
  <si>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</si>
  <si>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</si>
  <si>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</si>
  <si>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</si>
  <si>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</si>
  <si>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</si>
  <si>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</si>
  <si>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</si>
  <si>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</si>
  <si>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</si>
  <si>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</si>
  <si>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</si>
  <si>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</si>
  <si>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</si>
  <si>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</si>
  <si>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</si>
  <si>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</si>
  <si>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</si>
  <si>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</si>
  <si>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</si>
  <si>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</si>
  <si>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</si>
  <si>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</si>
  <si>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</si>
  <si>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</si>
  <si>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</si>
  <si>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</si>
  <si>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</si>
  <si>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1.1.3</t>
  </si>
  <si>
    <t>1.1.4</t>
  </si>
  <si>
    <t>FERNANDA PINHEIRO</t>
  </si>
  <si>
    <t>Criação</t>
  </si>
  <si>
    <t>INTERNO</t>
  </si>
  <si>
    <t>FAT.OGGI</t>
  </si>
  <si>
    <t>SUBTOTAL SUBGRUPO</t>
  </si>
  <si>
    <t xml:space="preserve">Subtotal </t>
  </si>
  <si>
    <t>2.1</t>
  </si>
  <si>
    <t>INTERNOS</t>
  </si>
  <si>
    <t>2.1.1</t>
  </si>
  <si>
    <t>2.1.2</t>
  </si>
  <si>
    <t>OPERACIONAL</t>
  </si>
  <si>
    <t>FAT.CLIENTE</t>
  </si>
  <si>
    <t>SUBTOTAL PLANILHA</t>
  </si>
  <si>
    <t>Marg. Lucro</t>
  </si>
  <si>
    <t>Lucro</t>
  </si>
  <si>
    <t>Resp. pela gestão executiva operacional da ação. Pré Produção, implementação do projeto e pós produção.</t>
  </si>
  <si>
    <t>2.1.3</t>
  </si>
  <si>
    <t>2.1.4</t>
  </si>
  <si>
    <t>BRINDES</t>
  </si>
  <si>
    <t xml:space="preserve">Manuseio </t>
  </si>
  <si>
    <t>Subtotal INTERNOS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</si>
  <si>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</si>
  <si>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</si>
  <si>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</si>
  <si>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</si>
  <si>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</si>
  <si>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</si>
  <si>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</si>
  <si>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</si>
  <si>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</si>
  <si>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</si>
  <si>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>2.1.9</t>
  </si>
  <si>
    <t>2.1.10</t>
  </si>
  <si>
    <t>2.1.11</t>
  </si>
  <si>
    <t xml:space="preserve">Custos operacionais </t>
  </si>
  <si>
    <t>SUBTOTAL GRUPO</t>
  </si>
  <si>
    <t xml:space="preserve">Bordado </t>
  </si>
  <si>
    <t>Bordado com logos Lenovo + AMD</t>
  </si>
  <si>
    <t xml:space="preserve">Activate Shaker Black Stanley </t>
  </si>
  <si>
    <t xml:space="preserve">Shakeira Stanley </t>
  </si>
  <si>
    <t xml:space="preserve">Perosonalização </t>
  </si>
  <si>
    <t xml:space="preserve">Personalização shakeira com logos Lenovo + AMD </t>
  </si>
  <si>
    <t xml:space="preserve">TAG </t>
  </si>
  <si>
    <t xml:space="preserve">Embalagem </t>
  </si>
  <si>
    <t>TAG com KV + Logos</t>
  </si>
  <si>
    <t xml:space="preserve">Sacola kraft preta </t>
  </si>
  <si>
    <t>Manuseio de brindes</t>
  </si>
  <si>
    <t xml:space="preserve">Produtor financeiro </t>
  </si>
  <si>
    <t xml:space="preserve">Logística </t>
  </si>
  <si>
    <t>LE_230_Brindes_Campanha incentivo AMD</t>
  </si>
  <si>
    <t>Campanha incentivo AMD</t>
  </si>
  <si>
    <t xml:space="preserve">São Paulo </t>
  </si>
  <si>
    <t xml:space="preserve">Março </t>
  </si>
  <si>
    <t xml:space="preserve">Aplicação de logos em peça para confecção </t>
  </si>
  <si>
    <t xml:space="preserve">Produtor responsável pelos pagamentos, emissão de notas e fechamento do projeto </t>
  </si>
  <si>
    <t>Prova e de brindes, prova de gravação/bordado, moto taxi, telefonia e internet</t>
  </si>
  <si>
    <t>Subtotal Brindes</t>
  </si>
  <si>
    <t xml:space="preserve">TOTAL </t>
  </si>
  <si>
    <t>2.1.12</t>
  </si>
  <si>
    <t>2.1.13</t>
  </si>
  <si>
    <t>Atendimento/produção</t>
  </si>
  <si>
    <t>Corta vento Adidas</t>
  </si>
  <si>
    <t>09/03/2026</t>
  </si>
  <si>
    <t>LE_230_Brindes_Campanha incentivo AMD Campanha incentivo AMD</t>
  </si>
  <si>
    <t>LE_230_Brindes_Campanha incentivo AMD.xlsm</t>
  </si>
  <si>
    <t>54.831.518/0001-04</t>
  </si>
  <si>
    <t>THERMOCUP INOVACOES LTDA</t>
  </si>
  <si>
    <t>(11) 8971-5657</t>
  </si>
  <si>
    <t>R$ 13.226,00</t>
  </si>
  <si>
    <t>( X ) Depósito</t>
  </si>
  <si>
    <t>_x000D_
THERMOCUP INOVACOES LTDA</t>
  </si>
  <si>
    <t>_x000D_
54.831.518/0001-04</t>
  </si>
  <si>
    <t xml:space="preserve">PETERSON </t>
  </si>
  <si>
    <t>05.570.154/0019-61</t>
  </si>
  <si>
    <t>FASHION SHOES COMERCIO DE CALCADOS E CONFECCOES LTDA</t>
  </si>
  <si>
    <t xml:space="preserve">ITAU </t>
  </si>
  <si>
    <t>289</t>
  </si>
  <si>
    <t>99880-9</t>
  </si>
  <si>
    <t>(48) 9606-3972</t>
  </si>
  <si>
    <t>11/03/26</t>
  </si>
  <si>
    <t>R$ 17.499,65</t>
  </si>
  <si>
    <t xml:space="preserve">VALOR REFERENTE A COMPRA DE CORTA VENTO ADIDAS </t>
  </si>
  <si>
    <t>_x000D_
FASHION SHOES COMERCIO DE CALCADOS E CONFECCOES LTDA</t>
  </si>
  <si>
    <t>_x000D_
05.570.154/0019-61</t>
  </si>
  <si>
    <t>PETERSON</t>
  </si>
  <si>
    <r>
      <t xml:space="preserve">Logística para retirada de materias em loja + Logística de entrega materiais </t>
    </r>
    <r>
      <rPr>
        <b/>
        <sz val="22"/>
        <color rgb="FFFF0000"/>
        <rFont val="Trebuchet MS"/>
        <family val="2"/>
      </rPr>
      <t xml:space="preserve">na Lenovo </t>
    </r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</si>
  <si>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</si>
  <si>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</si>
  <si>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</si>
  <si>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</si>
  <si>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</si>
  <si>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</si>
  <si>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</si>
  <si>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IMPOSTO</t>
  </si>
  <si>
    <t>CUSTO TOTAL</t>
  </si>
  <si>
    <t>NOTA DE DÉBITO - 245</t>
  </si>
  <si>
    <t>NOTA FISCAL - 2820</t>
  </si>
  <si>
    <t>THERMOCUP</t>
  </si>
  <si>
    <t>GIOVANNI (VOLTSLK)</t>
  </si>
  <si>
    <t>CLAUDIA MACEDO - SK COPIADORA - GIOVANNI - CLAUDIA MACEDO</t>
  </si>
  <si>
    <t>FASHION - GIOVANNI (ADIDAS)</t>
  </si>
  <si>
    <t>SK COPIADORA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</si>
</sst>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sz val="22"/>
      <color theme="1"/>
      <name val="Calibri"/>
      <family val="2"/>
      <scheme val="minor"/>
    </font>
    <font>
      <b/>
      <sz val="22"/>
      <name val="Trebuchet MS"/>
      <family val="2"/>
    </font>
    <font>
      <b/>
      <sz val="22"/>
      <color theme="1"/>
      <name val="Gadugi"/>
      <family val="2"/>
    </font>
    <font>
      <b/>
      <sz val="22"/>
      <color indexed="63"/>
      <name val="Trebuchet MS"/>
      <family val="2"/>
    </font>
    <font>
      <b/>
      <sz val="22"/>
      <color theme="1"/>
      <name val="Calibri"/>
      <family val="2"/>
      <scheme val="minor"/>
    </font>
    <font>
      <b/>
      <sz val="22"/>
      <color theme="1"/>
      <name val="Trebuchet MS"/>
      <family val="2"/>
    </font>
    <font>
      <sz val="22"/>
      <color theme="0"/>
      <name val="Calibri"/>
      <family val="2"/>
      <scheme val="minor"/>
    </font>
    <font>
      <sz val="22"/>
      <color theme="1"/>
      <name val="Trebuchet MS"/>
      <family val="2"/>
    </font>
    <font>
      <b/>
      <sz val="22"/>
      <color rgb="FFFF0000"/>
      <name val="Trebuchet MS"/>
      <family val="2"/>
    </font>
    <font>
      <b/>
      <sz val="22"/>
      <color rgb="FF00B050"/>
      <name val="Trebuchet MS"/>
      <family val="2"/>
    </font>
    <font>
      <b/>
      <sz val="22"/>
      <color theme="0"/>
      <name val="Trebuchet MS"/>
      <family val="2"/>
    </font>
    <font>
      <b/>
      <sz val="22"/>
      <color rgb="FFFF0000"/>
      <name val="Calibri"/>
      <family val="2"/>
      <scheme val="minor"/>
    </font>
    <font>
      <b/>
      <sz val="12"/>
      <color theme="0"/>
      <name val="Trebuchet MS"/>
      <family val="2"/>
    </font>
    <font>
      <b/>
      <sz val="11"/>
      <name val="Trebuchet MS"/>
      <family val="2"/>
    </font>
    <font>
      <sz val="20"/>
      <color theme="1"/>
      <name val="Calibri"/>
      <family val="2"/>
      <scheme val="minor"/>
    </font>
    <font>
      <b/>
      <sz val="24"/>
      <color rgb="FFFF0000"/>
      <name val="Trebuchet MS"/>
      <family val="2"/>
    </font>
    <font>
      <b/>
      <sz val="24"/>
      <color theme="1"/>
      <name val="Trebuchet MS"/>
      <family val="2"/>
    </font>
    <font>
      <b/>
      <sz val="24"/>
      <color theme="1"/>
      <name val="Calibri"/>
      <family val="2"/>
      <scheme val="minor"/>
    </font>
    <font>
      <b/>
      <sz val="22"/>
      <color rgb="FF00B05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42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8" fillId="4" borderId="35" xfId="0" applyFont="1" applyFill="1" applyBorder="1"/>
    <xf numFmtId="0" fontId="8" fillId="4" borderId="36" xfId="0" applyFont="1" applyFill="1" applyBorder="1"/>
    <xf numFmtId="0" fontId="11" fillId="8" borderId="41" xfId="0" applyFont="1" applyFill="1" applyBorder="1" applyAlignment="1">
      <alignment vertical="center"/>
    </xf>
    <xf numFmtId="0" fontId="13" fillId="8" borderId="41" xfId="0" applyFont="1" applyFill="1" applyBorder="1" applyAlignment="1">
      <alignment horizontal="center" vertical="center"/>
    </xf>
    <xf numFmtId="22" fontId="11" fillId="8" borderId="41" xfId="0" applyNumberFormat="1" applyFont="1" applyFill="1" applyBorder="1" applyAlignment="1">
      <alignment horizontal="center" vertical="center"/>
    </xf>
    <xf numFmtId="0" fontId="15" fillId="8" borderId="42" xfId="0" applyFont="1" applyFill="1" applyBorder="1" applyAlignment="1">
      <alignment horizontal="center" vertical="center" wrapText="1"/>
    </xf>
    <xf numFmtId="0" fontId="15" fillId="8" borderId="43" xfId="0" applyFont="1" applyFill="1" applyBorder="1" applyAlignment="1">
      <alignment horizontal="center" vertical="center" wrapText="1"/>
    </xf>
    <xf numFmtId="0" fontId="19" fillId="0" borderId="0" xfId="0" applyFont="1"/>
    <xf numFmtId="49" fontId="20" fillId="0" borderId="0" xfId="2" applyNumberFormat="1" applyFont="1" applyAlignment="1">
      <alignment horizontal="left" vertical="center" wrapText="1"/>
    </xf>
    <xf numFmtId="0" fontId="20" fillId="0" borderId="0" xfId="2" applyFont="1" applyAlignment="1">
      <alignment horizontal="left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164" fontId="20" fillId="0" borderId="0" xfId="2" applyNumberFormat="1" applyFont="1" applyAlignment="1">
      <alignment horizontal="left" vertical="center"/>
    </xf>
    <xf numFmtId="164" fontId="20" fillId="0" borderId="71" xfId="2" applyNumberFormat="1" applyFont="1" applyBorder="1" applyAlignment="1" applyProtection="1">
      <alignment horizontal="left" vertical="center"/>
      <protection locked="0"/>
    </xf>
    <xf numFmtId="164" fontId="20" fillId="0" borderId="72" xfId="2" applyNumberFormat="1" applyFont="1" applyBorder="1" applyAlignment="1" applyProtection="1">
      <alignment horizontal="left" vertical="center"/>
      <protection locked="0"/>
    </xf>
    <xf numFmtId="164" fontId="20" fillId="0" borderId="73" xfId="2" applyNumberFormat="1" applyFont="1" applyBorder="1" applyAlignment="1" applyProtection="1">
      <alignment horizontal="left" vertical="center"/>
      <protection locked="0"/>
    </xf>
    <xf numFmtId="164" fontId="20" fillId="0" borderId="74" xfId="2" applyNumberFormat="1" applyFont="1" applyBorder="1" applyAlignment="1" applyProtection="1">
      <alignment horizontal="left" vertical="center"/>
      <protection locked="0"/>
    </xf>
    <xf numFmtId="164" fontId="20" fillId="0" borderId="14" xfId="2" applyNumberFormat="1" applyFont="1" applyBorder="1" applyAlignment="1" applyProtection="1">
      <alignment horizontal="left" vertical="center"/>
      <protection locked="0"/>
    </xf>
    <xf numFmtId="164" fontId="20" fillId="0" borderId="70" xfId="2" applyNumberFormat="1" applyFont="1" applyBorder="1" applyAlignment="1" applyProtection="1">
      <alignment horizontal="left" vertical="center"/>
      <protection locked="0"/>
    </xf>
    <xf numFmtId="49" fontId="19" fillId="0" borderId="0" xfId="0" applyNumberFormat="1" applyFont="1"/>
    <xf numFmtId="0" fontId="19" fillId="0" borderId="0" xfId="1" applyNumberFormat="1" applyFont="1"/>
    <xf numFmtId="165" fontId="22" fillId="6" borderId="38" xfId="4" applyFont="1" applyFill="1" applyBorder="1" applyAlignment="1">
      <alignment horizontal="center" vertical="center" wrapText="1"/>
    </xf>
    <xf numFmtId="168" fontId="23" fillId="0" borderId="5" xfId="1" applyNumberFormat="1" applyFont="1" applyBorder="1"/>
    <xf numFmtId="166" fontId="22" fillId="0" borderId="39" xfId="4" applyNumberFormat="1" applyFont="1" applyBorder="1" applyAlignment="1">
      <alignment horizontal="center" vertical="center" wrapText="1"/>
    </xf>
    <xf numFmtId="0" fontId="24" fillId="5" borderId="0" xfId="0" applyFont="1" applyFill="1"/>
    <xf numFmtId="49" fontId="24" fillId="5" borderId="0" xfId="0" applyNumberFormat="1" applyFont="1" applyFill="1"/>
    <xf numFmtId="0" fontId="25" fillId="0" borderId="0" xfId="0" applyFont="1"/>
    <xf numFmtId="0" fontId="26" fillId="0" borderId="44" xfId="0" applyFont="1" applyBorder="1" applyAlignment="1">
      <alignment horizontal="left" vertical="center"/>
    </xf>
    <xf numFmtId="49" fontId="26" fillId="0" borderId="45" xfId="0" applyNumberFormat="1" applyFont="1" applyBorder="1" applyAlignment="1">
      <alignment horizontal="left" vertical="center"/>
    </xf>
    <xf numFmtId="0" fontId="26" fillId="0" borderId="46" xfId="0" applyFont="1" applyBorder="1" applyAlignment="1">
      <alignment horizontal="left" vertical="center"/>
    </xf>
    <xf numFmtId="0" fontId="26" fillId="0" borderId="44" xfId="0" applyFont="1" applyBorder="1" applyAlignment="1">
      <alignment horizontal="left" vertical="center" wrapText="1"/>
    </xf>
    <xf numFmtId="0" fontId="20" fillId="6" borderId="53" xfId="3" applyFont="1" applyFill="1" applyBorder="1" applyAlignment="1">
      <alignment horizontal="left" vertical="center"/>
    </xf>
    <xf numFmtId="0" fontId="20" fillId="6" borderId="54" xfId="3" applyFont="1" applyFill="1" applyBorder="1" applyAlignment="1">
      <alignment horizontal="center" vertical="center"/>
    </xf>
    <xf numFmtId="0" fontId="24" fillId="6" borderId="54" xfId="3" applyFont="1" applyFill="1" applyBorder="1" applyAlignment="1">
      <alignment horizontal="center" vertical="center"/>
    </xf>
    <xf numFmtId="169" fontId="24" fillId="6" borderId="54" xfId="3" applyNumberFormat="1" applyFont="1" applyFill="1" applyBorder="1" applyAlignment="1">
      <alignment horizontal="center" vertical="center" wrapText="1"/>
    </xf>
    <xf numFmtId="0" fontId="24" fillId="6" borderId="54" xfId="3" applyFont="1" applyFill="1" applyBorder="1" applyAlignment="1">
      <alignment horizontal="center" vertical="center" wrapText="1"/>
    </xf>
    <xf numFmtId="9" fontId="24" fillId="6" borderId="54" xfId="1" applyFont="1" applyFill="1" applyBorder="1" applyAlignment="1">
      <alignment horizontal="center" vertical="center" wrapText="1"/>
    </xf>
    <xf numFmtId="10" fontId="24" fillId="6" borderId="54" xfId="1" applyNumberFormat="1" applyFont="1" applyFill="1" applyBorder="1" applyAlignment="1">
      <alignment horizontal="center" vertical="center" wrapText="1"/>
    </xf>
    <xf numFmtId="0" fontId="24" fillId="6" borderId="55" xfId="3" applyFont="1" applyFill="1" applyBorder="1" applyAlignment="1">
      <alignment horizontal="center" vertical="center" wrapText="1"/>
    </xf>
    <xf numFmtId="37" fontId="22" fillId="6" borderId="53" xfId="3" applyNumberFormat="1" applyFont="1" applyFill="1" applyBorder="1" applyAlignment="1">
      <alignment horizontal="center" vertical="center"/>
    </xf>
    <xf numFmtId="37" fontId="22" fillId="6" borderId="54" xfId="3" applyNumberFormat="1" applyFont="1" applyFill="1" applyBorder="1" applyAlignment="1">
      <alignment horizontal="center" vertical="center"/>
    </xf>
    <xf numFmtId="40" fontId="22" fillId="6" borderId="54" xfId="4" applyNumberFormat="1" applyFont="1" applyFill="1" applyBorder="1" applyAlignment="1">
      <alignment horizontal="center" vertical="center"/>
    </xf>
    <xf numFmtId="165" fontId="22" fillId="6" borderId="54" xfId="4" applyFont="1" applyFill="1" applyBorder="1" applyAlignment="1">
      <alignment horizontal="right" vertical="center"/>
    </xf>
    <xf numFmtId="40" fontId="22" fillId="6" borderId="54" xfId="4" applyNumberFormat="1" applyFont="1" applyFill="1" applyBorder="1" applyAlignment="1">
      <alignment horizontal="center" vertical="center" wrapText="1"/>
    </xf>
    <xf numFmtId="10" fontId="22" fillId="6" borderId="54" xfId="5" applyNumberFormat="1" applyFont="1" applyFill="1" applyBorder="1" applyAlignment="1">
      <alignment horizontal="center" vertical="center" wrapText="1"/>
    </xf>
    <xf numFmtId="165" fontId="22" fillId="6" borderId="54" xfId="4" applyFont="1" applyFill="1" applyBorder="1" applyAlignment="1">
      <alignment horizontal="center" vertical="center" wrapText="1"/>
    </xf>
    <xf numFmtId="165" fontId="22" fillId="6" borderId="55" xfId="4" applyFont="1" applyFill="1" applyBorder="1" applyAlignment="1">
      <alignment horizontal="center" vertical="center" wrapText="1"/>
    </xf>
    <xf numFmtId="10" fontId="22" fillId="6" borderId="47" xfId="5" applyNumberFormat="1" applyFont="1" applyFill="1" applyBorder="1" applyAlignment="1">
      <alignment horizontal="center" vertical="center" wrapText="1"/>
    </xf>
    <xf numFmtId="10" fontId="22" fillId="6" borderId="48" xfId="5" applyNumberFormat="1" applyFont="1" applyFill="1" applyBorder="1" applyAlignment="1">
      <alignment horizontal="center" vertical="center" wrapText="1"/>
    </xf>
    <xf numFmtId="165" fontId="22" fillId="6" borderId="49" xfId="4" applyFont="1" applyFill="1" applyBorder="1" applyAlignment="1">
      <alignment horizontal="center" vertical="center" wrapText="1"/>
    </xf>
    <xf numFmtId="165" fontId="22" fillId="6" borderId="48" xfId="4" applyFont="1" applyFill="1" applyBorder="1" applyAlignment="1">
      <alignment horizontal="center" vertical="center" wrapText="1"/>
    </xf>
    <xf numFmtId="37" fontId="22" fillId="6" borderId="3" xfId="3" applyNumberFormat="1" applyFont="1" applyFill="1" applyBorder="1" applyAlignment="1">
      <alignment horizontal="center" vertical="center"/>
    </xf>
    <xf numFmtId="40" fontId="22" fillId="6" borderId="50" xfId="4" applyNumberFormat="1" applyFont="1" applyFill="1" applyBorder="1" applyAlignment="1">
      <alignment horizontal="center" vertical="center"/>
    </xf>
    <xf numFmtId="49" fontId="26" fillId="0" borderId="45" xfId="0" applyNumberFormat="1" applyFont="1" applyBorder="1" applyAlignment="1">
      <alignment horizontal="left" vertical="center" wrapText="1"/>
    </xf>
    <xf numFmtId="0" fontId="26" fillId="0" borderId="46" xfId="0" applyFont="1" applyBorder="1" applyAlignment="1">
      <alignment horizontal="left" vertical="center" wrapText="1"/>
    </xf>
    <xf numFmtId="10" fontId="26" fillId="14" borderId="10" xfId="0" applyNumberFormat="1" applyFont="1" applyFill="1" applyBorder="1" applyAlignment="1">
      <alignment horizontal="center" vertical="center"/>
    </xf>
    <xf numFmtId="0" fontId="24" fillId="11" borderId="54" xfId="0" applyFont="1" applyFill="1" applyBorder="1" applyAlignment="1">
      <alignment horizontal="center" vertical="center"/>
    </xf>
    <xf numFmtId="0" fontId="24" fillId="11" borderId="55" xfId="0" applyFont="1" applyFill="1" applyBorder="1" applyAlignment="1">
      <alignment horizontal="center" vertical="center"/>
    </xf>
    <xf numFmtId="0" fontId="23" fillId="11" borderId="10" xfId="0" applyFont="1" applyFill="1" applyBorder="1" applyAlignment="1">
      <alignment horizontal="center" vertical="center"/>
    </xf>
    <xf numFmtId="0" fontId="23" fillId="11" borderId="60" xfId="0" applyFont="1" applyFill="1" applyBorder="1" applyAlignment="1">
      <alignment horizontal="center" vertical="center"/>
    </xf>
    <xf numFmtId="0" fontId="26" fillId="0" borderId="79" xfId="0" applyFont="1" applyBorder="1" applyAlignment="1">
      <alignment horizontal="left" vertical="center" wrapText="1"/>
    </xf>
    <xf numFmtId="0" fontId="26" fillId="0" borderId="80" xfId="0" applyFont="1" applyBorder="1" applyAlignment="1">
      <alignment horizontal="left" vertical="center" wrapText="1"/>
    </xf>
    <xf numFmtId="0" fontId="26" fillId="0" borderId="80" xfId="0" applyFont="1" applyBorder="1" applyAlignment="1">
      <alignment horizontal="center" vertical="center"/>
    </xf>
    <xf numFmtId="44" fontId="26" fillId="0" borderId="80" xfId="8" applyFont="1" applyBorder="1" applyAlignment="1">
      <alignment horizontal="center" vertical="center"/>
    </xf>
    <xf numFmtId="44" fontId="26" fillId="0" borderId="81" xfId="8" applyFont="1" applyBorder="1" applyAlignment="1">
      <alignment horizontal="center" vertical="center"/>
    </xf>
    <xf numFmtId="1" fontId="26" fillId="12" borderId="64" xfId="0" applyNumberFormat="1" applyFont="1" applyFill="1" applyBorder="1" applyAlignment="1">
      <alignment horizontal="center" vertical="center"/>
    </xf>
    <xf numFmtId="1" fontId="26" fillId="12" borderId="60" xfId="0" applyNumberFormat="1" applyFont="1" applyFill="1" applyBorder="1" applyAlignment="1">
      <alignment horizontal="center" vertical="center"/>
    </xf>
    <xf numFmtId="44" fontId="26" fillId="12" borderId="60" xfId="8" applyFont="1" applyFill="1" applyBorder="1" applyAlignment="1">
      <alignment vertical="center"/>
    </xf>
    <xf numFmtId="44" fontId="26" fillId="14" borderId="60" xfId="8" applyFont="1" applyFill="1" applyBorder="1" applyAlignment="1">
      <alignment vertical="center"/>
    </xf>
    <xf numFmtId="9" fontId="26" fillId="13" borderId="60" xfId="1" applyFont="1" applyFill="1" applyBorder="1" applyAlignment="1">
      <alignment vertical="center"/>
    </xf>
    <xf numFmtId="44" fontId="26" fillId="13" borderId="60" xfId="8" applyFont="1" applyFill="1" applyBorder="1" applyAlignment="1">
      <alignment vertical="center"/>
    </xf>
    <xf numFmtId="44" fontId="26" fillId="13" borderId="65" xfId="8" applyFont="1" applyFill="1" applyBorder="1" applyAlignment="1">
      <alignment vertical="center"/>
    </xf>
    <xf numFmtId="10" fontId="26" fillId="14" borderId="60" xfId="0" applyNumberFormat="1" applyFont="1" applyFill="1" applyBorder="1" applyAlignment="1">
      <alignment horizontal="center" vertical="center"/>
    </xf>
    <xf numFmtId="0" fontId="26" fillId="16" borderId="51" xfId="0" applyFont="1" applyFill="1" applyBorder="1" applyAlignment="1">
      <alignment horizontal="left" vertical="center" wrapText="1"/>
    </xf>
    <xf numFmtId="0" fontId="26" fillId="16" borderId="61" xfId="0" applyFont="1" applyFill="1" applyBorder="1" applyAlignment="1">
      <alignment horizontal="left" vertical="center" wrapText="1"/>
    </xf>
    <xf numFmtId="0" fontId="26" fillId="0" borderId="61" xfId="0" applyFont="1" applyBorder="1" applyAlignment="1">
      <alignment horizontal="center" vertical="center"/>
    </xf>
    <xf numFmtId="44" fontId="26" fillId="0" borderId="61" xfId="8" applyFont="1" applyBorder="1" applyAlignment="1">
      <alignment horizontal="center" vertical="center"/>
    </xf>
    <xf numFmtId="44" fontId="26" fillId="0" borderId="52" xfId="8" applyFont="1" applyBorder="1" applyAlignment="1">
      <alignment horizontal="center" vertical="center"/>
    </xf>
    <xf numFmtId="1" fontId="26" fillId="12" borderId="51" xfId="0" applyNumberFormat="1" applyFont="1" applyFill="1" applyBorder="1" applyAlignment="1">
      <alignment horizontal="center" vertical="center"/>
    </xf>
    <xf numFmtId="1" fontId="26" fillId="12" borderId="61" xfId="0" applyNumberFormat="1" applyFont="1" applyFill="1" applyBorder="1" applyAlignment="1">
      <alignment horizontal="center" vertical="center"/>
    </xf>
    <xf numFmtId="44" fontId="26" fillId="12" borderId="61" xfId="8" applyFont="1" applyFill="1" applyBorder="1" applyAlignment="1">
      <alignment vertical="center"/>
    </xf>
    <xf numFmtId="44" fontId="26" fillId="14" borderId="61" xfId="8" applyFont="1" applyFill="1" applyBorder="1" applyAlignment="1">
      <alignment vertical="center"/>
    </xf>
    <xf numFmtId="9" fontId="26" fillId="13" borderId="61" xfId="1" applyFont="1" applyFill="1" applyBorder="1" applyAlignment="1">
      <alignment vertical="center"/>
    </xf>
    <xf numFmtId="44" fontId="26" fillId="13" borderId="61" xfId="8" applyFont="1" applyFill="1" applyBorder="1" applyAlignment="1">
      <alignment vertical="center"/>
    </xf>
    <xf numFmtId="44" fontId="26" fillId="13" borderId="52" xfId="8" applyFont="1" applyFill="1" applyBorder="1" applyAlignment="1">
      <alignment vertical="center"/>
    </xf>
    <xf numFmtId="0" fontId="26" fillId="0" borderId="57" xfId="0" applyFont="1" applyBorder="1" applyAlignment="1">
      <alignment horizontal="left" vertical="center" wrapText="1"/>
    </xf>
    <xf numFmtId="0" fontId="26" fillId="0" borderId="59" xfId="0" applyFont="1" applyBorder="1" applyAlignment="1">
      <alignment horizontal="left" vertical="center" wrapText="1"/>
    </xf>
    <xf numFmtId="0" fontId="26" fillId="16" borderId="68" xfId="0" applyFont="1" applyFill="1" applyBorder="1" applyAlignment="1">
      <alignment horizontal="left" vertical="center" wrapText="1"/>
    </xf>
    <xf numFmtId="0" fontId="26" fillId="16" borderId="69" xfId="0" applyFont="1" applyFill="1" applyBorder="1" applyAlignment="1">
      <alignment horizontal="left" vertical="center" wrapText="1"/>
    </xf>
    <xf numFmtId="0" fontId="26" fillId="0" borderId="69" xfId="0" applyFont="1" applyBorder="1" applyAlignment="1">
      <alignment horizontal="center" vertical="center"/>
    </xf>
    <xf numFmtId="44" fontId="26" fillId="0" borderId="69" xfId="8" applyFont="1" applyBorder="1" applyAlignment="1">
      <alignment horizontal="center" vertical="center"/>
    </xf>
    <xf numFmtId="44" fontId="26" fillId="0" borderId="70" xfId="8" applyFont="1" applyBorder="1" applyAlignment="1">
      <alignment horizontal="center" vertical="center"/>
    </xf>
    <xf numFmtId="1" fontId="26" fillId="12" borderId="7" xfId="0" applyNumberFormat="1" applyFont="1" applyFill="1" applyBorder="1" applyAlignment="1">
      <alignment horizontal="center" vertical="center"/>
    </xf>
    <xf numFmtId="44" fontId="26" fillId="12" borderId="7" xfId="8" applyFont="1" applyFill="1" applyBorder="1" applyAlignment="1">
      <alignment vertical="center"/>
    </xf>
    <xf numFmtId="44" fontId="26" fillId="14" borderId="7" xfId="8" applyFont="1" applyFill="1" applyBorder="1" applyAlignment="1">
      <alignment vertical="center"/>
    </xf>
    <xf numFmtId="9" fontId="26" fillId="13" borderId="7" xfId="1" applyFont="1" applyFill="1" applyBorder="1" applyAlignment="1">
      <alignment vertical="center"/>
    </xf>
    <xf numFmtId="44" fontId="26" fillId="13" borderId="7" xfId="8" applyFont="1" applyFill="1" applyBorder="1" applyAlignment="1">
      <alignment vertical="center"/>
    </xf>
    <xf numFmtId="0" fontId="26" fillId="0" borderId="56" xfId="0" applyFont="1" applyBorder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170" fontId="29" fillId="10" borderId="62" xfId="8" applyNumberFormat="1" applyFont="1" applyFill="1" applyBorder="1" applyAlignment="1">
      <alignment horizontal="right"/>
    </xf>
    <xf numFmtId="170" fontId="29" fillId="10" borderId="66" xfId="8" applyNumberFormat="1" applyFont="1" applyFill="1" applyBorder="1" applyAlignment="1">
      <alignment horizontal="right"/>
    </xf>
    <xf numFmtId="44" fontId="29" fillId="10" borderId="62" xfId="8" applyFont="1" applyFill="1" applyBorder="1" applyAlignment="1">
      <alignment horizontal="right"/>
    </xf>
    <xf numFmtId="44" fontId="24" fillId="14" borderId="62" xfId="8" applyFont="1" applyFill="1" applyBorder="1" applyAlignment="1">
      <alignment vertical="center"/>
    </xf>
    <xf numFmtId="9" fontId="26" fillId="13" borderId="62" xfId="1" applyFont="1" applyFill="1" applyBorder="1" applyAlignment="1">
      <alignment vertical="center"/>
    </xf>
    <xf numFmtId="44" fontId="26" fillId="13" borderId="62" xfId="8" applyFont="1" applyFill="1" applyBorder="1" applyAlignment="1">
      <alignment vertical="center"/>
    </xf>
    <xf numFmtId="44" fontId="24" fillId="13" borderId="62" xfId="8" applyFont="1" applyFill="1" applyBorder="1" applyAlignment="1">
      <alignment vertical="center"/>
    </xf>
    <xf numFmtId="44" fontId="24" fillId="13" borderId="66" xfId="8" applyFont="1" applyFill="1" applyBorder="1" applyAlignment="1">
      <alignment vertical="center"/>
    </xf>
    <xf numFmtId="0" fontId="24" fillId="11" borderId="78" xfId="0" applyFont="1" applyFill="1" applyBorder="1" applyAlignment="1">
      <alignment horizontal="center" vertical="center"/>
    </xf>
    <xf numFmtId="0" fontId="24" fillId="11" borderId="61" xfId="0" applyFont="1" applyFill="1" applyBorder="1" applyAlignment="1">
      <alignment horizontal="center" vertical="center"/>
    </xf>
    <xf numFmtId="0" fontId="24" fillId="11" borderId="18" xfId="0" applyFont="1" applyFill="1" applyBorder="1" applyAlignment="1">
      <alignment horizontal="center" vertical="center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center" vertical="center"/>
    </xf>
    <xf numFmtId="44" fontId="26" fillId="0" borderId="54" xfId="8" applyFont="1" applyBorder="1" applyAlignment="1">
      <alignment horizontal="center" vertical="center"/>
    </xf>
    <xf numFmtId="44" fontId="26" fillId="0" borderId="55" xfId="8" applyFont="1" applyBorder="1" applyAlignment="1">
      <alignment horizontal="center" vertical="center"/>
    </xf>
    <xf numFmtId="8" fontId="26" fillId="12" borderId="7" xfId="0" applyNumberFormat="1" applyFont="1" applyFill="1" applyBorder="1"/>
    <xf numFmtId="44" fontId="26" fillId="12" borderId="9" xfId="0" applyNumberFormat="1" applyFont="1" applyFill="1" applyBorder="1"/>
    <xf numFmtId="14" fontId="26" fillId="12" borderId="10" xfId="0" applyNumberFormat="1" applyFont="1" applyFill="1" applyBorder="1"/>
    <xf numFmtId="0" fontId="26" fillId="12" borderId="7" xfId="0" applyFont="1" applyFill="1" applyBorder="1" applyAlignment="1">
      <alignment wrapText="1"/>
    </xf>
    <xf numFmtId="0" fontId="26" fillId="12" borderId="10" xfId="0" applyFont="1" applyFill="1" applyBorder="1" applyAlignment="1">
      <alignment wrapText="1"/>
    </xf>
    <xf numFmtId="0" fontId="26" fillId="0" borderId="68" xfId="0" applyFont="1" applyBorder="1" applyAlignment="1">
      <alignment horizontal="left" vertical="center" wrapText="1"/>
    </xf>
    <xf numFmtId="0" fontId="26" fillId="0" borderId="69" xfId="0" applyFont="1" applyBorder="1" applyAlignment="1">
      <alignment horizontal="left" vertical="center" wrapText="1"/>
    </xf>
    <xf numFmtId="0" fontId="26" fillId="17" borderId="53" xfId="0" applyFont="1" applyFill="1" applyBorder="1" applyAlignment="1">
      <alignment horizontal="left" vertical="center" wrapText="1"/>
    </xf>
    <xf numFmtId="0" fontId="26" fillId="17" borderId="68" xfId="0" applyFont="1" applyFill="1" applyBorder="1" applyAlignment="1">
      <alignment horizontal="left" vertical="center" wrapText="1"/>
    </xf>
    <xf numFmtId="0" fontId="26" fillId="0" borderId="76" xfId="0" applyFont="1" applyBorder="1" applyAlignment="1">
      <alignment horizontal="left" vertical="center" wrapText="1"/>
    </xf>
    <xf numFmtId="0" fontId="26" fillId="0" borderId="62" xfId="0" applyFont="1" applyBorder="1" applyAlignment="1">
      <alignment horizontal="left" vertical="center" wrapText="1"/>
    </xf>
    <xf numFmtId="0" fontId="26" fillId="0" borderId="62" xfId="0" applyFont="1" applyBorder="1" applyAlignment="1">
      <alignment horizontal="center" vertical="center"/>
    </xf>
    <xf numFmtId="44" fontId="26" fillId="0" borderId="62" xfId="8" applyFont="1" applyBorder="1" applyAlignment="1">
      <alignment horizontal="center" vertical="center"/>
    </xf>
    <xf numFmtId="44" fontId="26" fillId="0" borderId="66" xfId="8" applyFont="1" applyBorder="1" applyAlignment="1">
      <alignment horizontal="center" vertical="center"/>
    </xf>
    <xf numFmtId="1" fontId="26" fillId="12" borderId="77" xfId="0" applyNumberFormat="1" applyFont="1" applyFill="1" applyBorder="1" applyAlignment="1">
      <alignment horizontal="center" vertical="center"/>
    </xf>
    <xf numFmtId="1" fontId="26" fillId="12" borderId="63" xfId="0" applyNumberFormat="1" applyFont="1" applyFill="1" applyBorder="1" applyAlignment="1">
      <alignment horizontal="center" vertical="center"/>
    </xf>
    <xf numFmtId="44" fontId="26" fillId="12" borderId="63" xfId="8" applyFont="1" applyFill="1" applyBorder="1" applyAlignment="1">
      <alignment vertical="center"/>
    </xf>
    <xf numFmtId="44" fontId="26" fillId="14" borderId="63" xfId="8" applyFont="1" applyFill="1" applyBorder="1" applyAlignment="1">
      <alignment vertical="center"/>
    </xf>
    <xf numFmtId="9" fontId="26" fillId="13" borderId="63" xfId="1" applyFont="1" applyFill="1" applyBorder="1" applyAlignment="1">
      <alignment vertical="center"/>
    </xf>
    <xf numFmtId="44" fontId="26" fillId="13" borderId="63" xfId="8" applyFont="1" applyFill="1" applyBorder="1" applyAlignment="1">
      <alignment vertical="center"/>
    </xf>
    <xf numFmtId="44" fontId="26" fillId="13" borderId="67" xfId="8" applyFont="1" applyFill="1" applyBorder="1" applyAlignment="1">
      <alignment vertical="center"/>
    </xf>
    <xf numFmtId="0" fontId="26" fillId="0" borderId="51" xfId="0" applyFont="1" applyBorder="1" applyAlignment="1">
      <alignment horizontal="left" vertical="center" wrapText="1"/>
    </xf>
    <xf numFmtId="0" fontId="26" fillId="0" borderId="61" xfId="0" applyFont="1" applyBorder="1" applyAlignment="1">
      <alignment horizontal="left" vertical="center" wrapText="1"/>
    </xf>
    <xf numFmtId="0" fontId="26" fillId="0" borderId="64" xfId="0" applyFont="1" applyBorder="1" applyAlignment="1">
      <alignment horizontal="left" vertical="center" wrapText="1"/>
    </xf>
    <xf numFmtId="0" fontId="26" fillId="0" borderId="60" xfId="0" applyFont="1" applyBorder="1" applyAlignment="1">
      <alignment horizontal="left" vertical="center" wrapText="1"/>
    </xf>
    <xf numFmtId="0" fontId="26" fillId="0" borderId="60" xfId="0" applyFont="1" applyBorder="1" applyAlignment="1">
      <alignment horizontal="center" vertical="center"/>
    </xf>
    <xf numFmtId="44" fontId="26" fillId="0" borderId="60" xfId="8" applyFont="1" applyBorder="1" applyAlignment="1">
      <alignment vertical="center"/>
    </xf>
    <xf numFmtId="44" fontId="26" fillId="0" borderId="65" xfId="8" applyFont="1" applyBorder="1" applyAlignment="1">
      <alignment vertical="center"/>
    </xf>
    <xf numFmtId="0" fontId="26" fillId="0" borderId="86" xfId="0" applyFont="1" applyBorder="1" applyAlignment="1">
      <alignment horizontal="left" vertical="center" wrapText="1"/>
    </xf>
    <xf numFmtId="0" fontId="26" fillId="0" borderId="87" xfId="0" applyFont="1" applyBorder="1" applyAlignment="1">
      <alignment horizontal="left" vertical="center" wrapText="1"/>
    </xf>
    <xf numFmtId="0" fontId="26" fillId="0" borderId="87" xfId="0" applyFont="1" applyBorder="1" applyAlignment="1">
      <alignment horizontal="center" vertical="center"/>
    </xf>
    <xf numFmtId="44" fontId="26" fillId="0" borderId="87" xfId="8" applyFont="1" applyBorder="1" applyAlignment="1">
      <alignment horizontal="center" vertical="center"/>
    </xf>
    <xf numFmtId="44" fontId="26" fillId="0" borderId="88" xfId="8" applyFont="1" applyBorder="1" applyAlignment="1">
      <alignment horizontal="center" vertical="center"/>
    </xf>
    <xf numFmtId="10" fontId="26" fillId="14" borderId="33" xfId="0" applyNumberFormat="1" applyFont="1" applyFill="1" applyBorder="1" applyAlignment="1">
      <alignment horizontal="center" vertical="center"/>
    </xf>
    <xf numFmtId="44" fontId="29" fillId="9" borderId="0" xfId="0" applyNumberFormat="1" applyFont="1" applyFill="1" applyAlignment="1">
      <alignment horizontal="right"/>
    </xf>
    <xf numFmtId="44" fontId="29" fillId="9" borderId="18" xfId="0" applyNumberFormat="1" applyFont="1" applyFill="1" applyBorder="1" applyAlignment="1">
      <alignment horizontal="right"/>
    </xf>
    <xf numFmtId="44" fontId="29" fillId="9" borderId="61" xfId="0" applyNumberFormat="1" applyFont="1" applyFill="1" applyBorder="1" applyAlignment="1">
      <alignment horizontal="right"/>
    </xf>
    <xf numFmtId="44" fontId="24" fillId="14" borderId="61" xfId="0" applyNumberFormat="1" applyFont="1" applyFill="1" applyBorder="1"/>
    <xf numFmtId="0" fontId="19" fillId="13" borderId="61" xfId="0" applyFont="1" applyFill="1" applyBorder="1"/>
    <xf numFmtId="44" fontId="24" fillId="13" borderId="61" xfId="0" applyNumberFormat="1" applyFont="1" applyFill="1" applyBorder="1"/>
    <xf numFmtId="44" fontId="24" fillId="13" borderId="78" xfId="8" applyFont="1" applyFill="1" applyBorder="1"/>
    <xf numFmtId="44" fontId="29" fillId="15" borderId="11" xfId="8" applyFont="1" applyFill="1" applyBorder="1" applyAlignment="1">
      <alignment horizontal="center"/>
    </xf>
    <xf numFmtId="44" fontId="29" fillId="15" borderId="83" xfId="8" applyFont="1" applyFill="1" applyBorder="1" applyAlignment="1">
      <alignment horizontal="center"/>
    </xf>
    <xf numFmtId="49" fontId="26" fillId="0" borderId="58" xfId="0" applyNumberFormat="1" applyFont="1" applyBorder="1" applyAlignment="1">
      <alignment horizontal="left" vertical="center" wrapText="1"/>
    </xf>
    <xf numFmtId="0" fontId="29" fillId="15" borderId="75" xfId="0" applyFont="1" applyFill="1" applyBorder="1"/>
    <xf numFmtId="0" fontId="29" fillId="15" borderId="37" xfId="0" applyFont="1" applyFill="1" applyBorder="1"/>
    <xf numFmtId="0" fontId="29" fillId="15" borderId="37" xfId="0" applyFont="1" applyFill="1" applyBorder="1" applyAlignment="1">
      <alignment horizontal="center" vertical="center"/>
    </xf>
    <xf numFmtId="44" fontId="29" fillId="15" borderId="37" xfId="0" applyNumberFormat="1" applyFont="1" applyFill="1" applyBorder="1"/>
    <xf numFmtId="44" fontId="29" fillId="15" borderId="82" xfId="0" applyNumberFormat="1" applyFont="1" applyFill="1" applyBorder="1"/>
    <xf numFmtId="0" fontId="29" fillId="15" borderId="75" xfId="0" applyFont="1" applyFill="1" applyBorder="1" applyAlignment="1">
      <alignment horizontal="center" vertical="center"/>
    </xf>
    <xf numFmtId="9" fontId="29" fillId="15" borderId="14" xfId="1" applyFont="1" applyFill="1" applyBorder="1"/>
    <xf numFmtId="44" fontId="29" fillId="15" borderId="84" xfId="8" applyFont="1" applyFill="1" applyBorder="1"/>
    <xf numFmtId="44" fontId="30" fillId="0" borderId="60" xfId="8" applyFont="1" applyBorder="1"/>
    <xf numFmtId="0" fontId="17" fillId="0" borderId="0" xfId="0" applyFont="1"/>
    <xf numFmtId="0" fontId="17" fillId="0" borderId="0" xfId="0" applyFont="1" applyAlignment="1">
      <alignment horizontal="center"/>
    </xf>
    <xf numFmtId="16" fontId="17" fillId="18" borderId="11" xfId="0" applyNumberFormat="1" applyFont="1" applyFill="1" applyBorder="1"/>
    <xf numFmtId="16" fontId="17" fillId="18" borderId="12" xfId="0" applyNumberFormat="1" applyFont="1" applyFill="1" applyBorder="1"/>
    <xf numFmtId="16" fontId="17" fillId="19" borderId="14" xfId="0" applyNumberFormat="1" applyFont="1" applyFill="1" applyBorder="1"/>
    <xf numFmtId="16" fontId="17" fillId="19" borderId="15" xfId="0" applyNumberFormat="1" applyFont="1" applyFill="1" applyBorder="1"/>
    <xf numFmtId="0" fontId="17" fillId="20" borderId="17" xfId="0" applyFont="1" applyFill="1" applyBorder="1" applyAlignment="1">
      <alignment horizontal="right"/>
    </xf>
    <xf numFmtId="0" fontId="17" fillId="20" borderId="0" xfId="0" applyFont="1" applyFill="1" applyAlignment="1">
      <alignment horizontal="right"/>
    </xf>
    <xf numFmtId="0" fontId="31" fillId="21" borderId="14" xfId="0" applyFont="1" applyFill="1" applyBorder="1"/>
    <xf numFmtId="0" fontId="31" fillId="21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8" fillId="22" borderId="60" xfId="0" applyFont="1" applyFill="1" applyBorder="1" applyAlignment="1">
      <alignment horizontal="center"/>
    </xf>
    <xf numFmtId="164" fontId="4" fillId="0" borderId="60" xfId="2" applyNumberFormat="1" applyFont="1" applyBorder="1" applyAlignment="1" applyProtection="1">
      <alignment horizontal="left" vertical="center"/>
      <protection locked="0"/>
    </xf>
    <xf numFmtId="44" fontId="18" fillId="0" borderId="60" xfId="0" applyNumberFormat="1" applyFont="1" applyBorder="1"/>
    <xf numFmtId="9" fontId="18" fillId="0" borderId="60" xfId="1" applyFont="1" applyBorder="1" applyAlignment="1">
      <alignment horizontal="center"/>
    </xf>
    <xf numFmtId="44" fontId="18" fillId="22" borderId="60" xfId="0" applyNumberFormat="1" applyFont="1" applyFill="1" applyBorder="1" applyAlignment="1">
      <alignment horizontal="center"/>
    </xf>
    <xf numFmtId="0" fontId="18" fillId="0" borderId="49" xfId="0" applyFont="1" applyBorder="1"/>
    <xf numFmtId="170" fontId="18" fillId="0" borderId="89" xfId="0" applyNumberFormat="1" applyFont="1" applyBorder="1" applyAlignment="1">
      <alignment horizontal="center"/>
    </xf>
    <xf numFmtId="44" fontId="18" fillId="0" borderId="89" xfId="0" applyNumberFormat="1" applyFont="1" applyBorder="1"/>
    <xf numFmtId="170" fontId="18" fillId="0" borderId="89" xfId="0" applyNumberFormat="1" applyFont="1" applyBorder="1"/>
    <xf numFmtId="9" fontId="18" fillId="0" borderId="48" xfId="1" applyFont="1" applyBorder="1" applyAlignment="1">
      <alignment horizontal="center"/>
    </xf>
    <xf numFmtId="0" fontId="18" fillId="0" borderId="86" xfId="0" applyFont="1" applyBorder="1"/>
    <xf numFmtId="170" fontId="18" fillId="0" borderId="87" xfId="0" applyNumberFormat="1" applyFont="1" applyBorder="1" applyAlignment="1">
      <alignment horizontal="center"/>
    </xf>
    <xf numFmtId="170" fontId="18" fillId="0" borderId="62" xfId="0" applyNumberFormat="1" applyFont="1" applyBorder="1"/>
    <xf numFmtId="9" fontId="18" fillId="0" borderId="88" xfId="1" applyFont="1" applyBorder="1" applyAlignment="1">
      <alignment horizontal="center"/>
    </xf>
    <xf numFmtId="0" fontId="18" fillId="0" borderId="0" xfId="0" applyFont="1"/>
    <xf numFmtId="170" fontId="18" fillId="22" borderId="63" xfId="0" applyNumberFormat="1" applyFont="1" applyFill="1" applyBorder="1" applyAlignment="1">
      <alignment horizontal="center"/>
    </xf>
    <xf numFmtId="44" fontId="18" fillId="22" borderId="60" xfId="0" applyNumberFormat="1" applyFont="1" applyFill="1" applyBorder="1"/>
    <xf numFmtId="170" fontId="18" fillId="22" borderId="60" xfId="0" applyNumberFormat="1" applyFont="1" applyFill="1" applyBorder="1"/>
    <xf numFmtId="164" fontId="32" fillId="0" borderId="71" xfId="2" applyNumberFormat="1" applyFont="1" applyBorder="1" applyAlignment="1" applyProtection="1">
      <alignment horizontal="left" vertical="center"/>
      <protection locked="0"/>
    </xf>
    <xf numFmtId="164" fontId="32" fillId="0" borderId="72" xfId="2" applyNumberFormat="1" applyFont="1" applyBorder="1" applyAlignment="1" applyProtection="1">
      <alignment horizontal="left" vertical="center"/>
      <protection locked="0"/>
    </xf>
    <xf numFmtId="164" fontId="32" fillId="0" borderId="73" xfId="2" applyNumberFormat="1" applyFont="1" applyBorder="1" applyAlignment="1" applyProtection="1">
      <alignment horizontal="left" vertical="center"/>
      <protection locked="0"/>
    </xf>
    <xf numFmtId="164" fontId="32" fillId="0" borderId="74" xfId="2" applyNumberFormat="1" applyFont="1" applyBorder="1" applyAlignment="1" applyProtection="1">
      <alignment horizontal="left" vertical="center"/>
      <protection locked="0"/>
    </xf>
    <xf numFmtId="164" fontId="32" fillId="0" borderId="14" xfId="2" applyNumberFormat="1" applyFont="1" applyBorder="1" applyAlignment="1" applyProtection="1">
      <alignment horizontal="left" vertical="center"/>
      <protection locked="0"/>
    </xf>
    <xf numFmtId="164" fontId="32" fillId="0" borderId="70" xfId="2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9" fontId="36" fillId="0" borderId="0" xfId="1" applyFont="1"/>
    <xf numFmtId="0" fontId="36" fillId="0" borderId="0" xfId="0" applyFont="1"/>
    <xf numFmtId="44" fontId="19" fillId="0" borderId="0" xfId="8" applyFont="1"/>
    <xf numFmtId="44" fontId="27" fillId="6" borderId="51" xfId="8" applyFont="1" applyFill="1" applyBorder="1" applyAlignment="1">
      <alignment horizontal="center" vertical="center" wrapText="1"/>
    </xf>
    <xf numFmtId="44" fontId="28" fillId="6" borderId="52" xfId="8" applyFont="1" applyFill="1" applyBorder="1" applyAlignment="1">
      <alignment horizontal="center" vertical="center" wrapText="1"/>
    </xf>
    <xf numFmtId="44" fontId="29" fillId="9" borderId="53" xfId="8" applyFont="1" applyFill="1" applyBorder="1" applyAlignment="1">
      <alignment horizontal="center"/>
    </xf>
    <xf numFmtId="44" fontId="29" fillId="10" borderId="79" xfId="8" applyFont="1" applyFill="1" applyBorder="1" applyAlignment="1">
      <alignment horizontal="left"/>
    </xf>
    <xf numFmtId="44" fontId="33" fillId="0" borderId="0" xfId="8" applyFont="1"/>
    <xf numFmtId="44" fontId="37" fillId="0" borderId="60" xfId="8" applyFont="1" applyBorder="1"/>
    <xf numFmtId="44" fontId="23" fillId="0" borderId="60" xfId="8" applyFont="1" applyBorder="1"/>
    <xf numFmtId="0" fontId="23" fillId="0" borderId="0" xfId="0" applyFont="1"/>
    <xf numFmtId="44" fontId="17" fillId="0" borderId="83" xfId="0" applyNumberFormat="1" applyFont="1" applyBorder="1" applyAlignment="1">
      <alignment horizontal="center" vertical="center"/>
    </xf>
    <xf numFmtId="0" fontId="17" fillId="0" borderId="84" xfId="0" applyFont="1" applyBorder="1" applyAlignment="1">
      <alignment horizontal="center" vertical="center"/>
    </xf>
    <xf numFmtId="0" fontId="18" fillId="22" borderId="75" xfId="0" applyFont="1" applyFill="1" applyBorder="1" applyAlignment="1">
      <alignment horizontal="center"/>
    </xf>
    <xf numFmtId="0" fontId="18" fillId="22" borderId="37" xfId="0" applyFont="1" applyFill="1" applyBorder="1" applyAlignment="1">
      <alignment horizontal="center"/>
    </xf>
    <xf numFmtId="0" fontId="18" fillId="22" borderId="82" xfId="0" applyFont="1" applyFill="1" applyBorder="1" applyAlignment="1">
      <alignment horizontal="center"/>
    </xf>
    <xf numFmtId="0" fontId="29" fillId="10" borderId="17" xfId="0" applyFont="1" applyFill="1" applyBorder="1" applyAlignment="1">
      <alignment horizontal="left"/>
    </xf>
    <xf numFmtId="0" fontId="29" fillId="10" borderId="0" xfId="0" applyFont="1" applyFill="1" applyAlignment="1">
      <alignment horizontal="left"/>
    </xf>
    <xf numFmtId="0" fontId="29" fillId="10" borderId="85" xfId="0" applyFont="1" applyFill="1" applyBorder="1" applyAlignment="1">
      <alignment horizontal="left"/>
    </xf>
    <xf numFmtId="0" fontId="29" fillId="10" borderId="64" xfId="0" applyFont="1" applyFill="1" applyBorder="1" applyAlignment="1">
      <alignment horizontal="left"/>
    </xf>
    <xf numFmtId="0" fontId="29" fillId="10" borderId="60" xfId="0" applyFont="1" applyFill="1" applyBorder="1" applyAlignment="1">
      <alignment horizontal="left"/>
    </xf>
    <xf numFmtId="0" fontId="29" fillId="10" borderId="65" xfId="0" applyFont="1" applyFill="1" applyBorder="1" applyAlignment="1">
      <alignment horizontal="left"/>
    </xf>
    <xf numFmtId="0" fontId="29" fillId="9" borderId="17" xfId="0" applyFont="1" applyFill="1" applyBorder="1" applyAlignment="1">
      <alignment horizontal="left"/>
    </xf>
    <xf numFmtId="0" fontId="29" fillId="9" borderId="0" xfId="0" applyFont="1" applyFill="1" applyAlignment="1">
      <alignment horizontal="left"/>
    </xf>
    <xf numFmtId="0" fontId="29" fillId="9" borderId="51" xfId="0" applyFont="1" applyFill="1" applyBorder="1" applyAlignment="1">
      <alignment horizontal="left"/>
    </xf>
    <xf numFmtId="0" fontId="29" fillId="9" borderId="61" xfId="0" applyFont="1" applyFill="1" applyBorder="1" applyAlignment="1">
      <alignment horizontal="left"/>
    </xf>
    <xf numFmtId="44" fontId="22" fillId="0" borderId="39" xfId="8" applyFont="1" applyBorder="1" applyAlignment="1">
      <alignment horizontal="center" vertical="center" wrapText="1"/>
    </xf>
    <xf numFmtId="44" fontId="22" fillId="0" borderId="40" xfId="8" applyFont="1" applyBorder="1" applyAlignment="1">
      <alignment horizontal="center" vertical="center" wrapText="1"/>
    </xf>
    <xf numFmtId="0" fontId="29" fillId="9" borderId="53" xfId="0" applyFont="1" applyFill="1" applyBorder="1" applyAlignment="1">
      <alignment horizontal="center"/>
    </xf>
    <xf numFmtId="0" fontId="29" fillId="9" borderId="54" xfId="0" applyFont="1" applyFill="1" applyBorder="1" applyAlignment="1">
      <alignment horizontal="center"/>
    </xf>
    <xf numFmtId="0" fontId="29" fillId="9" borderId="55" xfId="0" applyFont="1" applyFill="1" applyBorder="1" applyAlignment="1">
      <alignment horizontal="center"/>
    </xf>
    <xf numFmtId="1" fontId="29" fillId="9" borderId="53" xfId="0" applyNumberFormat="1" applyFont="1" applyFill="1" applyBorder="1" applyAlignment="1">
      <alignment horizontal="center"/>
    </xf>
    <xf numFmtId="1" fontId="29" fillId="9" borderId="54" xfId="0" applyNumberFormat="1" applyFont="1" applyFill="1" applyBorder="1" applyAlignment="1">
      <alignment horizontal="center"/>
    </xf>
    <xf numFmtId="1" fontId="29" fillId="9" borderId="55" xfId="0" applyNumberFormat="1" applyFont="1" applyFill="1" applyBorder="1" applyAlignment="1">
      <alignment horizontal="center"/>
    </xf>
    <xf numFmtId="0" fontId="29" fillId="10" borderId="53" xfId="0" applyFont="1" applyFill="1" applyBorder="1" applyAlignment="1">
      <alignment horizontal="left"/>
    </xf>
    <xf numFmtId="0" fontId="29" fillId="10" borderId="54" xfId="0" applyFont="1" applyFill="1" applyBorder="1" applyAlignment="1">
      <alignment horizontal="left"/>
    </xf>
    <xf numFmtId="0" fontId="29" fillId="10" borderId="79" xfId="0" applyFont="1" applyFill="1" applyBorder="1" applyAlignment="1">
      <alignment horizontal="left"/>
    </xf>
    <xf numFmtId="0" fontId="29" fillId="10" borderId="80" xfId="0" applyFont="1" applyFill="1" applyBorder="1" applyAlignment="1">
      <alignment horizontal="left"/>
    </xf>
    <xf numFmtId="0" fontId="29" fillId="10" borderId="81" xfId="0" applyFont="1" applyFill="1" applyBorder="1" applyAlignment="1">
      <alignment horizontal="left"/>
    </xf>
    <xf numFmtId="0" fontId="22" fillId="3" borderId="6" xfId="0" applyFont="1" applyFill="1" applyBorder="1" applyAlignment="1">
      <alignment horizontal="center" vertical="center" wrapText="1"/>
    </xf>
    <xf numFmtId="0" fontId="22" fillId="3" borderId="37" xfId="0" applyFont="1" applyFill="1" applyBorder="1" applyAlignment="1">
      <alignment horizontal="center" vertical="center" wrapText="1"/>
    </xf>
    <xf numFmtId="0" fontId="22" fillId="3" borderId="5" xfId="0" applyFont="1" applyFill="1" applyBorder="1" applyAlignment="1">
      <alignment horizontal="center" vertical="center" wrapText="1"/>
    </xf>
    <xf numFmtId="166" fontId="22" fillId="4" borderId="6" xfId="4" applyNumberFormat="1" applyFont="1" applyFill="1" applyBorder="1" applyAlignment="1">
      <alignment horizontal="center" vertical="center" wrapText="1"/>
    </xf>
    <xf numFmtId="166" fontId="22" fillId="4" borderId="37" xfId="4" applyNumberFormat="1" applyFont="1" applyFill="1" applyBorder="1" applyAlignment="1">
      <alignment horizontal="center" vertical="center" wrapText="1"/>
    </xf>
    <xf numFmtId="166" fontId="22" fillId="4" borderId="5" xfId="4" applyNumberFormat="1" applyFont="1" applyFill="1" applyBorder="1" applyAlignment="1">
      <alignment horizontal="center" vertical="center" wrapText="1"/>
    </xf>
    <xf numFmtId="166" fontId="22" fillId="4" borderId="17" xfId="4" applyNumberFormat="1" applyFont="1" applyFill="1" applyBorder="1" applyAlignment="1">
      <alignment horizontal="center" vertical="center" wrapText="1"/>
    </xf>
    <xf numFmtId="166" fontId="22" fillId="4" borderId="0" xfId="4" applyNumberFormat="1" applyFont="1" applyFill="1" applyBorder="1" applyAlignment="1">
      <alignment horizontal="center" vertical="center" wrapText="1"/>
    </xf>
    <xf numFmtId="0" fontId="29" fillId="10" borderId="76" xfId="0" applyFont="1" applyFill="1" applyBorder="1" applyAlignment="1">
      <alignment horizontal="left"/>
    </xf>
    <xf numFmtId="0" fontId="29" fillId="10" borderId="62" xfId="0" applyFont="1" applyFill="1" applyBorder="1" applyAlignment="1">
      <alignment horizontal="left"/>
    </xf>
    <xf numFmtId="1" fontId="29" fillId="10" borderId="76" xfId="0" applyNumberFormat="1" applyFont="1" applyFill="1" applyBorder="1" applyAlignment="1">
      <alignment horizontal="left"/>
    </xf>
    <xf numFmtId="1" fontId="29" fillId="10" borderId="62" xfId="0" applyNumberFormat="1" applyFont="1" applyFill="1" applyBorder="1" applyAlignment="1">
      <alignment horizontal="left"/>
    </xf>
    <xf numFmtId="0" fontId="20" fillId="0" borderId="0" xfId="2" applyFont="1" applyAlignment="1">
      <alignment horizontal="left" vertical="center" wrapText="1"/>
    </xf>
    <xf numFmtId="0" fontId="20" fillId="0" borderId="0" xfId="2" applyFont="1" applyAlignment="1">
      <alignment horizontal="left" vertical="top"/>
    </xf>
    <xf numFmtId="0" fontId="22" fillId="2" borderId="3" xfId="3" applyFont="1" applyFill="1" applyBorder="1" applyAlignment="1">
      <alignment horizontal="center" vertical="center"/>
    </xf>
    <xf numFmtId="0" fontId="22" fillId="2" borderId="4" xfId="3" applyFont="1" applyFill="1" applyBorder="1" applyAlignment="1">
      <alignment horizontal="center" vertical="center"/>
    </xf>
    <xf numFmtId="0" fontId="22" fillId="2" borderId="5" xfId="3" applyFont="1" applyFill="1" applyBorder="1" applyAlignment="1">
      <alignment horizontal="center" vertical="center"/>
    </xf>
    <xf numFmtId="0" fontId="29" fillId="9" borderId="11" xfId="0" applyFont="1" applyFill="1" applyBorder="1" applyAlignment="1">
      <alignment horizontal="center"/>
    </xf>
    <xf numFmtId="0" fontId="29" fillId="9" borderId="12" xfId="0" applyFont="1" applyFill="1" applyBorder="1" applyAlignment="1">
      <alignment horizontal="center"/>
    </xf>
    <xf numFmtId="0" fontId="29" fillId="9" borderId="83" xfId="0" applyFont="1" applyFill="1" applyBorder="1" applyAlignment="1">
      <alignment horizontal="center"/>
    </xf>
    <xf numFmtId="0" fontId="29" fillId="9" borderId="79" xfId="0" applyFont="1" applyFill="1" applyBorder="1" applyAlignment="1">
      <alignment horizontal="center"/>
    </xf>
    <xf numFmtId="0" fontId="29" fillId="9" borderId="80" xfId="0" applyFont="1" applyFill="1" applyBorder="1" applyAlignment="1">
      <alignment horizontal="center"/>
    </xf>
    <xf numFmtId="0" fontId="29" fillId="9" borderId="81" xfId="0" applyFont="1" applyFill="1" applyBorder="1" applyAlignment="1">
      <alignment horizontal="center"/>
    </xf>
    <xf numFmtId="0" fontId="11" fillId="8" borderId="41" xfId="0" applyFont="1" applyFill="1" applyBorder="1" applyAlignment="1">
      <alignment horizontal="left" vertical="center"/>
    </xf>
    <xf numFmtId="0" fontId="11" fillId="8" borderId="41" xfId="0" applyFont="1" applyFill="1" applyBorder="1" applyAlignment="1">
      <alignment vertical="center"/>
    </xf>
    <xf numFmtId="0" fontId="11" fillId="8" borderId="0" xfId="0" applyFont="1" applyFill="1" applyAlignment="1">
      <alignment vertical="center"/>
    </xf>
    <xf numFmtId="0" fontId="12" fillId="8" borderId="41" xfId="0" applyFont="1" applyFill="1" applyBorder="1" applyAlignment="1">
      <alignment horizontal="left" vertical="top"/>
    </xf>
    <xf numFmtId="0" fontId="14" fillId="8" borderId="41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704852</xdr:colOff>
      <xdr:row>0</xdr:row>
      <xdr:rowOff>152400</xdr:rowOff>
    </xdr:from>
    <xdr:to>
      <xdr:col>5</xdr:col>
      <xdr:colOff>498039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FD62E3D7-9114-4864-B8FC-D56342D69DF1}"/>
            </a:ext>
          </a:extLst>
        </xdr:cNvPr>
        <xdr:cNvSpPr/>
      </xdr:nvSpPr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602052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2C77F62-C6D5-460E-9B64-DD16CB7CE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5442"/>
        </a:xfrm>
        <a:prstGeom prst="rect">
          <a:avLst/>
        </a:prstGeom>
      </xdr:spPr>
    </xdr:pic>
    <xdr:clientData/>
  </xdr:twoCellAnchor>
  <xdr:twoCellAnchor editAs="absolute">
    <xdr:from>
      <xdr:col>37</xdr:col>
      <xdr:colOff>1247433</xdr:colOff>
      <xdr:row>0</xdr:row>
      <xdr:rowOff>190500</xdr:rowOff>
    </xdr:from>
    <xdr:to>
      <xdr:col>37</xdr:col>
      <xdr:colOff>2195796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4DB33B8B-AE5A-4FB6-B1C9-805BDFED71F7}"/>
            </a:ext>
          </a:extLst>
        </xdr:cNvPr>
        <xdr:cNvSpPr/>
      </xdr:nvSpPr>
      <xdr:spPr bwMode="auto">
        <a:xfrm>
          <a:off x="29659527" y="190500"/>
          <a:ext cx="101690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37</xdr:col>
      <xdr:colOff>731138</xdr:colOff>
      <xdr:row>0</xdr:row>
      <xdr:rowOff>182566</xdr:rowOff>
    </xdr:from>
    <xdr:to>
      <xdr:col>37</xdr:col>
      <xdr:colOff>1171230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DD8AC42F-E538-4A77-AF03-AB26C1F0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51849" y="182566"/>
          <a:ext cx="431475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704852</xdr:colOff>
      <xdr:row>0</xdr:row>
      <xdr:rowOff>152400</xdr:rowOff>
    </xdr:from>
    <xdr:to>
      <xdr:col>5</xdr:col>
      <xdr:colOff>498039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CA192CC-059F-4BA6-A9BC-FDEB965B02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37</xdr:col>
      <xdr:colOff>1247433</xdr:colOff>
      <xdr:row>0</xdr:row>
      <xdr:rowOff>190500</xdr:rowOff>
    </xdr:from>
    <xdr:to>
      <xdr:col>37</xdr:col>
      <xdr:colOff>2195796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2C13A824-E6ED-4CC3-BC08-A0427810D17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9527" y="190500"/>
          <a:ext cx="101690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190500</xdr:colOff>
      <xdr:row>4</xdr:row>
      <xdr:rowOff>172357</xdr:rowOff>
    </xdr:from>
    <xdr:to>
      <xdr:col>10</xdr:col>
      <xdr:colOff>2453367</xdr:colOff>
      <xdr:row>8</xdr:row>
      <xdr:rowOff>303514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FB2DAAC-994F-4D62-B738-A420A218E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531429" y="1723571"/>
          <a:ext cx="2263547" cy="15633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269AA-03C8-4B34-BED5-7C27714AE910}">
  <dimension ref="A1:F31"/>
  <sheetViews>
    <sheetView showGridLines="0" tabSelected="1" topLeftCell="A13" zoomScaleNormal="100" workbookViewId="0">
      <selection activeCell="C31" sqref="C31:D31"/>
    </sheetView>
  </sheetViews>
  <sheetFormatPr defaultColWidth="8.6640625" defaultRowHeight="16.2" x14ac:dyDescent="0.35"/>
  <cols>
    <col min="1" max="1" width="8.6640625" style="193"/>
    <col min="2" max="2" width="33.6640625" style="193" customWidth="1"/>
    <col min="3" max="3" width="44" style="193" customWidth="1"/>
    <col min="4" max="4" width="20.44140625" style="193" customWidth="1"/>
    <col min="5" max="5" width="18.44140625" style="193" customWidth="1"/>
    <col min="6" max="6" width="11.88671875" style="194" bestFit="1" customWidth="1"/>
    <col min="7" max="7" width="12.88671875" style="193" bestFit="1" customWidth="1"/>
    <col min="8" max="8" width="12.5546875" style="193" bestFit="1" customWidth="1"/>
    <col min="9" max="16384" width="8.6640625" style="193"/>
  </cols>
  <sheetData>
    <row r="1" spans="1:5" s="194" customFormat="1" hidden="1" x14ac:dyDescent="0.35">
      <c r="A1" s="193"/>
      <c r="B1" s="193"/>
      <c r="C1" s="193"/>
      <c r="D1" s="193"/>
      <c r="E1" s="193"/>
    </row>
    <row r="2" spans="1:5" s="194" customFormat="1" hidden="1" x14ac:dyDescent="0.35">
      <c r="A2" s="193"/>
      <c r="B2" s="193"/>
      <c r="C2" s="193"/>
      <c r="D2" s="193"/>
      <c r="E2" s="193"/>
    </row>
    <row r="3" spans="1:5" s="194" customFormat="1" hidden="1" x14ac:dyDescent="0.35">
      <c r="A3" s="193"/>
      <c r="B3" s="193"/>
      <c r="C3" s="195">
        <v>45866</v>
      </c>
      <c r="D3" s="196"/>
      <c r="E3" s="243" t="e">
        <f>SUM(#REF!)</f>
        <v>#REF!</v>
      </c>
    </row>
    <row r="4" spans="1:5" s="194" customFormat="1" ht="15.6" hidden="1" customHeight="1" thickBot="1" x14ac:dyDescent="0.4">
      <c r="A4" s="193"/>
      <c r="B4" s="193"/>
      <c r="C4" s="197">
        <v>45867</v>
      </c>
      <c r="D4" s="198"/>
      <c r="E4" s="244"/>
    </row>
    <row r="5" spans="1:5" s="194" customFormat="1" hidden="1" x14ac:dyDescent="0.35">
      <c r="A5" s="193"/>
      <c r="B5" s="193"/>
      <c r="C5" s="199" t="s">
        <v>204</v>
      </c>
      <c r="D5" s="200"/>
      <c r="E5" s="193"/>
    </row>
    <row r="6" spans="1:5" s="194" customFormat="1" hidden="1" x14ac:dyDescent="0.35">
      <c r="A6" s="193"/>
      <c r="B6" s="193"/>
      <c r="C6" s="199" t="s">
        <v>205</v>
      </c>
      <c r="D6" s="200"/>
      <c r="E6" s="193"/>
    </row>
    <row r="7" spans="1:5" s="194" customFormat="1" ht="16.8" hidden="1" thickBot="1" x14ac:dyDescent="0.4">
      <c r="A7" s="193"/>
      <c r="B7" s="193"/>
      <c r="C7" s="201" t="s">
        <v>43</v>
      </c>
      <c r="D7" s="202"/>
      <c r="E7" s="193"/>
    </row>
    <row r="9" spans="1:5" s="194" customFormat="1" x14ac:dyDescent="0.35">
      <c r="A9" s="193" t="s">
        <v>105</v>
      </c>
      <c r="B9" s="193"/>
      <c r="C9" s="193"/>
      <c r="D9" s="193"/>
      <c r="E9" s="193"/>
    </row>
    <row r="10" spans="1:5" s="194" customFormat="1" ht="24" customHeight="1" x14ac:dyDescent="0.35">
      <c r="A10" s="193"/>
      <c r="B10" s="193"/>
      <c r="C10" s="193"/>
      <c r="D10" s="193"/>
      <c r="E10" s="193"/>
    </row>
    <row r="11" spans="1:5" ht="16.8" thickBot="1" x14ac:dyDescent="0.4"/>
    <row r="12" spans="1:5" s="194" customFormat="1" ht="15" customHeight="1" x14ac:dyDescent="0.35">
      <c r="A12" s="193"/>
      <c r="B12" s="224" t="s">
        <v>140</v>
      </c>
      <c r="C12" s="225" t="s">
        <v>167</v>
      </c>
      <c r="D12" s="203"/>
      <c r="E12" s="193"/>
    </row>
    <row r="13" spans="1:5" s="194" customFormat="1" ht="15" customHeight="1" x14ac:dyDescent="0.35">
      <c r="A13" s="193"/>
      <c r="B13" s="226" t="s">
        <v>141</v>
      </c>
      <c r="C13" s="227" t="s">
        <v>139</v>
      </c>
      <c r="D13" s="203"/>
      <c r="E13" s="193"/>
    </row>
    <row r="14" spans="1:5" s="194" customFormat="1" ht="15" customHeight="1" x14ac:dyDescent="0.35">
      <c r="A14" s="193"/>
      <c r="B14" s="226" t="s">
        <v>142</v>
      </c>
      <c r="C14" s="227" t="s">
        <v>168</v>
      </c>
      <c r="D14" s="204"/>
      <c r="E14" s="193"/>
    </row>
    <row r="15" spans="1:5" s="194" customFormat="1" ht="15" customHeight="1" x14ac:dyDescent="0.35">
      <c r="A15" s="193"/>
      <c r="B15" s="226" t="s">
        <v>143</v>
      </c>
      <c r="C15" s="227" t="s">
        <v>169</v>
      </c>
      <c r="D15" s="204"/>
      <c r="E15" s="193"/>
    </row>
    <row r="16" spans="1:5" s="194" customFormat="1" ht="15" customHeight="1" x14ac:dyDescent="0.35">
      <c r="A16" s="193"/>
      <c r="B16" s="226" t="s">
        <v>144</v>
      </c>
      <c r="C16" s="227" t="s">
        <v>170</v>
      </c>
      <c r="D16" s="205"/>
      <c r="E16" s="193"/>
    </row>
    <row r="17" spans="2:6" ht="15" customHeight="1" x14ac:dyDescent="0.35">
      <c r="B17" s="226" t="s">
        <v>145</v>
      </c>
      <c r="C17" s="227" t="s">
        <v>118</v>
      </c>
      <c r="D17" s="204"/>
    </row>
    <row r="18" spans="2:6" ht="15" customHeight="1" x14ac:dyDescent="0.35">
      <c r="B18" s="226" t="s">
        <v>146</v>
      </c>
      <c r="C18" s="227" t="s">
        <v>148</v>
      </c>
      <c r="D18" s="204"/>
    </row>
    <row r="19" spans="2:6" ht="15" customHeight="1" thickBot="1" x14ac:dyDescent="0.4">
      <c r="B19" s="228" t="s">
        <v>147</v>
      </c>
      <c r="C19" s="229" t="s">
        <v>167</v>
      </c>
      <c r="D19" s="204"/>
    </row>
    <row r="21" spans="2:6" ht="15.6" customHeight="1" x14ac:dyDescent="0.35">
      <c r="B21" s="206"/>
      <c r="C21" s="206" t="s">
        <v>206</v>
      </c>
      <c r="D21" s="206" t="s">
        <v>207</v>
      </c>
      <c r="E21" s="206" t="s">
        <v>208</v>
      </c>
    </row>
    <row r="22" spans="2:6" x14ac:dyDescent="0.35">
      <c r="B22" s="207" t="s">
        <v>209</v>
      </c>
      <c r="C22" s="208">
        <f>BRINDES!N33</f>
        <v>52103.399471852863</v>
      </c>
      <c r="D22" s="208">
        <f>BRINDES!X33</f>
        <v>32986.49</v>
      </c>
      <c r="E22" s="208">
        <f>C22-D22</f>
        <v>19116.909471852865</v>
      </c>
      <c r="F22" s="209">
        <f>E22*100%/C22</f>
        <v>0.36690330507475127</v>
      </c>
    </row>
    <row r="23" spans="2:6" x14ac:dyDescent="0.35">
      <c r="B23" s="206" t="s">
        <v>43</v>
      </c>
      <c r="C23" s="210">
        <f>SUM(C22:C22)</f>
        <v>52103.399471852863</v>
      </c>
      <c r="D23" s="210">
        <f>SUM(D22:D22)</f>
        <v>32986.49</v>
      </c>
      <c r="E23" s="210">
        <f>SUM(E22:E22)</f>
        <v>19116.909471852865</v>
      </c>
      <c r="F23" s="209">
        <f t="shared" ref="F23" si="0">E23*100%/C23</f>
        <v>0.36690330507475127</v>
      </c>
    </row>
    <row r="25" spans="2:6" ht="200.1" hidden="1" customHeight="1" x14ac:dyDescent="0.35"/>
    <row r="27" spans="2:6" ht="16.8" thickBot="1" x14ac:dyDescent="0.4"/>
    <row r="28" spans="2:6" ht="21.9" customHeight="1" thickBot="1" x14ac:dyDescent="0.4">
      <c r="B28" s="245" t="s">
        <v>210</v>
      </c>
      <c r="C28" s="246"/>
      <c r="D28" s="246"/>
      <c r="E28" s="246"/>
      <c r="F28" s="247"/>
    </row>
    <row r="29" spans="2:6" ht="24.9" customHeight="1" thickBot="1" x14ac:dyDescent="0.4">
      <c r="B29" s="211" t="s">
        <v>213</v>
      </c>
      <c r="C29" s="212">
        <v>37920.65</v>
      </c>
      <c r="D29" s="213">
        <f>D23</f>
        <v>32986.49</v>
      </c>
      <c r="E29" s="214">
        <f>C29-D29</f>
        <v>4934.1600000000035</v>
      </c>
      <c r="F29" s="215">
        <f>E29*100%/C29</f>
        <v>0.13011802276596005</v>
      </c>
    </row>
    <row r="30" spans="2:6" ht="29.4" customHeight="1" thickBot="1" x14ac:dyDescent="0.4">
      <c r="B30" s="216" t="s">
        <v>214</v>
      </c>
      <c r="C30" s="217">
        <v>14182.75</v>
      </c>
      <c r="D30" s="218">
        <f>C30*0.15</f>
        <v>2127.4124999999999</v>
      </c>
      <c r="E30" s="218">
        <f>C30-D30</f>
        <v>12055.3375</v>
      </c>
      <c r="F30" s="219">
        <f>E30*100%/C30</f>
        <v>0.85</v>
      </c>
    </row>
    <row r="31" spans="2:6" ht="20.25" customHeight="1" thickBot="1" x14ac:dyDescent="0.4">
      <c r="B31" s="220"/>
      <c r="C31" s="221">
        <f>SUM(C29:C30)</f>
        <v>52103.4</v>
      </c>
      <c r="D31" s="222">
        <f>SUM(D29:D30)</f>
        <v>35113.902499999997</v>
      </c>
      <c r="E31" s="223">
        <f>SUM(E29:E30)</f>
        <v>16989.497500000005</v>
      </c>
      <c r="F31" s="219">
        <f>E31*100%/C31</f>
        <v>0.3260727227013977</v>
      </c>
    </row>
  </sheetData>
  <mergeCells count="2">
    <mergeCell ref="E3:E4"/>
    <mergeCell ref="B28:F28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87EAC-02F3-46EB-9E85-DFF1D37932F1}">
  <sheetPr codeName="Planilha12">
    <pageSetUpPr autoPageBreaks="0" fitToPage="1"/>
  </sheetPr>
  <dimension ref="A1:AM37"/>
  <sheetViews>
    <sheetView showGridLines="0" topLeftCell="B1" zoomScale="35" zoomScaleNormal="35" workbookViewId="0">
      <pane ySplit="1" topLeftCell="A29" activePane="bottomLeft" state="frozen"/>
      <selection pane="bottomLeft" activeCell="T39" sqref="T39"/>
    </sheetView>
  </sheetViews>
  <sheetFormatPr defaultColWidth="8.88671875" defaultRowHeight="28.8" x14ac:dyDescent="0.55000000000000004"/>
  <cols>
    <col min="1" max="1" width="5.88671875" style="31" hidden="1" customWidth="1"/>
    <col min="2" max="2" width="15.5546875" style="31" customWidth="1"/>
    <col min="3" max="3" width="11" style="31" hidden="1" customWidth="1"/>
    <col min="4" max="5" width="8.44140625" style="31" hidden="1" customWidth="1"/>
    <col min="6" max="6" width="25.109375" style="31" customWidth="1"/>
    <col min="7" max="7" width="69.44140625" style="31" customWidth="1"/>
    <col min="8" max="8" width="5.88671875" style="34" hidden="1" customWidth="1"/>
    <col min="9" max="9" width="7.88671875" style="34" hidden="1" customWidth="1"/>
    <col min="10" max="10" width="16.44140625" style="31" hidden="1" customWidth="1"/>
    <col min="11" max="11" width="41.88671875" style="31" bestFit="1" customWidth="1"/>
    <col min="12" max="12" width="44.6640625" style="31" bestFit="1" customWidth="1"/>
    <col min="13" max="13" width="38.44140625" style="31" bestFit="1" customWidth="1"/>
    <col min="14" max="14" width="41.33203125" style="31" bestFit="1" customWidth="1"/>
    <col min="15" max="15" width="3.33203125" style="31" hidden="1" customWidth="1"/>
    <col min="16" max="16" width="1.88671875" style="31" hidden="1" customWidth="1"/>
    <col min="17" max="17" width="11.33203125" style="34" bestFit="1" customWidth="1"/>
    <col min="18" max="18" width="8.44140625" style="34" hidden="1" customWidth="1"/>
    <col min="19" max="19" width="17.88671875" style="31" hidden="1" customWidth="1"/>
    <col min="20" max="20" width="41.33203125" style="31" bestFit="1" customWidth="1"/>
    <col min="21" max="21" width="24.6640625" style="31" hidden="1" customWidth="1"/>
    <col min="22" max="22" width="9.6640625" style="31" hidden="1" customWidth="1"/>
    <col min="23" max="23" width="16.109375" style="31" hidden="1" customWidth="1"/>
    <col min="24" max="24" width="41.33203125" style="31" customWidth="1"/>
    <col min="25" max="25" width="26.6640625" style="31" hidden="1" customWidth="1"/>
    <col min="26" max="26" width="14.6640625" style="31" hidden="1" customWidth="1"/>
    <col min="27" max="27" width="24.6640625" style="31" hidden="1" customWidth="1"/>
    <col min="28" max="28" width="38.109375" style="31" hidden="1" customWidth="1"/>
    <col min="29" max="29" width="14.109375" style="31" hidden="1" customWidth="1"/>
    <col min="30" max="30" width="7.6640625" style="31" hidden="1" customWidth="1"/>
    <col min="31" max="31" width="6.88671875" style="31" hidden="1" customWidth="1"/>
    <col min="32" max="32" width="1.33203125" style="31" hidden="1" customWidth="1"/>
    <col min="33" max="33" width="14" style="31" hidden="1" customWidth="1"/>
    <col min="34" max="34" width="11.6640625" style="31" hidden="1" customWidth="1"/>
    <col min="35" max="35" width="6.33203125" style="31" hidden="1" customWidth="1"/>
    <col min="36" max="36" width="12.6640625" style="31" hidden="1" customWidth="1"/>
    <col min="37" max="37" width="41.33203125" style="234" bestFit="1" customWidth="1"/>
    <col min="38" max="38" width="49.44140625" style="234" customWidth="1"/>
    <col min="39" max="39" width="8.88671875" style="242"/>
    <col min="40" max="40" width="21.33203125" style="31" customWidth="1"/>
    <col min="41" max="16384" width="8.88671875" style="31"/>
  </cols>
  <sheetData>
    <row r="1" spans="1:38" ht="49.5" customHeight="1" x14ac:dyDescent="0.55000000000000004">
      <c r="B1" s="32"/>
      <c r="C1" s="33"/>
      <c r="D1" s="33"/>
      <c r="F1" s="283" t="s">
        <v>107</v>
      </c>
      <c r="G1" s="283"/>
    </row>
    <row r="2" spans="1:38" ht="24.75" customHeight="1" x14ac:dyDescent="0.55000000000000004">
      <c r="B2" s="35"/>
      <c r="D2" s="33"/>
      <c r="F2" s="284" t="s">
        <v>0</v>
      </c>
      <c r="G2" s="284"/>
    </row>
    <row r="3" spans="1:38" ht="29.4" thickBot="1" x14ac:dyDescent="0.6">
      <c r="B3" s="36"/>
      <c r="F3" s="37"/>
      <c r="G3" s="37"/>
    </row>
    <row r="4" spans="1:38" x14ac:dyDescent="0.55000000000000004">
      <c r="F4" s="38" t="s">
        <v>140</v>
      </c>
      <c r="G4" s="39" t="s">
        <v>167</v>
      </c>
    </row>
    <row r="5" spans="1:38" x14ac:dyDescent="0.55000000000000004">
      <c r="F5" s="40" t="s">
        <v>141</v>
      </c>
      <c r="G5" s="41" t="s">
        <v>139</v>
      </c>
    </row>
    <row r="6" spans="1:38" x14ac:dyDescent="0.55000000000000004">
      <c r="D6" s="31" t="s">
        <v>105</v>
      </c>
      <c r="F6" s="40" t="s">
        <v>142</v>
      </c>
      <c r="G6" s="41" t="s">
        <v>168</v>
      </c>
    </row>
    <row r="7" spans="1:38" x14ac:dyDescent="0.55000000000000004">
      <c r="F7" s="40" t="s">
        <v>143</v>
      </c>
      <c r="G7" s="41" t="s">
        <v>169</v>
      </c>
      <c r="J7" s="31" t="s">
        <v>106</v>
      </c>
    </row>
    <row r="8" spans="1:38" x14ac:dyDescent="0.55000000000000004">
      <c r="F8" s="40" t="s">
        <v>144</v>
      </c>
      <c r="G8" s="41" t="s">
        <v>170</v>
      </c>
    </row>
    <row r="9" spans="1:38" x14ac:dyDescent="0.55000000000000004">
      <c r="F9" s="40" t="s">
        <v>145</v>
      </c>
      <c r="G9" s="41" t="s">
        <v>118</v>
      </c>
      <c r="J9" s="31" t="s">
        <v>105</v>
      </c>
    </row>
    <row r="10" spans="1:38" x14ac:dyDescent="0.55000000000000004">
      <c r="F10" s="40" t="s">
        <v>146</v>
      </c>
      <c r="G10" s="41" t="s">
        <v>148</v>
      </c>
    </row>
    <row r="11" spans="1:38" ht="29.4" thickBot="1" x14ac:dyDescent="0.6">
      <c r="F11" s="42" t="s">
        <v>147</v>
      </c>
      <c r="G11" s="43" t="s">
        <v>167</v>
      </c>
    </row>
    <row r="12" spans="1:38" ht="87" hidden="1" thickBot="1" x14ac:dyDescent="0.6">
      <c r="B12" s="44"/>
      <c r="M12" s="45"/>
      <c r="Q12" s="285" t="s">
        <v>1</v>
      </c>
      <c r="R12" s="286"/>
      <c r="S12" s="286"/>
      <c r="T12" s="287"/>
      <c r="U12" s="271" t="s">
        <v>2</v>
      </c>
      <c r="V12" s="272"/>
      <c r="W12" s="272"/>
      <c r="X12" s="273"/>
      <c r="Y12" s="46" t="s">
        <v>56</v>
      </c>
      <c r="Z12" s="47">
        <f>(1/(1-M14))-1</f>
        <v>0.24269914253759173</v>
      </c>
      <c r="AC12" s="274" t="s">
        <v>3</v>
      </c>
      <c r="AD12" s="275"/>
      <c r="AE12" s="276"/>
      <c r="AG12" s="277" t="s">
        <v>58</v>
      </c>
      <c r="AH12" s="278"/>
      <c r="AJ12" s="48" t="s">
        <v>60</v>
      </c>
      <c r="AK12" s="258" t="s">
        <v>59</v>
      </c>
      <c r="AL12" s="259"/>
    </row>
    <row r="13" spans="1:38" ht="29.4" thickBot="1" x14ac:dyDescent="0.6">
      <c r="A13" s="49" t="s">
        <v>4</v>
      </c>
      <c r="B13" s="50" t="s">
        <v>5</v>
      </c>
      <c r="C13" s="49" t="s">
        <v>6</v>
      </c>
      <c r="D13" s="49" t="s">
        <v>7</v>
      </c>
      <c r="E13" s="49" t="s">
        <v>8</v>
      </c>
      <c r="M13" s="51">
        <v>0.81</v>
      </c>
    </row>
    <row r="14" spans="1:38" ht="50.1" customHeight="1" thickBot="1" x14ac:dyDescent="0.6">
      <c r="A14" s="52">
        <v>0</v>
      </c>
      <c r="B14" s="53"/>
      <c r="C14" s="54"/>
      <c r="D14" s="55"/>
      <c r="E14" s="55"/>
      <c r="F14" s="56" t="s">
        <v>84</v>
      </c>
      <c r="G14" s="57" t="s">
        <v>85</v>
      </c>
      <c r="H14" s="58" t="s">
        <v>86</v>
      </c>
      <c r="I14" s="58" t="s">
        <v>87</v>
      </c>
      <c r="J14" s="59" t="s">
        <v>88</v>
      </c>
      <c r="K14" s="60" t="s">
        <v>9</v>
      </c>
      <c r="L14" s="61">
        <v>0.09</v>
      </c>
      <c r="M14" s="62">
        <v>0.1953</v>
      </c>
      <c r="N14" s="63" t="s">
        <v>82</v>
      </c>
      <c r="Q14" s="64" t="s">
        <v>89</v>
      </c>
      <c r="R14" s="65" t="s">
        <v>90</v>
      </c>
      <c r="S14" s="66" t="s">
        <v>91</v>
      </c>
      <c r="T14" s="67" t="s">
        <v>92</v>
      </c>
      <c r="U14" s="68" t="s">
        <v>93</v>
      </c>
      <c r="V14" s="69" t="s">
        <v>94</v>
      </c>
      <c r="W14" s="70" t="s">
        <v>95</v>
      </c>
      <c r="X14" s="70" t="s">
        <v>96</v>
      </c>
      <c r="Y14" s="71" t="s">
        <v>97</v>
      </c>
      <c r="Z14" s="72" t="s">
        <v>98</v>
      </c>
      <c r="AA14" s="73" t="s">
        <v>83</v>
      </c>
      <c r="AC14" s="74" t="s">
        <v>99</v>
      </c>
      <c r="AD14" s="75" t="s">
        <v>100</v>
      </c>
      <c r="AE14" s="75" t="s">
        <v>33</v>
      </c>
      <c r="AG14" s="76" t="s">
        <v>101</v>
      </c>
      <c r="AH14" s="77" t="s">
        <v>102</v>
      </c>
      <c r="AK14" s="235" t="s">
        <v>103</v>
      </c>
      <c r="AL14" s="236" t="s">
        <v>104</v>
      </c>
    </row>
    <row r="15" spans="1:38" ht="50.1" customHeight="1" thickBot="1" x14ac:dyDescent="0.6">
      <c r="A15" s="55">
        <v>1</v>
      </c>
      <c r="B15" s="78">
        <v>1</v>
      </c>
      <c r="C15" s="79" t="s">
        <v>108</v>
      </c>
      <c r="D15" s="55"/>
      <c r="E15" s="55"/>
      <c r="F15" s="260" t="s">
        <v>125</v>
      </c>
      <c r="G15" s="261"/>
      <c r="H15" s="261"/>
      <c r="I15" s="261"/>
      <c r="J15" s="261"/>
      <c r="K15" s="261"/>
      <c r="L15" s="261"/>
      <c r="M15" s="261"/>
      <c r="N15" s="262"/>
      <c r="Q15" s="263" t="str">
        <f>IF(F15&lt;&gt;"",F15,"")</f>
        <v>INTERNOS</v>
      </c>
      <c r="R15" s="264"/>
      <c r="S15" s="264"/>
      <c r="T15" s="264"/>
      <c r="U15" s="264"/>
      <c r="V15" s="264"/>
      <c r="W15" s="264"/>
      <c r="X15" s="264"/>
      <c r="Y15" s="265"/>
      <c r="Z15" s="80"/>
      <c r="AK15" s="237"/>
      <c r="AL15" s="237"/>
    </row>
    <row r="16" spans="1:38" ht="50.1" customHeight="1" thickBot="1" x14ac:dyDescent="0.6">
      <c r="A16" s="55">
        <v>2</v>
      </c>
      <c r="B16" s="78" t="s">
        <v>110</v>
      </c>
      <c r="C16" s="79" t="s">
        <v>109</v>
      </c>
      <c r="D16" s="55"/>
      <c r="E16" s="55"/>
      <c r="F16" s="266" t="s">
        <v>125</v>
      </c>
      <c r="G16" s="267"/>
      <c r="H16" s="267"/>
      <c r="I16" s="267"/>
      <c r="J16" s="267"/>
      <c r="K16" s="267"/>
      <c r="L16" s="81" t="s">
        <v>111</v>
      </c>
      <c r="M16" s="81" t="s">
        <v>112</v>
      </c>
      <c r="N16" s="82" t="s">
        <v>82</v>
      </c>
      <c r="Q16" s="268" t="str">
        <f>IF(F16&lt;&gt;"",F16,"")</f>
        <v>INTERNOS</v>
      </c>
      <c r="R16" s="269"/>
      <c r="S16" s="269"/>
      <c r="T16" s="269"/>
      <c r="U16" s="269"/>
      <c r="V16" s="269"/>
      <c r="W16" s="269"/>
      <c r="X16" s="269"/>
      <c r="Y16" s="270"/>
      <c r="Z16" s="83" t="s">
        <v>113</v>
      </c>
      <c r="AA16" s="84" t="s">
        <v>83</v>
      </c>
      <c r="AK16" s="238"/>
      <c r="AL16" s="238"/>
    </row>
    <row r="17" spans="1:39" ht="180" customHeight="1" x14ac:dyDescent="0.55000000000000004">
      <c r="A17" s="55">
        <v>4</v>
      </c>
      <c r="B17" s="78" t="s">
        <v>115</v>
      </c>
      <c r="C17" s="79" t="s">
        <v>114</v>
      </c>
      <c r="D17" s="55" t="s">
        <v>120</v>
      </c>
      <c r="E17" s="55" t="s">
        <v>121</v>
      </c>
      <c r="F17" s="85" t="s">
        <v>178</v>
      </c>
      <c r="G17" s="86" t="s">
        <v>133</v>
      </c>
      <c r="H17" s="87">
        <v>1</v>
      </c>
      <c r="I17" s="87">
        <v>1</v>
      </c>
      <c r="J17" s="88">
        <v>5000</v>
      </c>
      <c r="K17" s="88">
        <f>IF(F17&lt;&gt;"",H17*I17*J17,"")</f>
        <v>5000</v>
      </c>
      <c r="L17" s="88">
        <f>IF(K17&lt;&gt;"",IF(D17="INTERNO",0,K17*$L$14),"")</f>
        <v>0</v>
      </c>
      <c r="M17" s="88">
        <f>IF(K17&lt;&gt;"",IF(E17="FAT.OGGI",SUM(K17:L17)*(1/(1-$M$14)-1),L17*(1/(1-$M$14)-1)),0)</f>
        <v>1213.4957126879585</v>
      </c>
      <c r="N17" s="89">
        <f>SUM(K17:M17)</f>
        <v>6213.4957126879581</v>
      </c>
      <c r="Q17" s="90">
        <f t="shared" ref="Q17:Q18" si="0">IF(H17&lt;&gt;"",H17,"")</f>
        <v>1</v>
      </c>
      <c r="R17" s="91">
        <v>1</v>
      </c>
      <c r="S17" s="92">
        <v>0</v>
      </c>
      <c r="T17" s="92">
        <v>0</v>
      </c>
      <c r="U17" s="93">
        <f>IF(Q17&lt;&gt;"",K17-T17,"")</f>
        <v>5000</v>
      </c>
      <c r="V17" s="94">
        <f>IF(Q17&lt;&gt;"",0%,"")</f>
        <v>0</v>
      </c>
      <c r="W17" s="95">
        <f>IF(Q17&lt;&gt;"",V17*U17,"")</f>
        <v>0</v>
      </c>
      <c r="X17" s="95">
        <f>IF(Q17&lt;&gt;"",W17+T17,"")</f>
        <v>0</v>
      </c>
      <c r="Y17" s="96">
        <f t="shared" ref="Y17:Y20" si="1">IF(Q17&lt;&gt;"",X17+M17,"")</f>
        <v>1213.4957126879585</v>
      </c>
      <c r="Z17" s="80">
        <f>IF(Q17&lt;&gt;"", IFERROR(U17/K17, 0), 0)</f>
        <v>1</v>
      </c>
      <c r="AA17" s="97" t="e">
        <f>T17/#REF!</f>
        <v>#REF!</v>
      </c>
      <c r="AK17" s="192">
        <f>X17-AL17</f>
        <v>0</v>
      </c>
      <c r="AL17" s="240"/>
    </row>
    <row r="18" spans="1:39" ht="180" customHeight="1" x14ac:dyDescent="0.55000000000000004">
      <c r="A18" s="55">
        <v>6</v>
      </c>
      <c r="B18" s="78" t="s">
        <v>116</v>
      </c>
      <c r="C18" s="79" t="s">
        <v>114</v>
      </c>
      <c r="D18" s="55" t="s">
        <v>120</v>
      </c>
      <c r="E18" s="55" t="s">
        <v>121</v>
      </c>
      <c r="F18" s="98" t="s">
        <v>119</v>
      </c>
      <c r="G18" s="99" t="s">
        <v>171</v>
      </c>
      <c r="H18" s="100">
        <v>1</v>
      </c>
      <c r="I18" s="100">
        <v>1</v>
      </c>
      <c r="J18" s="101">
        <v>1500</v>
      </c>
      <c r="K18" s="101">
        <f>IF(F18&lt;&gt;"",H18*I18*J18,"")</f>
        <v>1500</v>
      </c>
      <c r="L18" s="101">
        <f>IF(K18&lt;&gt;"",IF(D18="INTERNO",0,K18*$L$14),"")</f>
        <v>0</v>
      </c>
      <c r="M18" s="101">
        <f>IF(K18&lt;&gt;"",IF(E18="FAT.OGGI",SUM(K18:L18)*(1/(1-$M$14)-1),L18*(1/(1-$M$14)-1)),0)</f>
        <v>364.04871380638758</v>
      </c>
      <c r="N18" s="102">
        <f>SUM(K18:M18)</f>
        <v>1864.0487138063877</v>
      </c>
      <c r="Q18" s="103">
        <f t="shared" si="0"/>
        <v>1</v>
      </c>
      <c r="R18" s="104">
        <v>1</v>
      </c>
      <c r="S18" s="105">
        <v>0</v>
      </c>
      <c r="T18" s="105">
        <v>0</v>
      </c>
      <c r="U18" s="106">
        <f>IF(Q18&lt;&gt;"",K18-T18,"")</f>
        <v>1500</v>
      </c>
      <c r="V18" s="107">
        <f>IF(Q18&lt;&gt;"",0%,"")</f>
        <v>0</v>
      </c>
      <c r="W18" s="108">
        <f>IF(Q18&lt;&gt;"",V18*U18,"")</f>
        <v>0</v>
      </c>
      <c r="X18" s="108">
        <f>IF(Q18&lt;&gt;"",W18+T18,"")</f>
        <v>0</v>
      </c>
      <c r="Y18" s="109">
        <f t="shared" si="1"/>
        <v>364.04871380638758</v>
      </c>
      <c r="Z18" s="80">
        <f>IF(Q18&lt;&gt;"", IFERROR(U18/K18, 0), 0)</f>
        <v>1</v>
      </c>
      <c r="AA18" s="97" t="e">
        <f>T18/#REF!</f>
        <v>#REF!</v>
      </c>
      <c r="AK18" s="192">
        <f t="shared" ref="AK18:AK31" si="2">X18-AL18</f>
        <v>0</v>
      </c>
      <c r="AL18" s="240"/>
    </row>
    <row r="19" spans="1:39" ht="180" customHeight="1" thickBot="1" x14ac:dyDescent="0.6">
      <c r="A19" s="110">
        <v>7</v>
      </c>
      <c r="B19" s="78" t="s">
        <v>117</v>
      </c>
      <c r="C19" s="111" t="s">
        <v>114</v>
      </c>
      <c r="D19" s="55" t="s">
        <v>120</v>
      </c>
      <c r="E19" s="55" t="s">
        <v>121</v>
      </c>
      <c r="F19" s="112" t="s">
        <v>165</v>
      </c>
      <c r="G19" s="113" t="s">
        <v>172</v>
      </c>
      <c r="H19" s="114">
        <v>1</v>
      </c>
      <c r="I19" s="114">
        <v>1</v>
      </c>
      <c r="J19" s="115">
        <v>1500</v>
      </c>
      <c r="K19" s="115">
        <f>IF(F19&lt;&gt;"",H19*I19*J19,"")</f>
        <v>1500</v>
      </c>
      <c r="L19" s="115">
        <f>IF(K19&lt;&gt;"",IF(D19="INTERNO",0,K19*$L$14),"")</f>
        <v>0</v>
      </c>
      <c r="M19" s="115">
        <f>IF(K19&lt;&gt;"",IF(E19="FAT.OGGI",SUM(K19:L19)*(1/(1-$M$14)-1),L19*(1/(1-$M$14)-1)),"")</f>
        <v>364.04871380638758</v>
      </c>
      <c r="N19" s="116">
        <f>SUM(K19:M19)</f>
        <v>1864.0487138063877</v>
      </c>
      <c r="Q19" s="117">
        <f>IF(H19&lt;&gt;"",H19,"")</f>
        <v>1</v>
      </c>
      <c r="R19" s="117">
        <f>IF(I19&lt;&gt;"",I19,"")</f>
        <v>1</v>
      </c>
      <c r="S19" s="118">
        <v>0</v>
      </c>
      <c r="T19" s="118">
        <f>IF(Q19&lt;&gt;"",Q19*R19*S19,"")</f>
        <v>0</v>
      </c>
      <c r="U19" s="119">
        <f>IF(Q19&lt;&gt;"",K19-T19,"")</f>
        <v>1500</v>
      </c>
      <c r="V19" s="120">
        <f>IF(Q19&lt;&gt;"",0%,"")</f>
        <v>0</v>
      </c>
      <c r="W19" s="121">
        <f>IF(Q19&lt;&gt;"",V19*U19,"")</f>
        <v>0</v>
      </c>
      <c r="X19" s="121">
        <f>IF(Q19&lt;&gt;"",W19+T19,"")</f>
        <v>0</v>
      </c>
      <c r="Y19" s="95">
        <f>IF(Q19&lt;&gt;"",X19+M19,"")</f>
        <v>364.04871380638758</v>
      </c>
      <c r="Z19" s="97">
        <f>IF(Q19&lt;&gt;"",U19/K19,"")</f>
        <v>1</v>
      </c>
      <c r="AA19" s="97"/>
      <c r="AK19" s="192">
        <f t="shared" si="2"/>
        <v>0</v>
      </c>
      <c r="AL19" s="240"/>
    </row>
    <row r="20" spans="1:39" ht="50.1" customHeight="1" thickBot="1" x14ac:dyDescent="0.6">
      <c r="A20" s="122">
        <v>8</v>
      </c>
      <c r="B20" s="78"/>
      <c r="C20" s="123" t="s">
        <v>122</v>
      </c>
      <c r="D20" s="122"/>
      <c r="E20" s="122"/>
      <c r="F20" s="279" t="s">
        <v>138</v>
      </c>
      <c r="G20" s="280"/>
      <c r="H20" s="280"/>
      <c r="I20" s="280"/>
      <c r="J20" s="280"/>
      <c r="K20" s="124">
        <f>SUM(K17:K19)</f>
        <v>8000</v>
      </c>
      <c r="L20" s="124">
        <f>SUM(L17:L19)</f>
        <v>0</v>
      </c>
      <c r="M20" s="124">
        <f>SUM(M17:M19)</f>
        <v>1941.5931403007339</v>
      </c>
      <c r="N20" s="125">
        <f>SUM(N17:N19)</f>
        <v>9941.5931403007326</v>
      </c>
      <c r="Q20" s="281" t="s">
        <v>138</v>
      </c>
      <c r="R20" s="282"/>
      <c r="S20" s="282"/>
      <c r="T20" s="126">
        <f>SUM(T17:T19)</f>
        <v>0</v>
      </c>
      <c r="U20" s="127">
        <f>SUM(U17:U19)</f>
        <v>8000</v>
      </c>
      <c r="V20" s="128"/>
      <c r="W20" s="129"/>
      <c r="X20" s="130">
        <f>SUM(X17:X19)</f>
        <v>0</v>
      </c>
      <c r="Y20" s="131">
        <f t="shared" si="1"/>
        <v>1941.5931403007339</v>
      </c>
      <c r="Z20" s="80"/>
      <c r="AA20" s="97" t="e">
        <f>T20/#REF!</f>
        <v>#REF!</v>
      </c>
      <c r="AK20" s="192"/>
      <c r="AL20" s="240"/>
    </row>
    <row r="21" spans="1:39" ht="50.1" customHeight="1" x14ac:dyDescent="0.55000000000000004">
      <c r="A21" s="55">
        <v>9</v>
      </c>
      <c r="B21" s="78">
        <v>2</v>
      </c>
      <c r="C21" s="79" t="s">
        <v>108</v>
      </c>
      <c r="D21" s="55"/>
      <c r="E21" s="55"/>
      <c r="F21" s="288" t="s">
        <v>136</v>
      </c>
      <c r="G21" s="289"/>
      <c r="H21" s="289"/>
      <c r="I21" s="289"/>
      <c r="J21" s="289"/>
      <c r="K21" s="289"/>
      <c r="L21" s="289"/>
      <c r="M21" s="289"/>
      <c r="N21" s="290"/>
      <c r="Q21" s="291" t="str">
        <f>IF(F21&lt;&gt;"",F21,"")</f>
        <v>BRINDES</v>
      </c>
      <c r="R21" s="292"/>
      <c r="S21" s="292"/>
      <c r="T21" s="292"/>
      <c r="U21" s="292"/>
      <c r="V21" s="292"/>
      <c r="W21" s="292"/>
      <c r="X21" s="292"/>
      <c r="Y21" s="293"/>
      <c r="AK21" s="192"/>
      <c r="AL21" s="240"/>
    </row>
    <row r="22" spans="1:39" ht="50.1" customHeight="1" thickBot="1" x14ac:dyDescent="0.6">
      <c r="A22" s="55">
        <v>10</v>
      </c>
      <c r="B22" s="78" t="s">
        <v>124</v>
      </c>
      <c r="C22" s="79" t="s">
        <v>109</v>
      </c>
      <c r="D22" s="55"/>
      <c r="E22" s="55"/>
      <c r="F22" s="248" t="s">
        <v>136</v>
      </c>
      <c r="G22" s="249"/>
      <c r="H22" s="249"/>
      <c r="I22" s="249"/>
      <c r="J22" s="249"/>
      <c r="K22" s="250"/>
      <c r="L22" s="132" t="s">
        <v>111</v>
      </c>
      <c r="M22" s="133" t="s">
        <v>112</v>
      </c>
      <c r="N22" s="134" t="s">
        <v>82</v>
      </c>
      <c r="Q22" s="251" t="str">
        <f>IF(F22&lt;&gt;"",F22,"")</f>
        <v>BRINDES</v>
      </c>
      <c r="R22" s="252"/>
      <c r="S22" s="252"/>
      <c r="T22" s="252"/>
      <c r="U22" s="252"/>
      <c r="V22" s="252"/>
      <c r="W22" s="252"/>
      <c r="X22" s="252"/>
      <c r="Y22" s="253"/>
      <c r="Z22" s="83" t="s">
        <v>113</v>
      </c>
      <c r="AA22" s="84" t="s">
        <v>83</v>
      </c>
      <c r="AK22" s="192"/>
      <c r="AL22" s="240"/>
    </row>
    <row r="23" spans="1:39" ht="180" customHeight="1" x14ac:dyDescent="0.55000000000000004">
      <c r="A23" s="55">
        <v>11</v>
      </c>
      <c r="B23" s="78" t="s">
        <v>126</v>
      </c>
      <c r="C23" s="79" t="s">
        <v>114</v>
      </c>
      <c r="D23" s="55" t="s">
        <v>128</v>
      </c>
      <c r="E23" s="55" t="s">
        <v>129</v>
      </c>
      <c r="F23" s="135" t="s">
        <v>179</v>
      </c>
      <c r="G23" s="136" t="s">
        <v>179</v>
      </c>
      <c r="H23" s="137">
        <v>35</v>
      </c>
      <c r="I23" s="137">
        <v>1</v>
      </c>
      <c r="J23" s="138">
        <v>499.99</v>
      </c>
      <c r="K23" s="138">
        <f t="shared" ref="K23:K31" si="3">IF(F23&lt;&gt;"",H23*I23*J23,"")</f>
        <v>17499.650000000001</v>
      </c>
      <c r="L23" s="138">
        <f t="shared" ref="L23:L31" si="4">IF(K23&lt;&gt;"",IF(D23="INTERNO",0,K23*$L$14),"")</f>
        <v>1574.9685000000002</v>
      </c>
      <c r="M23" s="138">
        <f t="shared" ref="M23:M31" si="5">IF(K23&lt;&gt;"",IF(E23="FAT.OGGI",SUM(K23:L23)*(1/(1-$M$14)-1),L23*(1/(1-$M$14)-1)),"")</f>
        <v>382.24350447371705</v>
      </c>
      <c r="N23" s="139">
        <f t="shared" ref="N23:N31" si="6">SUM(K23:M23)</f>
        <v>19456.862004473718</v>
      </c>
      <c r="Q23" s="90">
        <f t="shared" ref="Q23:Q31" si="7">IF(H23&lt;&gt;"",H23,"")</f>
        <v>35</v>
      </c>
      <c r="R23" s="91">
        <f t="shared" ref="R23:R31" si="8">IF(I23&lt;&gt;"",I23,"")</f>
        <v>1</v>
      </c>
      <c r="S23" s="92">
        <v>479.9</v>
      </c>
      <c r="T23" s="92">
        <v>17829.64</v>
      </c>
      <c r="U23" s="93">
        <f t="shared" ref="U23:U31" si="9">IF(Q23&lt;&gt;"",K23-T23,"")</f>
        <v>-329.98999999999796</v>
      </c>
      <c r="V23" s="94">
        <f t="shared" ref="V23:V31" si="10">IF(Q23&lt;&gt;"",0%,"")</f>
        <v>0</v>
      </c>
      <c r="W23" s="95">
        <f t="shared" ref="W23:W31" si="11">IF(Q23&lt;&gt;"",V23*U23,"")</f>
        <v>0</v>
      </c>
      <c r="X23" s="95">
        <f t="shared" ref="X23:X31" si="12">IF(Q23&lt;&gt;"",W23+T23,"")</f>
        <v>17829.64</v>
      </c>
      <c r="Y23" s="96">
        <f t="shared" ref="Y23:Y32" si="13">IF(Q23&lt;&gt;"",X23+M23,"")</f>
        <v>18211.883504473717</v>
      </c>
      <c r="Z23" s="80">
        <f t="shared" ref="Z23:Z31" si="14">IF(Q23&lt;&gt;"",U23/K23,"")</f>
        <v>-1.8856948567542661E-2</v>
      </c>
      <c r="AC23" s="140">
        <v>17499.650000000001</v>
      </c>
      <c r="AD23" s="141">
        <f>T23-AC23</f>
        <v>329.98999999999796</v>
      </c>
      <c r="AE23" s="142">
        <v>46090</v>
      </c>
      <c r="AG23" s="143" t="s">
        <v>200</v>
      </c>
      <c r="AH23" s="144" t="s">
        <v>201</v>
      </c>
      <c r="AK23" s="192">
        <f t="shared" si="2"/>
        <v>0</v>
      </c>
      <c r="AL23" s="240">
        <f>17499.65+329.99</f>
        <v>17829.640000000003</v>
      </c>
      <c r="AM23" s="242" t="s">
        <v>218</v>
      </c>
    </row>
    <row r="24" spans="1:39" ht="180" customHeight="1" thickBot="1" x14ac:dyDescent="0.6">
      <c r="A24" s="55">
        <v>12</v>
      </c>
      <c r="B24" s="78" t="s">
        <v>127</v>
      </c>
      <c r="C24" s="79" t="s">
        <v>114</v>
      </c>
      <c r="D24" s="55" t="s">
        <v>128</v>
      </c>
      <c r="E24" s="55" t="s">
        <v>129</v>
      </c>
      <c r="F24" s="145" t="s">
        <v>154</v>
      </c>
      <c r="G24" s="146" t="s">
        <v>155</v>
      </c>
      <c r="H24" s="114">
        <v>35</v>
      </c>
      <c r="I24" s="114">
        <v>1</v>
      </c>
      <c r="J24" s="115">
        <v>45</v>
      </c>
      <c r="K24" s="115">
        <f t="shared" si="3"/>
        <v>1575</v>
      </c>
      <c r="L24" s="115">
        <f t="shared" si="4"/>
        <v>141.75</v>
      </c>
      <c r="M24" s="115">
        <f t="shared" si="5"/>
        <v>34.40260345470363</v>
      </c>
      <c r="N24" s="116">
        <f t="shared" si="6"/>
        <v>1751.1526034547037</v>
      </c>
      <c r="Q24" s="90">
        <f t="shared" si="7"/>
        <v>35</v>
      </c>
      <c r="R24" s="91">
        <f t="shared" si="8"/>
        <v>1</v>
      </c>
      <c r="S24" s="92">
        <v>20</v>
      </c>
      <c r="T24" s="92">
        <v>384</v>
      </c>
      <c r="U24" s="93">
        <f t="shared" si="9"/>
        <v>1191</v>
      </c>
      <c r="V24" s="94">
        <f t="shared" si="10"/>
        <v>0</v>
      </c>
      <c r="W24" s="95">
        <f t="shared" si="11"/>
        <v>0</v>
      </c>
      <c r="X24" s="95">
        <f t="shared" si="12"/>
        <v>384</v>
      </c>
      <c r="Y24" s="96">
        <f t="shared" si="13"/>
        <v>418.40260345470364</v>
      </c>
      <c r="Z24" s="80">
        <f t="shared" si="14"/>
        <v>0.75619047619047619</v>
      </c>
      <c r="AK24" s="192">
        <f t="shared" si="2"/>
        <v>0</v>
      </c>
      <c r="AL24" s="240">
        <v>384</v>
      </c>
      <c r="AM24" s="242" t="s">
        <v>216</v>
      </c>
    </row>
    <row r="25" spans="1:39" ht="180" customHeight="1" x14ac:dyDescent="0.55000000000000004">
      <c r="A25" s="55">
        <v>13</v>
      </c>
      <c r="B25" s="78" t="s">
        <v>134</v>
      </c>
      <c r="C25" s="79" t="s">
        <v>114</v>
      </c>
      <c r="D25" s="55" t="s">
        <v>128</v>
      </c>
      <c r="E25" s="55" t="s">
        <v>129</v>
      </c>
      <c r="F25" s="147" t="s">
        <v>157</v>
      </c>
      <c r="G25" s="136" t="s">
        <v>156</v>
      </c>
      <c r="H25" s="137">
        <v>34</v>
      </c>
      <c r="I25" s="137">
        <v>1</v>
      </c>
      <c r="J25" s="138">
        <v>369</v>
      </c>
      <c r="K25" s="138">
        <f t="shared" si="3"/>
        <v>12546</v>
      </c>
      <c r="L25" s="138">
        <f t="shared" si="4"/>
        <v>1129.1399999999999</v>
      </c>
      <c r="M25" s="138">
        <f t="shared" si="5"/>
        <v>274.04130980489629</v>
      </c>
      <c r="N25" s="139">
        <f t="shared" si="6"/>
        <v>13949.181309804895</v>
      </c>
      <c r="Q25" s="90">
        <f t="shared" si="7"/>
        <v>34</v>
      </c>
      <c r="R25" s="91">
        <f t="shared" si="8"/>
        <v>1</v>
      </c>
      <c r="S25" s="92">
        <v>369</v>
      </c>
      <c r="T25" s="92">
        <v>13226</v>
      </c>
      <c r="U25" s="93">
        <f t="shared" si="9"/>
        <v>-680</v>
      </c>
      <c r="V25" s="94">
        <f t="shared" si="10"/>
        <v>0</v>
      </c>
      <c r="W25" s="95">
        <f t="shared" si="11"/>
        <v>0</v>
      </c>
      <c r="X25" s="95">
        <f t="shared" si="12"/>
        <v>13226</v>
      </c>
      <c r="Y25" s="96">
        <f t="shared" si="13"/>
        <v>13500.041309804896</v>
      </c>
      <c r="Z25" s="80">
        <f t="shared" si="14"/>
        <v>-5.4200542005420058E-2</v>
      </c>
      <c r="AC25" s="140">
        <v>13226</v>
      </c>
      <c r="AD25" s="141">
        <f>T25-AC25</f>
        <v>0</v>
      </c>
      <c r="AE25" s="142">
        <v>46090</v>
      </c>
      <c r="AG25" s="143" t="s">
        <v>188</v>
      </c>
      <c r="AH25" s="144" t="s">
        <v>189</v>
      </c>
      <c r="AK25" s="192">
        <f t="shared" si="2"/>
        <v>0</v>
      </c>
      <c r="AL25" s="240">
        <v>13226</v>
      </c>
      <c r="AM25" s="242" t="s">
        <v>215</v>
      </c>
    </row>
    <row r="26" spans="1:39" ht="180" customHeight="1" thickBot="1" x14ac:dyDescent="0.6">
      <c r="A26" s="55">
        <v>14</v>
      </c>
      <c r="B26" s="78" t="s">
        <v>135</v>
      </c>
      <c r="C26" s="79" t="s">
        <v>114</v>
      </c>
      <c r="D26" s="55" t="s">
        <v>128</v>
      </c>
      <c r="E26" s="55" t="s">
        <v>129</v>
      </c>
      <c r="F26" s="148" t="s">
        <v>158</v>
      </c>
      <c r="G26" s="146" t="s">
        <v>159</v>
      </c>
      <c r="H26" s="114">
        <v>34</v>
      </c>
      <c r="I26" s="114">
        <v>1</v>
      </c>
      <c r="J26" s="115">
        <v>35</v>
      </c>
      <c r="K26" s="115">
        <f t="shared" si="3"/>
        <v>1190</v>
      </c>
      <c r="L26" s="115">
        <f t="shared" si="4"/>
        <v>107.1</v>
      </c>
      <c r="M26" s="115">
        <f t="shared" si="5"/>
        <v>25.993078165776073</v>
      </c>
      <c r="N26" s="116">
        <f t="shared" si="6"/>
        <v>1323.093078165776</v>
      </c>
      <c r="Q26" s="103">
        <f t="shared" si="7"/>
        <v>34</v>
      </c>
      <c r="R26" s="104">
        <f t="shared" si="8"/>
        <v>1</v>
      </c>
      <c r="S26" s="105">
        <v>15</v>
      </c>
      <c r="T26" s="105">
        <v>0</v>
      </c>
      <c r="U26" s="106">
        <f t="shared" si="9"/>
        <v>1190</v>
      </c>
      <c r="V26" s="107">
        <f t="shared" si="10"/>
        <v>0</v>
      </c>
      <c r="W26" s="108">
        <f t="shared" si="11"/>
        <v>0</v>
      </c>
      <c r="X26" s="108">
        <f t="shared" si="12"/>
        <v>0</v>
      </c>
      <c r="Y26" s="109">
        <f t="shared" si="13"/>
        <v>25.993078165776073</v>
      </c>
      <c r="Z26" s="80">
        <f t="shared" si="14"/>
        <v>1</v>
      </c>
      <c r="AK26" s="192">
        <f t="shared" si="2"/>
        <v>0</v>
      </c>
      <c r="AL26" s="240"/>
    </row>
    <row r="27" spans="1:39" ht="180" customHeight="1" x14ac:dyDescent="0.55000000000000004">
      <c r="A27" s="122">
        <v>15</v>
      </c>
      <c r="B27" s="78" t="s">
        <v>149</v>
      </c>
      <c r="C27" s="123" t="s">
        <v>114</v>
      </c>
      <c r="D27" s="122" t="s">
        <v>128</v>
      </c>
      <c r="E27" s="122" t="s">
        <v>129</v>
      </c>
      <c r="F27" s="149" t="s">
        <v>160</v>
      </c>
      <c r="G27" s="150" t="s">
        <v>162</v>
      </c>
      <c r="H27" s="151">
        <v>1</v>
      </c>
      <c r="I27" s="151">
        <v>1</v>
      </c>
      <c r="J27" s="152">
        <v>550</v>
      </c>
      <c r="K27" s="152">
        <f t="shared" si="3"/>
        <v>550</v>
      </c>
      <c r="L27" s="152">
        <f t="shared" si="4"/>
        <v>49.5</v>
      </c>
      <c r="M27" s="152">
        <f t="shared" si="5"/>
        <v>12.01360755561079</v>
      </c>
      <c r="N27" s="153">
        <f t="shared" si="6"/>
        <v>611.51360755561075</v>
      </c>
      <c r="Q27" s="154">
        <f t="shared" si="7"/>
        <v>1</v>
      </c>
      <c r="R27" s="155">
        <f t="shared" si="8"/>
        <v>1</v>
      </c>
      <c r="S27" s="156">
        <v>250</v>
      </c>
      <c r="T27" s="156">
        <v>301</v>
      </c>
      <c r="U27" s="157">
        <f t="shared" si="9"/>
        <v>249</v>
      </c>
      <c r="V27" s="158">
        <f t="shared" si="10"/>
        <v>0</v>
      </c>
      <c r="W27" s="159">
        <f t="shared" si="11"/>
        <v>0</v>
      </c>
      <c r="X27" s="159">
        <f t="shared" si="12"/>
        <v>301</v>
      </c>
      <c r="Y27" s="160">
        <f t="shared" si="13"/>
        <v>313.0136075556108</v>
      </c>
      <c r="Z27" s="80">
        <f t="shared" si="14"/>
        <v>0.4527272727272727</v>
      </c>
      <c r="AK27" s="192">
        <f t="shared" si="2"/>
        <v>0</v>
      </c>
      <c r="AL27" s="240">
        <v>301</v>
      </c>
      <c r="AM27" s="242" t="s">
        <v>219</v>
      </c>
    </row>
    <row r="28" spans="1:39" ht="180" customHeight="1" x14ac:dyDescent="0.55000000000000004">
      <c r="A28" s="55">
        <v>16</v>
      </c>
      <c r="B28" s="78" t="s">
        <v>150</v>
      </c>
      <c r="C28" s="79" t="s">
        <v>114</v>
      </c>
      <c r="D28" s="55" t="s">
        <v>128</v>
      </c>
      <c r="E28" s="55" t="s">
        <v>129</v>
      </c>
      <c r="F28" s="161" t="s">
        <v>161</v>
      </c>
      <c r="G28" s="162" t="s">
        <v>163</v>
      </c>
      <c r="H28" s="100">
        <v>1</v>
      </c>
      <c r="I28" s="100">
        <v>1</v>
      </c>
      <c r="J28" s="101">
        <v>660</v>
      </c>
      <c r="K28" s="101">
        <f t="shared" si="3"/>
        <v>660</v>
      </c>
      <c r="L28" s="101">
        <f t="shared" si="4"/>
        <v>59.4</v>
      </c>
      <c r="M28" s="101">
        <f t="shared" si="5"/>
        <v>14.416329066732949</v>
      </c>
      <c r="N28" s="102">
        <f t="shared" si="6"/>
        <v>733.81632906673292</v>
      </c>
      <c r="Q28" s="90">
        <f t="shared" si="7"/>
        <v>1</v>
      </c>
      <c r="R28" s="91">
        <f t="shared" si="8"/>
        <v>1</v>
      </c>
      <c r="S28" s="92">
        <v>300</v>
      </c>
      <c r="T28" s="92">
        <v>0</v>
      </c>
      <c r="U28" s="93">
        <f t="shared" si="9"/>
        <v>660</v>
      </c>
      <c r="V28" s="94">
        <f t="shared" si="10"/>
        <v>0</v>
      </c>
      <c r="W28" s="95">
        <f t="shared" si="11"/>
        <v>0</v>
      </c>
      <c r="X28" s="95">
        <f t="shared" si="12"/>
        <v>0</v>
      </c>
      <c r="Y28" s="96">
        <f t="shared" si="13"/>
        <v>14.416329066732949</v>
      </c>
      <c r="Z28" s="80">
        <f t="shared" si="14"/>
        <v>1</v>
      </c>
      <c r="AK28" s="192">
        <f t="shared" si="2"/>
        <v>0</v>
      </c>
      <c r="AL28" s="240"/>
    </row>
    <row r="29" spans="1:39" ht="180" customHeight="1" x14ac:dyDescent="0.55000000000000004">
      <c r="A29" s="55">
        <v>17</v>
      </c>
      <c r="B29" s="78" t="s">
        <v>151</v>
      </c>
      <c r="C29" s="79" t="s">
        <v>114</v>
      </c>
      <c r="D29" s="55" t="s">
        <v>128</v>
      </c>
      <c r="E29" s="55" t="s">
        <v>129</v>
      </c>
      <c r="F29" s="161" t="s">
        <v>137</v>
      </c>
      <c r="G29" s="162" t="s">
        <v>164</v>
      </c>
      <c r="H29" s="100">
        <v>1</v>
      </c>
      <c r="I29" s="100">
        <v>2</v>
      </c>
      <c r="J29" s="101">
        <v>600</v>
      </c>
      <c r="K29" s="101">
        <f t="shared" si="3"/>
        <v>1200</v>
      </c>
      <c r="L29" s="101">
        <f t="shared" si="4"/>
        <v>108</v>
      </c>
      <c r="M29" s="101">
        <f t="shared" si="5"/>
        <v>26.211507394059907</v>
      </c>
      <c r="N29" s="102">
        <f t="shared" si="6"/>
        <v>1334.2115073940599</v>
      </c>
      <c r="Q29" s="103">
        <f t="shared" si="7"/>
        <v>1</v>
      </c>
      <c r="R29" s="104">
        <f t="shared" si="8"/>
        <v>2</v>
      </c>
      <c r="S29" s="105">
        <v>0</v>
      </c>
      <c r="T29" s="105">
        <v>0</v>
      </c>
      <c r="U29" s="106">
        <f t="shared" si="9"/>
        <v>1200</v>
      </c>
      <c r="V29" s="107">
        <f t="shared" si="10"/>
        <v>0</v>
      </c>
      <c r="W29" s="108">
        <f t="shared" si="11"/>
        <v>0</v>
      </c>
      <c r="X29" s="108">
        <f t="shared" si="12"/>
        <v>0</v>
      </c>
      <c r="Y29" s="109">
        <f t="shared" si="13"/>
        <v>26.211507394059907</v>
      </c>
      <c r="Z29" s="80">
        <f t="shared" si="14"/>
        <v>1</v>
      </c>
      <c r="AK29" s="192">
        <f t="shared" si="2"/>
        <v>0</v>
      </c>
      <c r="AL29" s="240"/>
    </row>
    <row r="30" spans="1:39" ht="180" customHeight="1" x14ac:dyDescent="0.55000000000000004">
      <c r="A30" s="110">
        <v>18</v>
      </c>
      <c r="B30" s="78" t="s">
        <v>176</v>
      </c>
      <c r="C30" s="111" t="s">
        <v>114</v>
      </c>
      <c r="D30" s="55" t="s">
        <v>128</v>
      </c>
      <c r="E30" s="55" t="s">
        <v>129</v>
      </c>
      <c r="F30" s="163" t="s">
        <v>166</v>
      </c>
      <c r="G30" s="164" t="s">
        <v>203</v>
      </c>
      <c r="H30" s="165">
        <v>1</v>
      </c>
      <c r="I30" s="165">
        <v>1</v>
      </c>
      <c r="J30" s="166">
        <v>1500</v>
      </c>
      <c r="K30" s="166">
        <f t="shared" si="3"/>
        <v>1500</v>
      </c>
      <c r="L30" s="166">
        <f t="shared" si="4"/>
        <v>135</v>
      </c>
      <c r="M30" s="166">
        <f t="shared" si="5"/>
        <v>32.764384242574884</v>
      </c>
      <c r="N30" s="167">
        <f t="shared" si="6"/>
        <v>1667.7643842425748</v>
      </c>
      <c r="Q30" s="117">
        <f t="shared" si="7"/>
        <v>1</v>
      </c>
      <c r="R30" s="117">
        <f t="shared" si="8"/>
        <v>1</v>
      </c>
      <c r="S30" s="118">
        <v>500</v>
      </c>
      <c r="T30" s="118">
        <v>1245.8499999999999</v>
      </c>
      <c r="U30" s="119">
        <f t="shared" si="9"/>
        <v>254.15000000000009</v>
      </c>
      <c r="V30" s="120">
        <f t="shared" si="10"/>
        <v>0</v>
      </c>
      <c r="W30" s="121">
        <f t="shared" si="11"/>
        <v>0</v>
      </c>
      <c r="X30" s="121">
        <f t="shared" si="12"/>
        <v>1245.8499999999999</v>
      </c>
      <c r="Y30" s="95">
        <f t="shared" si="13"/>
        <v>1278.6143842425747</v>
      </c>
      <c r="Z30" s="97">
        <f t="shared" si="14"/>
        <v>0.16943333333333338</v>
      </c>
      <c r="AK30" s="192">
        <f t="shared" si="2"/>
        <v>0</v>
      </c>
      <c r="AL30" s="240">
        <f>300.85+65+180+700</f>
        <v>1245.8499999999999</v>
      </c>
      <c r="AM30" s="242" t="s">
        <v>217</v>
      </c>
    </row>
    <row r="31" spans="1:39" ht="180" customHeight="1" thickBot="1" x14ac:dyDescent="0.6">
      <c r="A31" s="122">
        <v>15</v>
      </c>
      <c r="B31" s="78" t="s">
        <v>177</v>
      </c>
      <c r="C31" s="123" t="s">
        <v>114</v>
      </c>
      <c r="D31" s="122" t="s">
        <v>128</v>
      </c>
      <c r="E31" s="122" t="s">
        <v>129</v>
      </c>
      <c r="F31" s="168" t="s">
        <v>152</v>
      </c>
      <c r="G31" s="169" t="s">
        <v>173</v>
      </c>
      <c r="H31" s="170">
        <v>1</v>
      </c>
      <c r="I31" s="170">
        <v>1</v>
      </c>
      <c r="J31" s="171">
        <v>1200</v>
      </c>
      <c r="K31" s="171">
        <f t="shared" si="3"/>
        <v>1200</v>
      </c>
      <c r="L31" s="171">
        <f t="shared" si="4"/>
        <v>108</v>
      </c>
      <c r="M31" s="171">
        <f t="shared" si="5"/>
        <v>26.211507394059907</v>
      </c>
      <c r="N31" s="172">
        <f t="shared" si="6"/>
        <v>1334.2115073940599</v>
      </c>
      <c r="Q31" s="154">
        <f t="shared" si="7"/>
        <v>1</v>
      </c>
      <c r="R31" s="155">
        <f t="shared" si="8"/>
        <v>1</v>
      </c>
      <c r="S31" s="156">
        <v>0</v>
      </c>
      <c r="T31" s="156">
        <f t="shared" ref="T31" si="15">IF(Q31&lt;&gt;"",Q31*R31*S31,"")</f>
        <v>0</v>
      </c>
      <c r="U31" s="157">
        <f t="shared" si="9"/>
        <v>1200</v>
      </c>
      <c r="V31" s="158">
        <f t="shared" si="10"/>
        <v>0</v>
      </c>
      <c r="W31" s="159">
        <f t="shared" si="11"/>
        <v>0</v>
      </c>
      <c r="X31" s="159">
        <f t="shared" si="12"/>
        <v>0</v>
      </c>
      <c r="Y31" s="160">
        <f t="shared" si="13"/>
        <v>26.211507394059907</v>
      </c>
      <c r="Z31" s="173">
        <f t="shared" si="14"/>
        <v>1</v>
      </c>
      <c r="AK31" s="192">
        <f t="shared" si="2"/>
        <v>0</v>
      </c>
      <c r="AL31" s="240"/>
    </row>
    <row r="32" spans="1:39" ht="50.1" customHeight="1" thickBot="1" x14ac:dyDescent="0.6">
      <c r="A32" s="55">
        <v>16</v>
      </c>
      <c r="B32" s="78"/>
      <c r="C32" s="79" t="s">
        <v>153</v>
      </c>
      <c r="D32" s="55"/>
      <c r="E32" s="55"/>
      <c r="F32" s="254" t="s">
        <v>174</v>
      </c>
      <c r="G32" s="255"/>
      <c r="H32" s="255"/>
      <c r="I32" s="255"/>
      <c r="J32" s="255"/>
      <c r="K32" s="174">
        <f>SUM(K23:K31)</f>
        <v>37920.65</v>
      </c>
      <c r="L32" s="174">
        <f>SUM(L23:L31)</f>
        <v>3412.8585000000003</v>
      </c>
      <c r="M32" s="174">
        <f>SUM(M23:M31)</f>
        <v>828.29783155213158</v>
      </c>
      <c r="N32" s="175">
        <f>SUM(N23:N31)</f>
        <v>42161.806331552129</v>
      </c>
      <c r="Q32" s="256" t="s">
        <v>123</v>
      </c>
      <c r="R32" s="257"/>
      <c r="S32" s="257"/>
      <c r="T32" s="176">
        <f>SUM(T23:T31)</f>
        <v>32986.49</v>
      </c>
      <c r="U32" s="177">
        <f>SUM(U23:U31)</f>
        <v>4934.1600000000017</v>
      </c>
      <c r="V32" s="178"/>
      <c r="W32" s="178"/>
      <c r="X32" s="179">
        <f>SUM(X23:X31)</f>
        <v>32986.49</v>
      </c>
      <c r="Y32" s="180">
        <f t="shared" si="13"/>
        <v>33814.78783155213</v>
      </c>
      <c r="Z32" s="181" t="s">
        <v>131</v>
      </c>
      <c r="AA32" s="182" t="s">
        <v>132</v>
      </c>
      <c r="AK32" s="241"/>
      <c r="AL32" s="241"/>
    </row>
    <row r="33" spans="1:39" ht="50.1" customHeight="1" thickBot="1" x14ac:dyDescent="0.6">
      <c r="A33" s="110">
        <v>17</v>
      </c>
      <c r="B33" s="183"/>
      <c r="C33" s="111" t="s">
        <v>130</v>
      </c>
      <c r="D33" s="110"/>
      <c r="E33" s="110"/>
      <c r="F33" s="184" t="s">
        <v>175</v>
      </c>
      <c r="G33" s="185"/>
      <c r="H33" s="186"/>
      <c r="I33" s="186"/>
      <c r="J33" s="185"/>
      <c r="K33" s="187">
        <f>SUM(K17:K19)+SUM(K23:K31)</f>
        <v>45920.65</v>
      </c>
      <c r="L33" s="187">
        <f>SUM(L17:L19)+SUM(L23:L31)</f>
        <v>3412.8585000000003</v>
      </c>
      <c r="M33" s="187">
        <f>SUM(M17:M19)+SUM(M23:M31)</f>
        <v>2769.8909718528657</v>
      </c>
      <c r="N33" s="188">
        <f>SUM(N17:N19)+SUM(N23:N31)</f>
        <v>52103.399471852863</v>
      </c>
      <c r="Q33" s="189" t="s">
        <v>43</v>
      </c>
      <c r="R33" s="186"/>
      <c r="S33" s="185"/>
      <c r="T33" s="187">
        <f>SUM(T17:T19)+SUM(T23:T31)</f>
        <v>32986.49</v>
      </c>
      <c r="U33" s="187">
        <f>SUM(U17:U19)+SUM(U23:U31)</f>
        <v>12934.160000000002</v>
      </c>
      <c r="V33" s="185"/>
      <c r="W33" s="185"/>
      <c r="X33" s="187">
        <f>SUM(X17:X19)+SUM(X23:X31)</f>
        <v>32986.49</v>
      </c>
      <c r="Y33" s="188">
        <f>SUM(Y17:Y19)+SUM(Y23:Y31)</f>
        <v>35756.380971852865</v>
      </c>
      <c r="Z33" s="190">
        <f>IF(Q33&lt;&gt;"",(N33-Y33)/N33,"")</f>
        <v>0.31374187990998426</v>
      </c>
      <c r="AA33" s="191">
        <f>IF(Z33&lt;&gt;"",(N33-Y33),"")</f>
        <v>16347.018499999998</v>
      </c>
      <c r="AK33" s="192">
        <f>SUM(AK17:AK31)</f>
        <v>0</v>
      </c>
      <c r="AL33" s="240">
        <f>SUM(AL17:AL32)</f>
        <v>32986.490000000005</v>
      </c>
    </row>
    <row r="34" spans="1:39" ht="30.6" x14ac:dyDescent="0.55000000000000004">
      <c r="AL34" s="239"/>
      <c r="AM34" s="230" t="s">
        <v>211</v>
      </c>
    </row>
    <row r="35" spans="1:39" ht="30.6" x14ac:dyDescent="0.55000000000000004">
      <c r="AL35" s="239">
        <f>X33</f>
        <v>32986.49</v>
      </c>
      <c r="AM35" s="230" t="s">
        <v>212</v>
      </c>
    </row>
    <row r="36" spans="1:39" ht="30.6" x14ac:dyDescent="0.55000000000000004">
      <c r="AL36" s="239">
        <f>N33-X33</f>
        <v>19116.909471852865</v>
      </c>
      <c r="AM36" s="231" t="s">
        <v>208</v>
      </c>
    </row>
    <row r="37" spans="1:39" ht="31.2" x14ac:dyDescent="0.6">
      <c r="AL37" s="232">
        <f>AL36*100%/N33</f>
        <v>0.36690330507475127</v>
      </c>
      <c r="AM37" s="233"/>
    </row>
  </sheetData>
  <autoFilter ref="A1:AL14" xr:uid="{107B9E09-8154-459A-AE62-6A4242823A27}">
    <filterColumn colId="5" showButton="0"/>
  </autoFilter>
  <mergeCells count="19">
    <mergeCell ref="F1:G1"/>
    <mergeCell ref="F2:G2"/>
    <mergeCell ref="Q12:T12"/>
    <mergeCell ref="F21:N21"/>
    <mergeCell ref="Q21:Y21"/>
    <mergeCell ref="F22:K22"/>
    <mergeCell ref="Q22:Y22"/>
    <mergeCell ref="F32:J32"/>
    <mergeCell ref="Q32:S32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0:J20"/>
    <mergeCell ref="Q20:S20"/>
  </mergeCells>
  <dataValidations count="3">
    <dataValidation type="list" allowBlank="1" showInputMessage="1" showErrorMessage="1" sqref="E17:E20 E23:E31" xr:uid="{EF1CAEDD-C4D9-436B-8962-4D6C15C6406F}">
      <formula1>"FAT.OGGI,FAT.CLIENTE"</formula1>
    </dataValidation>
    <dataValidation type="list" allowBlank="1" showInputMessage="1" showErrorMessage="1" sqref="D33 D17:D20 D23:D31" xr:uid="{C17C1174-EF03-412F-BDD4-8F206CC9FF35}">
      <formula1>"INTERNO,OPERACIONAL"</formula1>
    </dataValidation>
    <dataValidation type="list" allowBlank="1" showInputMessage="1" showErrorMessage="1" sqref="E33" xr:uid="{5AC32237-4CBC-40B6-B19A-25EB98195564}">
      <formula1>"FAT.OGGI,FAT.CLIENTE "</formula1>
    </dataValidation>
  </dataValidations>
  <pageMargins left="0" right="0" top="0.39370078740157483" bottom="0.19685039370078741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0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13</v>
      </c>
      <c r="B9" t="s">
        <v>136</v>
      </c>
      <c r="C9" t="s">
        <v>136</v>
      </c>
      <c r="D9" t="s">
        <v>157</v>
      </c>
      <c r="E9" t="s">
        <v>156</v>
      </c>
      <c r="F9" t="s">
        <v>180</v>
      </c>
      <c r="G9" t="s">
        <v>148</v>
      </c>
      <c r="H9" t="s">
        <v>190</v>
      </c>
      <c r="I9" t="s">
        <v>186</v>
      </c>
      <c r="J9" t="s">
        <v>183</v>
      </c>
      <c r="K9" t="s">
        <v>184</v>
      </c>
      <c r="L9" t="s">
        <v>185</v>
      </c>
    </row>
    <row r="10" spans="1:12" x14ac:dyDescent="0.3">
      <c r="A10">
        <v>11</v>
      </c>
      <c r="B10" t="s">
        <v>136</v>
      </c>
      <c r="C10" t="s">
        <v>136</v>
      </c>
      <c r="D10" t="s">
        <v>179</v>
      </c>
      <c r="E10" t="s">
        <v>179</v>
      </c>
      <c r="F10" t="s">
        <v>180</v>
      </c>
      <c r="G10" t="s">
        <v>148</v>
      </c>
      <c r="H10" t="s">
        <v>202</v>
      </c>
      <c r="I10" t="s">
        <v>198</v>
      </c>
      <c r="J10" t="s">
        <v>191</v>
      </c>
      <c r="K10" t="s">
        <v>192</v>
      </c>
      <c r="L10" t="s">
        <v>196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95" t="s">
        <v>11</v>
      </c>
      <c r="B1" s="295"/>
      <c r="C1" s="295"/>
      <c r="D1" s="297" t="s">
        <v>61</v>
      </c>
      <c r="E1" s="297"/>
      <c r="F1" s="297"/>
      <c r="G1" s="297"/>
      <c r="H1" s="297"/>
      <c r="I1" s="297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96"/>
      <c r="B2" s="296"/>
      <c r="C2" s="296"/>
      <c r="D2" s="295" t="s">
        <v>62</v>
      </c>
      <c r="E2" s="295"/>
      <c r="F2" s="295"/>
      <c r="G2" s="295"/>
      <c r="H2" s="295"/>
      <c r="I2" s="295"/>
      <c r="J2" s="26"/>
      <c r="K2" s="26"/>
      <c r="L2" s="26"/>
      <c r="M2" s="26"/>
      <c r="N2" s="26"/>
      <c r="O2" s="298" t="s">
        <v>63</v>
      </c>
    </row>
    <row r="3" spans="1:15" x14ac:dyDescent="0.3">
      <c r="A3" s="296"/>
      <c r="B3" s="296"/>
      <c r="C3" s="296"/>
      <c r="D3" s="295" t="s">
        <v>64</v>
      </c>
      <c r="E3" s="295"/>
      <c r="F3" s="295"/>
      <c r="G3" s="295"/>
      <c r="H3" s="295"/>
      <c r="I3" s="295"/>
      <c r="J3" s="26"/>
      <c r="K3" s="26"/>
      <c r="L3" s="26"/>
      <c r="M3" s="26"/>
      <c r="N3" s="26"/>
      <c r="O3" s="299"/>
    </row>
    <row r="4" spans="1:15" x14ac:dyDescent="0.3">
      <c r="A4" s="296"/>
      <c r="B4" s="296"/>
      <c r="C4" s="296"/>
      <c r="D4" s="295" t="s">
        <v>65</v>
      </c>
      <c r="E4" s="295"/>
      <c r="F4" s="295"/>
      <c r="G4" s="295"/>
      <c r="H4" s="295"/>
      <c r="I4" s="295"/>
      <c r="J4" s="26"/>
      <c r="K4" s="26"/>
      <c r="L4" s="26"/>
      <c r="M4" s="26"/>
      <c r="N4" s="26"/>
      <c r="O4" s="299"/>
    </row>
    <row r="5" spans="1:15" x14ac:dyDescent="0.3">
      <c r="A5" s="296"/>
      <c r="B5" s="296"/>
      <c r="C5" s="296"/>
      <c r="D5" s="295" t="s">
        <v>66</v>
      </c>
      <c r="E5" s="295"/>
      <c r="F5" s="295"/>
      <c r="G5" s="295"/>
      <c r="H5" s="295"/>
      <c r="I5" s="295"/>
      <c r="J5" s="26"/>
      <c r="K5" s="26"/>
      <c r="L5" s="26"/>
      <c r="M5" s="26"/>
      <c r="N5" s="26"/>
      <c r="O5" s="299"/>
    </row>
    <row r="6" spans="1:15" x14ac:dyDescent="0.3">
      <c r="A6" s="296"/>
      <c r="B6" s="296"/>
      <c r="C6" s="29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99"/>
    </row>
    <row r="7" spans="1:15" x14ac:dyDescent="0.3">
      <c r="A7" s="296"/>
      <c r="B7" s="296"/>
      <c r="C7" s="296"/>
      <c r="D7" s="295" t="s">
        <v>67</v>
      </c>
      <c r="E7" s="295"/>
      <c r="F7" s="295"/>
      <c r="G7" s="295"/>
      <c r="H7" s="295"/>
      <c r="I7" s="295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94" t="s">
        <v>68</v>
      </c>
      <c r="B8" s="294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03" t="s">
        <v>3</v>
      </c>
      <c r="C2" s="304"/>
      <c r="D2" s="304"/>
      <c r="E2" s="304"/>
      <c r="F2" s="304"/>
      <c r="G2" s="304"/>
      <c r="H2" s="304"/>
      <c r="I2" s="304"/>
      <c r="J2" s="304"/>
      <c r="K2" s="304"/>
      <c r="L2" s="305"/>
    </row>
    <row r="3" spans="2:12" ht="47.4" customHeight="1" thickBot="1" x14ac:dyDescent="0.35">
      <c r="B3" s="306" t="s">
        <v>12</v>
      </c>
      <c r="C3" s="307"/>
      <c r="D3" s="307"/>
      <c r="E3" s="307"/>
      <c r="F3" s="307"/>
      <c r="G3" s="307"/>
      <c r="H3" s="307"/>
      <c r="I3" s="307"/>
      <c r="J3" s="307"/>
      <c r="K3" s="307"/>
      <c r="L3" s="308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09" t="s">
        <v>13</v>
      </c>
      <c r="D6" s="309"/>
      <c r="E6" s="309"/>
      <c r="F6" s="309"/>
      <c r="G6" s="309"/>
      <c r="H6" s="309"/>
      <c r="I6" s="309"/>
      <c r="J6" s="309"/>
      <c r="K6" s="309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310" t="s">
        <v>180</v>
      </c>
      <c r="E8" s="311"/>
      <c r="F8" s="311"/>
      <c r="G8" s="311"/>
      <c r="H8" s="311"/>
      <c r="I8" s="311"/>
      <c r="J8" s="311"/>
      <c r="K8" s="312"/>
      <c r="L8" s="5"/>
    </row>
    <row r="9" spans="2:12" x14ac:dyDescent="0.3">
      <c r="B9" s="4"/>
      <c r="C9" s="7" t="s">
        <v>15</v>
      </c>
      <c r="D9" s="300" t="s">
        <v>16</v>
      </c>
      <c r="E9" s="301"/>
      <c r="F9" s="301"/>
      <c r="G9" s="301"/>
      <c r="H9" s="301"/>
      <c r="I9" s="301"/>
      <c r="J9" s="301"/>
      <c r="K9" s="302"/>
      <c r="L9" s="5"/>
    </row>
    <row r="10" spans="2:12" x14ac:dyDescent="0.3">
      <c r="B10" s="4"/>
      <c r="C10" s="7" t="s">
        <v>17</v>
      </c>
      <c r="D10" s="300" t="s">
        <v>139</v>
      </c>
      <c r="E10" s="301"/>
      <c r="F10" s="301"/>
      <c r="G10" s="301"/>
      <c r="H10" s="301"/>
      <c r="I10" s="301"/>
      <c r="J10" s="301"/>
      <c r="K10" s="302"/>
      <c r="L10" s="5"/>
    </row>
    <row r="11" spans="2:12" x14ac:dyDescent="0.3">
      <c r="B11" s="4"/>
      <c r="C11" s="7" t="s">
        <v>18</v>
      </c>
      <c r="D11" s="300" t="s">
        <v>181</v>
      </c>
      <c r="E11" s="301"/>
      <c r="F11" s="301"/>
      <c r="G11" s="301"/>
      <c r="H11" s="301"/>
      <c r="I11" s="301"/>
      <c r="J11" s="301"/>
      <c r="K11" s="302"/>
      <c r="L11" s="5"/>
    </row>
    <row r="12" spans="2:12" x14ac:dyDescent="0.3">
      <c r="B12" s="4"/>
      <c r="C12" s="10" t="s">
        <v>19</v>
      </c>
      <c r="D12" s="313" t="s">
        <v>182</v>
      </c>
      <c r="E12" s="314"/>
      <c r="F12" s="314"/>
      <c r="G12" s="314"/>
      <c r="H12" s="315"/>
      <c r="I12" s="11" t="s">
        <v>20</v>
      </c>
      <c r="J12" s="313" t="s">
        <v>126</v>
      </c>
      <c r="K12" s="315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09" t="s">
        <v>21</v>
      </c>
      <c r="D16" s="309"/>
      <c r="E16" s="309"/>
      <c r="F16" s="309"/>
      <c r="G16" s="309"/>
      <c r="H16" s="309"/>
      <c r="I16" s="309"/>
      <c r="J16" s="309"/>
      <c r="K16" s="309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16" t="s">
        <v>81</v>
      </c>
      <c r="E18" s="316"/>
      <c r="F18" s="316"/>
      <c r="G18" s="317"/>
      <c r="H18" s="316" t="s">
        <v>22</v>
      </c>
      <c r="I18" s="316"/>
      <c r="J18" s="316"/>
      <c r="K18" s="317"/>
      <c r="L18" s="5"/>
    </row>
    <row r="19" spans="2:12" x14ac:dyDescent="0.3">
      <c r="B19" s="4"/>
      <c r="C19" s="15" t="s">
        <v>23</v>
      </c>
      <c r="D19" s="318" t="s">
        <v>192</v>
      </c>
      <c r="E19" s="319"/>
      <c r="F19" s="319"/>
      <c r="G19" s="319"/>
      <c r="H19" s="319"/>
      <c r="I19" s="319"/>
      <c r="J19" s="319"/>
      <c r="K19" s="320"/>
      <c r="L19" s="5"/>
    </row>
    <row r="20" spans="2:12" x14ac:dyDescent="0.3">
      <c r="B20" s="4"/>
      <c r="C20" s="7" t="s">
        <v>24</v>
      </c>
      <c r="D20" s="300"/>
      <c r="E20" s="301"/>
      <c r="F20" s="301"/>
      <c r="G20" s="301"/>
      <c r="H20" s="301"/>
      <c r="I20" s="301"/>
      <c r="J20" s="301"/>
      <c r="K20" s="302"/>
      <c r="L20" s="5"/>
    </row>
    <row r="21" spans="2:12" x14ac:dyDescent="0.3">
      <c r="B21" s="4"/>
      <c r="C21" s="7" t="s">
        <v>25</v>
      </c>
      <c r="D21" s="300" t="s">
        <v>193</v>
      </c>
      <c r="E21" s="302"/>
      <c r="F21" s="7" t="s">
        <v>57</v>
      </c>
      <c r="G21" s="16" t="s">
        <v>194</v>
      </c>
      <c r="H21" s="7" t="s">
        <v>26</v>
      </c>
      <c r="I21" s="8" t="s">
        <v>195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300" t="s">
        <v>191</v>
      </c>
      <c r="E22" s="301"/>
      <c r="F22" s="301"/>
      <c r="G22" s="302"/>
      <c r="H22" s="7" t="s">
        <v>29</v>
      </c>
      <c r="I22" s="300"/>
      <c r="J22" s="301"/>
      <c r="K22" s="302"/>
      <c r="L22" s="5"/>
    </row>
    <row r="23" spans="2:12" x14ac:dyDescent="0.3">
      <c r="B23" s="4"/>
      <c r="C23" s="10" t="s">
        <v>30</v>
      </c>
      <c r="D23" s="313" t="s">
        <v>196</v>
      </c>
      <c r="E23" s="314"/>
      <c r="F23" s="314"/>
      <c r="G23" s="315"/>
      <c r="H23" s="10" t="s">
        <v>31</v>
      </c>
      <c r="I23" s="313" t="s">
        <v>11</v>
      </c>
      <c r="J23" s="314"/>
      <c r="K23" s="315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09" t="s">
        <v>21</v>
      </c>
      <c r="D27" s="309"/>
      <c r="E27" s="309"/>
      <c r="F27" s="309"/>
      <c r="G27" s="309"/>
      <c r="H27" s="309"/>
      <c r="I27" s="309"/>
      <c r="J27" s="309"/>
      <c r="K27" s="309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321" t="s">
        <v>33</v>
      </c>
      <c r="E29" s="317"/>
      <c r="F29" s="321" t="s">
        <v>34</v>
      </c>
      <c r="G29" s="317"/>
      <c r="H29" s="322" t="s">
        <v>35</v>
      </c>
      <c r="I29" s="322"/>
      <c r="J29" s="322"/>
      <c r="K29" s="323"/>
      <c r="L29" s="5"/>
    </row>
    <row r="30" spans="2:12" x14ac:dyDescent="0.3">
      <c r="B30" s="4"/>
      <c r="C30" s="17" t="s">
        <v>36</v>
      </c>
      <c r="D30" s="324" t="s">
        <v>197</v>
      </c>
      <c r="E30" s="325"/>
      <c r="F30" s="326" t="s">
        <v>198</v>
      </c>
      <c r="G30" s="327"/>
      <c r="H30" s="18" t="s">
        <v>37</v>
      </c>
      <c r="I30" s="321" t="s">
        <v>187</v>
      </c>
      <c r="J30" s="317"/>
      <c r="K30" s="6" t="s">
        <v>38</v>
      </c>
      <c r="L30" s="5"/>
    </row>
    <row r="31" spans="2:12" x14ac:dyDescent="0.3">
      <c r="B31" s="4"/>
      <c r="C31" s="17" t="s">
        <v>39</v>
      </c>
      <c r="D31" s="324" t="s">
        <v>11</v>
      </c>
      <c r="E31" s="325"/>
      <c r="F31" s="326" t="s">
        <v>11</v>
      </c>
      <c r="G31" s="327"/>
      <c r="H31" s="17" t="s">
        <v>37</v>
      </c>
      <c r="I31" s="330" t="s">
        <v>40</v>
      </c>
      <c r="J31" s="331"/>
      <c r="K31" s="7" t="s">
        <v>38</v>
      </c>
      <c r="L31" s="5"/>
    </row>
    <row r="32" spans="2:12" x14ac:dyDescent="0.3">
      <c r="B32" s="4"/>
      <c r="C32" s="17" t="s">
        <v>41</v>
      </c>
      <c r="D32" s="324" t="s">
        <v>11</v>
      </c>
      <c r="E32" s="325"/>
      <c r="F32" s="326" t="s">
        <v>11</v>
      </c>
      <c r="G32" s="327"/>
      <c r="H32" s="17" t="s">
        <v>37</v>
      </c>
      <c r="I32" s="330" t="s">
        <v>40</v>
      </c>
      <c r="J32" s="331"/>
      <c r="K32" s="7" t="s">
        <v>38</v>
      </c>
      <c r="L32" s="5"/>
    </row>
    <row r="33" spans="2:12" x14ac:dyDescent="0.3">
      <c r="B33" s="4"/>
      <c r="C33" s="19" t="s">
        <v>42</v>
      </c>
      <c r="D33" s="324" t="s">
        <v>11</v>
      </c>
      <c r="E33" s="325"/>
      <c r="F33" s="328" t="s">
        <v>11</v>
      </c>
      <c r="G33" s="329"/>
      <c r="H33" s="17" t="s">
        <v>37</v>
      </c>
      <c r="I33" s="330" t="s">
        <v>40</v>
      </c>
      <c r="J33" s="331"/>
      <c r="K33" s="7" t="s">
        <v>38</v>
      </c>
      <c r="L33" s="5"/>
    </row>
    <row r="34" spans="2:12" x14ac:dyDescent="0.3">
      <c r="B34" s="4"/>
      <c r="C34" s="332" t="s">
        <v>43</v>
      </c>
      <c r="D34" s="333"/>
      <c r="E34" s="334"/>
      <c r="F34" s="335" t="s">
        <v>198</v>
      </c>
      <c r="G34" s="336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09" t="s">
        <v>44</v>
      </c>
      <c r="D38" s="309"/>
      <c r="E38" s="309"/>
      <c r="F38" s="309"/>
      <c r="G38" s="309"/>
      <c r="H38" s="309"/>
      <c r="I38" s="309"/>
      <c r="J38" s="309"/>
      <c r="K38" s="309"/>
      <c r="L38" s="5"/>
    </row>
    <row r="39" spans="2:12" x14ac:dyDescent="0.3">
      <c r="B39" s="4"/>
      <c r="C39" s="340" t="s">
        <v>199</v>
      </c>
      <c r="D39" s="340"/>
      <c r="E39" s="340"/>
      <c r="F39" s="340"/>
      <c r="G39" s="340"/>
      <c r="H39" s="340"/>
      <c r="I39" s="340"/>
      <c r="J39" s="340"/>
      <c r="K39" s="340"/>
      <c r="L39" s="5"/>
    </row>
    <row r="40" spans="2:12" x14ac:dyDescent="0.3">
      <c r="B40" s="4"/>
      <c r="C40" s="340"/>
      <c r="D40" s="340"/>
      <c r="E40" s="340"/>
      <c r="F40" s="340"/>
      <c r="G40" s="340"/>
      <c r="H40" s="340"/>
      <c r="I40" s="340"/>
      <c r="J40" s="340"/>
      <c r="K40" s="340"/>
      <c r="L40" s="5"/>
    </row>
    <row r="41" spans="2:12" x14ac:dyDescent="0.3">
      <c r="B41" s="4"/>
      <c r="C41" s="340"/>
      <c r="D41" s="340"/>
      <c r="E41" s="340"/>
      <c r="F41" s="340"/>
      <c r="G41" s="340"/>
      <c r="H41" s="340"/>
      <c r="I41" s="340"/>
      <c r="J41" s="340"/>
      <c r="K41" s="340"/>
      <c r="L41" s="5"/>
    </row>
    <row r="42" spans="2:12" x14ac:dyDescent="0.3">
      <c r="B42" s="4"/>
      <c r="C42" s="340"/>
      <c r="D42" s="340"/>
      <c r="E42" s="340"/>
      <c r="F42" s="340"/>
      <c r="G42" s="340"/>
      <c r="H42" s="340"/>
      <c r="I42" s="340"/>
      <c r="J42" s="340"/>
      <c r="K42" s="340"/>
      <c r="L42" s="5"/>
    </row>
    <row r="43" spans="2:12" x14ac:dyDescent="0.3">
      <c r="B43" s="4"/>
      <c r="C43" s="340"/>
      <c r="D43" s="340"/>
      <c r="E43" s="340"/>
      <c r="F43" s="340"/>
      <c r="G43" s="340"/>
      <c r="H43" s="340"/>
      <c r="I43" s="340"/>
      <c r="J43" s="340"/>
      <c r="K43" s="340"/>
      <c r="L43" s="5"/>
    </row>
    <row r="44" spans="2:12" x14ac:dyDescent="0.3">
      <c r="B44" s="4"/>
      <c r="C44" s="340"/>
      <c r="D44" s="340"/>
      <c r="E44" s="340"/>
      <c r="F44" s="340"/>
      <c r="G44" s="340"/>
      <c r="H44" s="340"/>
      <c r="I44" s="340"/>
      <c r="J44" s="340"/>
      <c r="K44" s="340"/>
      <c r="L44" s="5"/>
    </row>
    <row r="45" spans="2:12" x14ac:dyDescent="0.3">
      <c r="B45" s="4"/>
      <c r="C45" s="341"/>
      <c r="D45" s="341"/>
      <c r="E45" s="341"/>
      <c r="F45" s="341"/>
      <c r="G45" s="341"/>
      <c r="H45" s="341"/>
      <c r="I45" s="341"/>
      <c r="J45" s="341"/>
      <c r="K45" s="341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37" t="s">
        <v>45</v>
      </c>
      <c r="C48" s="338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39" t="s">
        <v>46</v>
      </c>
      <c r="D51" s="339"/>
      <c r="E51" s="339"/>
      <c r="F51" s="339"/>
      <c r="H51" s="339" t="s">
        <v>47</v>
      </c>
      <c r="I51" s="339"/>
      <c r="J51" s="339"/>
      <c r="K51" s="339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8ACD4F-02B1-4370-BFE2-EC36B7D19892}">
  <ds:schemaRefs>
    <ds:schemaRef ds:uri="http://schemas.openxmlformats.org/package/2006/metadata/core-properties"/>
    <ds:schemaRef ds:uri="http://purl.org/dc/dcmitype/"/>
    <ds:schemaRef ds:uri="e3d5a89f-10c1-48c7-b69d-72d2ad4a8504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7a991dad-45c2-4a9e-9fda-9c556ad46bbb"/>
  </ds:schemaRefs>
</ds:datastoreItem>
</file>

<file path=customXml/itemProps4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BRINDES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2026-04-24T14:10:01Z</cp:lastPrinted>
  <dcterms:created xsi:type="dcterms:W3CDTF">2023-09-21T21:02:20Z</dcterms:created>
  <dcterms:modified xsi:type="dcterms:W3CDTF">2026-04-28T23:51:46Z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