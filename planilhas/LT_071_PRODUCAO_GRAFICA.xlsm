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1 janeiro\"/>
    </mc:Choice>
  </mc:AlternateContent>
  <xr:revisionPtr revIDLastSave="0" documentId="13_ncr:1_{9C7CD7EC-651F-499A-94C5-D8CAAF9718AF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4" r:id="rId1"/>
    <sheet name="Planilha" sheetId="91" r:id="rId2"/>
    <sheet name="TOTAL" sheetId="93" r:id="rId3"/>
    <sheet name="Solicitações de Pagamento" sheetId="4" r:id="rId4"/>
    <sheet name="ItensOrc" sheetId="76" state="hidden" r:id="rId5"/>
    <sheet name="Template SP" sheetId="3" state="hidden" r:id="rId6"/>
  </sheets>
  <definedNames>
    <definedName name="_xlnm._FilterDatabase" localSheetId="1" hidden="1">Planilha!$A$1:$AM$14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1" i="91" l="1"/>
  <c r="D20" i="94"/>
  <c r="AB30" i="91"/>
  <c r="AC23" i="91"/>
  <c r="E3" i="94"/>
  <c r="AC25" i="91"/>
  <c r="AB20" i="91"/>
  <c r="AB21" i="91"/>
  <c r="K19" i="91"/>
  <c r="R23" i="91" l="1"/>
  <c r="T23" i="91" s="1"/>
  <c r="K23" i="91"/>
  <c r="R22" i="91"/>
  <c r="K22" i="91"/>
  <c r="Q21" i="91"/>
  <c r="Q20" i="91"/>
  <c r="K25" i="91" l="1"/>
  <c r="K24" i="91"/>
  <c r="L22" i="91"/>
  <c r="L23" i="91"/>
  <c r="V23" i="91"/>
  <c r="T22" i="91"/>
  <c r="V22" i="91"/>
  <c r="M14" i="91"/>
  <c r="Z12" i="91" s="1"/>
  <c r="Q17" i="91"/>
  <c r="Q16" i="91"/>
  <c r="Q15" i="91"/>
  <c r="M22" i="91" l="1"/>
  <c r="L24" i="91"/>
  <c r="U22" i="91"/>
  <c r="W22" i="91" s="1"/>
  <c r="X22" i="91" s="1"/>
  <c r="AB22" i="91" s="1"/>
  <c r="T24" i="91"/>
  <c r="M23" i="91"/>
  <c r="U23" i="91"/>
  <c r="W23" i="91" s="1"/>
  <c r="X23" i="91" s="1"/>
  <c r="AB23" i="91" s="1"/>
  <c r="AA22" i="91"/>
  <c r="V17" i="91"/>
  <c r="T17" i="91"/>
  <c r="V18" i="91"/>
  <c r="T18" i="91"/>
  <c r="L18" i="91"/>
  <c r="L17" i="91"/>
  <c r="L19" i="91" l="1"/>
  <c r="T19" i="91"/>
  <c r="AA17" i="91" s="1"/>
  <c r="T25" i="91"/>
  <c r="L25" i="91"/>
  <c r="K27" i="91" s="1"/>
  <c r="AB28" i="91" s="1"/>
  <c r="AB29" i="91" s="1"/>
  <c r="N22" i="91"/>
  <c r="M24" i="91"/>
  <c r="Y22" i="91"/>
  <c r="X24" i="91"/>
  <c r="Y24" i="91" s="1"/>
  <c r="D5" i="93" s="1"/>
  <c r="U24" i="91"/>
  <c r="N23" i="91"/>
  <c r="Z23" i="91"/>
  <c r="Y23" i="91"/>
  <c r="AA23" i="91"/>
  <c r="U17" i="91"/>
  <c r="U18" i="91"/>
  <c r="M18" i="91"/>
  <c r="M17" i="91"/>
  <c r="U25" i="91" l="1"/>
  <c r="AA18" i="91"/>
  <c r="M19" i="91"/>
  <c r="M25" i="91"/>
  <c r="U19" i="91"/>
  <c r="N24" i="91"/>
  <c r="C5" i="93" s="1"/>
  <c r="W17" i="91"/>
  <c r="X17" i="91" s="1"/>
  <c r="AB17" i="91" s="1"/>
  <c r="Z17" i="91"/>
  <c r="W18" i="91"/>
  <c r="X18" i="91" s="1"/>
  <c r="AB18" i="91" s="1"/>
  <c r="Z18" i="91"/>
  <c r="N18" i="91"/>
  <c r="N17" i="91"/>
  <c r="N19" i="91" s="1"/>
  <c r="C4" i="93" s="1"/>
  <c r="X19" i="91" l="1"/>
  <c r="AB19" i="91" s="1"/>
  <c r="AB25" i="91" s="1"/>
  <c r="X25" i="91"/>
  <c r="N25" i="91"/>
  <c r="C6" i="93"/>
  <c r="Y17" i="91"/>
  <c r="Y18" i="91"/>
  <c r="C20" i="94" l="1"/>
  <c r="C21" i="94" s="1"/>
  <c r="D21" i="94"/>
  <c r="E21" i="94" s="1"/>
  <c r="F21" i="94" s="1"/>
  <c r="E20" i="94"/>
  <c r="F20" i="94" s="1"/>
  <c r="Y19" i="91"/>
  <c r="D4" i="93" s="1"/>
  <c r="D6" i="93" s="1"/>
  <c r="Y25" i="91"/>
  <c r="Z25" i="91" s="1"/>
  <c r="AA25" i="91" s="1"/>
</calcChain>
</file>

<file path=xl/sharedStrings.xml><?xml version="1.0" encoding="utf-8"?>
<sst xmlns="http://schemas.openxmlformats.org/spreadsheetml/2006/main" count="258" uniqueCount="183">
  <si>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</si>
  <si>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</si>
  <si>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</si>
  <si>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</si>
  <si>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</si>
  <si>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</si>
  <si>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</si>
  <si>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</si>
  <si>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</si>
  <si>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</si>
  <si>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</si>
  <si>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</si>
  <si>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</si>
  <si>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</si>
  <si>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</si>
  <si>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</si>
  <si>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</si>
  <si>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</si>
  <si>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</si>
  <si>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</si>
  <si>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</si>
  <si>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</si>
  <si>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</si>
  <si>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</si>
  <si>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</si>
  <si>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</si>
  <si>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</si>
  <si>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</si>
  <si>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</si>
  <si>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</si>
  <si>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</si>
  <si>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</si>
  <si>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</si>
  <si>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</si>
  <si>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</si>
  <si>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</si>
  <si>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</si>
  <si>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</si>
  <si>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</si>
  <si>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</si>
  <si>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</si>
  <si>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</si>
  <si>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</si>
  <si>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</si>
  <si>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</si>
  <si>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</si>
  <si>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</si>
  <si>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</si>
  <si>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</si>
  <si>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</si>
  <si>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</si>
  <si>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</si>
  <si>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</si>
  <si>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</si>
  <si>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</si>
  <si>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</si>
  <si>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</si>
  <si>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</si>
  <si>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</si>
  <si>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</si>
  <si>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</si>
  <si>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</si>
  <si>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</si>
  <si>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</si>
  <si>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</si>
  <si>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</si>
  <si>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</si>
  <si>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</si>
  <si>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</si>
  <si>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</si>
  <si>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</si>
  <si>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</si>
  <si>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</si>
  <si>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</si>
  <si>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</si>
  <si>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</si>
  <si>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</si>
  <si>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</si>
  <si>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</si>
  <si>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</si>
  <si>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</si>
  <si>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</si>
  <si>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</si>
  <si>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</si>
  <si>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</si>
  <si>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</si>
  <si>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</si>
  <si>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</si>
  <si>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</si>
  <si>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</si>
  <si>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</si>
  <si>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</si>
  <si>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</si>
  <si>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</si>
  <si>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</si>
  <si>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</si>
  <si>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</si>
  <si>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</si>
  <si>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</si>
  <si>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</si>
  <si>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</si>
  <si>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</si>
  <si>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</si>
  <si>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</si>
  <si>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</si>
  <si>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</si>
  <si>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</si>
  <si>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</si>
  <si>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</si>
  <si>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</si>
  <si>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</si>
  <si>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</si>
  <si>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</si>
  <si>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</si>
  <si>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</si>
  <si>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</si>
  <si>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</si>
  <si>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</si>
  <si>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</si>
  <si>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</si>
  <si>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</si>
  <si>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</si>
  <si>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</si>
  <si>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</si>
  <si>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</si>
  <si>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</si>
  <si>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</si>
  <si>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</si>
  <si>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</si>
  <si>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OPERACIONAL</t>
  </si>
  <si>
    <t>SUBTOTAL PLANILHA</t>
  </si>
  <si>
    <t>Marg. Lucro</t>
  </si>
  <si>
    <t xml:space="preserve">Lactalis </t>
  </si>
  <si>
    <t>Nilson Miguel</t>
  </si>
  <si>
    <t>FAT.OGGI</t>
  </si>
  <si>
    <t>TOTAL EVENTO</t>
  </si>
  <si>
    <t>VENDA</t>
  </si>
  <si>
    <t>CUSTO</t>
  </si>
  <si>
    <t>TOTAL=</t>
  </si>
  <si>
    <t xml:space="preserve">LUCAS </t>
  </si>
  <si>
    <t>GIGA</t>
  </si>
  <si>
    <t>NOME PLANILHA:</t>
  </si>
  <si>
    <t>PRODUTOR:</t>
  </si>
  <si>
    <t>ATENDIMENTO:</t>
  </si>
  <si>
    <t>DATA:</t>
  </si>
  <si>
    <t>CREDENCIAIS</t>
  </si>
  <si>
    <t>CÓDIGO DO JOB:</t>
  </si>
  <si>
    <t>CLIENTE:</t>
  </si>
  <si>
    <t>EVENTO:</t>
  </si>
  <si>
    <t>LOCAL:</t>
  </si>
  <si>
    <t>Gabi Goulart</t>
  </si>
  <si>
    <t>Criação</t>
  </si>
  <si>
    <t>Custo da criação de arte para credênciais</t>
  </si>
  <si>
    <t>Credenciais</t>
  </si>
  <si>
    <t>2.1</t>
  </si>
  <si>
    <t>OPERACIONAL INTERNO</t>
  </si>
  <si>
    <t>MATERIAL GRÁFICO</t>
  </si>
  <si>
    <t>2.1.1</t>
  </si>
  <si>
    <t>INTERNO</t>
  </si>
  <si>
    <t>Produção</t>
  </si>
  <si>
    <t>TOTAL L_Credênciais</t>
  </si>
  <si>
    <t>SUBTOTAL SUBGRUPO</t>
  </si>
  <si>
    <t>Subtotal OPERACIONAL INTERNO</t>
  </si>
  <si>
    <t>Interno</t>
  </si>
  <si>
    <t>2.1.2</t>
  </si>
  <si>
    <t xml:space="preserve">CORDÕES </t>
  </si>
  <si>
    <t>Subtotal MATERIAL GRÁFICO</t>
  </si>
  <si>
    <t>125 cordões azuis</t>
  </si>
  <si>
    <t>Lucro</t>
  </si>
  <si>
    <t>L_071_Produção Gráfica</t>
  </si>
  <si>
    <t>L_071_</t>
  </si>
  <si>
    <t>Produção Gráfica</t>
  </si>
  <si>
    <t xml:space="preserve">1  diária de produção </t>
  </si>
  <si>
    <t xml:space="preserve">110 credênciais </t>
  </si>
  <si>
    <t>.+</t>
  </si>
  <si>
    <t>CUSTO TOTAL</t>
  </si>
  <si>
    <t>LUCRO</t>
  </si>
  <si>
    <t>VÍDEO</t>
  </si>
  <si>
    <t>STUDIO ROCA</t>
  </si>
  <si>
    <t xml:space="preserve">CUSTO </t>
  </si>
  <si>
    <t>PLANILHA</t>
  </si>
  <si>
    <t>GABRIELA GOULART</t>
  </si>
  <si>
    <t>SK COPIADORA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</si>
</sst>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0.0%"/>
    <numFmt numFmtId="171" formatCode="&quot;R$&quot;\ #,##0.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4"/>
      <color theme="0"/>
      <name val="Trebuchet MS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20"/>
      <color indexed="63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Trebuchet MS"/>
      <family val="2"/>
    </font>
    <font>
      <sz val="20"/>
      <color theme="0"/>
      <name val="Calibri"/>
      <family val="2"/>
      <scheme val="minor"/>
    </font>
    <font>
      <sz val="20"/>
      <color theme="1"/>
      <name val="Trebuchet MS"/>
      <family val="2"/>
    </font>
    <font>
      <b/>
      <sz val="26"/>
      <name val="Trebuchet MS"/>
      <family val="2"/>
    </font>
    <font>
      <sz val="24"/>
      <color theme="1"/>
      <name val="Trebuchet MS"/>
      <family val="2"/>
    </font>
    <font>
      <b/>
      <sz val="24"/>
      <color theme="1"/>
      <name val="Trebuchet MS"/>
      <family val="2"/>
    </font>
    <font>
      <sz val="24"/>
      <color theme="1"/>
      <name val="Calibri"/>
      <family val="2"/>
      <scheme val="minor"/>
    </font>
    <font>
      <b/>
      <sz val="24"/>
      <color theme="0"/>
      <name val="Trebuchet MS"/>
      <family val="2"/>
    </font>
    <font>
      <b/>
      <sz val="24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0"/>
      <color rgb="FFFF0000"/>
      <name val="Calibri"/>
      <family val="2"/>
      <scheme val="minor"/>
    </font>
    <font>
      <b/>
      <sz val="30"/>
      <color rgb="FF00B0F0"/>
      <name val="Calibri"/>
      <family val="2"/>
      <scheme val="minor"/>
    </font>
    <font>
      <b/>
      <sz val="26"/>
      <color indexed="63"/>
      <name val="Trebuchet MS"/>
      <family val="2"/>
    </font>
    <font>
      <b/>
      <sz val="26"/>
      <color theme="1"/>
      <name val="Calibri"/>
      <family val="2"/>
      <scheme val="minor"/>
    </font>
    <font>
      <b/>
      <sz val="26"/>
      <color rgb="FFFF0000"/>
      <name val="Trebuchet MS"/>
      <family val="2"/>
    </font>
    <font>
      <b/>
      <sz val="26"/>
      <color rgb="FF00B050"/>
      <name val="Trebuchet MS"/>
      <family val="2"/>
    </font>
    <font>
      <b/>
      <sz val="26"/>
      <color rgb="FF00B050"/>
      <name val="Calibri"/>
      <family val="2"/>
      <scheme val="minor"/>
    </font>
    <font>
      <sz val="14"/>
      <color theme="1"/>
      <name val="Trebuchet MS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8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0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4" borderId="35" xfId="0" applyFont="1" applyFill="1" applyBorder="1"/>
    <xf numFmtId="0" fontId="9" fillId="4" borderId="36" xfId="0" applyFont="1" applyFill="1" applyBorder="1"/>
    <xf numFmtId="0" fontId="13" fillId="8" borderId="41" xfId="0" applyFont="1" applyFill="1" applyBorder="1" applyAlignment="1">
      <alignment vertical="center"/>
    </xf>
    <xf numFmtId="0" fontId="15" fillId="8" borderId="41" xfId="0" applyFont="1" applyFill="1" applyBorder="1" applyAlignment="1">
      <alignment horizontal="center" vertical="center"/>
    </xf>
    <xf numFmtId="22" fontId="13" fillId="8" borderId="41" xfId="0" applyNumberFormat="1" applyFont="1" applyFill="1" applyBorder="1" applyAlignment="1">
      <alignment horizontal="center" vertical="center"/>
    </xf>
    <xf numFmtId="0" fontId="17" fillId="8" borderId="42" xfId="0" applyFont="1" applyFill="1" applyBorder="1" applyAlignment="1">
      <alignment horizontal="center" vertical="center" wrapText="1"/>
    </xf>
    <xf numFmtId="0" fontId="17" fillId="8" borderId="43" xfId="0" applyFont="1" applyFill="1" applyBorder="1" applyAlignment="1">
      <alignment horizontal="center" vertical="center" wrapText="1"/>
    </xf>
    <xf numFmtId="164" fontId="5" fillId="0" borderId="20" xfId="2" applyNumberFormat="1" applyFont="1" applyBorder="1" applyAlignment="1" applyProtection="1">
      <alignment horizontal="left" vertical="center"/>
      <protection locked="0"/>
    </xf>
    <xf numFmtId="164" fontId="5" fillId="0" borderId="31" xfId="2" applyNumberFormat="1" applyFont="1" applyBorder="1" applyAlignment="1" applyProtection="1">
      <alignment horizontal="left" vertical="center"/>
      <protection locked="0"/>
    </xf>
    <xf numFmtId="164" fontId="5" fillId="0" borderId="39" xfId="2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164" fontId="5" fillId="0" borderId="19" xfId="2" applyNumberFormat="1" applyFont="1" applyBorder="1" applyAlignment="1" applyProtection="1">
      <alignment horizontal="left" vertical="center"/>
      <protection locked="0"/>
    </xf>
    <xf numFmtId="164" fontId="5" fillId="0" borderId="30" xfId="2" applyNumberFormat="1" applyFont="1" applyBorder="1" applyAlignment="1" applyProtection="1">
      <alignment horizontal="left" vertical="center"/>
      <protection locked="0"/>
    </xf>
    <xf numFmtId="0" fontId="5" fillId="0" borderId="23" xfId="2" applyFont="1" applyBorder="1" applyAlignment="1" applyProtection="1">
      <alignment horizontal="left" vertical="center"/>
      <protection locked="0"/>
    </xf>
    <xf numFmtId="0" fontId="5" fillId="0" borderId="26" xfId="2" applyFont="1" applyBorder="1" applyAlignment="1" applyProtection="1">
      <alignment horizontal="left" vertical="center"/>
      <protection locked="0"/>
    </xf>
    <xf numFmtId="0" fontId="0" fillId="0" borderId="60" xfId="0" applyBorder="1"/>
    <xf numFmtId="44" fontId="0" fillId="0" borderId="60" xfId="0" applyNumberFormat="1" applyBorder="1"/>
    <xf numFmtId="0" fontId="0" fillId="18" borderId="63" xfId="0" applyFill="1" applyBorder="1" applyAlignment="1">
      <alignment horizontal="center"/>
    </xf>
    <xf numFmtId="0" fontId="2" fillId="0" borderId="60" xfId="0" applyFont="1" applyBorder="1"/>
    <xf numFmtId="9" fontId="20" fillId="0" borderId="0" xfId="1" applyFont="1"/>
    <xf numFmtId="0" fontId="21" fillId="0" borderId="60" xfId="0" applyFont="1" applyBorder="1"/>
    <xf numFmtId="44" fontId="0" fillId="16" borderId="60" xfId="0" applyNumberFormat="1" applyFill="1" applyBorder="1"/>
    <xf numFmtId="0" fontId="4" fillId="0" borderId="0" xfId="2" applyFont="1" applyAlignment="1">
      <alignment horizontal="left" vertical="center" wrapText="1"/>
    </xf>
    <xf numFmtId="0" fontId="22" fillId="0" borderId="0" xfId="0" applyFont="1"/>
    <xf numFmtId="49" fontId="4" fillId="0" borderId="0" xfId="2" applyNumberFormat="1" applyFont="1" applyAlignment="1">
      <alignment horizontal="left" vertic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49" fontId="22" fillId="0" borderId="0" xfId="0" applyNumberFormat="1" applyFont="1"/>
    <xf numFmtId="0" fontId="22" fillId="0" borderId="0" xfId="1" applyNumberFormat="1" applyFont="1"/>
    <xf numFmtId="165" fontId="24" fillId="6" borderId="38" xfId="4" applyFont="1" applyFill="1" applyBorder="1" applyAlignment="1">
      <alignment horizontal="center" vertical="center" wrapText="1"/>
    </xf>
    <xf numFmtId="168" fontId="25" fillId="0" borderId="5" xfId="1" applyNumberFormat="1" applyFont="1" applyBorder="1"/>
    <xf numFmtId="166" fontId="24" fillId="0" borderId="40" xfId="4" applyNumberFormat="1" applyFont="1" applyBorder="1" applyAlignment="1">
      <alignment horizontal="center" vertical="center" wrapText="1"/>
    </xf>
    <xf numFmtId="0" fontId="26" fillId="5" borderId="0" xfId="0" applyFont="1" applyFill="1"/>
    <xf numFmtId="49" fontId="26" fillId="5" borderId="0" xfId="0" applyNumberFormat="1" applyFont="1" applyFill="1"/>
    <xf numFmtId="0" fontId="27" fillId="0" borderId="0" xfId="0" applyFont="1"/>
    <xf numFmtId="0" fontId="28" fillId="0" borderId="44" xfId="0" applyFont="1" applyBorder="1" applyAlignment="1">
      <alignment horizontal="left" vertical="center"/>
    </xf>
    <xf numFmtId="49" fontId="28" fillId="0" borderId="45" xfId="0" applyNumberFormat="1" applyFont="1" applyBorder="1" applyAlignment="1">
      <alignment horizontal="left" vertical="center"/>
    </xf>
    <xf numFmtId="0" fontId="28" fillId="0" borderId="46" xfId="0" applyFont="1" applyBorder="1" applyAlignment="1">
      <alignment horizontal="left" vertical="center"/>
    </xf>
    <xf numFmtId="0" fontId="28" fillId="0" borderId="44" xfId="0" applyFont="1" applyBorder="1" applyAlignment="1">
      <alignment horizontal="left" vertical="center" wrapText="1"/>
    </xf>
    <xf numFmtId="0" fontId="4" fillId="6" borderId="38" xfId="3" applyFont="1" applyFill="1" applyBorder="1" applyAlignment="1">
      <alignment horizontal="left" vertical="center"/>
    </xf>
    <xf numFmtId="0" fontId="4" fillId="6" borderId="56" xfId="3" applyFont="1" applyFill="1" applyBorder="1" applyAlignment="1">
      <alignment horizontal="center" vertical="center"/>
    </xf>
    <xf numFmtId="0" fontId="26" fillId="6" borderId="53" xfId="3" applyFont="1" applyFill="1" applyBorder="1" applyAlignment="1">
      <alignment horizontal="center" vertical="center"/>
    </xf>
    <xf numFmtId="169" fontId="26" fillId="6" borderId="53" xfId="3" applyNumberFormat="1" applyFont="1" applyFill="1" applyBorder="1" applyAlignment="1">
      <alignment horizontal="center" vertical="center" wrapText="1"/>
    </xf>
    <xf numFmtId="0" fontId="26" fillId="6" borderId="54" xfId="3" applyFont="1" applyFill="1" applyBorder="1" applyAlignment="1">
      <alignment horizontal="center" vertical="center" wrapText="1"/>
    </xf>
    <xf numFmtId="170" fontId="26" fillId="6" borderId="52" xfId="1" applyNumberFormat="1" applyFont="1" applyFill="1" applyBorder="1" applyAlignment="1">
      <alignment horizontal="center" vertical="center" wrapText="1"/>
    </xf>
    <xf numFmtId="10" fontId="26" fillId="6" borderId="53" xfId="1" applyNumberFormat="1" applyFont="1" applyFill="1" applyBorder="1" applyAlignment="1">
      <alignment horizontal="center" vertical="center" wrapText="1"/>
    </xf>
    <xf numFmtId="0" fontId="26" fillId="6" borderId="55" xfId="3" applyFont="1" applyFill="1" applyBorder="1" applyAlignment="1">
      <alignment horizontal="center" vertical="center" wrapText="1"/>
    </xf>
    <xf numFmtId="37" fontId="24" fillId="6" borderId="52" xfId="3" applyNumberFormat="1" applyFont="1" applyFill="1" applyBorder="1" applyAlignment="1">
      <alignment horizontal="center" vertical="center"/>
    </xf>
    <xf numFmtId="37" fontId="24" fillId="6" borderId="53" xfId="3" applyNumberFormat="1" applyFont="1" applyFill="1" applyBorder="1" applyAlignment="1">
      <alignment horizontal="center" vertical="center"/>
    </xf>
    <xf numFmtId="40" fontId="24" fillId="6" borderId="53" xfId="4" applyNumberFormat="1" applyFont="1" applyFill="1" applyBorder="1" applyAlignment="1">
      <alignment horizontal="center" vertical="center"/>
    </xf>
    <xf numFmtId="165" fontId="24" fillId="6" borderId="53" xfId="4" applyFont="1" applyFill="1" applyBorder="1" applyAlignment="1">
      <alignment horizontal="right" vertical="center"/>
    </xf>
    <xf numFmtId="40" fontId="24" fillId="6" borderId="53" xfId="4" applyNumberFormat="1" applyFont="1" applyFill="1" applyBorder="1" applyAlignment="1">
      <alignment horizontal="center" vertical="center" wrapText="1"/>
    </xf>
    <xf numFmtId="10" fontId="24" fillId="6" borderId="53" xfId="5" applyNumberFormat="1" applyFont="1" applyFill="1" applyBorder="1" applyAlignment="1">
      <alignment horizontal="center" vertical="center" wrapText="1"/>
    </xf>
    <xf numFmtId="165" fontId="24" fillId="6" borderId="53" xfId="4" applyFont="1" applyFill="1" applyBorder="1" applyAlignment="1">
      <alignment horizontal="center" vertical="center" wrapText="1"/>
    </xf>
    <xf numFmtId="165" fontId="24" fillId="6" borderId="55" xfId="4" applyFont="1" applyFill="1" applyBorder="1" applyAlignment="1">
      <alignment horizontal="center" vertical="center" wrapText="1"/>
    </xf>
    <xf numFmtId="10" fontId="24" fillId="6" borderId="47" xfId="5" applyNumberFormat="1" applyFont="1" applyFill="1" applyBorder="1" applyAlignment="1">
      <alignment horizontal="center" vertical="center" wrapText="1"/>
    </xf>
    <xf numFmtId="165" fontId="24" fillId="6" borderId="48" xfId="4" applyFont="1" applyFill="1" applyBorder="1" applyAlignment="1">
      <alignment horizontal="center" vertical="center" wrapText="1"/>
    </xf>
    <xf numFmtId="37" fontId="24" fillId="6" borderId="3" xfId="3" applyNumberFormat="1" applyFont="1" applyFill="1" applyBorder="1" applyAlignment="1">
      <alignment horizontal="center" vertical="center"/>
    </xf>
    <xf numFmtId="40" fontId="24" fillId="6" borderId="49" xfId="4" applyNumberFormat="1" applyFont="1" applyFill="1" applyBorder="1" applyAlignment="1">
      <alignment horizontal="center" vertical="center"/>
    </xf>
    <xf numFmtId="164" fontId="29" fillId="0" borderId="20" xfId="2" applyNumberFormat="1" applyFont="1" applyBorder="1" applyAlignment="1" applyProtection="1">
      <alignment horizontal="left" vertical="center"/>
      <protection locked="0"/>
    </xf>
    <xf numFmtId="164" fontId="29" fillId="0" borderId="19" xfId="2" applyNumberFormat="1" applyFont="1" applyBorder="1" applyAlignment="1" applyProtection="1">
      <alignment horizontal="left" vertical="center"/>
      <protection locked="0"/>
    </xf>
    <xf numFmtId="164" fontId="29" fillId="0" borderId="31" xfId="2" applyNumberFormat="1" applyFont="1" applyBorder="1" applyAlignment="1" applyProtection="1">
      <alignment horizontal="left" vertical="center"/>
      <protection locked="0"/>
    </xf>
    <xf numFmtId="164" fontId="29" fillId="0" borderId="30" xfId="2" applyNumberFormat="1" applyFont="1" applyBorder="1" applyAlignment="1" applyProtection="1">
      <alignment horizontal="left" vertical="center"/>
      <protection locked="0"/>
    </xf>
    <xf numFmtId="0" fontId="29" fillId="0" borderId="23" xfId="2" applyFont="1" applyBorder="1" applyAlignment="1" applyProtection="1">
      <alignment horizontal="left" vertical="center"/>
      <protection locked="0"/>
    </xf>
    <xf numFmtId="14" fontId="29" fillId="0" borderId="30" xfId="2" applyNumberFormat="1" applyFont="1" applyBorder="1" applyAlignment="1" applyProtection="1">
      <alignment horizontal="left" vertical="center"/>
      <protection locked="0"/>
    </xf>
    <xf numFmtId="164" fontId="29" fillId="0" borderId="39" xfId="2" applyNumberFormat="1" applyFont="1" applyBorder="1" applyAlignment="1" applyProtection="1">
      <alignment horizontal="left" vertical="center"/>
      <protection locked="0"/>
    </xf>
    <xf numFmtId="0" fontId="29" fillId="0" borderId="26" xfId="2" applyFont="1" applyBorder="1" applyAlignment="1" applyProtection="1">
      <alignment horizontal="left" vertical="center"/>
      <protection locked="0"/>
    </xf>
    <xf numFmtId="0" fontId="30" fillId="0" borderId="44" xfId="0" applyFont="1" applyBorder="1" applyAlignment="1">
      <alignment horizontal="left" vertical="center" wrapText="1"/>
    </xf>
    <xf numFmtId="0" fontId="32" fillId="0" borderId="0" xfId="0" applyFont="1"/>
    <xf numFmtId="49" fontId="30" fillId="0" borderId="45" xfId="0" applyNumberFormat="1" applyFont="1" applyBorder="1" applyAlignment="1">
      <alignment horizontal="left" vertical="center" wrapText="1"/>
    </xf>
    <xf numFmtId="0" fontId="30" fillId="0" borderId="46" xfId="0" applyFont="1" applyBorder="1" applyAlignment="1">
      <alignment horizontal="left" vertical="center" wrapText="1"/>
    </xf>
    <xf numFmtId="0" fontId="30" fillId="0" borderId="45" xfId="0" applyFont="1" applyBorder="1" applyAlignment="1">
      <alignment horizontal="left" vertical="center" wrapText="1"/>
    </xf>
    <xf numFmtId="0" fontId="31" fillId="11" borderId="54" xfId="0" applyFont="1" applyFill="1" applyBorder="1" applyAlignment="1">
      <alignment horizontal="center" vertical="center"/>
    </xf>
    <xf numFmtId="0" fontId="31" fillId="11" borderId="53" xfId="0" applyFont="1" applyFill="1" applyBorder="1" applyAlignment="1">
      <alignment horizontal="center" vertical="center"/>
    </xf>
    <xf numFmtId="0" fontId="31" fillId="11" borderId="65" xfId="0" applyFont="1" applyFill="1" applyBorder="1" applyAlignment="1">
      <alignment horizontal="center" vertical="center"/>
    </xf>
    <xf numFmtId="0" fontId="34" fillId="11" borderId="10" xfId="0" applyFont="1" applyFill="1" applyBorder="1" applyAlignment="1">
      <alignment horizontal="center" vertical="center"/>
    </xf>
    <xf numFmtId="0" fontId="30" fillId="0" borderId="50" xfId="0" applyFont="1" applyBorder="1" applyAlignment="1">
      <alignment horizontal="left" vertical="center" wrapText="1"/>
    </xf>
    <xf numFmtId="0" fontId="30" fillId="0" borderId="60" xfId="0" applyFont="1" applyBorder="1" applyAlignment="1">
      <alignment horizontal="left" vertical="center" wrapText="1"/>
    </xf>
    <xf numFmtId="0" fontId="30" fillId="0" borderId="61" xfId="0" applyFont="1" applyBorder="1" applyAlignment="1">
      <alignment horizontal="center" vertical="center"/>
    </xf>
    <xf numFmtId="44" fontId="30" fillId="0" borderId="61" xfId="8" applyFont="1" applyBorder="1" applyAlignment="1">
      <alignment vertical="center"/>
    </xf>
    <xf numFmtId="44" fontId="30" fillId="0" borderId="51" xfId="8" applyFont="1" applyBorder="1" applyAlignment="1">
      <alignment vertical="center"/>
    </xf>
    <xf numFmtId="1" fontId="30" fillId="12" borderId="62" xfId="0" applyNumberFormat="1" applyFont="1" applyFill="1" applyBorder="1" applyAlignment="1">
      <alignment horizontal="right" vertical="center"/>
    </xf>
    <xf numFmtId="1" fontId="30" fillId="12" borderId="59" xfId="0" applyNumberFormat="1" applyFont="1" applyFill="1" applyBorder="1" applyAlignment="1">
      <alignment vertical="center"/>
    </xf>
    <xf numFmtId="44" fontId="30" fillId="12" borderId="59" xfId="8" applyFont="1" applyFill="1" applyBorder="1" applyAlignment="1">
      <alignment vertical="center"/>
    </xf>
    <xf numFmtId="44" fontId="30" fillId="14" borderId="61" xfId="8" applyFont="1" applyFill="1" applyBorder="1" applyAlignment="1">
      <alignment vertical="center"/>
    </xf>
    <xf numFmtId="9" fontId="30" fillId="13" borderId="61" xfId="1" applyFont="1" applyFill="1" applyBorder="1" applyAlignment="1">
      <alignment vertical="center"/>
    </xf>
    <xf numFmtId="44" fontId="30" fillId="13" borderId="61" xfId="8" applyFont="1" applyFill="1" applyBorder="1" applyAlignment="1">
      <alignment vertical="center"/>
    </xf>
    <xf numFmtId="44" fontId="30" fillId="13" borderId="51" xfId="8" applyFont="1" applyFill="1" applyBorder="1" applyAlignment="1">
      <alignment vertical="center"/>
    </xf>
    <xf numFmtId="10" fontId="30" fillId="14" borderId="10" xfId="0" applyNumberFormat="1" applyFont="1" applyFill="1" applyBorder="1" applyAlignment="1">
      <alignment horizontal="center" vertical="center"/>
    </xf>
    <xf numFmtId="0" fontId="32" fillId="16" borderId="0" xfId="0" applyFont="1" applyFill="1"/>
    <xf numFmtId="0" fontId="30" fillId="0" borderId="0" xfId="0" applyFont="1" applyAlignment="1">
      <alignment wrapText="1"/>
    </xf>
    <xf numFmtId="1" fontId="30" fillId="12" borderId="62" xfId="0" applyNumberFormat="1" applyFont="1" applyFill="1" applyBorder="1" applyAlignment="1">
      <alignment vertical="center"/>
    </xf>
    <xf numFmtId="44" fontId="30" fillId="14" borderId="59" xfId="8" applyFont="1" applyFill="1" applyBorder="1" applyAlignment="1">
      <alignment vertical="center"/>
    </xf>
    <xf numFmtId="9" fontId="30" fillId="13" borderId="59" xfId="1" applyFont="1" applyFill="1" applyBorder="1" applyAlignment="1">
      <alignment vertical="center"/>
    </xf>
    <xf numFmtId="44" fontId="30" fillId="13" borderId="59" xfId="8" applyFont="1" applyFill="1" applyBorder="1" applyAlignment="1">
      <alignment vertical="center"/>
    </xf>
    <xf numFmtId="0" fontId="30" fillId="0" borderId="58" xfId="0" applyFont="1" applyBorder="1" applyAlignment="1">
      <alignment horizontal="left" vertical="center" wrapText="1"/>
    </xf>
    <xf numFmtId="0" fontId="30" fillId="0" borderId="69" xfId="0" applyFont="1" applyBorder="1" applyAlignment="1">
      <alignment horizontal="left" vertical="center" wrapText="1"/>
    </xf>
    <xf numFmtId="171" fontId="33" fillId="10" borderId="15" xfId="8" applyNumberFormat="1" applyFont="1" applyFill="1" applyBorder="1" applyAlignment="1">
      <alignment horizontal="right"/>
    </xf>
    <xf numFmtId="171" fontId="33" fillId="10" borderId="66" xfId="8" applyNumberFormat="1" applyFont="1" applyFill="1" applyBorder="1" applyAlignment="1">
      <alignment horizontal="right"/>
    </xf>
    <xf numFmtId="44" fontId="33" fillId="10" borderId="15" xfId="8" applyFont="1" applyFill="1" applyBorder="1" applyAlignment="1">
      <alignment horizontal="right"/>
    </xf>
    <xf numFmtId="44" fontId="31" fillId="14" borderId="15" xfId="8" applyFont="1" applyFill="1" applyBorder="1" applyAlignment="1">
      <alignment vertical="center"/>
    </xf>
    <xf numFmtId="9" fontId="30" fillId="13" borderId="15" xfId="1" applyFont="1" applyFill="1" applyBorder="1" applyAlignment="1">
      <alignment vertical="center"/>
    </xf>
    <xf numFmtId="44" fontId="30" fillId="13" borderId="15" xfId="8" applyFont="1" applyFill="1" applyBorder="1" applyAlignment="1">
      <alignment vertical="center"/>
    </xf>
    <xf numFmtId="44" fontId="31" fillId="13" borderId="15" xfId="8" applyFont="1" applyFill="1" applyBorder="1" applyAlignment="1">
      <alignment vertical="center"/>
    </xf>
    <xf numFmtId="44" fontId="31" fillId="13" borderId="66" xfId="8" applyFont="1" applyFill="1" applyBorder="1" applyAlignment="1">
      <alignment vertical="center"/>
    </xf>
    <xf numFmtId="10" fontId="30" fillId="14" borderId="0" xfId="0" applyNumberFormat="1" applyFont="1" applyFill="1" applyAlignment="1">
      <alignment horizontal="center" vertical="center"/>
    </xf>
    <xf numFmtId="0" fontId="30" fillId="0" borderId="57" xfId="0" applyFont="1" applyBorder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30" fillId="0" borderId="67" xfId="0" applyFont="1" applyBorder="1" applyAlignment="1">
      <alignment horizontal="left" vertical="center" wrapText="1"/>
    </xf>
    <xf numFmtId="0" fontId="31" fillId="11" borderId="68" xfId="0" applyFont="1" applyFill="1" applyBorder="1" applyAlignment="1">
      <alignment horizontal="center" vertical="center"/>
    </xf>
    <xf numFmtId="0" fontId="34" fillId="11" borderId="33" xfId="0" applyFont="1" applyFill="1" applyBorder="1" applyAlignment="1">
      <alignment horizontal="center" vertical="center"/>
    </xf>
    <xf numFmtId="0" fontId="30" fillId="0" borderId="61" xfId="0" applyFont="1" applyBorder="1" applyAlignment="1">
      <alignment horizontal="left" vertical="center" wrapText="1"/>
    </xf>
    <xf numFmtId="44" fontId="33" fillId="15" borderId="73" xfId="8" applyFont="1" applyFill="1" applyBorder="1" applyAlignment="1">
      <alignment horizontal="center"/>
    </xf>
    <xf numFmtId="0" fontId="30" fillId="0" borderId="71" xfId="0" applyFont="1" applyBorder="1" applyAlignment="1">
      <alignment horizontal="left" vertical="center" wrapText="1"/>
    </xf>
    <xf numFmtId="0" fontId="30" fillId="0" borderId="60" xfId="0" applyFont="1" applyBorder="1" applyAlignment="1">
      <alignment vertical="center"/>
    </xf>
    <xf numFmtId="0" fontId="30" fillId="0" borderId="60" xfId="0" applyFont="1" applyBorder="1" applyAlignment="1">
      <alignment horizontal="center" vertical="center"/>
    </xf>
    <xf numFmtId="44" fontId="30" fillId="0" borderId="60" xfId="8" applyFont="1" applyBorder="1" applyAlignment="1">
      <alignment vertical="center"/>
    </xf>
    <xf numFmtId="44" fontId="30" fillId="0" borderId="70" xfId="8" applyFont="1" applyBorder="1" applyAlignment="1">
      <alignment vertical="center"/>
    </xf>
    <xf numFmtId="1" fontId="30" fillId="12" borderId="72" xfId="0" applyNumberFormat="1" applyFont="1" applyFill="1" applyBorder="1" applyAlignment="1">
      <alignment vertical="center"/>
    </xf>
    <xf numFmtId="1" fontId="30" fillId="12" borderId="7" xfId="0" applyNumberFormat="1" applyFont="1" applyFill="1" applyBorder="1" applyAlignment="1">
      <alignment vertical="center"/>
    </xf>
    <xf numFmtId="44" fontId="30" fillId="12" borderId="7" xfId="8" applyFont="1" applyFill="1" applyBorder="1" applyAlignment="1">
      <alignment vertical="center"/>
    </xf>
    <xf numFmtId="44" fontId="30" fillId="14" borderId="7" xfId="8" applyFont="1" applyFill="1" applyBorder="1" applyAlignment="1">
      <alignment vertical="center"/>
    </xf>
    <xf numFmtId="9" fontId="30" fillId="13" borderId="7" xfId="1" applyFont="1" applyFill="1" applyBorder="1" applyAlignment="1">
      <alignment vertical="center"/>
    </xf>
    <xf numFmtId="44" fontId="30" fillId="13" borderId="7" xfId="8" applyFont="1" applyFill="1" applyBorder="1" applyAlignment="1">
      <alignment vertical="center"/>
    </xf>
    <xf numFmtId="44" fontId="30" fillId="13" borderId="70" xfId="8" applyFont="1" applyFill="1" applyBorder="1" applyAlignment="1">
      <alignment vertical="center"/>
    </xf>
    <xf numFmtId="10" fontId="33" fillId="14" borderId="33" xfId="8" applyNumberFormat="1" applyFont="1" applyFill="1" applyBorder="1" applyAlignment="1">
      <alignment horizontal="center" vertical="center"/>
    </xf>
    <xf numFmtId="171" fontId="33" fillId="10" borderId="0" xfId="8" applyNumberFormat="1" applyFont="1" applyFill="1" applyBorder="1" applyAlignment="1">
      <alignment horizontal="right"/>
    </xf>
    <xf numFmtId="171" fontId="33" fillId="10" borderId="18" xfId="8" applyNumberFormat="1" applyFont="1" applyFill="1" applyBorder="1" applyAlignment="1">
      <alignment horizontal="right"/>
    </xf>
    <xf numFmtId="44" fontId="33" fillId="10" borderId="0" xfId="8" applyFont="1" applyFill="1" applyBorder="1" applyAlignment="1">
      <alignment horizontal="right"/>
    </xf>
    <xf numFmtId="44" fontId="31" fillId="14" borderId="0" xfId="8" applyFont="1" applyFill="1" applyBorder="1" applyAlignment="1">
      <alignment vertical="center"/>
    </xf>
    <xf numFmtId="9" fontId="30" fillId="13" borderId="0" xfId="1" applyFont="1" applyFill="1" applyBorder="1" applyAlignment="1">
      <alignment vertical="center"/>
    </xf>
    <xf numFmtId="44" fontId="30" fillId="13" borderId="0" xfId="8" applyFont="1" applyFill="1" applyBorder="1" applyAlignment="1">
      <alignment vertical="center"/>
    </xf>
    <xf numFmtId="44" fontId="31" fillId="13" borderId="0" xfId="8" applyFont="1" applyFill="1" applyBorder="1" applyAlignment="1">
      <alignment vertical="center"/>
    </xf>
    <xf numFmtId="44" fontId="33" fillId="15" borderId="11" xfId="8" applyFont="1" applyFill="1" applyBorder="1" applyAlignment="1">
      <alignment horizontal="center"/>
    </xf>
    <xf numFmtId="49" fontId="30" fillId="0" borderId="74" xfId="0" applyNumberFormat="1" applyFont="1" applyBorder="1" applyAlignment="1">
      <alignment horizontal="left" vertical="center" wrapText="1"/>
    </xf>
    <xf numFmtId="0" fontId="33" fillId="15" borderId="6" xfId="0" applyFont="1" applyFill="1" applyBorder="1"/>
    <xf numFmtId="0" fontId="33" fillId="15" borderId="37" xfId="0" applyFont="1" applyFill="1" applyBorder="1"/>
    <xf numFmtId="44" fontId="33" fillId="15" borderId="37" xfId="0" applyNumberFormat="1" applyFont="1" applyFill="1" applyBorder="1"/>
    <xf numFmtId="44" fontId="33" fillId="15" borderId="75" xfId="0" applyNumberFormat="1" applyFont="1" applyFill="1" applyBorder="1"/>
    <xf numFmtId="9" fontId="33" fillId="15" borderId="14" xfId="1" applyFont="1" applyFill="1" applyBorder="1"/>
    <xf numFmtId="0" fontId="34" fillId="11" borderId="7" xfId="0" applyFont="1" applyFill="1" applyBorder="1" applyAlignment="1">
      <alignment horizontal="center" vertical="center"/>
    </xf>
    <xf numFmtId="10" fontId="30" fillId="14" borderId="7" xfId="0" applyNumberFormat="1" applyFont="1" applyFill="1" applyBorder="1" applyAlignment="1">
      <alignment horizontal="center" vertical="center"/>
    </xf>
    <xf numFmtId="0" fontId="34" fillId="11" borderId="59" xfId="0" applyFont="1" applyFill="1" applyBorder="1" applyAlignment="1">
      <alignment horizontal="center" vertical="center"/>
    </xf>
    <xf numFmtId="10" fontId="33" fillId="14" borderId="7" xfId="8" applyNumberFormat="1" applyFont="1" applyFill="1" applyBorder="1" applyAlignment="1">
      <alignment horizontal="center" vertical="center"/>
    </xf>
    <xf numFmtId="10" fontId="33" fillId="14" borderId="59" xfId="8" applyNumberFormat="1" applyFont="1" applyFill="1" applyBorder="1" applyAlignment="1">
      <alignment horizontal="center" vertical="center"/>
    </xf>
    <xf numFmtId="44" fontId="33" fillId="15" borderId="12" xfId="8" applyFont="1" applyFill="1" applyBorder="1" applyAlignment="1">
      <alignment horizontal="center"/>
    </xf>
    <xf numFmtId="44" fontId="33" fillId="15" borderId="15" xfId="8" applyFont="1" applyFill="1" applyBorder="1"/>
    <xf numFmtId="10" fontId="24" fillId="6" borderId="78" xfId="5" applyNumberFormat="1" applyFont="1" applyFill="1" applyBorder="1" applyAlignment="1">
      <alignment horizontal="center" vertical="center" wrapText="1"/>
    </xf>
    <xf numFmtId="165" fontId="24" fillId="6" borderId="47" xfId="4" applyFont="1" applyFill="1" applyBorder="1" applyAlignment="1">
      <alignment horizontal="center" vertical="center" wrapText="1"/>
    </xf>
    <xf numFmtId="0" fontId="39" fillId="19" borderId="60" xfId="0" applyFont="1" applyFill="1" applyBorder="1"/>
    <xf numFmtId="166" fontId="40" fillId="19" borderId="60" xfId="4" applyNumberFormat="1" applyFont="1" applyFill="1" applyBorder="1" applyAlignment="1">
      <alignment horizontal="center" vertical="center" wrapText="1"/>
    </xf>
    <xf numFmtId="166" fontId="41" fillId="19" borderId="60" xfId="4" applyNumberFormat="1" applyFont="1" applyFill="1" applyBorder="1" applyAlignment="1">
      <alignment horizontal="center" vertical="center" wrapText="1"/>
    </xf>
    <xf numFmtId="44" fontId="40" fillId="19" borderId="60" xfId="0" applyNumberFormat="1" applyFont="1" applyFill="1" applyBorder="1" applyAlignment="1">
      <alignment horizontal="center" vertical="center"/>
    </xf>
    <xf numFmtId="44" fontId="42" fillId="19" borderId="60" xfId="8" applyFont="1" applyFill="1" applyBorder="1"/>
    <xf numFmtId="0" fontId="43" fillId="0" borderId="0" xfId="0" applyFont="1"/>
    <xf numFmtId="0" fontId="43" fillId="0" borderId="0" xfId="0" applyFont="1" applyAlignment="1">
      <alignment horizontal="center"/>
    </xf>
    <xf numFmtId="16" fontId="43" fillId="20" borderId="11" xfId="0" applyNumberFormat="1" applyFont="1" applyFill="1" applyBorder="1"/>
    <xf numFmtId="16" fontId="43" fillId="20" borderId="12" xfId="0" applyNumberFormat="1" applyFont="1" applyFill="1" applyBorder="1"/>
    <xf numFmtId="16" fontId="43" fillId="21" borderId="14" xfId="0" applyNumberFormat="1" applyFont="1" applyFill="1" applyBorder="1"/>
    <xf numFmtId="16" fontId="43" fillId="21" borderId="15" xfId="0" applyNumberFormat="1" applyFont="1" applyFill="1" applyBorder="1"/>
    <xf numFmtId="0" fontId="43" fillId="22" borderId="17" xfId="0" applyFont="1" applyFill="1" applyBorder="1" applyAlignment="1">
      <alignment horizontal="right"/>
    </xf>
    <xf numFmtId="0" fontId="43" fillId="22" borderId="0" xfId="0" applyFont="1" applyFill="1" applyAlignment="1">
      <alignment horizontal="right"/>
    </xf>
    <xf numFmtId="0" fontId="19" fillId="23" borderId="14" xfId="0" applyFont="1" applyFill="1" applyBorder="1"/>
    <xf numFmtId="0" fontId="19" fillId="23" borderId="15" xfId="0" applyFont="1" applyFill="1" applyBorder="1"/>
    <xf numFmtId="164" fontId="5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Alignment="1" applyProtection="1">
      <alignment horizontal="left" vertical="center"/>
      <protection locked="0"/>
    </xf>
    <xf numFmtId="14" fontId="5" fillId="0" borderId="0" xfId="2" applyNumberFormat="1" applyFont="1" applyAlignment="1" applyProtection="1">
      <alignment horizontal="left" vertical="center"/>
      <protection locked="0"/>
    </xf>
    <xf numFmtId="0" fontId="19" fillId="24" borderId="60" xfId="0" applyFont="1" applyFill="1" applyBorder="1" applyAlignment="1">
      <alignment horizontal="center"/>
    </xf>
    <xf numFmtId="0" fontId="12" fillId="19" borderId="60" xfId="0" applyFont="1" applyFill="1" applyBorder="1" applyAlignment="1">
      <alignment horizontal="center"/>
    </xf>
    <xf numFmtId="44" fontId="12" fillId="0" borderId="60" xfId="8" applyFont="1" applyBorder="1"/>
    <xf numFmtId="9" fontId="12" fillId="0" borderId="60" xfId="1" applyFont="1" applyBorder="1" applyAlignment="1">
      <alignment horizontal="center"/>
    </xf>
    <xf numFmtId="44" fontId="19" fillId="24" borderId="60" xfId="0" applyNumberFormat="1" applyFont="1" applyFill="1" applyBorder="1" applyAlignment="1">
      <alignment horizontal="center"/>
    </xf>
    <xf numFmtId="44" fontId="19" fillId="24" borderId="60" xfId="8" applyFont="1" applyFill="1" applyBorder="1"/>
    <xf numFmtId="14" fontId="5" fillId="0" borderId="30" xfId="2" applyNumberFormat="1" applyFont="1" applyBorder="1" applyAlignment="1" applyProtection="1">
      <alignment horizontal="left" vertical="center"/>
      <protection locked="0"/>
    </xf>
    <xf numFmtId="0" fontId="32" fillId="25" borderId="60" xfId="0" applyFont="1" applyFill="1" applyBorder="1" applyAlignment="1">
      <alignment wrapText="1"/>
    </xf>
    <xf numFmtId="44" fontId="43" fillId="0" borderId="76" xfId="0" applyNumberFormat="1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33" fillId="10" borderId="62" xfId="0" applyFont="1" applyFill="1" applyBorder="1" applyAlignment="1">
      <alignment horizontal="left"/>
    </xf>
    <xf numFmtId="0" fontId="33" fillId="10" borderId="8" xfId="0" applyFont="1" applyFill="1" applyBorder="1" applyAlignment="1">
      <alignment horizontal="left"/>
    </xf>
    <xf numFmtId="1" fontId="33" fillId="10" borderId="62" xfId="0" applyNumberFormat="1" applyFont="1" applyFill="1" applyBorder="1" applyAlignment="1">
      <alignment horizontal="left"/>
    </xf>
    <xf numFmtId="1" fontId="33" fillId="10" borderId="8" xfId="0" applyNumberFormat="1" applyFont="1" applyFill="1" applyBorder="1" applyAlignment="1">
      <alignment horizontal="left"/>
    </xf>
    <xf numFmtId="0" fontId="33" fillId="9" borderId="57" xfId="0" applyFont="1" applyFill="1" applyBorder="1" applyAlignment="1">
      <alignment horizontal="center"/>
    </xf>
    <xf numFmtId="0" fontId="33" fillId="9" borderId="0" xfId="0" applyFont="1" applyFill="1" applyAlignment="1">
      <alignment horizontal="center"/>
    </xf>
    <xf numFmtId="0" fontId="33" fillId="10" borderId="11" xfId="0" applyFont="1" applyFill="1" applyBorder="1" applyAlignment="1">
      <alignment horizontal="left"/>
    </xf>
    <xf numFmtId="0" fontId="33" fillId="10" borderId="12" xfId="0" applyFont="1" applyFill="1" applyBorder="1" applyAlignment="1">
      <alignment horizontal="left"/>
    </xf>
    <xf numFmtId="0" fontId="33" fillId="10" borderId="56" xfId="0" applyFont="1" applyFill="1" applyBorder="1" applyAlignment="1">
      <alignment horizontal="left"/>
    </xf>
    <xf numFmtId="0" fontId="33" fillId="10" borderId="65" xfId="0" applyFont="1" applyFill="1" applyBorder="1" applyAlignment="1">
      <alignment horizontal="left"/>
    </xf>
    <xf numFmtId="0" fontId="33" fillId="10" borderId="68" xfId="0" applyFont="1" applyFill="1" applyBorder="1" applyAlignment="1">
      <alignment horizontal="left"/>
    </xf>
    <xf numFmtId="0" fontId="33" fillId="10" borderId="14" xfId="0" applyFont="1" applyFill="1" applyBorder="1" applyAlignment="1">
      <alignment horizontal="left"/>
    </xf>
    <xf numFmtId="0" fontId="33" fillId="10" borderId="15" xfId="0" applyFont="1" applyFill="1" applyBorder="1" applyAlignment="1">
      <alignment horizontal="left"/>
    </xf>
    <xf numFmtId="1" fontId="33" fillId="10" borderId="14" xfId="0" applyNumberFormat="1" applyFont="1" applyFill="1" applyBorder="1" applyAlignment="1">
      <alignment horizontal="left"/>
    </xf>
    <xf numFmtId="1" fontId="33" fillId="10" borderId="15" xfId="0" applyNumberFormat="1" applyFont="1" applyFill="1" applyBorder="1" applyAlignment="1">
      <alignment horizontal="left"/>
    </xf>
    <xf numFmtId="166" fontId="38" fillId="19" borderId="60" xfId="4" applyNumberFormat="1" applyFont="1" applyFill="1" applyBorder="1" applyAlignment="1">
      <alignment horizontal="center" vertical="center" wrapText="1"/>
    </xf>
    <xf numFmtId="166" fontId="24" fillId="4" borderId="17" xfId="4" applyNumberFormat="1" applyFont="1" applyFill="1" applyBorder="1" applyAlignment="1">
      <alignment horizontal="center" vertical="center" wrapText="1"/>
    </xf>
    <xf numFmtId="166" fontId="24" fillId="4" borderId="0" xfId="4" applyNumberFormat="1" applyFont="1" applyFill="1" applyBorder="1" applyAlignment="1">
      <alignment horizontal="center" vertical="center" wrapText="1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0" fontId="24" fillId="2" borderId="3" xfId="3" applyFont="1" applyFill="1" applyBorder="1" applyAlignment="1">
      <alignment horizontal="center" vertical="center"/>
    </xf>
    <xf numFmtId="0" fontId="24" fillId="2" borderId="4" xfId="3" applyFont="1" applyFill="1" applyBorder="1" applyAlignment="1">
      <alignment horizontal="center" vertical="center"/>
    </xf>
    <xf numFmtId="0" fontId="24" fillId="2" borderId="5" xfId="3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 wrapText="1"/>
    </xf>
    <xf numFmtId="0" fontId="24" fillId="3" borderId="37" xfId="0" applyFont="1" applyFill="1" applyBorder="1" applyAlignment="1">
      <alignment horizontal="center" vertical="center" wrapText="1"/>
    </xf>
    <xf numFmtId="0" fontId="24" fillId="3" borderId="5" xfId="0" applyFont="1" applyFill="1" applyBorder="1" applyAlignment="1">
      <alignment horizontal="center" vertical="center" wrapText="1"/>
    </xf>
    <xf numFmtId="166" fontId="24" fillId="4" borderId="6" xfId="4" applyNumberFormat="1" applyFont="1" applyFill="1" applyBorder="1" applyAlignment="1">
      <alignment horizontal="center" vertical="center" wrapText="1"/>
    </xf>
    <xf numFmtId="166" fontId="24" fillId="4" borderId="37" xfId="4" applyNumberFormat="1" applyFont="1" applyFill="1" applyBorder="1" applyAlignment="1">
      <alignment horizontal="center" vertical="center" wrapText="1"/>
    </xf>
    <xf numFmtId="166" fontId="24" fillId="4" borderId="5" xfId="4" applyNumberFormat="1" applyFont="1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/>
    </xf>
    <xf numFmtId="0" fontId="0" fillId="17" borderId="37" xfId="0" applyFill="1" applyBorder="1" applyAlignment="1">
      <alignment horizontal="center"/>
    </xf>
    <xf numFmtId="0" fontId="0" fillId="17" borderId="64" xfId="0" applyFill="1" applyBorder="1" applyAlignment="1">
      <alignment horizontal="center"/>
    </xf>
    <xf numFmtId="0" fontId="13" fillId="8" borderId="41" xfId="0" applyFont="1" applyFill="1" applyBorder="1" applyAlignment="1">
      <alignment horizontal="left" vertical="center"/>
    </xf>
    <xf numFmtId="0" fontId="13" fillId="8" borderId="41" xfId="0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0" fontId="14" fillId="8" borderId="41" xfId="0" applyFont="1" applyFill="1" applyBorder="1" applyAlignment="1">
      <alignment horizontal="left" vertical="top"/>
    </xf>
    <xf numFmtId="0" fontId="16" fillId="8" borderId="41" xfId="0" applyFont="1" applyFill="1" applyBorder="1" applyAlignment="1">
      <alignment horizontal="center" vertical="center" wrapText="1"/>
    </xf>
    <xf numFmtId="0" fontId="16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22" fillId="0" borderId="0" xfId="0" applyNumberFormat="1" applyFont="1"/>
    <xf numFmtId="44" fontId="35" fillId="0" borderId="79" xfId="8" applyFont="1" applyBorder="1"/>
    <xf numFmtId="0" fontId="36" fillId="0" borderId="80" xfId="0" applyFont="1" applyBorder="1" applyAlignment="1">
      <alignment horizontal="center"/>
    </xf>
    <xf numFmtId="44" fontId="35" fillId="0" borderId="71" xfId="8" applyFont="1" applyBorder="1"/>
    <xf numFmtId="0" fontId="36" fillId="0" borderId="70" xfId="0" applyFont="1" applyBorder="1" applyAlignment="1">
      <alignment horizontal="center"/>
    </xf>
    <xf numFmtId="44" fontId="35" fillId="0" borderId="81" xfId="8" applyFont="1" applyBorder="1"/>
    <xf numFmtId="0" fontId="37" fillId="0" borderId="82" xfId="0" applyFont="1" applyBorder="1" applyAlignment="1">
      <alignment horizontal="center"/>
    </xf>
    <xf numFmtId="9" fontId="35" fillId="0" borderId="0" xfId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693573</xdr:colOff>
      <xdr:row>0</xdr:row>
      <xdr:rowOff>152400</xdr:rowOff>
    </xdr:from>
    <xdr:to>
      <xdr:col>5</xdr:col>
      <xdr:colOff>524841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622063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27</xdr:col>
      <xdr:colOff>1304286</xdr:colOff>
      <xdr:row>0</xdr:row>
      <xdr:rowOff>190500</xdr:rowOff>
    </xdr:from>
    <xdr:to>
      <xdr:col>27</xdr:col>
      <xdr:colOff>2354366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27</xdr:col>
      <xdr:colOff>850182</xdr:colOff>
      <xdr:row>0</xdr:row>
      <xdr:rowOff>182566</xdr:rowOff>
    </xdr:from>
    <xdr:to>
      <xdr:col>27</xdr:col>
      <xdr:colOff>1250308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693573</xdr:colOff>
      <xdr:row>0</xdr:row>
      <xdr:rowOff>152400</xdr:rowOff>
    </xdr:from>
    <xdr:to>
      <xdr:col>5</xdr:col>
      <xdr:colOff>524841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27</xdr:col>
      <xdr:colOff>1304286</xdr:colOff>
      <xdr:row>0</xdr:row>
      <xdr:rowOff>190500</xdr:rowOff>
    </xdr:from>
    <xdr:to>
      <xdr:col>27</xdr:col>
      <xdr:colOff>2354366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809D4-066A-4105-9A8C-B9FC5636BC5E}">
  <dimension ref="A1:F23"/>
  <sheetViews>
    <sheetView showGridLines="0" tabSelected="1" topLeftCell="A8" zoomScale="82" zoomScaleNormal="82" workbookViewId="0">
      <selection activeCell="A14" sqref="A14:XFD14"/>
    </sheetView>
  </sheetViews>
  <sheetFormatPr defaultColWidth="8.77734375" defaultRowHeight="18" x14ac:dyDescent="0.35"/>
  <cols>
    <col min="1" max="1" width="8.77734375" style="179"/>
    <col min="2" max="2" width="26.21875" style="179" customWidth="1"/>
    <col min="3" max="3" width="50.77734375" style="179" customWidth="1"/>
    <col min="4" max="4" width="20.44140625" style="179" customWidth="1"/>
    <col min="5" max="5" width="18.33203125" style="179" customWidth="1"/>
    <col min="6" max="6" width="8.109375" style="180" customWidth="1"/>
    <col min="7" max="7" width="12.77734375" style="179" bestFit="1" customWidth="1"/>
    <col min="8" max="8" width="12.6640625" style="179" bestFit="1" customWidth="1"/>
    <col min="9" max="16384" width="8.77734375" style="179"/>
  </cols>
  <sheetData>
    <row r="1" spans="1:5" s="180" customFormat="1" hidden="1" x14ac:dyDescent="0.35">
      <c r="A1" s="179"/>
      <c r="B1" s="179"/>
      <c r="C1" s="179"/>
      <c r="D1" s="179"/>
      <c r="E1" s="179"/>
    </row>
    <row r="2" spans="1:5" s="180" customFormat="1" hidden="1" x14ac:dyDescent="0.35">
      <c r="A2" s="179"/>
      <c r="B2" s="179"/>
      <c r="C2" s="179"/>
      <c r="D2" s="179"/>
      <c r="E2" s="179"/>
    </row>
    <row r="3" spans="1:5" s="180" customFormat="1" hidden="1" x14ac:dyDescent="0.35">
      <c r="A3" s="179"/>
      <c r="B3" s="179"/>
      <c r="C3" s="181">
        <v>45866</v>
      </c>
      <c r="D3" s="182"/>
      <c r="E3" s="200" t="e">
        <f>SUM(#REF!)</f>
        <v>#REF!</v>
      </c>
    </row>
    <row r="4" spans="1:5" s="180" customFormat="1" ht="15.45" hidden="1" customHeight="1" thickBot="1" x14ac:dyDescent="0.4">
      <c r="A4" s="179"/>
      <c r="B4" s="179"/>
      <c r="C4" s="183">
        <v>45867</v>
      </c>
      <c r="D4" s="184"/>
      <c r="E4" s="201"/>
    </row>
    <row r="5" spans="1:5" s="180" customFormat="1" hidden="1" x14ac:dyDescent="0.35">
      <c r="A5" s="179"/>
      <c r="B5" s="179"/>
      <c r="C5" s="185" t="s">
        <v>177</v>
      </c>
      <c r="D5" s="186"/>
      <c r="E5" s="179"/>
    </row>
    <row r="6" spans="1:5" s="180" customFormat="1" hidden="1" x14ac:dyDescent="0.35">
      <c r="A6" s="179"/>
      <c r="B6" s="179"/>
      <c r="C6" s="185" t="s">
        <v>178</v>
      </c>
      <c r="D6" s="186"/>
      <c r="E6" s="179"/>
    </row>
    <row r="7" spans="1:5" s="180" customFormat="1" ht="18.600000000000001" hidden="1" thickBot="1" x14ac:dyDescent="0.4">
      <c r="A7" s="179"/>
      <c r="B7" s="179"/>
      <c r="C7" s="187" t="s">
        <v>43</v>
      </c>
      <c r="D7" s="188"/>
      <c r="E7" s="179"/>
    </row>
    <row r="9" spans="1:5" s="180" customFormat="1" ht="24" customHeight="1" x14ac:dyDescent="0.35">
      <c r="A9" s="179"/>
      <c r="B9" s="179"/>
      <c r="C9" s="179"/>
      <c r="D9" s="179"/>
      <c r="E9" s="179"/>
    </row>
    <row r="11" spans="1:5" s="180" customFormat="1" ht="18" customHeight="1" x14ac:dyDescent="0.35">
      <c r="A11" s="179"/>
      <c r="B11" s="31" t="s">
        <v>146</v>
      </c>
      <c r="C11" s="35" t="s">
        <v>170</v>
      </c>
      <c r="D11" s="189"/>
      <c r="E11" s="179"/>
    </row>
    <row r="12" spans="1:5" s="180" customFormat="1" ht="18" customHeight="1" x14ac:dyDescent="0.35">
      <c r="A12" s="179"/>
      <c r="B12" s="32" t="s">
        <v>147</v>
      </c>
      <c r="C12" s="36" t="s">
        <v>132</v>
      </c>
      <c r="D12" s="189"/>
      <c r="E12" s="179"/>
    </row>
    <row r="13" spans="1:5" s="180" customFormat="1" ht="18" customHeight="1" x14ac:dyDescent="0.35">
      <c r="A13" s="179"/>
      <c r="B13" s="32" t="s">
        <v>148</v>
      </c>
      <c r="C13" s="37" t="s">
        <v>171</v>
      </c>
      <c r="D13" s="190"/>
      <c r="E13" s="179"/>
    </row>
    <row r="14" spans="1:5" s="180" customFormat="1" ht="18" customHeight="1" x14ac:dyDescent="0.35">
      <c r="A14" s="179"/>
      <c r="B14" s="32" t="s">
        <v>144</v>
      </c>
      <c r="C14" s="198">
        <v>46051</v>
      </c>
      <c r="D14" s="191"/>
      <c r="E14" s="179"/>
    </row>
    <row r="15" spans="1:5" s="180" customFormat="1" ht="18" customHeight="1" x14ac:dyDescent="0.35">
      <c r="A15" s="179"/>
      <c r="B15" s="32" t="s">
        <v>143</v>
      </c>
      <c r="C15" s="37" t="s">
        <v>133</v>
      </c>
      <c r="D15" s="190"/>
      <c r="E15" s="179"/>
    </row>
    <row r="16" spans="1:5" ht="18" customHeight="1" x14ac:dyDescent="0.35">
      <c r="B16" s="32" t="s">
        <v>142</v>
      </c>
      <c r="C16" s="37" t="s">
        <v>150</v>
      </c>
      <c r="D16" s="190"/>
    </row>
    <row r="17" spans="2:6" ht="18" customHeight="1" x14ac:dyDescent="0.35">
      <c r="B17" s="33" t="s">
        <v>141</v>
      </c>
      <c r="C17" s="38" t="s">
        <v>169</v>
      </c>
      <c r="D17" s="190"/>
    </row>
    <row r="19" spans="2:6" ht="15.45" customHeight="1" x14ac:dyDescent="0.35">
      <c r="B19" s="192"/>
      <c r="C19" s="192" t="s">
        <v>136</v>
      </c>
      <c r="D19" s="192" t="s">
        <v>179</v>
      </c>
      <c r="E19" s="192" t="s">
        <v>176</v>
      </c>
    </row>
    <row r="20" spans="2:6" ht="27" customHeight="1" x14ac:dyDescent="0.35">
      <c r="B20" s="193" t="s">
        <v>180</v>
      </c>
      <c r="C20" s="194">
        <f>Planilha!N25</f>
        <v>3469.1810612650679</v>
      </c>
      <c r="D20" s="194">
        <f>Planilha!AB29</f>
        <v>1310.3275000000001</v>
      </c>
      <c r="E20" s="194">
        <f>C20-D20</f>
        <v>2158.8535612650676</v>
      </c>
      <c r="F20" s="195">
        <f>E20*100%/C20</f>
        <v>0.62229486531262868</v>
      </c>
    </row>
    <row r="21" spans="2:6" ht="24" customHeight="1" x14ac:dyDescent="0.35">
      <c r="B21" s="192"/>
      <c r="C21" s="196">
        <f>SUM(C20:C20)</f>
        <v>3469.1810612650679</v>
      </c>
      <c r="D21" s="197">
        <f>SUM(D20)</f>
        <v>1310.3275000000001</v>
      </c>
      <c r="E21" s="197">
        <f>C21-D21</f>
        <v>2158.8535612650676</v>
      </c>
      <c r="F21" s="195">
        <f>E21*100%/C21</f>
        <v>0.62229486531262868</v>
      </c>
    </row>
    <row r="22" spans="2:6" ht="24" customHeight="1" x14ac:dyDescent="0.35"/>
    <row r="23" spans="2:6" ht="199.95" hidden="1" customHeight="1" x14ac:dyDescent="0.35"/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L31"/>
  <sheetViews>
    <sheetView showGridLines="0" topLeftCell="B1" zoomScale="41" zoomScaleNormal="70" workbookViewId="0">
      <pane ySplit="1" topLeftCell="A15" activePane="bottomLeft" state="frozen"/>
      <selection pane="bottomLeft" activeCell="L27" sqref="L27"/>
    </sheetView>
  </sheetViews>
  <sheetFormatPr defaultColWidth="8.77734375" defaultRowHeight="25.8" x14ac:dyDescent="0.5"/>
  <cols>
    <col min="1" max="1" width="9.6640625" style="47" hidden="1" customWidth="1"/>
    <col min="2" max="2" width="15.44140625" style="47" customWidth="1"/>
    <col min="3" max="3" width="16" style="47" hidden="1" customWidth="1"/>
    <col min="4" max="4" width="22.5546875" style="47" hidden="1" customWidth="1"/>
    <col min="5" max="5" width="18.77734375" style="47" hidden="1" customWidth="1"/>
    <col min="6" max="6" width="44.44140625" style="47" customWidth="1"/>
    <col min="7" max="7" width="105.44140625" style="47" customWidth="1"/>
    <col min="8" max="8" width="9.109375" style="47" bestFit="1" customWidth="1"/>
    <col min="9" max="9" width="7.88671875" style="47" bestFit="1" customWidth="1"/>
    <col min="10" max="10" width="26" style="47" bestFit="1" customWidth="1"/>
    <col min="11" max="11" width="33" style="47" bestFit="1" customWidth="1"/>
    <col min="12" max="12" width="34.44140625" style="47" customWidth="1"/>
    <col min="13" max="13" width="28.33203125" style="47" bestFit="1" customWidth="1"/>
    <col min="14" max="14" width="34" style="47" customWidth="1"/>
    <col min="15" max="15" width="3.21875" style="47" hidden="1" customWidth="1"/>
    <col min="16" max="16" width="1.77734375" style="47" hidden="1" customWidth="1"/>
    <col min="17" max="17" width="11.33203125" style="47" bestFit="1" customWidth="1"/>
    <col min="18" max="18" width="8.6640625" style="47" hidden="1" customWidth="1"/>
    <col min="19" max="19" width="26" style="47" hidden="1" customWidth="1"/>
    <col min="20" max="20" width="28.33203125" style="47" bestFit="1" customWidth="1"/>
    <col min="21" max="21" width="33" style="47" hidden="1" customWidth="1"/>
    <col min="22" max="22" width="9.88671875" style="47" hidden="1" customWidth="1"/>
    <col min="23" max="23" width="18.77734375" style="47" hidden="1" customWidth="1"/>
    <col min="24" max="24" width="28.33203125" style="47" bestFit="1" customWidth="1"/>
    <col min="25" max="25" width="33" style="47" hidden="1" customWidth="1"/>
    <col min="26" max="26" width="24.77734375" style="47" hidden="1" customWidth="1"/>
    <col min="27" max="27" width="33" style="47" hidden="1" customWidth="1"/>
    <col min="28" max="28" width="37.33203125" style="47" customWidth="1"/>
    <col min="29" max="29" width="43.77734375" style="47" customWidth="1"/>
    <col min="30" max="30" width="14.21875" style="47" hidden="1" customWidth="1"/>
    <col min="31" max="31" width="7.77734375" style="47" hidden="1" customWidth="1"/>
    <col min="32" max="32" width="6.77734375" style="47" hidden="1" customWidth="1"/>
    <col min="33" max="33" width="1.21875" style="47" hidden="1" customWidth="1"/>
    <col min="34" max="34" width="14" style="47" hidden="1" customWidth="1"/>
    <col min="35" max="35" width="11.77734375" style="47" hidden="1" customWidth="1"/>
    <col min="36" max="36" width="6.21875" style="47" hidden="1" customWidth="1"/>
    <col min="37" max="37" width="12.77734375" style="47" hidden="1" customWidth="1"/>
    <col min="38" max="38" width="29.109375" style="47" bestFit="1" customWidth="1"/>
    <col min="39" max="39" width="13.5546875" style="47" bestFit="1" customWidth="1"/>
    <col min="40" max="40" width="8.77734375" style="47"/>
    <col min="41" max="41" width="21.21875" style="47" customWidth="1"/>
    <col min="42" max="16384" width="8.77734375" style="47"/>
  </cols>
  <sheetData>
    <row r="1" spans="1:37" ht="49.5" customHeight="1" x14ac:dyDescent="0.5">
      <c r="B1" s="48"/>
      <c r="C1" s="46"/>
      <c r="D1" s="46"/>
      <c r="F1" s="220" t="s">
        <v>120</v>
      </c>
      <c r="G1" s="220"/>
    </row>
    <row r="2" spans="1:37" ht="24.75" customHeight="1" x14ac:dyDescent="0.5">
      <c r="B2" s="49"/>
      <c r="D2" s="46"/>
      <c r="F2" s="221" t="s">
        <v>0</v>
      </c>
      <c r="G2" s="221"/>
    </row>
    <row r="3" spans="1:37" x14ac:dyDescent="0.5">
      <c r="B3" s="50"/>
      <c r="F3" s="51"/>
      <c r="G3" s="51"/>
    </row>
    <row r="4" spans="1:37" ht="33.6" x14ac:dyDescent="0.5">
      <c r="F4" s="84" t="s">
        <v>146</v>
      </c>
      <c r="G4" s="85" t="s">
        <v>170</v>
      </c>
    </row>
    <row r="5" spans="1:37" ht="33.6" x14ac:dyDescent="0.5">
      <c r="F5" s="86" t="s">
        <v>147</v>
      </c>
      <c r="G5" s="87" t="s">
        <v>132</v>
      </c>
    </row>
    <row r="6" spans="1:37" ht="33.6" x14ac:dyDescent="0.5">
      <c r="D6" s="47" t="s">
        <v>107</v>
      </c>
      <c r="F6" s="86" t="s">
        <v>148</v>
      </c>
      <c r="G6" s="88" t="s">
        <v>171</v>
      </c>
    </row>
    <row r="7" spans="1:37" ht="21.75" customHeight="1" x14ac:dyDescent="0.5">
      <c r="F7" s="86" t="s">
        <v>149</v>
      </c>
      <c r="G7" s="88"/>
      <c r="J7" s="47" t="s">
        <v>119</v>
      </c>
    </row>
    <row r="8" spans="1:37" ht="33.6" x14ac:dyDescent="0.5">
      <c r="F8" s="86" t="s">
        <v>144</v>
      </c>
      <c r="G8" s="89">
        <v>46051</v>
      </c>
    </row>
    <row r="9" spans="1:37" ht="33.6" x14ac:dyDescent="0.5">
      <c r="F9" s="86" t="s">
        <v>143</v>
      </c>
      <c r="G9" s="88" t="s">
        <v>133</v>
      </c>
      <c r="J9" s="47" t="s">
        <v>107</v>
      </c>
    </row>
    <row r="10" spans="1:37" ht="27" customHeight="1" x14ac:dyDescent="0.5">
      <c r="F10" s="86" t="s">
        <v>142</v>
      </c>
      <c r="G10" s="88" t="s">
        <v>150</v>
      </c>
    </row>
    <row r="11" spans="1:37" ht="34.200000000000003" thickBot="1" x14ac:dyDescent="0.55000000000000004">
      <c r="F11" s="90" t="s">
        <v>141</v>
      </c>
      <c r="G11" s="91" t="s">
        <v>169</v>
      </c>
    </row>
    <row r="12" spans="1:37" ht="78" thickBot="1" x14ac:dyDescent="0.55000000000000004">
      <c r="B12" s="52"/>
      <c r="M12" s="53"/>
      <c r="Q12" s="222" t="s">
        <v>1</v>
      </c>
      <c r="R12" s="223"/>
      <c r="S12" s="223"/>
      <c r="T12" s="224"/>
      <c r="U12" s="225" t="s">
        <v>2</v>
      </c>
      <c r="V12" s="226"/>
      <c r="W12" s="226"/>
      <c r="X12" s="227"/>
      <c r="Y12" s="54" t="s">
        <v>56</v>
      </c>
      <c r="Z12" s="55">
        <f>(1/(1-M14))-1</f>
        <v>0.24269914253759173</v>
      </c>
      <c r="AD12" s="228" t="s">
        <v>3</v>
      </c>
      <c r="AE12" s="229"/>
      <c r="AF12" s="230"/>
      <c r="AH12" s="218" t="s">
        <v>58</v>
      </c>
      <c r="AI12" s="219"/>
      <c r="AK12" s="56" t="s">
        <v>60</v>
      </c>
    </row>
    <row r="13" spans="1:37" ht="26.4" thickBot="1" x14ac:dyDescent="0.55000000000000004">
      <c r="A13" s="57" t="s">
        <v>4</v>
      </c>
      <c r="B13" s="58" t="s">
        <v>5</v>
      </c>
      <c r="C13" s="57" t="s">
        <v>6</v>
      </c>
      <c r="D13" s="57" t="s">
        <v>7</v>
      </c>
      <c r="E13" s="57" t="s">
        <v>8</v>
      </c>
      <c r="M13" s="59">
        <v>0.80469999999999997</v>
      </c>
    </row>
    <row r="14" spans="1:37" ht="68.55" customHeight="1" thickBot="1" x14ac:dyDescent="0.55000000000000004">
      <c r="A14" s="60">
        <v>0</v>
      </c>
      <c r="B14" s="61"/>
      <c r="C14" s="62"/>
      <c r="D14" s="63"/>
      <c r="E14" s="63"/>
      <c r="F14" s="64" t="s">
        <v>84</v>
      </c>
      <c r="G14" s="65" t="s">
        <v>85</v>
      </c>
      <c r="H14" s="66" t="s">
        <v>86</v>
      </c>
      <c r="I14" s="66" t="s">
        <v>87</v>
      </c>
      <c r="J14" s="67" t="s">
        <v>88</v>
      </c>
      <c r="K14" s="68" t="s">
        <v>9</v>
      </c>
      <c r="L14" s="69">
        <v>7.4999999999999997E-2</v>
      </c>
      <c r="M14" s="70">
        <f>1-M13</f>
        <v>0.19530000000000003</v>
      </c>
      <c r="N14" s="71" t="s">
        <v>82</v>
      </c>
      <c r="Q14" s="72" t="s">
        <v>89</v>
      </c>
      <c r="R14" s="73" t="s">
        <v>90</v>
      </c>
      <c r="S14" s="74" t="s">
        <v>91</v>
      </c>
      <c r="T14" s="75" t="s">
        <v>92</v>
      </c>
      <c r="U14" s="76" t="s">
        <v>93</v>
      </c>
      <c r="V14" s="77" t="s">
        <v>94</v>
      </c>
      <c r="W14" s="78" t="s">
        <v>95</v>
      </c>
      <c r="X14" s="78" t="s">
        <v>96</v>
      </c>
      <c r="Y14" s="79" t="s">
        <v>97</v>
      </c>
      <c r="Z14" s="80" t="s">
        <v>98</v>
      </c>
      <c r="AA14" s="172" t="s">
        <v>83</v>
      </c>
      <c r="AB14" s="217" t="s">
        <v>59</v>
      </c>
      <c r="AC14" s="217"/>
      <c r="AD14" s="173" t="s">
        <v>99</v>
      </c>
      <c r="AE14" s="81" t="s">
        <v>100</v>
      </c>
      <c r="AF14" s="81" t="s">
        <v>33</v>
      </c>
      <c r="AH14" s="82" t="s">
        <v>101</v>
      </c>
      <c r="AI14" s="83" t="s">
        <v>102</v>
      </c>
    </row>
    <row r="15" spans="1:37" s="93" customFormat="1" ht="40.5" customHeight="1" thickBot="1" x14ac:dyDescent="0.7">
      <c r="A15" s="92">
        <v>1</v>
      </c>
      <c r="B15" s="94">
        <v>1</v>
      </c>
      <c r="C15" s="95" t="s">
        <v>121</v>
      </c>
      <c r="D15" s="92"/>
      <c r="E15" s="96"/>
      <c r="F15" s="206"/>
      <c r="G15" s="207"/>
      <c r="H15" s="207"/>
      <c r="I15" s="207"/>
      <c r="J15" s="207"/>
      <c r="K15" s="207"/>
      <c r="L15" s="207"/>
      <c r="M15" s="207"/>
      <c r="N15" s="207"/>
      <c r="Q15" s="207" t="str">
        <f>IF(F15&lt;&gt;"",F15,"")</f>
        <v/>
      </c>
      <c r="R15" s="207"/>
      <c r="S15" s="207"/>
      <c r="T15" s="207"/>
      <c r="U15" s="207"/>
      <c r="V15" s="207"/>
      <c r="W15" s="207"/>
      <c r="X15" s="207"/>
      <c r="Y15" s="207"/>
      <c r="AB15" s="174"/>
      <c r="AC15" s="174"/>
    </row>
    <row r="16" spans="1:37" s="93" customFormat="1" ht="58.5" customHeight="1" x14ac:dyDescent="0.6">
      <c r="A16" s="92">
        <v>2</v>
      </c>
      <c r="B16" s="94" t="s">
        <v>123</v>
      </c>
      <c r="C16" s="95" t="s">
        <v>122</v>
      </c>
      <c r="D16" s="92"/>
      <c r="E16" s="92"/>
      <c r="F16" s="208" t="s">
        <v>155</v>
      </c>
      <c r="G16" s="209"/>
      <c r="H16" s="209"/>
      <c r="I16" s="209"/>
      <c r="J16" s="209"/>
      <c r="K16" s="210"/>
      <c r="L16" s="97" t="s">
        <v>124</v>
      </c>
      <c r="M16" s="98" t="s">
        <v>125</v>
      </c>
      <c r="N16" s="99" t="s">
        <v>82</v>
      </c>
      <c r="Q16" s="208" t="str">
        <f>IF(F16&lt;&gt;"",F16,"")</f>
        <v>OPERACIONAL INTERNO</v>
      </c>
      <c r="R16" s="209"/>
      <c r="S16" s="209"/>
      <c r="T16" s="209"/>
      <c r="U16" s="209"/>
      <c r="V16" s="209"/>
      <c r="W16" s="209"/>
      <c r="X16" s="209"/>
      <c r="Y16" s="211"/>
      <c r="Z16" s="100" t="s">
        <v>126</v>
      </c>
      <c r="AA16" s="165" t="s">
        <v>83</v>
      </c>
      <c r="AB16" s="175" t="s">
        <v>103</v>
      </c>
      <c r="AC16" s="176" t="s">
        <v>104</v>
      </c>
    </row>
    <row r="17" spans="1:38" s="93" customFormat="1" ht="102.45" customHeight="1" x14ac:dyDescent="0.65">
      <c r="A17" s="92">
        <v>3</v>
      </c>
      <c r="B17" s="94" t="s">
        <v>128</v>
      </c>
      <c r="C17" s="95" t="s">
        <v>127</v>
      </c>
      <c r="D17" s="92" t="s">
        <v>158</v>
      </c>
      <c r="E17" s="92" t="s">
        <v>134</v>
      </c>
      <c r="F17" s="101" t="s">
        <v>159</v>
      </c>
      <c r="G17" s="102" t="s">
        <v>172</v>
      </c>
      <c r="H17" s="103">
        <v>1</v>
      </c>
      <c r="I17" s="103">
        <v>1</v>
      </c>
      <c r="J17" s="104">
        <v>850</v>
      </c>
      <c r="K17" s="104">
        <v>850</v>
      </c>
      <c r="L17" s="104">
        <f>IF(K17&lt;&gt;"",IF(D17="INTERNO",0,K17*$L$14),"")</f>
        <v>0</v>
      </c>
      <c r="M17" s="104">
        <f>IF(K17&lt;&gt;"",IF(E17="FAT.OGGI",SUM(K17:L17)*(1/(1-$M$14)-1),L17*(1/(1-$M$14)-1)),0)</f>
        <v>206.29427115695296</v>
      </c>
      <c r="N17" s="105">
        <f>SUM(K17:M17)</f>
        <v>1056.2942711569531</v>
      </c>
      <c r="Q17" s="106">
        <f>IF(H17&lt;&gt;"",H17,"")</f>
        <v>1</v>
      </c>
      <c r="R17" s="107">
        <v>1</v>
      </c>
      <c r="S17" s="108"/>
      <c r="T17" s="108">
        <f>IF(Q17&lt;&gt;"",Q17*R17*S17,"")</f>
        <v>0</v>
      </c>
      <c r="U17" s="109">
        <f>IF(Q17&lt;&gt;"",K17-T17,"")</f>
        <v>850</v>
      </c>
      <c r="V17" s="110">
        <f>IF(Q17&lt;&gt;"",0%,"")</f>
        <v>0</v>
      </c>
      <c r="W17" s="111">
        <f>IF(Q17&lt;&gt;"",V17*U17,"")</f>
        <v>0</v>
      </c>
      <c r="X17" s="111">
        <f>IF(Q17&lt;&gt;"",W17+T17,"")</f>
        <v>0</v>
      </c>
      <c r="Y17" s="112">
        <f>IF(Q17&lt;&gt;"",X17+M17,"")</f>
        <v>206.29427115695296</v>
      </c>
      <c r="Z17" s="113">
        <f>IF(Q17&lt;&gt;"", IFERROR(U17/K17, 0), 0)</f>
        <v>1</v>
      </c>
      <c r="AA17" s="166" t="str">
        <f>IFERROR(T17/$T$19, "")</f>
        <v/>
      </c>
      <c r="AB17" s="177">
        <f>X17-AC17</f>
        <v>0</v>
      </c>
      <c r="AC17" s="178"/>
      <c r="AD17" s="114" t="s">
        <v>139</v>
      </c>
    </row>
    <row r="18" spans="1:38" s="93" customFormat="1" ht="91.5" customHeight="1" x14ac:dyDescent="0.65">
      <c r="A18" s="92">
        <v>4</v>
      </c>
      <c r="B18" s="94" t="s">
        <v>105</v>
      </c>
      <c r="C18" s="95" t="s">
        <v>127</v>
      </c>
      <c r="D18" s="92" t="s">
        <v>158</v>
      </c>
      <c r="E18" s="92" t="s">
        <v>134</v>
      </c>
      <c r="F18" s="101" t="s">
        <v>151</v>
      </c>
      <c r="G18" s="115" t="s">
        <v>152</v>
      </c>
      <c r="H18" s="103">
        <v>1</v>
      </c>
      <c r="I18" s="103">
        <v>1</v>
      </c>
      <c r="J18" s="104">
        <v>800</v>
      </c>
      <c r="K18" s="104">
        <v>800</v>
      </c>
      <c r="L18" s="104">
        <f>IF(K18&lt;&gt;"",IF(D18="INTERNO",0,K18*$L$14),"")</f>
        <v>0</v>
      </c>
      <c r="M18" s="104">
        <f>IF(K18&lt;&gt;"",IF(E18="FAT.OGGI",SUM(K18:L18)*(1/(1-$M$14)-1),L18*(1/(1-$M$14)-1)),0)</f>
        <v>194.15931403007338</v>
      </c>
      <c r="N18" s="105">
        <f>SUM(K18:M18)</f>
        <v>994.15931403007335</v>
      </c>
      <c r="Q18" s="116">
        <v>1</v>
      </c>
      <c r="R18" s="107">
        <v>1</v>
      </c>
      <c r="S18" s="108"/>
      <c r="T18" s="108">
        <f>IF(Q18&lt;&gt;"",Q18*R18*S18,"")</f>
        <v>0</v>
      </c>
      <c r="U18" s="117">
        <f>IF(Q18&lt;&gt;"",K18-T18,"")</f>
        <v>800</v>
      </c>
      <c r="V18" s="118">
        <f>IF(Q18&lt;&gt;"",0%,"")</f>
        <v>0</v>
      </c>
      <c r="W18" s="119">
        <f>IF(Q18&lt;&gt;"",V18*U18,"")</f>
        <v>0</v>
      </c>
      <c r="X18" s="119">
        <f>IF(Q18&lt;&gt;"",W18+T18,"")</f>
        <v>0</v>
      </c>
      <c r="Y18" s="112">
        <f>IF(Q18&lt;&gt;"",X18+M18,"")</f>
        <v>194.15931403007338</v>
      </c>
      <c r="Z18" s="113">
        <f>IF(Q18&lt;&gt;"", IFERROR(U18/K18, 0), 0)</f>
        <v>1</v>
      </c>
      <c r="AA18" s="166" t="str">
        <f>IFERROR(T18/$T$19, "")</f>
        <v/>
      </c>
      <c r="AB18" s="177">
        <f t="shared" ref="AB18:AB23" si="0">X18-AC18</f>
        <v>0</v>
      </c>
      <c r="AC18" s="178"/>
      <c r="AD18" s="114" t="s">
        <v>140</v>
      </c>
    </row>
    <row r="19" spans="1:38" s="93" customFormat="1" ht="67.5" customHeight="1" thickBot="1" x14ac:dyDescent="0.7">
      <c r="A19" s="120">
        <v>5</v>
      </c>
      <c r="B19" s="94"/>
      <c r="C19" s="121" t="s">
        <v>161</v>
      </c>
      <c r="D19" s="120"/>
      <c r="E19" s="120"/>
      <c r="F19" s="213" t="s">
        <v>162</v>
      </c>
      <c r="G19" s="214"/>
      <c r="H19" s="214"/>
      <c r="I19" s="214"/>
      <c r="J19" s="214"/>
      <c r="K19" s="122">
        <f>SUM(K17:K18)</f>
        <v>1650</v>
      </c>
      <c r="L19" s="122">
        <f>SUM(L17:L18)</f>
        <v>0</v>
      </c>
      <c r="M19" s="122">
        <f>SUM(M17:M18)</f>
        <v>400.45358518702631</v>
      </c>
      <c r="N19" s="123">
        <f>SUM(N17:N18)</f>
        <v>2050.4535851870264</v>
      </c>
      <c r="Q19" s="215" t="s">
        <v>162</v>
      </c>
      <c r="R19" s="216"/>
      <c r="S19" s="216"/>
      <c r="T19" s="124">
        <f>SUM(T17:T18)</f>
        <v>0</v>
      </c>
      <c r="U19" s="125">
        <f>SUM(U17:U18)</f>
        <v>1650</v>
      </c>
      <c r="V19" s="126"/>
      <c r="W19" s="127"/>
      <c r="X19" s="128">
        <f>SUM(X17:X18)</f>
        <v>0</v>
      </c>
      <c r="Y19" s="129">
        <f>IF(Q19&lt;&gt;"",X19+M19,"")</f>
        <v>400.45358518702631</v>
      </c>
      <c r="Z19" s="130"/>
      <c r="AA19" s="130"/>
      <c r="AB19" s="177">
        <f t="shared" si="0"/>
        <v>0</v>
      </c>
      <c r="AC19" s="178"/>
      <c r="AD19" s="114"/>
    </row>
    <row r="20" spans="1:38" s="93" customFormat="1" ht="66" customHeight="1" thickBot="1" x14ac:dyDescent="0.7">
      <c r="A20" s="131">
        <v>6</v>
      </c>
      <c r="B20" s="94">
        <v>2</v>
      </c>
      <c r="C20" s="132" t="s">
        <v>121</v>
      </c>
      <c r="D20" s="131"/>
      <c r="E20" s="133"/>
      <c r="F20" s="206"/>
      <c r="G20" s="207"/>
      <c r="H20" s="207"/>
      <c r="I20" s="207"/>
      <c r="J20" s="207"/>
      <c r="K20" s="207"/>
      <c r="L20" s="207"/>
      <c r="M20" s="207"/>
      <c r="N20" s="207"/>
      <c r="Q20" s="207" t="str">
        <f>IF(F20&lt;&gt;"",F20,"")</f>
        <v/>
      </c>
      <c r="R20" s="207"/>
      <c r="S20" s="207"/>
      <c r="T20" s="207"/>
      <c r="U20" s="207"/>
      <c r="V20" s="207"/>
      <c r="W20" s="207"/>
      <c r="X20" s="207"/>
      <c r="Y20" s="207"/>
      <c r="AB20" s="177">
        <f t="shared" si="0"/>
        <v>0</v>
      </c>
      <c r="AC20" s="178"/>
    </row>
    <row r="21" spans="1:38" s="93" customFormat="1" ht="49.05" customHeight="1" thickBot="1" x14ac:dyDescent="0.7">
      <c r="A21" s="92">
        <v>7</v>
      </c>
      <c r="B21" s="94" t="s">
        <v>154</v>
      </c>
      <c r="C21" s="95" t="s">
        <v>122</v>
      </c>
      <c r="D21" s="92"/>
      <c r="E21" s="92"/>
      <c r="F21" s="208" t="s">
        <v>156</v>
      </c>
      <c r="G21" s="209"/>
      <c r="H21" s="209"/>
      <c r="I21" s="209"/>
      <c r="J21" s="209"/>
      <c r="K21" s="210"/>
      <c r="L21" s="97" t="s">
        <v>124</v>
      </c>
      <c r="M21" s="98" t="s">
        <v>125</v>
      </c>
      <c r="N21" s="134" t="s">
        <v>82</v>
      </c>
      <c r="Q21" s="208" t="str">
        <f>IF(F21&lt;&gt;"",F21,"")</f>
        <v>MATERIAL GRÁFICO</v>
      </c>
      <c r="R21" s="209"/>
      <c r="S21" s="209"/>
      <c r="T21" s="209"/>
      <c r="U21" s="209"/>
      <c r="V21" s="209"/>
      <c r="W21" s="209"/>
      <c r="X21" s="209"/>
      <c r="Y21" s="212"/>
      <c r="Z21" s="135" t="s">
        <v>126</v>
      </c>
      <c r="AA21" s="167" t="s">
        <v>83</v>
      </c>
      <c r="AB21" s="177">
        <f t="shared" si="0"/>
        <v>0</v>
      </c>
      <c r="AC21" s="178"/>
    </row>
    <row r="22" spans="1:38" s="93" customFormat="1" ht="111.45" customHeight="1" x14ac:dyDescent="0.65">
      <c r="A22" s="92">
        <v>8</v>
      </c>
      <c r="B22" s="94" t="s">
        <v>157</v>
      </c>
      <c r="C22" s="95" t="s">
        <v>127</v>
      </c>
      <c r="D22" s="92" t="s">
        <v>129</v>
      </c>
      <c r="E22" s="92" t="s">
        <v>134</v>
      </c>
      <c r="F22" s="101" t="s">
        <v>145</v>
      </c>
      <c r="G22" s="136" t="s">
        <v>173</v>
      </c>
      <c r="H22" s="103">
        <v>110</v>
      </c>
      <c r="I22" s="103">
        <v>1</v>
      </c>
      <c r="J22" s="104">
        <v>7.2</v>
      </c>
      <c r="K22" s="104">
        <f>IF(F22&lt;&gt;"",H22*I22*J22,"")</f>
        <v>792</v>
      </c>
      <c r="L22" s="104">
        <f>IF(K22&lt;&gt;"",IF(D22="INTERNO",0,K22*$L$14),"")</f>
        <v>59.4</v>
      </c>
      <c r="M22" s="104">
        <f>IF(K22&lt;&gt;"",IF(E22="FAT.OGGI",SUM(K22:L22)*(1/(1-$M$14)-1),L22*(1/(1-$M$14)-1)),0)</f>
        <v>206.63404995650558</v>
      </c>
      <c r="N22" s="105">
        <f>SUM(K22:M22)</f>
        <v>1058.0340499565054</v>
      </c>
      <c r="Q22" s="116">
        <v>1</v>
      </c>
      <c r="R22" s="107">
        <f>IF(I22&lt;&gt;"",I22,"")</f>
        <v>1</v>
      </c>
      <c r="S22" s="108">
        <v>649.5</v>
      </c>
      <c r="T22" s="108">
        <f>IF(Q22&lt;&gt;"",Q22*R22*S22,"")</f>
        <v>649.5</v>
      </c>
      <c r="U22" s="117">
        <f>IF(Q22&lt;&gt;"",K22-T22,"")</f>
        <v>142.5</v>
      </c>
      <c r="V22" s="118">
        <f>IF(Q22&lt;&gt;"",0%,"")</f>
        <v>0</v>
      </c>
      <c r="W22" s="119">
        <f>IF(Q22&lt;&gt;"",V22*U22,"")</f>
        <v>0</v>
      </c>
      <c r="X22" s="119">
        <f>IF(Q22&lt;&gt;"",W22+T22,"")</f>
        <v>649.5</v>
      </c>
      <c r="Y22" s="112">
        <f>IF(Q22&lt;&gt;"",X22+M22,"")</f>
        <v>856.13404995650558</v>
      </c>
      <c r="Z22" s="137" t="s">
        <v>131</v>
      </c>
      <c r="AA22" s="168">
        <f>IFERROR(T22/$T$24, "")</f>
        <v>0.7284820206823841</v>
      </c>
      <c r="AB22" s="177">
        <f t="shared" si="0"/>
        <v>0</v>
      </c>
      <c r="AC22" s="178">
        <v>649.5</v>
      </c>
      <c r="AL22" s="199" t="s">
        <v>182</v>
      </c>
    </row>
    <row r="23" spans="1:38" s="93" customFormat="1" ht="112.95" customHeight="1" thickBot="1" x14ac:dyDescent="0.7">
      <c r="A23" s="92">
        <v>9</v>
      </c>
      <c r="B23" s="94" t="s">
        <v>164</v>
      </c>
      <c r="C23" s="95" t="s">
        <v>127</v>
      </c>
      <c r="D23" s="92" t="s">
        <v>129</v>
      </c>
      <c r="E23" s="92" t="s">
        <v>134</v>
      </c>
      <c r="F23" s="138" t="s">
        <v>165</v>
      </c>
      <c r="G23" s="102" t="s">
        <v>167</v>
      </c>
      <c r="H23" s="139">
        <v>125</v>
      </c>
      <c r="I23" s="140">
        <v>1</v>
      </c>
      <c r="J23" s="141">
        <v>2.16</v>
      </c>
      <c r="K23" s="141">
        <f>IF(F23&lt;&gt;"",H23*I23*J23,"")</f>
        <v>270</v>
      </c>
      <c r="L23" s="141">
        <f>IF(K23&lt;&gt;"",IF(D23="INTERNO",0,K23*$L$14),"")</f>
        <v>20.25</v>
      </c>
      <c r="M23" s="141">
        <f>IF(K23&lt;&gt;"",IF(E23="FAT.OGGI",SUM(K23:L23)*(1/(1-$M$14)-1),L23*(1/(1-$M$14)-1)),0)</f>
        <v>70.443426121535992</v>
      </c>
      <c r="N23" s="142">
        <f>SUM(K23:M23)</f>
        <v>360.69342612153599</v>
      </c>
      <c r="Q23" s="143">
        <v>1</v>
      </c>
      <c r="R23" s="144">
        <f>IF(I23&lt;&gt;"",I23,"")</f>
        <v>1</v>
      </c>
      <c r="S23" s="145">
        <v>225.8</v>
      </c>
      <c r="T23" s="145">
        <f>IF(Q23&lt;&gt;"",Q23*R23*S23,"")+16.28</f>
        <v>242.08</v>
      </c>
      <c r="U23" s="146">
        <f>IF(Q23&lt;&gt;"",K23-T23,"")</f>
        <v>27.919999999999987</v>
      </c>
      <c r="V23" s="147">
        <f>IF(Q23&lt;&gt;"",0%,"")</f>
        <v>0</v>
      </c>
      <c r="W23" s="148">
        <f>IF(Q23&lt;&gt;"",V23*U23,"")</f>
        <v>0</v>
      </c>
      <c r="X23" s="148">
        <f>IF(Q23&lt;&gt;"",W23+T23,"")</f>
        <v>242.08</v>
      </c>
      <c r="Y23" s="149">
        <f>IF(Q23&lt;&gt;"",X23+M23,"")</f>
        <v>312.52342612153598</v>
      </c>
      <c r="Z23" s="150">
        <f>IF(Q23&lt;&gt;"", IFERROR(U23/K23, 0), 0)</f>
        <v>0.10340740740740736</v>
      </c>
      <c r="AA23" s="169">
        <f>IFERROR(T23/$T$24, "")</f>
        <v>0.2715179793176159</v>
      </c>
      <c r="AB23" s="177">
        <f t="shared" si="0"/>
        <v>0</v>
      </c>
      <c r="AC23" s="178">
        <f>225.8+16.28</f>
        <v>242.08</v>
      </c>
      <c r="AL23" s="199" t="s">
        <v>181</v>
      </c>
    </row>
    <row r="24" spans="1:38" s="93" customFormat="1" ht="78.45" customHeight="1" thickBot="1" x14ac:dyDescent="0.7">
      <c r="A24" s="92">
        <v>10</v>
      </c>
      <c r="B24" s="94"/>
      <c r="C24" s="95" t="s">
        <v>161</v>
      </c>
      <c r="D24" s="92"/>
      <c r="E24" s="92"/>
      <c r="F24" s="202" t="s">
        <v>166</v>
      </c>
      <c r="G24" s="203"/>
      <c r="H24" s="203"/>
      <c r="I24" s="203"/>
      <c r="J24" s="203"/>
      <c r="K24" s="151">
        <f>SUM(K22:K23)</f>
        <v>1062</v>
      </c>
      <c r="L24" s="151">
        <f>SUM(L22:L23)</f>
        <v>79.650000000000006</v>
      </c>
      <c r="M24" s="151">
        <f>SUM(M22:M23)</f>
        <v>277.07747607804157</v>
      </c>
      <c r="N24" s="152">
        <f>SUM(N22:N23)</f>
        <v>1418.7274760780415</v>
      </c>
      <c r="Q24" s="204" t="s">
        <v>166</v>
      </c>
      <c r="R24" s="205"/>
      <c r="S24" s="205"/>
      <c r="T24" s="153">
        <f>SUM(T22:T23)</f>
        <v>891.58</v>
      </c>
      <c r="U24" s="154">
        <f>SUM(U22:U23)</f>
        <v>170.42</v>
      </c>
      <c r="V24" s="155"/>
      <c r="W24" s="156"/>
      <c r="X24" s="157">
        <f>SUM(X22:X23)</f>
        <v>891.58</v>
      </c>
      <c r="Y24" s="157">
        <f>IF(Q24&lt;&gt;"",X24+M24,"")</f>
        <v>1168.6574760780416</v>
      </c>
      <c r="Z24" s="158" t="s">
        <v>131</v>
      </c>
      <c r="AA24" s="170" t="s">
        <v>168</v>
      </c>
      <c r="AB24" s="177"/>
      <c r="AC24" s="178"/>
    </row>
    <row r="25" spans="1:38" s="93" customFormat="1" ht="41.55" customHeight="1" thickBot="1" x14ac:dyDescent="0.7">
      <c r="A25" s="120">
        <v>11</v>
      </c>
      <c r="B25" s="159"/>
      <c r="C25" s="121" t="s">
        <v>130</v>
      </c>
      <c r="D25" s="120"/>
      <c r="E25" s="120"/>
      <c r="F25" s="160" t="s">
        <v>160</v>
      </c>
      <c r="G25" s="161"/>
      <c r="H25" s="161"/>
      <c r="I25" s="161"/>
      <c r="J25" s="161"/>
      <c r="K25" s="162">
        <f>SUM(K17:K18)+SUM(K22:K23)</f>
        <v>2712</v>
      </c>
      <c r="L25" s="162">
        <f>SUM(L17:L18)+SUM(L22:L23)</f>
        <v>79.650000000000006</v>
      </c>
      <c r="M25" s="162">
        <f>SUM(M17:M18)+SUM(M22:M23)</f>
        <v>677.53106126506782</v>
      </c>
      <c r="N25" s="163">
        <f>SUM(N17:N18)+SUM(N22:N23)</f>
        <v>3469.1810612650679</v>
      </c>
      <c r="Q25" s="160" t="s">
        <v>43</v>
      </c>
      <c r="R25" s="161"/>
      <c r="S25" s="161"/>
      <c r="T25" s="162">
        <f>SUM(T17:T18)+SUM(T22:T23)</f>
        <v>891.58</v>
      </c>
      <c r="U25" s="162">
        <f>SUM(U17:U18)+SUM(U22:U23)</f>
        <v>1820.42</v>
      </c>
      <c r="V25" s="161"/>
      <c r="W25" s="161"/>
      <c r="X25" s="162">
        <f>SUM(X17:X18)+SUM(X22:X23)</f>
        <v>891.58</v>
      </c>
      <c r="Y25" s="163">
        <f>SUM(Y17:Y18)+SUM(Y22:Y23)</f>
        <v>1569.1110612650677</v>
      </c>
      <c r="Z25" s="164">
        <f>IF(Q25&lt;&gt;"",(N25-Y25)/N25,"")</f>
        <v>0.54769986531262871</v>
      </c>
      <c r="AA25" s="171">
        <f>IF(Z25&lt;&gt;"",(N25-Y25),"")</f>
        <v>1900.0700000000002</v>
      </c>
      <c r="AB25" s="177">
        <f>SUM(AB17:AB24)</f>
        <v>0</v>
      </c>
      <c r="AC25" s="178">
        <f>SUM(AC17:AK24)</f>
        <v>891.58</v>
      </c>
    </row>
    <row r="26" spans="1:38" ht="36.450000000000003" customHeight="1" x14ac:dyDescent="0.5">
      <c r="G26" s="47" t="s">
        <v>174</v>
      </c>
    </row>
    <row r="27" spans="1:38" ht="26.4" thickBot="1" x14ac:dyDescent="0.55000000000000004">
      <c r="K27" s="282">
        <f>K25+L25</f>
        <v>2791.65</v>
      </c>
    </row>
    <row r="28" spans="1:38" ht="38.4" x14ac:dyDescent="0.7">
      <c r="AB28" s="283">
        <f>K27*0.15</f>
        <v>418.7475</v>
      </c>
      <c r="AC28" s="284" t="s">
        <v>125</v>
      </c>
    </row>
    <row r="29" spans="1:38" ht="38.4" x14ac:dyDescent="0.7">
      <c r="AB29" s="285">
        <f>AC25+AB28</f>
        <v>1310.3275000000001</v>
      </c>
      <c r="AC29" s="286" t="s">
        <v>175</v>
      </c>
    </row>
    <row r="30" spans="1:38" ht="39" thickBot="1" x14ac:dyDescent="0.75">
      <c r="AB30" s="287">
        <f>N25-AB29</f>
        <v>2158.8535612650676</v>
      </c>
      <c r="AC30" s="288" t="s">
        <v>176</v>
      </c>
    </row>
    <row r="31" spans="1:38" ht="38.4" x14ac:dyDescent="0.7">
      <c r="AB31" s="289">
        <f>AB30*100%/N25</f>
        <v>0.62229486531262868</v>
      </c>
    </row>
  </sheetData>
  <mergeCells count="19">
    <mergeCell ref="AB14:AC14"/>
    <mergeCell ref="AH12:AI12"/>
    <mergeCell ref="F1:G1"/>
    <mergeCell ref="F2:G2"/>
    <mergeCell ref="Q12:T12"/>
    <mergeCell ref="U12:X12"/>
    <mergeCell ref="AD12:AF12"/>
    <mergeCell ref="F24:J24"/>
    <mergeCell ref="Q24:S24"/>
    <mergeCell ref="F15:N15"/>
    <mergeCell ref="Q15:Y15"/>
    <mergeCell ref="F16:K16"/>
    <mergeCell ref="Q16:Y16"/>
    <mergeCell ref="F20:N20"/>
    <mergeCell ref="Q20:Y20"/>
    <mergeCell ref="F21:K21"/>
    <mergeCell ref="Q21:Y21"/>
    <mergeCell ref="F19:J19"/>
    <mergeCell ref="Q19:S19"/>
  </mergeCells>
  <dataValidations count="3">
    <dataValidation type="list" allowBlank="1" showInputMessage="1" showErrorMessage="1" sqref="D17:D19 D22:D25" xr:uid="{3EFE53A9-6730-4F75-830F-74A58BE49321}">
      <formula1>"INTERNO,OPERACIONAL"</formula1>
    </dataValidation>
    <dataValidation type="list" allowBlank="1" showInputMessage="1" showErrorMessage="1" sqref="E17:E19 E22:E24" xr:uid="{CD75B295-2527-4911-908C-60EF7E809F77}">
      <formula1>"FAT.OGGI,FAT.CLIENTE"</formula1>
    </dataValidation>
    <dataValidation type="list" allowBlank="1" showInputMessage="1" showErrorMessage="1" sqref="E25" xr:uid="{3A4B3FDD-2EAD-4FCD-8C1C-723265420EDC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46BC-F466-41B3-9E18-8A665D569CB6}">
  <sheetPr codeName="Planilha1"/>
  <dimension ref="A1:E6"/>
  <sheetViews>
    <sheetView workbookViewId="0">
      <selection activeCell="C6" sqref="C6"/>
    </sheetView>
  </sheetViews>
  <sheetFormatPr defaultRowHeight="14.4" x14ac:dyDescent="0.3"/>
  <cols>
    <col min="1" max="1" width="11.21875" customWidth="1"/>
    <col min="3" max="3" width="15.33203125" customWidth="1"/>
    <col min="4" max="4" width="16.109375" customWidth="1"/>
    <col min="5" max="5" width="13.77734375" bestFit="1" customWidth="1"/>
  </cols>
  <sheetData>
    <row r="1" spans="1:5" ht="15" thickBot="1" x14ac:dyDescent="0.35"/>
    <row r="2" spans="1:5" ht="15" thickBot="1" x14ac:dyDescent="0.35">
      <c r="A2" s="231" t="s">
        <v>135</v>
      </c>
      <c r="B2" s="232"/>
      <c r="C2" s="232"/>
      <c r="D2" s="233"/>
    </row>
    <row r="3" spans="1:5" x14ac:dyDescent="0.3">
      <c r="A3" s="34"/>
      <c r="B3" s="34"/>
      <c r="C3" s="41" t="s">
        <v>136</v>
      </c>
      <c r="D3" s="41" t="s">
        <v>137</v>
      </c>
    </row>
    <row r="4" spans="1:5" x14ac:dyDescent="0.3">
      <c r="A4" s="42" t="s">
        <v>163</v>
      </c>
      <c r="B4" s="39"/>
      <c r="C4" s="40">
        <f>Planilha!N19</f>
        <v>2050.4535851870264</v>
      </c>
      <c r="D4" s="40">
        <f>Planilha!Y19</f>
        <v>400.45358518702631</v>
      </c>
      <c r="E4" s="43"/>
    </row>
    <row r="5" spans="1:5" x14ac:dyDescent="0.3">
      <c r="A5" s="42" t="s">
        <v>153</v>
      </c>
      <c r="B5" s="39"/>
      <c r="C5" s="40">
        <f>Planilha!N24</f>
        <v>1418.7274760780415</v>
      </c>
      <c r="D5" s="40">
        <f>Planilha!Y24</f>
        <v>1168.6574760780416</v>
      </c>
      <c r="E5" s="43"/>
    </row>
    <row r="6" spans="1:5" x14ac:dyDescent="0.3">
      <c r="A6" s="44" t="s">
        <v>138</v>
      </c>
      <c r="B6" s="39"/>
      <c r="C6" s="45">
        <f>SUM(C4+C5)</f>
        <v>3469.1810612650679</v>
      </c>
      <c r="D6" s="45">
        <f>SUM(D4+D5)</f>
        <v>1569.1110612650677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C25" sqref="C25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77734375"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235" t="s">
        <v>11</v>
      </c>
      <c r="B1" s="235"/>
      <c r="C1" s="235"/>
      <c r="D1" s="237" t="s">
        <v>61</v>
      </c>
      <c r="E1" s="237"/>
      <c r="F1" s="237"/>
      <c r="G1" s="237"/>
      <c r="H1" s="237"/>
      <c r="I1" s="237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36"/>
      <c r="B2" s="236"/>
      <c r="C2" s="236"/>
      <c r="D2" s="235" t="s">
        <v>62</v>
      </c>
      <c r="E2" s="235"/>
      <c r="F2" s="235"/>
      <c r="G2" s="235"/>
      <c r="H2" s="235"/>
      <c r="I2" s="235"/>
      <c r="J2" s="26"/>
      <c r="K2" s="26"/>
      <c r="L2" s="26"/>
      <c r="M2" s="26"/>
      <c r="N2" s="26"/>
      <c r="O2" s="238" t="s">
        <v>63</v>
      </c>
    </row>
    <row r="3" spans="1:15" x14ac:dyDescent="0.3">
      <c r="A3" s="236"/>
      <c r="B3" s="236"/>
      <c r="C3" s="236"/>
      <c r="D3" s="235" t="s">
        <v>64</v>
      </c>
      <c r="E3" s="235"/>
      <c r="F3" s="235"/>
      <c r="G3" s="235"/>
      <c r="H3" s="235"/>
      <c r="I3" s="235"/>
      <c r="J3" s="26"/>
      <c r="K3" s="26"/>
      <c r="L3" s="26"/>
      <c r="M3" s="26"/>
      <c r="N3" s="26"/>
      <c r="O3" s="239"/>
    </row>
    <row r="4" spans="1:15" x14ac:dyDescent="0.3">
      <c r="A4" s="236"/>
      <c r="B4" s="236"/>
      <c r="C4" s="236"/>
      <c r="D4" s="235" t="s">
        <v>65</v>
      </c>
      <c r="E4" s="235"/>
      <c r="F4" s="235"/>
      <c r="G4" s="235"/>
      <c r="H4" s="235"/>
      <c r="I4" s="235"/>
      <c r="J4" s="26"/>
      <c r="K4" s="26"/>
      <c r="L4" s="26"/>
      <c r="M4" s="26"/>
      <c r="N4" s="26"/>
      <c r="O4" s="239"/>
    </row>
    <row r="5" spans="1:15" x14ac:dyDescent="0.3">
      <c r="A5" s="236"/>
      <c r="B5" s="236"/>
      <c r="C5" s="236"/>
      <c r="D5" s="235" t="s">
        <v>66</v>
      </c>
      <c r="E5" s="235"/>
      <c r="F5" s="235"/>
      <c r="G5" s="235"/>
      <c r="H5" s="235"/>
      <c r="I5" s="235"/>
      <c r="J5" s="26"/>
      <c r="K5" s="26"/>
      <c r="L5" s="26"/>
      <c r="M5" s="26"/>
      <c r="N5" s="26"/>
      <c r="O5" s="239"/>
    </row>
    <row r="6" spans="1:15" x14ac:dyDescent="0.3">
      <c r="A6" s="236"/>
      <c r="B6" s="236"/>
      <c r="C6" s="23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39"/>
    </row>
    <row r="7" spans="1:15" x14ac:dyDescent="0.3">
      <c r="A7" s="236"/>
      <c r="B7" s="236"/>
      <c r="C7" s="236"/>
      <c r="D7" s="235" t="s">
        <v>67</v>
      </c>
      <c r="E7" s="235"/>
      <c r="F7" s="235"/>
      <c r="G7" s="235"/>
      <c r="H7" s="235"/>
      <c r="I7" s="235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34" t="s">
        <v>68</v>
      </c>
      <c r="B8" s="234"/>
      <c r="C8" s="234"/>
      <c r="D8" s="234"/>
      <c r="E8" s="234"/>
      <c r="F8" s="234"/>
      <c r="G8" s="234"/>
      <c r="H8" s="234"/>
      <c r="I8" s="234"/>
      <c r="J8" s="234"/>
      <c r="K8" s="234"/>
      <c r="L8" s="234"/>
      <c r="M8" s="234"/>
      <c r="N8" s="234"/>
      <c r="O8" s="234"/>
    </row>
    <row r="9" spans="1:15" ht="27.6" x14ac:dyDescent="0.3">
      <c r="A9" s="29" t="s">
        <v>69</v>
      </c>
      <c r="B9" s="29" t="s">
        <v>70</v>
      </c>
      <c r="C9" s="29" t="s">
        <v>71</v>
      </c>
      <c r="D9" s="29" t="s">
        <v>52</v>
      </c>
      <c r="E9" s="29" t="s">
        <v>72</v>
      </c>
      <c r="F9" s="29" t="s">
        <v>73</v>
      </c>
      <c r="G9" s="29" t="s">
        <v>34</v>
      </c>
      <c r="H9" s="29" t="s">
        <v>74</v>
      </c>
      <c r="I9" s="29" t="s">
        <v>75</v>
      </c>
      <c r="J9" s="29" t="s">
        <v>73</v>
      </c>
      <c r="K9" s="29" t="s">
        <v>76</v>
      </c>
      <c r="L9" s="29" t="s">
        <v>77</v>
      </c>
      <c r="M9" s="29" t="s">
        <v>78</v>
      </c>
      <c r="N9" s="29" t="s">
        <v>79</v>
      </c>
      <c r="O9" s="30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77734375"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4414062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243" t="s">
        <v>3</v>
      </c>
      <c r="C2" s="244"/>
      <c r="D2" s="244"/>
      <c r="E2" s="244"/>
      <c r="F2" s="244"/>
      <c r="G2" s="244"/>
      <c r="H2" s="244"/>
      <c r="I2" s="244"/>
      <c r="J2" s="244"/>
      <c r="K2" s="244"/>
      <c r="L2" s="245"/>
    </row>
    <row r="3" spans="2:12" ht="47.55" customHeight="1" thickBot="1" x14ac:dyDescent="0.35">
      <c r="B3" s="246" t="s">
        <v>12</v>
      </c>
      <c r="C3" s="247"/>
      <c r="D3" s="247"/>
      <c r="E3" s="247"/>
      <c r="F3" s="247"/>
      <c r="G3" s="247"/>
      <c r="H3" s="247"/>
      <c r="I3" s="247"/>
      <c r="J3" s="247"/>
      <c r="K3" s="247"/>
      <c r="L3" s="248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49" t="s">
        <v>13</v>
      </c>
      <c r="D6" s="249"/>
      <c r="E6" s="249"/>
      <c r="F6" s="249"/>
      <c r="G6" s="249"/>
      <c r="H6" s="249"/>
      <c r="I6" s="249"/>
      <c r="J6" s="249"/>
      <c r="K6" s="249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50" t="s">
        <v>106</v>
      </c>
      <c r="E8" s="251"/>
      <c r="F8" s="251"/>
      <c r="G8" s="251"/>
      <c r="H8" s="251"/>
      <c r="I8" s="251"/>
      <c r="J8" s="251"/>
      <c r="K8" s="252"/>
      <c r="L8" s="5"/>
    </row>
    <row r="9" spans="2:12" x14ac:dyDescent="0.3">
      <c r="B9" s="4"/>
      <c r="C9" s="7" t="s">
        <v>15</v>
      </c>
      <c r="D9" s="240" t="s">
        <v>16</v>
      </c>
      <c r="E9" s="241"/>
      <c r="F9" s="241"/>
      <c r="G9" s="241"/>
      <c r="H9" s="241"/>
      <c r="I9" s="241"/>
      <c r="J9" s="241"/>
      <c r="K9" s="242"/>
      <c r="L9" s="5"/>
    </row>
    <row r="10" spans="2:12" x14ac:dyDescent="0.3">
      <c r="B10" s="4"/>
      <c r="C10" s="7" t="s">
        <v>17</v>
      </c>
      <c r="D10" s="240" t="s">
        <v>11</v>
      </c>
      <c r="E10" s="241"/>
      <c r="F10" s="241"/>
      <c r="G10" s="241"/>
      <c r="H10" s="241"/>
      <c r="I10" s="241"/>
      <c r="J10" s="241"/>
      <c r="K10" s="242"/>
      <c r="L10" s="5"/>
    </row>
    <row r="11" spans="2:12" x14ac:dyDescent="0.3">
      <c r="B11" s="4"/>
      <c r="C11" s="7" t="s">
        <v>18</v>
      </c>
      <c r="D11" s="240" t="s">
        <v>107</v>
      </c>
      <c r="E11" s="241"/>
      <c r="F11" s="241"/>
      <c r="G11" s="241"/>
      <c r="H11" s="241"/>
      <c r="I11" s="241"/>
      <c r="J11" s="241"/>
      <c r="K11" s="242"/>
      <c r="L11" s="5"/>
    </row>
    <row r="12" spans="2:12" x14ac:dyDescent="0.3">
      <c r="B12" s="4"/>
      <c r="C12" s="10" t="s">
        <v>19</v>
      </c>
      <c r="D12" s="253" t="s">
        <v>108</v>
      </c>
      <c r="E12" s="254"/>
      <c r="F12" s="254"/>
      <c r="G12" s="254"/>
      <c r="H12" s="255"/>
      <c r="I12" s="11" t="s">
        <v>20</v>
      </c>
      <c r="J12" s="253" t="s">
        <v>105</v>
      </c>
      <c r="K12" s="255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49" t="s">
        <v>21</v>
      </c>
      <c r="D16" s="249"/>
      <c r="E16" s="249"/>
      <c r="F16" s="249"/>
      <c r="G16" s="249"/>
      <c r="H16" s="249"/>
      <c r="I16" s="249"/>
      <c r="J16" s="249"/>
      <c r="K16" s="249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56" t="s">
        <v>81</v>
      </c>
      <c r="E18" s="256"/>
      <c r="F18" s="256"/>
      <c r="G18" s="257"/>
      <c r="H18" s="256" t="s">
        <v>22</v>
      </c>
      <c r="I18" s="256"/>
      <c r="J18" s="256"/>
      <c r="K18" s="257"/>
      <c r="L18" s="5"/>
    </row>
    <row r="19" spans="2:12" x14ac:dyDescent="0.3">
      <c r="B19" s="4"/>
      <c r="C19" s="15" t="s">
        <v>23</v>
      </c>
      <c r="D19" s="258" t="s">
        <v>110</v>
      </c>
      <c r="E19" s="259"/>
      <c r="F19" s="259"/>
      <c r="G19" s="259"/>
      <c r="H19" s="259"/>
      <c r="I19" s="259"/>
      <c r="J19" s="259"/>
      <c r="K19" s="260"/>
      <c r="L19" s="5"/>
    </row>
    <row r="20" spans="2:12" x14ac:dyDescent="0.3">
      <c r="B20" s="4"/>
      <c r="C20" s="7" t="s">
        <v>24</v>
      </c>
      <c r="D20" s="240"/>
      <c r="E20" s="241"/>
      <c r="F20" s="241"/>
      <c r="G20" s="241"/>
      <c r="H20" s="241"/>
      <c r="I20" s="241"/>
      <c r="J20" s="241"/>
      <c r="K20" s="242"/>
      <c r="L20" s="5"/>
    </row>
    <row r="21" spans="2:12" x14ac:dyDescent="0.3">
      <c r="B21" s="4"/>
      <c r="C21" s="7" t="s">
        <v>25</v>
      </c>
      <c r="D21" s="240" t="s">
        <v>114</v>
      </c>
      <c r="E21" s="242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40" t="s">
        <v>109</v>
      </c>
      <c r="E22" s="241"/>
      <c r="F22" s="241"/>
      <c r="G22" s="242"/>
      <c r="H22" s="7" t="s">
        <v>29</v>
      </c>
      <c r="I22" s="240"/>
      <c r="J22" s="241"/>
      <c r="K22" s="242"/>
      <c r="L22" s="5"/>
    </row>
    <row r="23" spans="2:12" x14ac:dyDescent="0.3">
      <c r="B23" s="4"/>
      <c r="C23" s="10" t="s">
        <v>30</v>
      </c>
      <c r="D23" s="253" t="s">
        <v>111</v>
      </c>
      <c r="E23" s="254"/>
      <c r="F23" s="254"/>
      <c r="G23" s="255"/>
      <c r="H23" s="10" t="s">
        <v>31</v>
      </c>
      <c r="I23" s="253" t="s">
        <v>11</v>
      </c>
      <c r="J23" s="254"/>
      <c r="K23" s="255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49" t="s">
        <v>21</v>
      </c>
      <c r="D27" s="249"/>
      <c r="E27" s="249"/>
      <c r="F27" s="249"/>
      <c r="G27" s="249"/>
      <c r="H27" s="249"/>
      <c r="I27" s="249"/>
      <c r="J27" s="249"/>
      <c r="K27" s="249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61" t="s">
        <v>33</v>
      </c>
      <c r="E29" s="257"/>
      <c r="F29" s="261" t="s">
        <v>34</v>
      </c>
      <c r="G29" s="257"/>
      <c r="H29" s="262" t="s">
        <v>35</v>
      </c>
      <c r="I29" s="262"/>
      <c r="J29" s="262"/>
      <c r="K29" s="263"/>
      <c r="L29" s="5"/>
    </row>
    <row r="30" spans="2:12" x14ac:dyDescent="0.3">
      <c r="B30" s="4"/>
      <c r="C30" s="17" t="s">
        <v>36</v>
      </c>
      <c r="D30" s="264" t="s">
        <v>112</v>
      </c>
      <c r="E30" s="265"/>
      <c r="F30" s="266" t="s">
        <v>117</v>
      </c>
      <c r="G30" s="267"/>
      <c r="H30" s="18" t="s">
        <v>113</v>
      </c>
      <c r="I30" s="261" t="s">
        <v>40</v>
      </c>
      <c r="J30" s="257"/>
      <c r="K30" s="6" t="s">
        <v>38</v>
      </c>
      <c r="L30" s="5"/>
    </row>
    <row r="31" spans="2:12" x14ac:dyDescent="0.3">
      <c r="B31" s="4"/>
      <c r="C31" s="17" t="s">
        <v>39</v>
      </c>
      <c r="D31" s="264" t="s">
        <v>11</v>
      </c>
      <c r="E31" s="265"/>
      <c r="F31" s="266" t="s">
        <v>11</v>
      </c>
      <c r="G31" s="267"/>
      <c r="H31" s="17" t="s">
        <v>37</v>
      </c>
      <c r="I31" s="270" t="s">
        <v>40</v>
      </c>
      <c r="J31" s="271"/>
      <c r="K31" s="7" t="s">
        <v>38</v>
      </c>
      <c r="L31" s="5"/>
    </row>
    <row r="32" spans="2:12" x14ac:dyDescent="0.3">
      <c r="B32" s="4"/>
      <c r="C32" s="17" t="s">
        <v>41</v>
      </c>
      <c r="D32" s="264" t="s">
        <v>11</v>
      </c>
      <c r="E32" s="265"/>
      <c r="F32" s="266" t="s">
        <v>11</v>
      </c>
      <c r="G32" s="267"/>
      <c r="H32" s="17" t="s">
        <v>37</v>
      </c>
      <c r="I32" s="270" t="s">
        <v>40</v>
      </c>
      <c r="J32" s="271"/>
      <c r="K32" s="7" t="s">
        <v>38</v>
      </c>
      <c r="L32" s="5"/>
    </row>
    <row r="33" spans="2:12" x14ac:dyDescent="0.3">
      <c r="B33" s="4"/>
      <c r="C33" s="19" t="s">
        <v>42</v>
      </c>
      <c r="D33" s="264" t="s">
        <v>11</v>
      </c>
      <c r="E33" s="265"/>
      <c r="F33" s="268" t="s">
        <v>11</v>
      </c>
      <c r="G33" s="269"/>
      <c r="H33" s="17" t="s">
        <v>37</v>
      </c>
      <c r="I33" s="270" t="s">
        <v>40</v>
      </c>
      <c r="J33" s="271"/>
      <c r="K33" s="7" t="s">
        <v>38</v>
      </c>
      <c r="L33" s="5"/>
    </row>
    <row r="34" spans="2:12" x14ac:dyDescent="0.3">
      <c r="B34" s="4"/>
      <c r="C34" s="272" t="s">
        <v>43</v>
      </c>
      <c r="D34" s="273"/>
      <c r="E34" s="274"/>
      <c r="F34" s="275" t="s">
        <v>117</v>
      </c>
      <c r="G34" s="276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49" t="s">
        <v>44</v>
      </c>
      <c r="D38" s="249"/>
      <c r="E38" s="249"/>
      <c r="F38" s="249"/>
      <c r="G38" s="249"/>
      <c r="H38" s="249"/>
      <c r="I38" s="249"/>
      <c r="J38" s="249"/>
      <c r="K38" s="249"/>
      <c r="L38" s="5"/>
    </row>
    <row r="39" spans="2:12" x14ac:dyDescent="0.3">
      <c r="B39" s="4"/>
      <c r="C39" s="280" t="s">
        <v>118</v>
      </c>
      <c r="D39" s="280"/>
      <c r="E39" s="280"/>
      <c r="F39" s="280"/>
      <c r="G39" s="280"/>
      <c r="H39" s="280"/>
      <c r="I39" s="280"/>
      <c r="J39" s="280"/>
      <c r="K39" s="280"/>
      <c r="L39" s="5"/>
    </row>
    <row r="40" spans="2:12" x14ac:dyDescent="0.3">
      <c r="B40" s="4"/>
      <c r="C40" s="280"/>
      <c r="D40" s="280"/>
      <c r="E40" s="280"/>
      <c r="F40" s="280"/>
      <c r="G40" s="280"/>
      <c r="H40" s="280"/>
      <c r="I40" s="280"/>
      <c r="J40" s="280"/>
      <c r="K40" s="280"/>
      <c r="L40" s="5"/>
    </row>
    <row r="41" spans="2:12" x14ac:dyDescent="0.3">
      <c r="B41" s="4"/>
      <c r="C41" s="280"/>
      <c r="D41" s="280"/>
      <c r="E41" s="280"/>
      <c r="F41" s="280"/>
      <c r="G41" s="280"/>
      <c r="H41" s="280"/>
      <c r="I41" s="280"/>
      <c r="J41" s="280"/>
      <c r="K41" s="280"/>
      <c r="L41" s="5"/>
    </row>
    <row r="42" spans="2:12" x14ac:dyDescent="0.3">
      <c r="B42" s="4"/>
      <c r="C42" s="280"/>
      <c r="D42" s="280"/>
      <c r="E42" s="280"/>
      <c r="F42" s="280"/>
      <c r="G42" s="280"/>
      <c r="H42" s="280"/>
      <c r="I42" s="280"/>
      <c r="J42" s="280"/>
      <c r="K42" s="280"/>
      <c r="L42" s="5"/>
    </row>
    <row r="43" spans="2:12" x14ac:dyDescent="0.3">
      <c r="B43" s="4"/>
      <c r="C43" s="280"/>
      <c r="D43" s="280"/>
      <c r="E43" s="280"/>
      <c r="F43" s="280"/>
      <c r="G43" s="280"/>
      <c r="H43" s="280"/>
      <c r="I43" s="280"/>
      <c r="J43" s="280"/>
      <c r="K43" s="280"/>
      <c r="L43" s="5"/>
    </row>
    <row r="44" spans="2:12" x14ac:dyDescent="0.3">
      <c r="B44" s="4"/>
      <c r="C44" s="280"/>
      <c r="D44" s="280"/>
      <c r="E44" s="280"/>
      <c r="F44" s="280"/>
      <c r="G44" s="280"/>
      <c r="H44" s="280"/>
      <c r="I44" s="280"/>
      <c r="J44" s="280"/>
      <c r="K44" s="280"/>
      <c r="L44" s="5"/>
    </row>
    <row r="45" spans="2:12" x14ac:dyDescent="0.3">
      <c r="B45" s="4"/>
      <c r="C45" s="281"/>
      <c r="D45" s="281"/>
      <c r="E45" s="281"/>
      <c r="F45" s="281"/>
      <c r="G45" s="281"/>
      <c r="H45" s="281"/>
      <c r="I45" s="281"/>
      <c r="J45" s="281"/>
      <c r="K45" s="281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77" t="s">
        <v>45</v>
      </c>
      <c r="C48" s="278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79" t="s">
        <v>46</v>
      </c>
      <c r="D51" s="279"/>
      <c r="E51" s="279"/>
      <c r="F51" s="279"/>
      <c r="H51" s="279" t="s">
        <v>47</v>
      </c>
      <c r="I51" s="279"/>
      <c r="J51" s="279"/>
      <c r="K51" s="279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Planilha</vt:lpstr>
      <vt:lpstr>TOTAL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2023-12-01T16:55:00Z</cp:lastPrinted>
  <dcterms:created xsi:type="dcterms:W3CDTF">2023-09-21T21:02:20Z</dcterms:created>
  <dcterms:modified xsi:type="dcterms:W3CDTF">2026-02-24T01:36:00Z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