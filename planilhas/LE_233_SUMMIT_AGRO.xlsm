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4 abril\"/>
    </mc:Choice>
  </mc:AlternateContent>
  <xr:revisionPtr revIDLastSave="0" documentId="13_ncr:1_{995BA5D0-24D8-47DD-8AF2-7F3CBF0B154A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SUMMIT AGRO  " sheetId="94" r:id="rId2"/>
    <sheet name="ItensOrc" sheetId="76" state="hidden" r:id="rId3"/>
    <sheet name="Template SP" sheetId="3" r:id="rId4"/>
  </sheets>
  <definedNames>
    <definedName name="_xlnm._FilterDatabase" localSheetId="1" hidden="1">'SUMMIT AGRO  '!$A$1:$AL$14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95" l="1"/>
  <c r="E28" i="95"/>
  <c r="E29" i="95"/>
  <c r="D29" i="95"/>
  <c r="F29" i="95"/>
  <c r="F28" i="95"/>
  <c r="D28" i="95"/>
  <c r="F23" i="95"/>
  <c r="E23" i="95"/>
  <c r="D23" i="95"/>
  <c r="C23" i="95"/>
  <c r="AL44" i="94"/>
  <c r="AL43" i="94"/>
  <c r="AL42" i="94"/>
  <c r="AL38" i="94"/>
  <c r="C22" i="95"/>
  <c r="D30" i="95" l="1"/>
  <c r="C30" i="95"/>
  <c r="E3" i="95"/>
  <c r="AL40" i="94" l="1"/>
  <c r="AK18" i="94"/>
  <c r="AK19" i="94"/>
  <c r="AK20" i="94"/>
  <c r="AK21" i="94"/>
  <c r="AK22" i="94"/>
  <c r="AK25" i="94"/>
  <c r="AK26" i="94"/>
  <c r="AK27" i="94"/>
  <c r="AK28" i="94"/>
  <c r="AK30" i="94"/>
  <c r="AK31" i="94"/>
  <c r="AK35" i="94"/>
  <c r="AK36" i="94"/>
  <c r="AK37" i="94"/>
  <c r="AK17" i="94"/>
  <c r="AD28" i="94"/>
  <c r="N20" i="94"/>
  <c r="N24" i="94"/>
  <c r="M24" i="94"/>
  <c r="L24" i="94"/>
  <c r="K24" i="94"/>
  <c r="M20" i="94"/>
  <c r="L20" i="94"/>
  <c r="K20" i="94"/>
  <c r="R33" i="94"/>
  <c r="Q33" i="94"/>
  <c r="V33" i="94" s="1"/>
  <c r="K33" i="94"/>
  <c r="R32" i="94"/>
  <c r="Q32" i="94"/>
  <c r="V32" i="94" s="1"/>
  <c r="K32" i="94"/>
  <c r="R31" i="94"/>
  <c r="Q31" i="94"/>
  <c r="V31" i="94" s="1"/>
  <c r="K31" i="94"/>
  <c r="R30" i="94"/>
  <c r="Q30" i="94"/>
  <c r="K30" i="94"/>
  <c r="K28" i="94"/>
  <c r="R29" i="94"/>
  <c r="K29" i="94"/>
  <c r="R38" i="94"/>
  <c r="Q38" i="94"/>
  <c r="K38" i="94"/>
  <c r="K39" i="94" s="1"/>
  <c r="R37" i="94"/>
  <c r="Q37" i="94"/>
  <c r="K37" i="94"/>
  <c r="Q36" i="94"/>
  <c r="Q35" i="94"/>
  <c r="Q28" i="94"/>
  <c r="Q27" i="94"/>
  <c r="Q26" i="94"/>
  <c r="Q25" i="94"/>
  <c r="Q23" i="94"/>
  <c r="K23" i="94"/>
  <c r="Q22" i="94"/>
  <c r="Q21" i="94"/>
  <c r="R19" i="94"/>
  <c r="Q19" i="94"/>
  <c r="K19" i="94"/>
  <c r="R18" i="94"/>
  <c r="Q18" i="94"/>
  <c r="K18" i="94"/>
  <c r="R17" i="94"/>
  <c r="Q17" i="94"/>
  <c r="K17" i="94"/>
  <c r="Q16" i="94"/>
  <c r="Q15" i="94"/>
  <c r="Z12" i="94"/>
  <c r="K40" i="94" l="1"/>
  <c r="K34" i="94"/>
  <c r="T31" i="94"/>
  <c r="U33" i="94"/>
  <c r="L33" i="94"/>
  <c r="M33" i="94" s="1"/>
  <c r="L32" i="94"/>
  <c r="U31" i="94"/>
  <c r="L31" i="94"/>
  <c r="V30" i="94"/>
  <c r="T30" i="94"/>
  <c r="U30" i="94" s="1"/>
  <c r="Z30" i="94" s="1"/>
  <c r="L30" i="94"/>
  <c r="L28" i="94"/>
  <c r="V29" i="94"/>
  <c r="AD29" i="94"/>
  <c r="L29" i="94"/>
  <c r="V37" i="94"/>
  <c r="T37" i="94"/>
  <c r="L17" i="94"/>
  <c r="V38" i="94"/>
  <c r="T39" i="94"/>
  <c r="L38" i="94"/>
  <c r="L39" i="94" s="1"/>
  <c r="L37" i="94"/>
  <c r="T28" i="94"/>
  <c r="V28" i="94"/>
  <c r="V23" i="94"/>
  <c r="T24" i="94"/>
  <c r="L23" i="94"/>
  <c r="T19" i="94"/>
  <c r="V19" i="94"/>
  <c r="L19" i="94"/>
  <c r="V18" i="94"/>
  <c r="T18" i="94"/>
  <c r="U18" i="94" s="1"/>
  <c r="Z18" i="94" s="1"/>
  <c r="L18" i="94"/>
  <c r="M18" i="94" s="1"/>
  <c r="N18" i="94" s="1"/>
  <c r="T17" i="94"/>
  <c r="V17" i="94"/>
  <c r="T20" i="94" l="1"/>
  <c r="T34" i="94"/>
  <c r="T40" i="94"/>
  <c r="Z31" i="94"/>
  <c r="W31" i="94"/>
  <c r="X31" i="94" s="1"/>
  <c r="M31" i="94"/>
  <c r="Y31" i="94" s="1"/>
  <c r="L34" i="94"/>
  <c r="L40" i="94"/>
  <c r="Z33" i="94"/>
  <c r="W33" i="94"/>
  <c r="X33" i="94" s="1"/>
  <c r="AK33" i="94" s="1"/>
  <c r="U32" i="94"/>
  <c r="M32" i="94"/>
  <c r="N33" i="94"/>
  <c r="W30" i="94"/>
  <c r="X30" i="94" s="1"/>
  <c r="M30" i="94"/>
  <c r="N30" i="94" s="1"/>
  <c r="U29" i="94"/>
  <c r="M29" i="94"/>
  <c r="AA17" i="94"/>
  <c r="U19" i="94"/>
  <c r="W19" i="94" s="1"/>
  <c r="X19" i="94" s="1"/>
  <c r="U37" i="94"/>
  <c r="M28" i="94"/>
  <c r="U23" i="94"/>
  <c r="U24" i="94" s="1"/>
  <c r="U17" i="94"/>
  <c r="U20" i="94" s="1"/>
  <c r="U28" i="94"/>
  <c r="M17" i="94"/>
  <c r="U38" i="94"/>
  <c r="U39" i="94" s="1"/>
  <c r="M23" i="94"/>
  <c r="M38" i="94"/>
  <c r="M39" i="94" s="1"/>
  <c r="M37" i="94"/>
  <c r="M19" i="94"/>
  <c r="W18" i="94"/>
  <c r="X18" i="94" s="1"/>
  <c r="U34" i="94" l="1"/>
  <c r="U40" i="94"/>
  <c r="M40" i="94"/>
  <c r="M34" i="94"/>
  <c r="N31" i="94"/>
  <c r="N40" i="94" s="1"/>
  <c r="Y33" i="94"/>
  <c r="W32" i="94"/>
  <c r="X32" i="94" s="1"/>
  <c r="AK32" i="94" s="1"/>
  <c r="Z32" i="94"/>
  <c r="N32" i="94"/>
  <c r="Y30" i="94"/>
  <c r="W29" i="94"/>
  <c r="X29" i="94" s="1"/>
  <c r="AK29" i="94" s="1"/>
  <c r="Z29" i="94"/>
  <c r="N29" i="94"/>
  <c r="Z19" i="94"/>
  <c r="AA37" i="94"/>
  <c r="AA38" i="94"/>
  <c r="Z23" i="94"/>
  <c r="W23" i="94"/>
  <c r="X23" i="94" s="1"/>
  <c r="W28" i="94"/>
  <c r="X28" i="94" s="1"/>
  <c r="W17" i="94"/>
  <c r="X17" i="94" s="1"/>
  <c r="X20" i="94" s="1"/>
  <c r="Z17" i="94"/>
  <c r="W37" i="94"/>
  <c r="X37" i="94" s="1"/>
  <c r="Z37" i="94"/>
  <c r="N28" i="94"/>
  <c r="N23" i="94"/>
  <c r="Z28" i="94"/>
  <c r="Z38" i="94"/>
  <c r="W38" i="94"/>
  <c r="X38" i="94" s="1"/>
  <c r="AK38" i="94" s="1"/>
  <c r="N38" i="94"/>
  <c r="N39" i="94" s="1"/>
  <c r="N19" i="94"/>
  <c r="N17" i="94"/>
  <c r="Y18" i="94"/>
  <c r="AA28" i="94"/>
  <c r="AA18" i="94"/>
  <c r="AA19" i="94"/>
  <c r="AA23" i="94"/>
  <c r="N37" i="94"/>
  <c r="Y19" i="94"/>
  <c r="X24" i="94" l="1"/>
  <c r="AK23" i="94"/>
  <c r="AK40" i="94"/>
  <c r="X39" i="94"/>
  <c r="Y39" i="94" s="1"/>
  <c r="X40" i="94"/>
  <c r="D22" i="95" s="1"/>
  <c r="E22" i="95" s="1"/>
  <c r="F22" i="95" s="1"/>
  <c r="N34" i="94"/>
  <c r="X34" i="94"/>
  <c r="Y34" i="94" s="1"/>
  <c r="Y32" i="94"/>
  <c r="Y29" i="94"/>
  <c r="Y17" i="94"/>
  <c r="Y20" i="94"/>
  <c r="Y37" i="94"/>
  <c r="Y28" i="94"/>
  <c r="Y24" i="94"/>
  <c r="Y23" i="94"/>
  <c r="Y38" i="94"/>
  <c r="Y40" i="94" l="1"/>
  <c r="Z40" i="94" s="1"/>
  <c r="AA40" i="94" s="1"/>
</calcChain>
</file>

<file path=xl/sharedStrings.xml><?xml version="1.0" encoding="utf-8"?>
<sst xmlns="http://schemas.openxmlformats.org/spreadsheetml/2006/main" count="333" uniqueCount="210">
  <si>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</si>
  <si>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</si>
  <si>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</si>
  <si>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</si>
  <si>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</si>
  <si>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</si>
  <si>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</si>
  <si>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</si>
  <si>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</si>
  <si>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</si>
  <si>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</si>
  <si>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</si>
  <si>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</si>
  <si>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</si>
  <si>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</si>
  <si>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</si>
  <si>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</si>
  <si>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</si>
  <si>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</si>
  <si>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</si>
  <si>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</si>
  <si>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</si>
  <si>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</si>
  <si>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</si>
  <si>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</si>
  <si>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</si>
  <si>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</si>
  <si>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</si>
  <si>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</si>
  <si>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</si>
  <si>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</si>
  <si>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</si>
  <si>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</si>
  <si>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</si>
  <si>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</si>
  <si>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</si>
  <si>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</si>
  <si>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</si>
  <si>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</si>
  <si>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</si>
  <si>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</si>
  <si>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</si>
  <si>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</si>
  <si>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</si>
  <si>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</si>
  <si>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</si>
  <si>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</si>
  <si>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</si>
  <si>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</si>
  <si>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</si>
  <si>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</si>
  <si>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</si>
  <si>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</si>
  <si>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</si>
  <si>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</si>
  <si>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</si>
  <si>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</si>
  <si>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</si>
  <si>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</si>
  <si>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</si>
  <si>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</si>
  <si>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</si>
  <si>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</si>
  <si>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</si>
  <si>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</si>
  <si>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</si>
  <si>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</si>
  <si>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</si>
  <si>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</si>
  <si>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</si>
  <si>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</si>
  <si>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</si>
  <si>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</si>
  <si>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</si>
  <si>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</si>
  <si>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</si>
  <si>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</si>
  <si>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</si>
  <si>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</si>
  <si>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</si>
  <si>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</si>
  <si>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</si>
  <si>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</si>
  <si>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</si>
  <si>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</si>
  <si>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</si>
  <si>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</si>
  <si>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</si>
  <si>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</si>
  <si>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</si>
  <si>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</si>
  <si>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</si>
  <si>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</si>
  <si>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</si>
  <si>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</si>
  <si>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</si>
  <si>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</si>
  <si>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</si>
  <si>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</si>
  <si>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</si>
  <si>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</si>
  <si>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</si>
  <si>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</si>
  <si>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</si>
  <si>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</si>
  <si>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</si>
  <si>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</si>
  <si>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1.1.3</t>
  </si>
  <si>
    <t>FERNANDA PINHEIRO</t>
  </si>
  <si>
    <t>Criação</t>
  </si>
  <si>
    <t>INTERNO</t>
  </si>
  <si>
    <t>FAT.OGGI</t>
  </si>
  <si>
    <t>SUBTOTAL SUBGRUPO</t>
  </si>
  <si>
    <t>2.1</t>
  </si>
  <si>
    <t>INTERNOS</t>
  </si>
  <si>
    <t>2.1.1</t>
  </si>
  <si>
    <t>OPERACIONAL</t>
  </si>
  <si>
    <t>FAT.CLIENTE</t>
  </si>
  <si>
    <t>4.1</t>
  </si>
  <si>
    <t>4.1.1</t>
  </si>
  <si>
    <t>5.1</t>
  </si>
  <si>
    <t>SUBTOTAL PLANILHA</t>
  </si>
  <si>
    <t>Marg. Lucro</t>
  </si>
  <si>
    <t>Lucro</t>
  </si>
  <si>
    <t>Produtor financeiro</t>
  </si>
  <si>
    <t>BRINDES</t>
  </si>
  <si>
    <t>Subtotal BRINDES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</si>
  <si>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</si>
  <si>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</si>
  <si>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</si>
  <si>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</si>
  <si>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</si>
  <si>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</si>
  <si>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</si>
  <si>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</si>
  <si>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</si>
  <si>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</si>
  <si>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</si>
  <si>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 xml:space="preserve">STAFF </t>
  </si>
  <si>
    <t xml:space="preserve">Subtotal STAFF </t>
  </si>
  <si>
    <t>SALA DE APRESENTAÇÃO</t>
  </si>
  <si>
    <t xml:space="preserve">LOGISTICA / OPERACIONAL </t>
  </si>
  <si>
    <t xml:space="preserve">Custos operacionais </t>
  </si>
  <si>
    <t xml:space="preserve">Subtotal LOGISTICA / OPERACIONAL </t>
  </si>
  <si>
    <t>Atendimento/Produção</t>
  </si>
  <si>
    <t>1.1.1</t>
  </si>
  <si>
    <t>4.1.2</t>
  </si>
  <si>
    <t>5.1.1</t>
  </si>
  <si>
    <t>5.1.2</t>
  </si>
  <si>
    <t xml:space="preserve">Brinde </t>
  </si>
  <si>
    <t>Logística</t>
  </si>
  <si>
    <t xml:space="preserve">Coordenador </t>
  </si>
  <si>
    <t xml:space="preserve">RIBEIRÃO PRETO </t>
  </si>
  <si>
    <t>Resp. pela interface de atendimento junto ao cliente, elaboração de plano estratégico para briefing interno da agencia após reunião de Brainstorming,  alinhamentos gerais, fluxo interno, alterações e condução de pauta.</t>
  </si>
  <si>
    <t>Reajustes no KV já existente  e aplicação de logos em brindes;</t>
  </si>
  <si>
    <t>Produtor responsável por fechamento de contratos, pagamentos, emissão de notas e recibos;</t>
  </si>
  <si>
    <t>Coordenador para acompanhamento do evento;</t>
  </si>
  <si>
    <t>Copo de café estilo Nespresso Inox com capacidade de 150ml, parede simples;</t>
  </si>
  <si>
    <t>Custos relacionado a transporte, ida, volta e pedágio para Ribeirão Preto;</t>
  </si>
  <si>
    <t>Verba prevista para custos internos, testes de brindes, alimentação equepie, dentre outros;</t>
  </si>
  <si>
    <t>SUMMIT AGRO</t>
  </si>
  <si>
    <t>LE_233_SUMMIT AGRO.mkt</t>
  </si>
  <si>
    <t xml:space="preserve">Embalagem brinde </t>
  </si>
  <si>
    <t>Embalagem brinde (sacola + laço)</t>
  </si>
  <si>
    <t>4.1.3</t>
  </si>
  <si>
    <t xml:space="preserve">TAG para brinde </t>
  </si>
  <si>
    <t>4.1.4</t>
  </si>
  <si>
    <t xml:space="preserve">Manuseio </t>
  </si>
  <si>
    <t>Manuseio de brindes</t>
  </si>
  <si>
    <t>4.1.5</t>
  </si>
  <si>
    <t>4.1.6</t>
  </si>
  <si>
    <t xml:space="preserve">Polos </t>
  </si>
  <si>
    <t>Bordado polos</t>
  </si>
  <si>
    <t xml:space="preserve">Bordado para polos </t>
  </si>
  <si>
    <t xml:space="preserve">DEFINIR </t>
  </si>
  <si>
    <t>Polos para time Lenovo</t>
  </si>
  <si>
    <t xml:space="preserve">TOTAL SUMMIT AGRO </t>
  </si>
  <si>
    <t>06/04/2026</t>
  </si>
  <si>
    <t>LE_233_SUMMIT AGRO.mkt SUMMIT AGRO</t>
  </si>
  <si>
    <t>LE_233_Summit Agro.xlsm</t>
  </si>
  <si>
    <t xml:space="preserve">_x000D_
GIOVANNI FERREIRA </t>
  </si>
  <si>
    <t>_x000D_
362.257.668-55</t>
  </si>
  <si>
    <t>( X ) Pessoa Jurídica</t>
  </si>
  <si>
    <t>40.791.871/0001-95</t>
  </si>
  <si>
    <t>ZORELLO STORE LTDA</t>
  </si>
  <si>
    <t>(11) 2574-3129</t>
  </si>
  <si>
    <t>27/04/26</t>
  </si>
  <si>
    <t>R$ 8.809,50</t>
  </si>
  <si>
    <t>( X ) Boleto</t>
  </si>
  <si>
    <t>_x000D_
ZORELLO STORE LTDA</t>
  </si>
  <si>
    <t>_x000D_
40.791.871/0001-95</t>
  </si>
  <si>
    <t xml:space="preserve">reembolso marcelo </t>
  </si>
  <si>
    <t>VÍDEO</t>
  </si>
  <si>
    <t>STUDIO ROCA</t>
  </si>
  <si>
    <t>VENDA</t>
  </si>
  <si>
    <t xml:space="preserve">CUSTO </t>
  </si>
  <si>
    <t>LUCRO</t>
  </si>
  <si>
    <t>NOTAS EMITIDAS E ND EMITIDAS</t>
  </si>
  <si>
    <t>IMPOSTO</t>
  </si>
  <si>
    <t>LUCRO TOTAL</t>
  </si>
  <si>
    <t>MARCELO BAYUEX</t>
  </si>
  <si>
    <t>ZORELLO STORE</t>
  </si>
  <si>
    <t>MARCELO BAYEUX</t>
  </si>
  <si>
    <t>PRINCIPAL</t>
  </si>
  <si>
    <t>HRG 3</t>
  </si>
  <si>
    <t>SK COPIADORA</t>
  </si>
  <si>
    <t>M.R. DA COSTA</t>
  </si>
  <si>
    <t>GIOVANNI -MARCELO BAYEUX - FOCO PARK - CLAUDIA MACEDO</t>
  </si>
  <si>
    <t>NOTA DE DÉBITO 255</t>
  </si>
  <si>
    <t>NOTA FISCAL 2875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</si>
</sst>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b/>
      <sz val="14"/>
      <color theme="0"/>
      <name val="Trebuchet MS"/>
      <family val="2"/>
    </font>
    <font>
      <b/>
      <sz val="10"/>
      <color theme="0"/>
      <name val="Trebuchet MS"/>
      <family val="2"/>
    </font>
    <font>
      <sz val="14"/>
      <color theme="1"/>
      <name val="Calibri"/>
      <family val="2"/>
      <scheme val="minor"/>
    </font>
    <font>
      <b/>
      <sz val="14"/>
      <color indexed="63"/>
      <name val="Trebuchet MS"/>
      <family val="2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1"/>
      <color theme="0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name val="Trebuchet MS"/>
      <family val="2"/>
    </font>
    <font>
      <b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3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1" fillId="5" borderId="0" xfId="0" applyFont="1" applyFill="1"/>
    <xf numFmtId="49" fontId="11" fillId="5" borderId="0" xfId="0" applyNumberFormat="1" applyFont="1" applyFill="1"/>
    <xf numFmtId="164" fontId="5" fillId="0" borderId="0" xfId="2" applyNumberFormat="1" applyFont="1" applyAlignment="1">
      <alignment horizontal="left" vertical="center"/>
    </xf>
    <xf numFmtId="0" fontId="12" fillId="8" borderId="39" xfId="0" applyFont="1" applyFill="1" applyBorder="1" applyAlignment="1">
      <alignment vertical="center"/>
    </xf>
    <xf numFmtId="0" fontId="14" fillId="8" borderId="39" xfId="0" applyFont="1" applyFill="1" applyBorder="1" applyAlignment="1">
      <alignment horizontal="center" vertical="center"/>
    </xf>
    <xf numFmtId="22" fontId="12" fillId="8" borderId="39" xfId="0" applyNumberFormat="1" applyFont="1" applyFill="1" applyBorder="1" applyAlignment="1">
      <alignment horizontal="center" vertical="center"/>
    </xf>
    <xf numFmtId="0" fontId="16" fillId="8" borderId="40" xfId="0" applyFont="1" applyFill="1" applyBorder="1" applyAlignment="1">
      <alignment horizontal="center" vertical="center" wrapText="1"/>
    </xf>
    <xf numFmtId="0" fontId="16" fillId="8" borderId="41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164" fontId="5" fillId="0" borderId="68" xfId="2" applyNumberFormat="1" applyFont="1" applyBorder="1" applyAlignment="1" applyProtection="1">
      <alignment horizontal="left" vertical="center"/>
      <protection locked="0"/>
    </xf>
    <xf numFmtId="164" fontId="5" fillId="0" borderId="69" xfId="2" applyNumberFormat="1" applyFont="1" applyBorder="1" applyAlignment="1" applyProtection="1">
      <alignment horizontal="left" vertical="center"/>
      <protection locked="0"/>
    </xf>
    <xf numFmtId="164" fontId="5" fillId="0" borderId="70" xfId="2" applyNumberFormat="1" applyFont="1" applyBorder="1" applyAlignment="1" applyProtection="1">
      <alignment horizontal="left" vertical="center"/>
      <protection locked="0"/>
    </xf>
    <xf numFmtId="164" fontId="5" fillId="0" borderId="71" xfId="2" applyNumberFormat="1" applyFont="1" applyBorder="1" applyAlignment="1" applyProtection="1">
      <alignment horizontal="left" vertical="center"/>
      <protection locked="0"/>
    </xf>
    <xf numFmtId="164" fontId="5" fillId="0" borderId="14" xfId="2" applyNumberFormat="1" applyFont="1" applyBorder="1" applyAlignment="1" applyProtection="1">
      <alignment horizontal="left" vertical="center"/>
      <protection locked="0"/>
    </xf>
    <xf numFmtId="164" fontId="5" fillId="0" borderId="67" xfId="2" applyNumberFormat="1" applyFont="1" applyBorder="1" applyAlignment="1" applyProtection="1">
      <alignment horizontal="left" vertical="center"/>
      <protection locked="0"/>
    </xf>
    <xf numFmtId="170" fontId="19" fillId="10" borderId="59" xfId="8" applyNumberFormat="1" applyFont="1" applyFill="1" applyBorder="1" applyAlignment="1">
      <alignment horizontal="right"/>
    </xf>
    <xf numFmtId="170" fontId="19" fillId="10" borderId="50" xfId="8" applyNumberFormat="1" applyFont="1" applyFill="1" applyBorder="1" applyAlignment="1">
      <alignment horizontal="right"/>
    </xf>
    <xf numFmtId="44" fontId="19" fillId="10" borderId="59" xfId="8" applyFont="1" applyFill="1" applyBorder="1" applyAlignment="1">
      <alignment horizontal="right"/>
    </xf>
    <xf numFmtId="44" fontId="11" fillId="14" borderId="59" xfId="8" applyFont="1" applyFill="1" applyBorder="1" applyAlignment="1">
      <alignment vertical="center"/>
    </xf>
    <xf numFmtId="44" fontId="11" fillId="13" borderId="59" xfId="8" applyFont="1" applyFill="1" applyBorder="1" applyAlignment="1">
      <alignment vertical="center"/>
    </xf>
    <xf numFmtId="44" fontId="11" fillId="13" borderId="50" xfId="8" applyFont="1" applyFill="1" applyBorder="1" applyAlignment="1">
      <alignment vertical="center"/>
    </xf>
    <xf numFmtId="44" fontId="19" fillId="10" borderId="15" xfId="0" applyNumberFormat="1" applyFont="1" applyFill="1" applyBorder="1" applyAlignment="1">
      <alignment horizontal="right"/>
    </xf>
    <xf numFmtId="44" fontId="11" fillId="14" borderId="15" xfId="0" applyNumberFormat="1" applyFont="1" applyFill="1" applyBorder="1"/>
    <xf numFmtId="44" fontId="11" fillId="13" borderId="15" xfId="0" applyNumberFormat="1" applyFont="1" applyFill="1" applyBorder="1"/>
    <xf numFmtId="170" fontId="19" fillId="10" borderId="18" xfId="0" applyNumberFormat="1" applyFont="1" applyFill="1" applyBorder="1" applyAlignment="1">
      <alignment horizontal="right"/>
    </xf>
    <xf numFmtId="44" fontId="11" fillId="13" borderId="84" xfId="8" applyFont="1" applyFill="1" applyBorder="1"/>
    <xf numFmtId="44" fontId="11" fillId="13" borderId="18" xfId="8" applyFont="1" applyFill="1" applyBorder="1"/>
    <xf numFmtId="170" fontId="19" fillId="10" borderId="0" xfId="0" applyNumberFormat="1" applyFont="1" applyFill="1" applyAlignment="1">
      <alignment horizontal="right"/>
    </xf>
    <xf numFmtId="44" fontId="19" fillId="10" borderId="0" xfId="0" applyNumberFormat="1" applyFont="1" applyFill="1" applyAlignment="1">
      <alignment horizontal="right"/>
    </xf>
    <xf numFmtId="44" fontId="11" fillId="14" borderId="0" xfId="0" applyNumberFormat="1" applyFont="1" applyFill="1"/>
    <xf numFmtId="44" fontId="11" fillId="13" borderId="0" xfId="0" applyNumberFormat="1" applyFont="1" applyFill="1"/>
    <xf numFmtId="0" fontId="21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0" xfId="0" applyNumberFormat="1" applyFont="1"/>
    <xf numFmtId="0" fontId="21" fillId="0" borderId="0" xfId="1" applyNumberFormat="1" applyFont="1"/>
    <xf numFmtId="165" fontId="22" fillId="6" borderId="36" xfId="4" applyFont="1" applyFill="1" applyBorder="1" applyAlignment="1">
      <alignment horizontal="center" vertical="center" wrapText="1"/>
    </xf>
    <xf numFmtId="168" fontId="23" fillId="0" borderId="5" xfId="1" applyNumberFormat="1" applyFont="1" applyBorder="1"/>
    <xf numFmtId="166" fontId="22" fillId="0" borderId="37" xfId="4" applyNumberFormat="1" applyFont="1" applyBorder="1" applyAlignment="1">
      <alignment horizontal="center" vertical="center" wrapText="1"/>
    </xf>
    <xf numFmtId="0" fontId="24" fillId="0" borderId="0" xfId="0" applyFont="1"/>
    <xf numFmtId="0" fontId="25" fillId="0" borderId="42" xfId="0" applyFont="1" applyBorder="1" applyAlignment="1">
      <alignment horizontal="left" vertical="center"/>
    </xf>
    <xf numFmtId="49" fontId="25" fillId="0" borderId="43" xfId="0" applyNumberFormat="1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0" borderId="42" xfId="0" applyFont="1" applyBorder="1" applyAlignment="1">
      <alignment horizontal="left" vertical="center" wrapText="1"/>
    </xf>
    <xf numFmtId="0" fontId="5" fillId="6" borderId="51" xfId="3" applyFont="1" applyFill="1" applyBorder="1" applyAlignment="1">
      <alignment horizontal="left" vertical="center"/>
    </xf>
    <xf numFmtId="0" fontId="5" fillId="6" borderId="52" xfId="3" applyFont="1" applyFill="1" applyBorder="1" applyAlignment="1">
      <alignment horizontal="center" vertical="center"/>
    </xf>
    <xf numFmtId="0" fontId="11" fillId="6" borderId="52" xfId="3" applyFont="1" applyFill="1" applyBorder="1" applyAlignment="1">
      <alignment horizontal="center" vertical="center"/>
    </xf>
    <xf numFmtId="169" fontId="11" fillId="6" borderId="52" xfId="3" applyNumberFormat="1" applyFont="1" applyFill="1" applyBorder="1" applyAlignment="1">
      <alignment horizontal="center" vertical="center" wrapText="1"/>
    </xf>
    <xf numFmtId="0" fontId="11" fillId="6" borderId="52" xfId="3" applyFont="1" applyFill="1" applyBorder="1" applyAlignment="1">
      <alignment horizontal="center" vertical="center" wrapText="1"/>
    </xf>
    <xf numFmtId="9" fontId="11" fillId="6" borderId="52" xfId="1" applyFont="1" applyFill="1" applyBorder="1" applyAlignment="1">
      <alignment horizontal="center" vertical="center" wrapText="1"/>
    </xf>
    <xf numFmtId="10" fontId="11" fillId="6" borderId="52" xfId="1" applyNumberFormat="1" applyFont="1" applyFill="1" applyBorder="1" applyAlignment="1">
      <alignment horizontal="center" vertical="center" wrapText="1"/>
    </xf>
    <xf numFmtId="0" fontId="11" fillId="6" borderId="53" xfId="3" applyFont="1" applyFill="1" applyBorder="1" applyAlignment="1">
      <alignment horizontal="center" vertical="center" wrapText="1"/>
    </xf>
    <xf numFmtId="37" fontId="22" fillId="6" borderId="51" xfId="3" applyNumberFormat="1" applyFont="1" applyFill="1" applyBorder="1" applyAlignment="1">
      <alignment horizontal="center" vertical="center"/>
    </xf>
    <xf numFmtId="37" fontId="22" fillId="6" borderId="52" xfId="3" applyNumberFormat="1" applyFont="1" applyFill="1" applyBorder="1" applyAlignment="1">
      <alignment horizontal="center" vertical="center"/>
    </xf>
    <xf numFmtId="40" fontId="22" fillId="6" borderId="52" xfId="4" applyNumberFormat="1" applyFont="1" applyFill="1" applyBorder="1" applyAlignment="1">
      <alignment horizontal="center" vertical="center"/>
    </xf>
    <xf numFmtId="165" fontId="22" fillId="6" borderId="52" xfId="4" applyFont="1" applyFill="1" applyBorder="1" applyAlignment="1">
      <alignment horizontal="right" vertical="center"/>
    </xf>
    <xf numFmtId="40" fontId="22" fillId="6" borderId="52" xfId="4" applyNumberFormat="1" applyFont="1" applyFill="1" applyBorder="1" applyAlignment="1">
      <alignment horizontal="center" vertical="center" wrapText="1"/>
    </xf>
    <xf numFmtId="10" fontId="22" fillId="6" borderId="52" xfId="5" applyNumberFormat="1" applyFont="1" applyFill="1" applyBorder="1" applyAlignment="1">
      <alignment horizontal="center" vertical="center" wrapText="1"/>
    </xf>
    <xf numFmtId="165" fontId="22" fillId="6" borderId="52" xfId="4" applyFont="1" applyFill="1" applyBorder="1" applyAlignment="1">
      <alignment horizontal="center" vertical="center" wrapText="1"/>
    </xf>
    <xf numFmtId="165" fontId="22" fillId="6" borderId="53" xfId="4" applyFont="1" applyFill="1" applyBorder="1" applyAlignment="1">
      <alignment horizontal="center" vertical="center" wrapText="1"/>
    </xf>
    <xf numFmtId="10" fontId="22" fillId="6" borderId="45" xfId="5" applyNumberFormat="1" applyFont="1" applyFill="1" applyBorder="1" applyAlignment="1">
      <alignment horizontal="center" vertical="center" wrapText="1"/>
    </xf>
    <xf numFmtId="10" fontId="22" fillId="6" borderId="46" xfId="5" applyNumberFormat="1" applyFont="1" applyFill="1" applyBorder="1" applyAlignment="1">
      <alignment horizontal="center" vertical="center" wrapText="1"/>
    </xf>
    <xf numFmtId="165" fontId="22" fillId="6" borderId="47" xfId="4" applyFont="1" applyFill="1" applyBorder="1" applyAlignment="1">
      <alignment horizontal="center" vertical="center" wrapText="1"/>
    </xf>
    <xf numFmtId="165" fontId="22" fillId="6" borderId="46" xfId="4" applyFont="1" applyFill="1" applyBorder="1" applyAlignment="1">
      <alignment horizontal="center" vertical="center" wrapText="1"/>
    </xf>
    <xf numFmtId="37" fontId="22" fillId="6" borderId="3" xfId="3" applyNumberFormat="1" applyFont="1" applyFill="1" applyBorder="1" applyAlignment="1">
      <alignment horizontal="center" vertical="center"/>
    </xf>
    <xf numFmtId="40" fontId="22" fillId="6" borderId="48" xfId="4" applyNumberFormat="1" applyFont="1" applyFill="1" applyBorder="1" applyAlignment="1">
      <alignment horizontal="center" vertical="center"/>
    </xf>
    <xf numFmtId="166" fontId="26" fillId="6" borderId="49" xfId="4" applyNumberFormat="1" applyFont="1" applyFill="1" applyBorder="1" applyAlignment="1">
      <alignment horizontal="center" vertical="center" wrapText="1"/>
    </xf>
    <xf numFmtId="166" fontId="27" fillId="6" borderId="50" xfId="4" applyNumberFormat="1" applyFont="1" applyFill="1" applyBorder="1" applyAlignment="1">
      <alignment horizontal="center" vertical="center" wrapText="1"/>
    </xf>
    <xf numFmtId="49" fontId="25" fillId="0" borderId="43" xfId="0" applyNumberFormat="1" applyFont="1" applyBorder="1" applyAlignment="1">
      <alignment horizontal="left" vertical="center" wrapText="1"/>
    </xf>
    <xf numFmtId="0" fontId="25" fillId="0" borderId="44" xfId="0" applyFont="1" applyBorder="1" applyAlignment="1">
      <alignment horizontal="left" vertical="center" wrapText="1"/>
    </xf>
    <xf numFmtId="10" fontId="25" fillId="14" borderId="10" xfId="0" applyNumberFormat="1" applyFont="1" applyFill="1" applyBorder="1" applyAlignment="1">
      <alignment horizontal="center" vertical="center"/>
    </xf>
    <xf numFmtId="0" fontId="21" fillId="0" borderId="58" xfId="0" applyFont="1" applyBorder="1"/>
    <xf numFmtId="0" fontId="11" fillId="11" borderId="61" xfId="0" applyFont="1" applyFill="1" applyBorder="1" applyAlignment="1">
      <alignment horizontal="center" vertical="center"/>
    </xf>
    <xf numFmtId="0" fontId="11" fillId="11" borderId="66" xfId="0" applyFont="1" applyFill="1" applyBorder="1" applyAlignment="1">
      <alignment horizontal="center" vertical="center"/>
    </xf>
    <xf numFmtId="0" fontId="23" fillId="11" borderId="10" xfId="0" applyFont="1" applyFill="1" applyBorder="1" applyAlignment="1">
      <alignment horizontal="center" vertical="center"/>
    </xf>
    <xf numFmtId="0" fontId="23" fillId="11" borderId="58" xfId="0" applyFont="1" applyFill="1" applyBorder="1" applyAlignment="1">
      <alignment horizontal="center" vertical="center"/>
    </xf>
    <xf numFmtId="0" fontId="25" fillId="17" borderId="62" xfId="0" applyFont="1" applyFill="1" applyBorder="1" applyAlignment="1">
      <alignment horizontal="left" vertical="center" wrapText="1"/>
    </xf>
    <xf numFmtId="0" fontId="25" fillId="17" borderId="58" xfId="0" applyFont="1" applyFill="1" applyBorder="1" applyAlignment="1">
      <alignment horizontal="left" vertical="center" wrapText="1"/>
    </xf>
    <xf numFmtId="0" fontId="25" fillId="0" borderId="58" xfId="0" applyFont="1" applyBorder="1" applyAlignment="1">
      <alignment horizontal="center" vertical="center"/>
    </xf>
    <xf numFmtId="44" fontId="25" fillId="0" borderId="58" xfId="8" applyFont="1" applyBorder="1" applyAlignment="1">
      <alignment vertical="center"/>
    </xf>
    <xf numFmtId="44" fontId="25" fillId="0" borderId="63" xfId="8" applyFont="1" applyBorder="1" applyAlignment="1">
      <alignment vertical="center"/>
    </xf>
    <xf numFmtId="1" fontId="25" fillId="12" borderId="62" xfId="0" applyNumberFormat="1" applyFont="1" applyFill="1" applyBorder="1" applyAlignment="1">
      <alignment horizontal="center" vertical="center"/>
    </xf>
    <xf numFmtId="1" fontId="25" fillId="12" borderId="58" xfId="0" applyNumberFormat="1" applyFont="1" applyFill="1" applyBorder="1" applyAlignment="1">
      <alignment horizontal="center" vertical="center"/>
    </xf>
    <xf numFmtId="44" fontId="25" fillId="12" borderId="58" xfId="8" applyFont="1" applyFill="1" applyBorder="1" applyAlignment="1">
      <alignment vertical="center"/>
    </xf>
    <xf numFmtId="44" fontId="25" fillId="14" borderId="58" xfId="8" applyFont="1" applyFill="1" applyBorder="1" applyAlignment="1">
      <alignment vertical="center"/>
    </xf>
    <xf numFmtId="9" fontId="25" fillId="13" borderId="58" xfId="1" applyFont="1" applyFill="1" applyBorder="1" applyAlignment="1">
      <alignment vertical="center"/>
    </xf>
    <xf numFmtId="44" fontId="25" fillId="13" borderId="58" xfId="8" applyFont="1" applyFill="1" applyBorder="1" applyAlignment="1">
      <alignment vertical="center"/>
    </xf>
    <xf numFmtId="44" fontId="25" fillId="13" borderId="63" xfId="8" applyFont="1" applyFill="1" applyBorder="1" applyAlignment="1">
      <alignment vertical="center"/>
    </xf>
    <xf numFmtId="10" fontId="25" fillId="14" borderId="58" xfId="0" applyNumberFormat="1" applyFont="1" applyFill="1" applyBorder="1" applyAlignment="1">
      <alignment horizontal="center" vertical="center"/>
    </xf>
    <xf numFmtId="44" fontId="28" fillId="0" borderId="58" xfId="0" applyNumberFormat="1" applyFont="1" applyBorder="1"/>
    <xf numFmtId="44" fontId="29" fillId="0" borderId="58" xfId="8" applyFont="1" applyBorder="1"/>
    <xf numFmtId="9" fontId="25" fillId="13" borderId="59" xfId="1" applyFont="1" applyFill="1" applyBorder="1" applyAlignment="1">
      <alignment vertical="center"/>
    </xf>
    <xf numFmtId="44" fontId="25" fillId="13" borderId="59" xfId="8" applyFont="1" applyFill="1" applyBorder="1" applyAlignment="1">
      <alignment vertical="center"/>
    </xf>
    <xf numFmtId="10" fontId="25" fillId="14" borderId="0" xfId="0" applyNumberFormat="1" applyFont="1" applyFill="1" applyAlignment="1">
      <alignment horizontal="center" vertical="center"/>
    </xf>
    <xf numFmtId="0" fontId="11" fillId="11" borderId="79" xfId="0" applyFont="1" applyFill="1" applyBorder="1" applyAlignment="1">
      <alignment horizontal="center" vertical="center"/>
    </xf>
    <xf numFmtId="0" fontId="11" fillId="11" borderId="52" xfId="0" applyFont="1" applyFill="1" applyBorder="1" applyAlignment="1">
      <alignment horizontal="center" vertical="center"/>
    </xf>
    <xf numFmtId="0" fontId="11" fillId="11" borderId="83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left" vertical="center" wrapText="1"/>
    </xf>
    <xf numFmtId="0" fontId="25" fillId="0" borderId="59" xfId="0" applyFont="1" applyBorder="1" applyAlignment="1">
      <alignment horizontal="left" vertical="center" wrapText="1"/>
    </xf>
    <xf numFmtId="0" fontId="25" fillId="0" borderId="59" xfId="0" applyFont="1" applyBorder="1" applyAlignment="1">
      <alignment horizontal="center" vertical="center"/>
    </xf>
    <xf numFmtId="44" fontId="25" fillId="0" borderId="59" xfId="8" applyFont="1" applyBorder="1" applyAlignment="1">
      <alignment vertical="center"/>
    </xf>
    <xf numFmtId="44" fontId="25" fillId="0" borderId="50" xfId="8" applyFont="1" applyBorder="1" applyAlignment="1">
      <alignment vertical="center"/>
    </xf>
    <xf numFmtId="1" fontId="25" fillId="12" borderId="80" xfId="0" applyNumberFormat="1" applyFont="1" applyFill="1" applyBorder="1" applyAlignment="1">
      <alignment horizontal="center" vertical="center"/>
    </xf>
    <xf numFmtId="1" fontId="25" fillId="12" borderId="7" xfId="0" applyNumberFormat="1" applyFont="1" applyFill="1" applyBorder="1" applyAlignment="1">
      <alignment horizontal="center" vertical="center"/>
    </xf>
    <xf numFmtId="44" fontId="25" fillId="12" borderId="7" xfId="8" applyFont="1" applyFill="1" applyBorder="1" applyAlignment="1">
      <alignment vertical="center"/>
    </xf>
    <xf numFmtId="44" fontId="25" fillId="14" borderId="7" xfId="8" applyFont="1" applyFill="1" applyBorder="1" applyAlignment="1">
      <alignment vertical="center"/>
    </xf>
    <xf numFmtId="9" fontId="25" fillId="13" borderId="7" xfId="1" applyFont="1" applyFill="1" applyBorder="1" applyAlignment="1">
      <alignment vertical="center"/>
    </xf>
    <xf numFmtId="44" fontId="25" fillId="13" borderId="7" xfId="8" applyFont="1" applyFill="1" applyBorder="1" applyAlignment="1">
      <alignment vertical="center"/>
    </xf>
    <xf numFmtId="0" fontId="21" fillId="13" borderId="15" xfId="0" applyFont="1" applyFill="1" applyBorder="1"/>
    <xf numFmtId="0" fontId="25" fillId="0" borderId="54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17" borderId="73" xfId="0" applyFont="1" applyFill="1" applyBorder="1" applyAlignment="1">
      <alignment horizontal="left" vertical="center" wrapText="1"/>
    </xf>
    <xf numFmtId="0" fontId="25" fillId="0" borderId="60" xfId="0" applyFont="1" applyBorder="1" applyAlignment="1">
      <alignment horizontal="center" vertical="center"/>
    </xf>
    <xf numFmtId="44" fontId="25" fillId="0" borderId="60" xfId="8" applyFont="1" applyBorder="1" applyAlignment="1">
      <alignment vertical="center"/>
    </xf>
    <xf numFmtId="44" fontId="25" fillId="0" borderId="64" xfId="8" applyFont="1" applyBorder="1" applyAlignment="1">
      <alignment vertical="center"/>
    </xf>
    <xf numFmtId="1" fontId="25" fillId="12" borderId="17" xfId="0" applyNumberFormat="1" applyFont="1" applyFill="1" applyBorder="1" applyAlignment="1">
      <alignment horizontal="center" vertical="center"/>
    </xf>
    <xf numFmtId="1" fontId="25" fillId="12" borderId="76" xfId="0" applyNumberFormat="1" applyFont="1" applyFill="1" applyBorder="1" applyAlignment="1">
      <alignment horizontal="center" vertical="center"/>
    </xf>
    <xf numFmtId="44" fontId="25" fillId="12" borderId="76" xfId="8" applyFont="1" applyFill="1" applyBorder="1" applyAlignment="1">
      <alignment vertical="center"/>
    </xf>
    <xf numFmtId="44" fontId="25" fillId="14" borderId="76" xfId="8" applyFont="1" applyFill="1" applyBorder="1" applyAlignment="1">
      <alignment vertical="center"/>
    </xf>
    <xf numFmtId="9" fontId="25" fillId="13" borderId="76" xfId="1" applyFont="1" applyFill="1" applyBorder="1" applyAlignment="1">
      <alignment vertical="center"/>
    </xf>
    <xf numFmtId="44" fontId="25" fillId="13" borderId="60" xfId="8" applyFont="1" applyFill="1" applyBorder="1" applyAlignment="1">
      <alignment vertical="center"/>
    </xf>
    <xf numFmtId="44" fontId="25" fillId="13" borderId="76" xfId="8" applyFont="1" applyFill="1" applyBorder="1" applyAlignment="1">
      <alignment vertical="center"/>
    </xf>
    <xf numFmtId="44" fontId="25" fillId="13" borderId="64" xfId="8" applyFont="1" applyFill="1" applyBorder="1" applyAlignment="1">
      <alignment vertical="center"/>
    </xf>
    <xf numFmtId="10" fontId="25" fillId="14" borderId="85" xfId="0" applyNumberFormat="1" applyFont="1" applyFill="1" applyBorder="1" applyAlignment="1">
      <alignment horizontal="center" vertical="center"/>
    </xf>
    <xf numFmtId="10" fontId="25" fillId="14" borderId="61" xfId="0" applyNumberFormat="1" applyFont="1" applyFill="1" applyBorder="1" applyAlignment="1">
      <alignment horizontal="center" vertical="center"/>
    </xf>
    <xf numFmtId="8" fontId="25" fillId="12" borderId="7" xfId="0" applyNumberFormat="1" applyFont="1" applyFill="1" applyBorder="1"/>
    <xf numFmtId="44" fontId="25" fillId="12" borderId="9" xfId="0" applyNumberFormat="1" applyFont="1" applyFill="1" applyBorder="1"/>
    <xf numFmtId="14" fontId="25" fillId="12" borderId="10" xfId="0" applyNumberFormat="1" applyFont="1" applyFill="1" applyBorder="1"/>
    <xf numFmtId="0" fontId="25" fillId="12" borderId="7" xfId="0" applyFont="1" applyFill="1" applyBorder="1" applyAlignment="1">
      <alignment wrapText="1"/>
    </xf>
    <xf numFmtId="0" fontId="25" fillId="12" borderId="10" xfId="0" applyFont="1" applyFill="1" applyBorder="1" applyAlignment="1">
      <alignment wrapText="1"/>
    </xf>
    <xf numFmtId="0" fontId="25" fillId="16" borderId="59" xfId="0" applyFont="1" applyFill="1" applyBorder="1" applyAlignment="1">
      <alignment horizontal="left" vertical="center" wrapText="1"/>
    </xf>
    <xf numFmtId="1" fontId="25" fillId="12" borderId="77" xfId="0" applyNumberFormat="1" applyFont="1" applyFill="1" applyBorder="1" applyAlignment="1">
      <alignment horizontal="center" vertical="center"/>
    </xf>
    <xf numFmtId="1" fontId="25" fillId="12" borderId="75" xfId="0" applyNumberFormat="1" applyFont="1" applyFill="1" applyBorder="1" applyAlignment="1">
      <alignment horizontal="center" vertical="center"/>
    </xf>
    <xf numFmtId="44" fontId="25" fillId="12" borderId="75" xfId="8" applyFont="1" applyFill="1" applyBorder="1" applyAlignment="1">
      <alignment vertical="center"/>
    </xf>
    <xf numFmtId="44" fontId="25" fillId="14" borderId="75" xfId="8" applyFont="1" applyFill="1" applyBorder="1" applyAlignment="1">
      <alignment vertical="center"/>
    </xf>
    <xf numFmtId="9" fontId="25" fillId="13" borderId="75" xfId="1" applyFont="1" applyFill="1" applyBorder="1" applyAlignment="1">
      <alignment vertical="center"/>
    </xf>
    <xf numFmtId="44" fontId="25" fillId="13" borderId="75" xfId="8" applyFont="1" applyFill="1" applyBorder="1" applyAlignment="1">
      <alignment vertical="center"/>
    </xf>
    <xf numFmtId="44" fontId="25" fillId="13" borderId="50" xfId="8" applyFont="1" applyFill="1" applyBorder="1" applyAlignment="1">
      <alignment vertical="center"/>
    </xf>
    <xf numFmtId="0" fontId="25" fillId="17" borderId="49" xfId="0" applyFont="1" applyFill="1" applyBorder="1" applyAlignment="1">
      <alignment horizontal="left" vertical="center" wrapText="1"/>
    </xf>
    <xf numFmtId="0" fontId="25" fillId="17" borderId="59" xfId="0" applyFont="1" applyFill="1" applyBorder="1" applyAlignment="1">
      <alignment horizontal="left" vertical="center" wrapText="1"/>
    </xf>
    <xf numFmtId="0" fontId="25" fillId="0" borderId="55" xfId="0" applyFont="1" applyBorder="1" applyAlignment="1">
      <alignment horizontal="left" vertical="center" wrapText="1"/>
    </xf>
    <xf numFmtId="0" fontId="25" fillId="0" borderId="57" xfId="0" applyFont="1" applyBorder="1" applyAlignment="1">
      <alignment horizontal="left" vertical="center" wrapText="1"/>
    </xf>
    <xf numFmtId="0" fontId="25" fillId="16" borderId="62" xfId="0" applyFont="1" applyFill="1" applyBorder="1" applyAlignment="1">
      <alignment horizontal="left" vertical="center" wrapText="1"/>
    </xf>
    <xf numFmtId="0" fontId="25" fillId="0" borderId="58" xfId="0" applyFont="1" applyBorder="1" applyAlignment="1">
      <alignment horizontal="left" vertical="center" wrapText="1"/>
    </xf>
    <xf numFmtId="0" fontId="25" fillId="16" borderId="73" xfId="0" applyFont="1" applyFill="1" applyBorder="1" applyAlignment="1">
      <alignment horizontal="left" vertical="center" wrapText="1"/>
    </xf>
    <xf numFmtId="0" fontId="25" fillId="16" borderId="60" xfId="0" applyFont="1" applyFill="1" applyBorder="1" applyAlignment="1">
      <alignment horizontal="left" vertical="center" wrapText="1"/>
    </xf>
    <xf numFmtId="0" fontId="25" fillId="16" borderId="58" xfId="0" applyFont="1" applyFill="1" applyBorder="1" applyAlignment="1">
      <alignment horizontal="left" vertical="center" wrapText="1"/>
    </xf>
    <xf numFmtId="10" fontId="25" fillId="14" borderId="33" xfId="0" applyNumberFormat="1" applyFont="1" applyFill="1" applyBorder="1" applyAlignment="1">
      <alignment horizontal="center" vertical="center"/>
    </xf>
    <xf numFmtId="10" fontId="25" fillId="14" borderId="59" xfId="0" applyNumberFormat="1" applyFont="1" applyFill="1" applyBorder="1" applyAlignment="1">
      <alignment horizontal="center" vertical="center"/>
    </xf>
    <xf numFmtId="0" fontId="21" fillId="13" borderId="0" xfId="0" applyFont="1" applyFill="1"/>
    <xf numFmtId="44" fontId="19" fillId="15" borderId="12" xfId="8" applyFont="1" applyFill="1" applyBorder="1" applyAlignment="1">
      <alignment horizontal="center"/>
    </xf>
    <xf numFmtId="44" fontId="19" fillId="15" borderId="81" xfId="8" applyFont="1" applyFill="1" applyBorder="1" applyAlignment="1">
      <alignment horizontal="center"/>
    </xf>
    <xf numFmtId="49" fontId="25" fillId="0" borderId="56" xfId="0" applyNumberFormat="1" applyFont="1" applyBorder="1" applyAlignment="1">
      <alignment horizontal="left" vertical="center" wrapText="1"/>
    </xf>
    <xf numFmtId="0" fontId="19" fillId="15" borderId="72" xfId="0" applyFont="1" applyFill="1" applyBorder="1"/>
    <xf numFmtId="0" fontId="19" fillId="15" borderId="35" xfId="0" applyFont="1" applyFill="1" applyBorder="1"/>
    <xf numFmtId="0" fontId="19" fillId="15" borderId="35" xfId="0" applyFont="1" applyFill="1" applyBorder="1" applyAlignment="1">
      <alignment horizontal="center" vertical="center"/>
    </xf>
    <xf numFmtId="44" fontId="19" fillId="15" borderId="35" xfId="0" applyNumberFormat="1" applyFont="1" applyFill="1" applyBorder="1"/>
    <xf numFmtId="44" fontId="19" fillId="15" borderId="82" xfId="0" applyNumberFormat="1" applyFont="1" applyFill="1" applyBorder="1"/>
    <xf numFmtId="0" fontId="19" fillId="15" borderId="72" xfId="0" applyFont="1" applyFill="1" applyBorder="1" applyAlignment="1">
      <alignment horizontal="center" vertical="center"/>
    </xf>
    <xf numFmtId="9" fontId="19" fillId="15" borderId="15" xfId="1" applyFont="1" applyFill="1" applyBorder="1"/>
    <xf numFmtId="44" fontId="19" fillId="15" borderId="84" xfId="8" applyFont="1" applyFill="1" applyBorder="1"/>
    <xf numFmtId="0" fontId="30" fillId="0" borderId="0" xfId="0" applyFont="1"/>
    <xf numFmtId="0" fontId="30" fillId="0" borderId="0" xfId="0" applyFont="1" applyAlignment="1">
      <alignment horizontal="center"/>
    </xf>
    <xf numFmtId="16" fontId="30" fillId="18" borderId="11" xfId="0" applyNumberFormat="1" applyFont="1" applyFill="1" applyBorder="1"/>
    <xf numFmtId="16" fontId="30" fillId="18" borderId="12" xfId="0" applyNumberFormat="1" applyFont="1" applyFill="1" applyBorder="1"/>
    <xf numFmtId="16" fontId="30" fillId="19" borderId="14" xfId="0" applyNumberFormat="1" applyFont="1" applyFill="1" applyBorder="1"/>
    <xf numFmtId="16" fontId="30" fillId="19" borderId="15" xfId="0" applyNumberFormat="1" applyFont="1" applyFill="1" applyBorder="1"/>
    <xf numFmtId="0" fontId="30" fillId="20" borderId="17" xfId="0" applyFont="1" applyFill="1" applyBorder="1" applyAlignment="1">
      <alignment horizontal="right"/>
    </xf>
    <xf numFmtId="0" fontId="30" fillId="20" borderId="0" xfId="0" applyFont="1" applyFill="1" applyAlignment="1">
      <alignment horizontal="right"/>
    </xf>
    <xf numFmtId="0" fontId="20" fillId="21" borderId="14" xfId="0" applyFont="1" applyFill="1" applyBorder="1"/>
    <xf numFmtId="0" fontId="20" fillId="21" borderId="15" xfId="0" applyFont="1" applyFill="1" applyBorder="1"/>
    <xf numFmtId="164" fontId="31" fillId="0" borderId="0" xfId="2" applyNumberFormat="1" applyFont="1" applyAlignment="1" applyProtection="1">
      <alignment horizontal="left" vertical="center"/>
      <protection locked="0"/>
    </xf>
    <xf numFmtId="0" fontId="31" fillId="0" borderId="0" xfId="2" applyFont="1" applyAlignment="1" applyProtection="1">
      <alignment horizontal="left" vertical="center"/>
      <protection locked="0"/>
    </xf>
    <xf numFmtId="14" fontId="31" fillId="0" borderId="0" xfId="2" applyNumberFormat="1" applyFont="1" applyAlignment="1" applyProtection="1">
      <alignment horizontal="left" vertical="center"/>
      <protection locked="0"/>
    </xf>
    <xf numFmtId="0" fontId="32" fillId="22" borderId="58" xfId="0" applyFont="1" applyFill="1" applyBorder="1" applyAlignment="1">
      <alignment horizontal="center"/>
    </xf>
    <xf numFmtId="0" fontId="33" fillId="0" borderId="0" xfId="0" applyFont="1" applyAlignment="1">
      <alignment horizontal="center"/>
    </xf>
    <xf numFmtId="0" fontId="34" fillId="16" borderId="58" xfId="0" applyFont="1" applyFill="1" applyBorder="1" applyAlignment="1">
      <alignment horizontal="left"/>
    </xf>
    <xf numFmtId="44" fontId="35" fillId="16" borderId="58" xfId="0" applyNumberFormat="1" applyFont="1" applyFill="1" applyBorder="1" applyAlignment="1">
      <alignment horizontal="center"/>
    </xf>
    <xf numFmtId="9" fontId="34" fillId="0" borderId="58" xfId="1" applyFont="1" applyBorder="1" applyAlignment="1">
      <alignment horizontal="center"/>
    </xf>
    <xf numFmtId="44" fontId="32" fillId="22" borderId="58" xfId="0" applyNumberFormat="1" applyFont="1" applyFill="1" applyBorder="1" applyAlignment="1">
      <alignment horizontal="center"/>
    </xf>
    <xf numFmtId="0" fontId="33" fillId="0" borderId="0" xfId="0" applyFont="1"/>
    <xf numFmtId="44" fontId="35" fillId="16" borderId="58" xfId="8" applyFont="1" applyFill="1" applyBorder="1" applyAlignment="1">
      <alignment horizontal="center"/>
    </xf>
    <xf numFmtId="44" fontId="35" fillId="16" borderId="58" xfId="8" applyFont="1" applyFill="1" applyBorder="1"/>
    <xf numFmtId="0" fontId="34" fillId="22" borderId="58" xfId="0" applyFont="1" applyFill="1" applyBorder="1"/>
    <xf numFmtId="170" fontId="32" fillId="22" borderId="58" xfId="0" applyNumberFormat="1" applyFont="1" applyFill="1" applyBorder="1" applyAlignment="1">
      <alignment horizontal="right"/>
    </xf>
    <xf numFmtId="44" fontId="32" fillId="22" borderId="58" xfId="0" applyNumberFormat="1" applyFont="1" applyFill="1" applyBorder="1"/>
    <xf numFmtId="9" fontId="32" fillId="22" borderId="58" xfId="1" applyFont="1" applyFill="1" applyBorder="1" applyAlignment="1">
      <alignment horizontal="center"/>
    </xf>
    <xf numFmtId="164" fontId="4" fillId="0" borderId="68" xfId="2" applyNumberFormat="1" applyFont="1" applyBorder="1" applyAlignment="1" applyProtection="1">
      <alignment horizontal="left" vertical="center"/>
      <protection locked="0"/>
    </xf>
    <xf numFmtId="164" fontId="4" fillId="0" borderId="69" xfId="2" applyNumberFormat="1" applyFont="1" applyBorder="1" applyAlignment="1" applyProtection="1">
      <alignment horizontal="left" vertical="center"/>
      <protection locked="0"/>
    </xf>
    <xf numFmtId="164" fontId="4" fillId="0" borderId="70" xfId="2" applyNumberFormat="1" applyFont="1" applyBorder="1" applyAlignment="1" applyProtection="1">
      <alignment horizontal="left" vertical="center"/>
      <protection locked="0"/>
    </xf>
    <xf numFmtId="164" fontId="4" fillId="0" borderId="71" xfId="2" applyNumberFormat="1" applyFont="1" applyBorder="1" applyAlignment="1" applyProtection="1">
      <alignment horizontal="left" vertical="center"/>
      <protection locked="0"/>
    </xf>
    <xf numFmtId="164" fontId="4" fillId="0" borderId="14" xfId="2" applyNumberFormat="1" applyFont="1" applyBorder="1" applyAlignment="1" applyProtection="1">
      <alignment horizontal="left" vertical="center"/>
      <protection locked="0"/>
    </xf>
    <xf numFmtId="164" fontId="4" fillId="0" borderId="67" xfId="2" applyNumberFormat="1" applyFont="1" applyBorder="1" applyAlignment="1" applyProtection="1">
      <alignment horizontal="left" vertical="center"/>
      <protection locked="0"/>
    </xf>
    <xf numFmtId="0" fontId="36" fillId="0" borderId="0" xfId="0" applyFont="1"/>
    <xf numFmtId="44" fontId="21" fillId="0" borderId="0" xfId="0" applyNumberFormat="1" applyFont="1"/>
    <xf numFmtId="9" fontId="21" fillId="0" borderId="0" xfId="1" applyFont="1"/>
    <xf numFmtId="44" fontId="30" fillId="0" borderId="83" xfId="0" applyNumberFormat="1" applyFont="1" applyBorder="1" applyAlignment="1">
      <alignment horizontal="center" vertical="center"/>
    </xf>
    <xf numFmtId="0" fontId="30" fillId="0" borderId="84" xfId="0" applyFont="1" applyBorder="1" applyAlignment="1">
      <alignment horizontal="center" vertical="center"/>
    </xf>
    <xf numFmtId="0" fontId="32" fillId="22" borderId="11" xfId="0" applyFont="1" applyFill="1" applyBorder="1" applyAlignment="1">
      <alignment horizontal="center"/>
    </xf>
    <xf numFmtId="0" fontId="32" fillId="22" borderId="12" xfId="0" applyFont="1" applyFill="1" applyBorder="1" applyAlignment="1">
      <alignment horizontal="center"/>
    </xf>
    <xf numFmtId="0" fontId="32" fillId="22" borderId="83" xfId="0" applyFont="1" applyFill="1" applyBorder="1" applyAlignment="1">
      <alignment horizontal="center"/>
    </xf>
    <xf numFmtId="0" fontId="19" fillId="10" borderId="77" xfId="0" applyFont="1" applyFill="1" applyBorder="1" applyAlignment="1">
      <alignment horizontal="left"/>
    </xf>
    <xf numFmtId="0" fontId="19" fillId="10" borderId="8" xfId="0" applyFont="1" applyFill="1" applyBorder="1" applyAlignment="1">
      <alignment horizontal="left"/>
    </xf>
    <xf numFmtId="0" fontId="19" fillId="10" borderId="17" xfId="0" applyFont="1" applyFill="1" applyBorder="1" applyAlignment="1">
      <alignment horizontal="left"/>
    </xf>
    <xf numFmtId="0" fontId="19" fillId="10" borderId="0" xfId="0" applyFont="1" applyFill="1" applyAlignment="1">
      <alignment horizontal="left"/>
    </xf>
    <xf numFmtId="0" fontId="19" fillId="10" borderId="14" xfId="0" applyFont="1" applyFill="1" applyBorder="1" applyAlignment="1">
      <alignment horizontal="left"/>
    </xf>
    <xf numFmtId="0" fontId="19" fillId="10" borderId="15" xfId="0" applyFont="1" applyFill="1" applyBorder="1" applyAlignment="1">
      <alignment horizontal="left"/>
    </xf>
    <xf numFmtId="0" fontId="19" fillId="9" borderId="72" xfId="0" applyFont="1" applyFill="1" applyBorder="1" applyAlignment="1">
      <alignment horizontal="center"/>
    </xf>
    <xf numFmtId="0" fontId="19" fillId="9" borderId="35" xfId="0" applyFont="1" applyFill="1" applyBorder="1" applyAlignment="1">
      <alignment horizontal="center"/>
    </xf>
    <xf numFmtId="0" fontId="19" fillId="9" borderId="82" xfId="0" applyFont="1" applyFill="1" applyBorder="1" applyAlignment="1">
      <alignment horizontal="center"/>
    </xf>
    <xf numFmtId="0" fontId="19" fillId="9" borderId="11" xfId="0" applyFont="1" applyFill="1" applyBorder="1" applyAlignment="1">
      <alignment horizontal="center"/>
    </xf>
    <xf numFmtId="0" fontId="19" fillId="9" borderId="12" xfId="0" applyFont="1" applyFill="1" applyBorder="1" applyAlignment="1">
      <alignment horizontal="center"/>
    </xf>
    <xf numFmtId="0" fontId="19" fillId="9" borderId="83" xfId="0" applyFont="1" applyFill="1" applyBorder="1" applyAlignment="1">
      <alignment horizontal="center"/>
    </xf>
    <xf numFmtId="0" fontId="19" fillId="10" borderId="11" xfId="0" applyFont="1" applyFill="1" applyBorder="1" applyAlignment="1">
      <alignment horizontal="left"/>
    </xf>
    <xf numFmtId="0" fontId="19" fillId="10" borderId="12" xfId="0" applyFont="1" applyFill="1" applyBorder="1" applyAlignment="1">
      <alignment horizontal="left"/>
    </xf>
    <xf numFmtId="0" fontId="19" fillId="10" borderId="78" xfId="0" applyFont="1" applyFill="1" applyBorder="1" applyAlignment="1">
      <alignment horizontal="left"/>
    </xf>
    <xf numFmtId="0" fontId="19" fillId="10" borderId="83" xfId="0" applyFont="1" applyFill="1" applyBorder="1" applyAlignment="1">
      <alignment horizontal="left"/>
    </xf>
    <xf numFmtId="0" fontId="19" fillId="9" borderId="17" xfId="0" applyFont="1" applyFill="1" applyBorder="1" applyAlignment="1">
      <alignment horizontal="center"/>
    </xf>
    <xf numFmtId="0" fontId="19" fillId="9" borderId="0" xfId="0" applyFont="1" applyFill="1" applyAlignment="1">
      <alignment horizontal="center"/>
    </xf>
    <xf numFmtId="0" fontId="19" fillId="9" borderId="18" xfId="0" applyFont="1" applyFill="1" applyBorder="1" applyAlignment="1">
      <alignment horizontal="center"/>
    </xf>
    <xf numFmtId="166" fontId="22" fillId="0" borderId="37" xfId="4" applyNumberFormat="1" applyFont="1" applyBorder="1" applyAlignment="1">
      <alignment horizontal="center" vertical="center" wrapText="1"/>
    </xf>
    <xf numFmtId="166" fontId="22" fillId="0" borderId="38" xfId="4" applyNumberFormat="1" applyFont="1" applyBorder="1" applyAlignment="1">
      <alignment horizontal="center" vertical="center" wrapText="1"/>
    </xf>
    <xf numFmtId="0" fontId="19" fillId="9" borderId="47" xfId="0" applyFont="1" applyFill="1" applyBorder="1" applyAlignment="1">
      <alignment horizontal="center"/>
    </xf>
    <xf numFmtId="0" fontId="19" fillId="9" borderId="65" xfId="0" applyFont="1" applyFill="1" applyBorder="1" applyAlignment="1">
      <alignment horizontal="center"/>
    </xf>
    <xf numFmtId="0" fontId="19" fillId="9" borderId="46" xfId="0" applyFont="1" applyFill="1" applyBorder="1" applyAlignment="1">
      <alignment horizontal="center"/>
    </xf>
    <xf numFmtId="1" fontId="19" fillId="9" borderId="47" xfId="0" applyNumberFormat="1" applyFont="1" applyFill="1" applyBorder="1" applyAlignment="1">
      <alignment horizontal="center"/>
    </xf>
    <xf numFmtId="1" fontId="19" fillId="9" borderId="65" xfId="0" applyNumberFormat="1" applyFont="1" applyFill="1" applyBorder="1" applyAlignment="1">
      <alignment horizontal="center"/>
    </xf>
    <xf numFmtId="1" fontId="19" fillId="9" borderId="46" xfId="0" applyNumberFormat="1" applyFont="1" applyFill="1" applyBorder="1" applyAlignment="1">
      <alignment horizontal="center"/>
    </xf>
    <xf numFmtId="0" fontId="19" fillId="10" borderId="74" xfId="0" applyFont="1" applyFill="1" applyBorder="1" applyAlignment="1">
      <alignment horizontal="left"/>
    </xf>
    <xf numFmtId="0" fontId="19" fillId="10" borderId="61" xfId="0" applyFont="1" applyFill="1" applyBorder="1" applyAlignment="1">
      <alignment horizontal="left"/>
    </xf>
    <xf numFmtId="0" fontId="19" fillId="10" borderId="66" xfId="0" applyFont="1" applyFill="1" applyBorder="1" applyAlignment="1">
      <alignment horizontal="left"/>
    </xf>
    <xf numFmtId="0" fontId="22" fillId="3" borderId="6" xfId="0" applyFont="1" applyFill="1" applyBorder="1" applyAlignment="1">
      <alignment horizontal="center" vertical="center" wrapText="1"/>
    </xf>
    <xf numFmtId="0" fontId="22" fillId="3" borderId="35" xfId="0" applyFont="1" applyFill="1" applyBorder="1" applyAlignment="1">
      <alignment horizontal="center" vertical="center" wrapText="1"/>
    </xf>
    <xf numFmtId="0" fontId="22" fillId="3" borderId="5" xfId="0" applyFont="1" applyFill="1" applyBorder="1" applyAlignment="1">
      <alignment horizontal="center" vertical="center" wrapText="1"/>
    </xf>
    <xf numFmtId="166" fontId="22" fillId="4" borderId="6" xfId="4" applyNumberFormat="1" applyFont="1" applyFill="1" applyBorder="1" applyAlignment="1">
      <alignment horizontal="center" vertical="center" wrapText="1"/>
    </xf>
    <xf numFmtId="166" fontId="22" fillId="4" borderId="35" xfId="4" applyNumberFormat="1" applyFont="1" applyFill="1" applyBorder="1" applyAlignment="1">
      <alignment horizontal="center" vertical="center" wrapText="1"/>
    </xf>
    <xf numFmtId="166" fontId="22" fillId="4" borderId="5" xfId="4" applyNumberFormat="1" applyFont="1" applyFill="1" applyBorder="1" applyAlignment="1">
      <alignment horizontal="center" vertical="center" wrapText="1"/>
    </xf>
    <xf numFmtId="166" fontId="22" fillId="4" borderId="17" xfId="4" applyNumberFormat="1" applyFont="1" applyFill="1" applyBorder="1" applyAlignment="1">
      <alignment horizontal="center" vertical="center" wrapText="1"/>
    </xf>
    <xf numFmtId="166" fontId="22" fillId="4" borderId="0" xfId="4" applyNumberFormat="1" applyFont="1" applyFill="1" applyBorder="1" applyAlignment="1">
      <alignment horizontal="center" vertical="center" wrapText="1"/>
    </xf>
    <xf numFmtId="0" fontId="19" fillId="10" borderId="49" xfId="0" applyFont="1" applyFill="1" applyBorder="1" applyAlignment="1">
      <alignment horizontal="left"/>
    </xf>
    <xf numFmtId="0" fontId="19" fillId="10" borderId="59" xfId="0" applyFont="1" applyFill="1" applyBorder="1" applyAlignment="1">
      <alignment horizontal="left"/>
    </xf>
    <xf numFmtId="1" fontId="19" fillId="10" borderId="49" xfId="0" applyNumberFormat="1" applyFont="1" applyFill="1" applyBorder="1" applyAlignment="1">
      <alignment horizontal="left"/>
    </xf>
    <xf numFmtId="1" fontId="19" fillId="10" borderId="59" xfId="0" applyNumberFormat="1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2" fillId="2" borderId="3" xfId="3" applyFont="1" applyFill="1" applyBorder="1" applyAlignment="1">
      <alignment horizontal="center" vertical="center"/>
    </xf>
    <xf numFmtId="0" fontId="22" fillId="2" borderId="4" xfId="3" applyFont="1" applyFill="1" applyBorder="1" applyAlignment="1">
      <alignment horizontal="center" vertical="center"/>
    </xf>
    <xf numFmtId="0" fontId="22" fillId="2" borderId="5" xfId="3" applyFont="1" applyFill="1" applyBorder="1" applyAlignment="1">
      <alignment horizontal="center" vertical="center"/>
    </xf>
    <xf numFmtId="0" fontId="12" fillId="8" borderId="39" xfId="0" applyFont="1" applyFill="1" applyBorder="1" applyAlignment="1">
      <alignment horizontal="left" vertical="center"/>
    </xf>
    <xf numFmtId="0" fontId="12" fillId="8" borderId="39" xfId="0" applyFont="1" applyFill="1" applyBorder="1" applyAlignment="1">
      <alignment vertical="center"/>
    </xf>
    <xf numFmtId="0" fontId="12" fillId="8" borderId="0" xfId="0" applyFont="1" applyFill="1" applyAlignment="1">
      <alignment vertical="center"/>
    </xf>
    <xf numFmtId="0" fontId="13" fillId="8" borderId="39" xfId="0" applyFont="1" applyFill="1" applyBorder="1" applyAlignment="1">
      <alignment horizontal="left" vertical="top"/>
    </xf>
    <xf numFmtId="0" fontId="15" fillId="8" borderId="39" xfId="0" applyFont="1" applyFill="1" applyBorder="1" applyAlignment="1">
      <alignment horizontal="center" vertical="center" wrapText="1"/>
    </xf>
    <xf numFmtId="0" fontId="15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170" fontId="33" fillId="0" borderId="0" xfId="0" applyNumberFormat="1" applyFont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244251</xdr:colOff>
      <xdr:row>0</xdr:row>
      <xdr:rowOff>152400</xdr:rowOff>
    </xdr:from>
    <xdr:to>
      <xdr:col>5</xdr:col>
      <xdr:colOff>1121020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151883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44</xdr:col>
      <xdr:colOff>573539</xdr:colOff>
      <xdr:row>0</xdr:row>
      <xdr:rowOff>190500</xdr:rowOff>
    </xdr:from>
    <xdr:to>
      <xdr:col>46</xdr:col>
      <xdr:colOff>358944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73798</xdr:colOff>
      <xdr:row>0</xdr:row>
      <xdr:rowOff>185741</xdr:rowOff>
    </xdr:from>
    <xdr:to>
      <xdr:col>44</xdr:col>
      <xdr:colOff>497336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244251</xdr:colOff>
      <xdr:row>0</xdr:row>
      <xdr:rowOff>152400</xdr:rowOff>
    </xdr:from>
    <xdr:to>
      <xdr:col>5</xdr:col>
      <xdr:colOff>1121020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44</xdr:col>
      <xdr:colOff>573539</xdr:colOff>
      <xdr:row>0</xdr:row>
      <xdr:rowOff>190500</xdr:rowOff>
    </xdr:from>
    <xdr:to>
      <xdr:col>46</xdr:col>
      <xdr:colOff>358944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214312</xdr:colOff>
      <xdr:row>5</xdr:row>
      <xdr:rowOff>212957</xdr:rowOff>
    </xdr:from>
    <xdr:to>
      <xdr:col>10</xdr:col>
      <xdr:colOff>15876</xdr:colOff>
      <xdr:row>8</xdr:row>
      <xdr:rowOff>339429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9750" y="2110020"/>
          <a:ext cx="1593852" cy="11123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27BC-43F2-4E5B-BB7F-CFCCA80D44FD}">
  <dimension ref="A1:F31"/>
  <sheetViews>
    <sheetView showGridLines="0" tabSelected="1" topLeftCell="A11" zoomScaleNormal="100" workbookViewId="0">
      <selection activeCell="F31" sqref="F31"/>
    </sheetView>
  </sheetViews>
  <sheetFormatPr defaultColWidth="8.6640625" defaultRowHeight="14.4" x14ac:dyDescent="0.35"/>
  <cols>
    <col min="1" max="1" width="6.44140625" style="187" customWidth="1"/>
    <col min="2" max="2" width="23.5546875" style="187" customWidth="1"/>
    <col min="3" max="3" width="31" style="187" bestFit="1" customWidth="1"/>
    <col min="4" max="4" width="20.44140625" style="187" customWidth="1"/>
    <col min="5" max="5" width="18.44140625" style="187" customWidth="1"/>
    <col min="6" max="6" width="12.21875" style="188" bestFit="1" customWidth="1"/>
    <col min="7" max="7" width="12.88671875" style="187" bestFit="1" customWidth="1"/>
    <col min="8" max="8" width="12.5546875" style="187" bestFit="1" customWidth="1"/>
    <col min="9" max="16384" width="8.6640625" style="187"/>
  </cols>
  <sheetData>
    <row r="1" spans="1:5" hidden="1" x14ac:dyDescent="0.35"/>
    <row r="2" spans="1:5" hidden="1" x14ac:dyDescent="0.35"/>
    <row r="3" spans="1:5" hidden="1" x14ac:dyDescent="0.35">
      <c r="C3" s="189">
        <v>45866</v>
      </c>
      <c r="D3" s="190"/>
      <c r="E3" s="222" t="e">
        <f>SUM(#REF!)</f>
        <v>#REF!</v>
      </c>
    </row>
    <row r="4" spans="1:5" ht="15.6" hidden="1" customHeight="1" thickBot="1" x14ac:dyDescent="0.4">
      <c r="C4" s="191">
        <v>45867</v>
      </c>
      <c r="D4" s="192"/>
      <c r="E4" s="223"/>
    </row>
    <row r="5" spans="1:5" hidden="1" x14ac:dyDescent="0.35">
      <c r="C5" s="193" t="s">
        <v>192</v>
      </c>
      <c r="D5" s="194"/>
    </row>
    <row r="6" spans="1:5" hidden="1" x14ac:dyDescent="0.35">
      <c r="C6" s="193" t="s">
        <v>193</v>
      </c>
      <c r="D6" s="194"/>
    </row>
    <row r="7" spans="1:5" ht="15" hidden="1" thickBot="1" x14ac:dyDescent="0.4">
      <c r="C7" s="195" t="s">
        <v>42</v>
      </c>
      <c r="D7" s="196"/>
    </row>
    <row r="9" spans="1:5" x14ac:dyDescent="0.35">
      <c r="A9" s="187" t="s">
        <v>97</v>
      </c>
    </row>
    <row r="10" spans="1:5" ht="24" customHeight="1" x14ac:dyDescent="0.35"/>
    <row r="11" spans="1:5" ht="15" thickBot="1" x14ac:dyDescent="0.4"/>
    <row r="12" spans="1:5" ht="15" customHeight="1" x14ac:dyDescent="0.35">
      <c r="B12" s="213" t="s">
        <v>129</v>
      </c>
      <c r="C12" s="214" t="s">
        <v>161</v>
      </c>
      <c r="D12" s="197"/>
    </row>
    <row r="13" spans="1:5" ht="15" customHeight="1" x14ac:dyDescent="0.35">
      <c r="B13" s="215" t="s">
        <v>130</v>
      </c>
      <c r="C13" s="216" t="s">
        <v>128</v>
      </c>
      <c r="D13" s="197"/>
    </row>
    <row r="14" spans="1:5" ht="15" customHeight="1" x14ac:dyDescent="0.35">
      <c r="B14" s="215" t="s">
        <v>131</v>
      </c>
      <c r="C14" s="216" t="s">
        <v>160</v>
      </c>
      <c r="D14" s="198"/>
    </row>
    <row r="15" spans="1:5" ht="15" customHeight="1" x14ac:dyDescent="0.35">
      <c r="B15" s="215" t="s">
        <v>132</v>
      </c>
      <c r="C15" s="216" t="s">
        <v>152</v>
      </c>
      <c r="D15" s="198"/>
    </row>
    <row r="16" spans="1:5" ht="15" customHeight="1" x14ac:dyDescent="0.35">
      <c r="B16" s="215" t="s">
        <v>133</v>
      </c>
      <c r="C16" s="216" t="s">
        <v>174</v>
      </c>
      <c r="D16" s="199"/>
    </row>
    <row r="17" spans="2:6" ht="15" customHeight="1" x14ac:dyDescent="0.35">
      <c r="B17" s="215" t="s">
        <v>134</v>
      </c>
      <c r="C17" s="216" t="s">
        <v>108</v>
      </c>
      <c r="D17" s="198"/>
    </row>
    <row r="18" spans="2:6" ht="15" customHeight="1" x14ac:dyDescent="0.35">
      <c r="B18" s="215" t="s">
        <v>135</v>
      </c>
      <c r="C18" s="216" t="s">
        <v>137</v>
      </c>
      <c r="D18" s="198"/>
    </row>
    <row r="19" spans="2:6" ht="15" customHeight="1" thickBot="1" x14ac:dyDescent="0.4">
      <c r="B19" s="217" t="s">
        <v>136</v>
      </c>
      <c r="C19" s="218" t="s">
        <v>161</v>
      </c>
      <c r="D19" s="198"/>
    </row>
    <row r="21" spans="2:6" ht="15.6" customHeight="1" x14ac:dyDescent="0.35">
      <c r="B21" s="200"/>
      <c r="C21" s="200" t="s">
        <v>194</v>
      </c>
      <c r="D21" s="200" t="s">
        <v>195</v>
      </c>
      <c r="E21" s="200" t="s">
        <v>196</v>
      </c>
      <c r="F21" s="201"/>
    </row>
    <row r="22" spans="2:6" ht="15.6" customHeight="1" x14ac:dyDescent="0.35">
      <c r="B22" s="202" t="s">
        <v>203</v>
      </c>
      <c r="C22" s="203">
        <f>'SUMMIT AGRO  '!N40</f>
        <v>46010.543680874856</v>
      </c>
      <c r="D22" s="203">
        <f>'SUMMIT AGRO  '!X40</f>
        <v>29435.47</v>
      </c>
      <c r="E22" s="203">
        <f>C22-D22</f>
        <v>16575.073680874855</v>
      </c>
      <c r="F22" s="204">
        <f>E22*100%/C22</f>
        <v>0.36024511676797671</v>
      </c>
    </row>
    <row r="23" spans="2:6" ht="15" x14ac:dyDescent="0.35">
      <c r="B23" s="200"/>
      <c r="C23" s="205">
        <f>C22</f>
        <v>46010.543680874856</v>
      </c>
      <c r="D23" s="205">
        <f>D22</f>
        <v>29435.47</v>
      </c>
      <c r="E23" s="205">
        <f>C23-D23</f>
        <v>16575.073680874855</v>
      </c>
      <c r="F23" s="204">
        <f>E23*100%/C23</f>
        <v>0.36024511676797671</v>
      </c>
    </row>
    <row r="24" spans="2:6" ht="15" x14ac:dyDescent="0.35">
      <c r="B24" s="206"/>
      <c r="C24" s="206"/>
      <c r="D24" s="206"/>
      <c r="E24" s="206"/>
      <c r="F24" s="201"/>
    </row>
    <row r="25" spans="2:6" ht="200.1" hidden="1" customHeight="1" x14ac:dyDescent="0.35">
      <c r="B25" s="206"/>
      <c r="C25" s="206"/>
      <c r="D25" s="206"/>
      <c r="E25" s="206"/>
      <c r="F25" s="201"/>
    </row>
    <row r="26" spans="2:6" ht="15.6" thickBot="1" x14ac:dyDescent="0.4">
      <c r="B26" s="206"/>
      <c r="C26" s="206"/>
      <c r="D26" s="206"/>
      <c r="E26" s="206"/>
      <c r="F26" s="201"/>
    </row>
    <row r="27" spans="2:6" ht="21.9" customHeight="1" x14ac:dyDescent="0.35">
      <c r="B27" s="224" t="s">
        <v>197</v>
      </c>
      <c r="C27" s="225"/>
      <c r="D27" s="225"/>
      <c r="E27" s="225"/>
      <c r="F27" s="226"/>
    </row>
    <row r="28" spans="2:6" ht="21.9" customHeight="1" x14ac:dyDescent="0.35">
      <c r="B28" s="202" t="s">
        <v>208</v>
      </c>
      <c r="C28" s="207">
        <v>37135</v>
      </c>
      <c r="D28" s="203">
        <f>D23</f>
        <v>29435.47</v>
      </c>
      <c r="E28" s="203">
        <f>C28-D28</f>
        <v>7699.5299999999988</v>
      </c>
      <c r="F28" s="204">
        <f>E28*100%/C28</f>
        <v>0.20733889861316815</v>
      </c>
    </row>
    <row r="29" spans="2:6" ht="20.25" customHeight="1" x14ac:dyDescent="0.35">
      <c r="B29" s="202" t="s">
        <v>209</v>
      </c>
      <c r="C29" s="207">
        <v>8875.5400000000009</v>
      </c>
      <c r="D29" s="208">
        <f>C29*0.15</f>
        <v>1331.3310000000001</v>
      </c>
      <c r="E29" s="203">
        <f>C29-D29</f>
        <v>7544.2090000000007</v>
      </c>
      <c r="F29" s="204">
        <f>E29*100%/C29</f>
        <v>0.85</v>
      </c>
    </row>
    <row r="30" spans="2:6" ht="19.5" customHeight="1" x14ac:dyDescent="0.35">
      <c r="B30" s="209"/>
      <c r="C30" s="210">
        <f>SUM(C28:C29)</f>
        <v>46010.54</v>
      </c>
      <c r="D30" s="211">
        <f>SUM(D28:D29)</f>
        <v>30766.800999999999</v>
      </c>
      <c r="E30" s="211">
        <f>SUM(E28:E29)</f>
        <v>15243.739</v>
      </c>
      <c r="F30" s="212"/>
    </row>
    <row r="31" spans="2:6" ht="15" x14ac:dyDescent="0.35">
      <c r="B31" s="206"/>
      <c r="C31" s="206"/>
      <c r="D31" s="206"/>
      <c r="E31" s="206"/>
      <c r="F31" s="322"/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/>
  </sheetPr>
  <dimension ref="A1:AM44"/>
  <sheetViews>
    <sheetView showGridLines="0" topLeftCell="K1" zoomScale="80" zoomScaleNormal="80" workbookViewId="0">
      <pane ySplit="1" topLeftCell="A38" activePane="bottomLeft" state="frozen"/>
      <selection pane="bottomLeft" activeCell="AL43" sqref="AL43"/>
    </sheetView>
  </sheetViews>
  <sheetFormatPr defaultColWidth="8.88671875" defaultRowHeight="18" x14ac:dyDescent="0.35"/>
  <cols>
    <col min="1" max="1" width="5.88671875" style="55" hidden="1" customWidth="1"/>
    <col min="2" max="2" width="6.5546875" style="55" customWidth="1"/>
    <col min="3" max="3" width="11" style="55" hidden="1" customWidth="1"/>
    <col min="4" max="4" width="10.5546875" style="55" hidden="1" customWidth="1"/>
    <col min="5" max="5" width="5.5546875" style="55" hidden="1" customWidth="1"/>
    <col min="6" max="6" width="29" style="55" customWidth="1"/>
    <col min="7" max="7" width="79.88671875" style="55" customWidth="1"/>
    <col min="8" max="8" width="7.5546875" style="58" customWidth="1"/>
    <col min="9" max="9" width="9.88671875" style="58" customWidth="1"/>
    <col min="10" max="10" width="16.44140625" style="55" bestFit="1" customWidth="1"/>
    <col min="11" max="11" width="25.88671875" style="55" customWidth="1"/>
    <col min="12" max="12" width="22.5546875" style="55" customWidth="1"/>
    <col min="13" max="13" width="23.6640625" style="55" customWidth="1"/>
    <col min="14" max="14" width="24.44140625" style="55" customWidth="1"/>
    <col min="15" max="15" width="19.109375" style="55" hidden="1" customWidth="1"/>
    <col min="16" max="16" width="1.88671875" style="55" hidden="1" customWidth="1"/>
    <col min="17" max="17" width="11.109375" style="58" bestFit="1" customWidth="1"/>
    <col min="18" max="18" width="8.44140625" style="58" hidden="1" customWidth="1"/>
    <col min="19" max="19" width="17.88671875" style="55" hidden="1" customWidth="1"/>
    <col min="20" max="20" width="26.6640625" style="55" bestFit="1" customWidth="1"/>
    <col min="21" max="21" width="24.6640625" style="55" hidden="1" customWidth="1"/>
    <col min="22" max="22" width="9.6640625" style="55" hidden="1" customWidth="1"/>
    <col min="23" max="23" width="16.109375" style="55" hidden="1" customWidth="1"/>
    <col min="24" max="24" width="27.109375" style="55" bestFit="1" customWidth="1"/>
    <col min="25" max="25" width="26.6640625" style="55" hidden="1" customWidth="1"/>
    <col min="26" max="26" width="14.6640625" style="55" hidden="1" customWidth="1"/>
    <col min="27" max="27" width="24.6640625" style="55" hidden="1" customWidth="1"/>
    <col min="28" max="28" width="38.109375" style="55" hidden="1" customWidth="1"/>
    <col min="29" max="29" width="14.109375" style="55" hidden="1" customWidth="1"/>
    <col min="30" max="30" width="16.44140625" style="55" hidden="1" customWidth="1"/>
    <col min="31" max="31" width="16.109375" style="55" hidden="1" customWidth="1"/>
    <col min="32" max="32" width="9.88671875" style="55" hidden="1" customWidth="1"/>
    <col min="33" max="33" width="19.44140625" style="55" hidden="1" customWidth="1"/>
    <col min="34" max="34" width="11.6640625" style="55" hidden="1" customWidth="1"/>
    <col min="35" max="35" width="6.33203125" style="55" hidden="1" customWidth="1"/>
    <col min="36" max="36" width="12.6640625" style="55" hidden="1" customWidth="1"/>
    <col min="37" max="37" width="20.44140625" style="55" customWidth="1"/>
    <col min="38" max="38" width="19.44140625" style="55" customWidth="1"/>
    <col min="39" max="39" width="8.88671875" style="219"/>
    <col min="40" max="40" width="21.33203125" style="55" customWidth="1"/>
    <col min="41" max="16384" width="8.88671875" style="55"/>
  </cols>
  <sheetData>
    <row r="1" spans="1:38" ht="49.5" customHeight="1" x14ac:dyDescent="0.35">
      <c r="B1" s="56"/>
      <c r="C1" s="57"/>
      <c r="D1" s="57"/>
      <c r="F1" s="269" t="s">
        <v>99</v>
      </c>
      <c r="G1" s="269"/>
    </row>
    <row r="2" spans="1:38" ht="24.75" customHeight="1" x14ac:dyDescent="0.35">
      <c r="B2" s="59"/>
      <c r="D2" s="57"/>
      <c r="F2" s="270" t="s">
        <v>0</v>
      </c>
      <c r="G2" s="270"/>
    </row>
    <row r="3" spans="1:38" ht="18.600000000000001" thickBot="1" x14ac:dyDescent="0.4">
      <c r="B3" s="32"/>
      <c r="F3" s="26"/>
      <c r="G3" s="26"/>
    </row>
    <row r="4" spans="1:38" ht="29.1" customHeight="1" x14ac:dyDescent="0.35">
      <c r="F4" s="33" t="s">
        <v>129</v>
      </c>
      <c r="G4" s="34" t="s">
        <v>161</v>
      </c>
    </row>
    <row r="5" spans="1:38" ht="27.6" customHeight="1" x14ac:dyDescent="0.35">
      <c r="F5" s="35" t="s">
        <v>130</v>
      </c>
      <c r="G5" s="36" t="s">
        <v>128</v>
      </c>
    </row>
    <row r="6" spans="1:38" ht="24.9" customHeight="1" x14ac:dyDescent="0.35">
      <c r="D6" s="55" t="s">
        <v>97</v>
      </c>
      <c r="F6" s="35" t="s">
        <v>131</v>
      </c>
      <c r="G6" s="36" t="s">
        <v>160</v>
      </c>
    </row>
    <row r="7" spans="1:38" ht="25.5" customHeight="1" x14ac:dyDescent="0.35">
      <c r="F7" s="35" t="s">
        <v>132</v>
      </c>
      <c r="G7" s="36" t="s">
        <v>152</v>
      </c>
      <c r="J7" s="55" t="s">
        <v>98</v>
      </c>
    </row>
    <row r="8" spans="1:38" ht="26.1" customHeight="1" x14ac:dyDescent="0.35">
      <c r="F8" s="35" t="s">
        <v>133</v>
      </c>
      <c r="G8" s="36" t="s">
        <v>174</v>
      </c>
    </row>
    <row r="9" spans="1:38" ht="27.6" customHeight="1" x14ac:dyDescent="0.35">
      <c r="F9" s="35" t="s">
        <v>134</v>
      </c>
      <c r="G9" s="36" t="s">
        <v>108</v>
      </c>
      <c r="J9" s="55" t="s">
        <v>97</v>
      </c>
    </row>
    <row r="10" spans="1:38" ht="27" customHeight="1" x14ac:dyDescent="0.35">
      <c r="F10" s="35" t="s">
        <v>135</v>
      </c>
      <c r="G10" s="36" t="s">
        <v>137</v>
      </c>
    </row>
    <row r="11" spans="1:38" ht="33.6" customHeight="1" thickBot="1" x14ac:dyDescent="0.4">
      <c r="F11" s="37" t="s">
        <v>136</v>
      </c>
      <c r="G11" s="38" t="s">
        <v>161</v>
      </c>
    </row>
    <row r="12" spans="1:38" ht="54.6" thickBot="1" x14ac:dyDescent="0.4">
      <c r="B12" s="60"/>
      <c r="M12" s="61"/>
      <c r="Q12" s="271" t="s">
        <v>1</v>
      </c>
      <c r="R12" s="272"/>
      <c r="S12" s="272"/>
      <c r="T12" s="273"/>
      <c r="U12" s="257" t="s">
        <v>2</v>
      </c>
      <c r="V12" s="258"/>
      <c r="W12" s="258"/>
      <c r="X12" s="259"/>
      <c r="Y12" s="62" t="s">
        <v>48</v>
      </c>
      <c r="Z12" s="63">
        <f>(1/(1-M14))-1</f>
        <v>0.24269914253759173</v>
      </c>
      <c r="AC12" s="260" t="s">
        <v>3</v>
      </c>
      <c r="AD12" s="261"/>
      <c r="AE12" s="262"/>
      <c r="AG12" s="263" t="s">
        <v>50</v>
      </c>
      <c r="AH12" s="264"/>
      <c r="AJ12" s="64" t="s">
        <v>52</v>
      </c>
      <c r="AK12" s="246" t="s">
        <v>51</v>
      </c>
      <c r="AL12" s="247"/>
    </row>
    <row r="13" spans="1:38" ht="18.600000000000001" thickBot="1" x14ac:dyDescent="0.4">
      <c r="A13" s="24" t="s">
        <v>4</v>
      </c>
      <c r="B13" s="25" t="s">
        <v>5</v>
      </c>
      <c r="C13" s="24" t="s">
        <v>6</v>
      </c>
      <c r="D13" s="24" t="s">
        <v>7</v>
      </c>
      <c r="E13" s="24" t="s">
        <v>8</v>
      </c>
      <c r="M13" s="65">
        <v>0.81</v>
      </c>
    </row>
    <row r="14" spans="1:38" ht="36.6" thickBot="1" x14ac:dyDescent="0.4">
      <c r="A14" s="66">
        <v>0</v>
      </c>
      <c r="B14" s="67"/>
      <c r="C14" s="68"/>
      <c r="D14" s="69"/>
      <c r="E14" s="69"/>
      <c r="F14" s="70" t="s">
        <v>75</v>
      </c>
      <c r="G14" s="71" t="s">
        <v>76</v>
      </c>
      <c r="H14" s="72" t="s">
        <v>77</v>
      </c>
      <c r="I14" s="72" t="s">
        <v>78</v>
      </c>
      <c r="J14" s="73" t="s">
        <v>79</v>
      </c>
      <c r="K14" s="74" t="s">
        <v>9</v>
      </c>
      <c r="L14" s="75">
        <v>0.09</v>
      </c>
      <c r="M14" s="76">
        <v>0.1953</v>
      </c>
      <c r="N14" s="77" t="s">
        <v>73</v>
      </c>
      <c r="Q14" s="78" t="s">
        <v>80</v>
      </c>
      <c r="R14" s="79" t="s">
        <v>81</v>
      </c>
      <c r="S14" s="80" t="s">
        <v>82</v>
      </c>
      <c r="T14" s="81" t="s">
        <v>83</v>
      </c>
      <c r="U14" s="82" t="s">
        <v>84</v>
      </c>
      <c r="V14" s="83" t="s">
        <v>85</v>
      </c>
      <c r="W14" s="84" t="s">
        <v>86</v>
      </c>
      <c r="X14" s="84" t="s">
        <v>87</v>
      </c>
      <c r="Y14" s="85" t="s">
        <v>88</v>
      </c>
      <c r="Z14" s="86" t="s">
        <v>89</v>
      </c>
      <c r="AA14" s="87" t="s">
        <v>74</v>
      </c>
      <c r="AC14" s="88" t="s">
        <v>90</v>
      </c>
      <c r="AD14" s="89" t="s">
        <v>91</v>
      </c>
      <c r="AE14" s="89" t="s">
        <v>32</v>
      </c>
      <c r="AG14" s="90" t="s">
        <v>92</v>
      </c>
      <c r="AH14" s="91" t="s">
        <v>93</v>
      </c>
      <c r="AK14" s="92" t="s">
        <v>94</v>
      </c>
      <c r="AL14" s="93" t="s">
        <v>95</v>
      </c>
    </row>
    <row r="15" spans="1:38" ht="20.399999999999999" customHeight="1" thickBot="1" x14ac:dyDescent="0.4">
      <c r="A15" s="69">
        <v>1</v>
      </c>
      <c r="B15" s="94">
        <v>1</v>
      </c>
      <c r="C15" s="95" t="s">
        <v>100</v>
      </c>
      <c r="D15" s="69"/>
      <c r="E15" s="69"/>
      <c r="F15" s="248" t="s">
        <v>114</v>
      </c>
      <c r="G15" s="249"/>
      <c r="H15" s="249"/>
      <c r="I15" s="249"/>
      <c r="J15" s="249"/>
      <c r="K15" s="249"/>
      <c r="L15" s="249"/>
      <c r="M15" s="249"/>
      <c r="N15" s="250"/>
      <c r="Q15" s="251" t="str">
        <f>IF(F15&lt;&gt;"",F15,"")</f>
        <v>INTERNOS</v>
      </c>
      <c r="R15" s="252"/>
      <c r="S15" s="252"/>
      <c r="T15" s="252"/>
      <c r="U15" s="252"/>
      <c r="V15" s="252"/>
      <c r="W15" s="252"/>
      <c r="X15" s="252"/>
      <c r="Y15" s="253"/>
      <c r="Z15" s="96"/>
      <c r="AK15" s="97"/>
      <c r="AL15" s="97"/>
    </row>
    <row r="16" spans="1:38" ht="23.1" customHeight="1" x14ac:dyDescent="0.35">
      <c r="A16" s="69">
        <v>2</v>
      </c>
      <c r="B16" s="94" t="s">
        <v>102</v>
      </c>
      <c r="C16" s="95" t="s">
        <v>101</v>
      </c>
      <c r="D16" s="69"/>
      <c r="E16" s="69"/>
      <c r="F16" s="254" t="s">
        <v>114</v>
      </c>
      <c r="G16" s="255"/>
      <c r="H16" s="255"/>
      <c r="I16" s="255"/>
      <c r="J16" s="255"/>
      <c r="K16" s="255"/>
      <c r="L16" s="98" t="s">
        <v>103</v>
      </c>
      <c r="M16" s="98" t="s">
        <v>104</v>
      </c>
      <c r="N16" s="99" t="s">
        <v>73</v>
      </c>
      <c r="Q16" s="254" t="str">
        <f>IF(F16&lt;&gt;"",F16,"")</f>
        <v>INTERNOS</v>
      </c>
      <c r="R16" s="255"/>
      <c r="S16" s="255"/>
      <c r="T16" s="255"/>
      <c r="U16" s="255"/>
      <c r="V16" s="255"/>
      <c r="W16" s="255"/>
      <c r="X16" s="255"/>
      <c r="Y16" s="256"/>
      <c r="Z16" s="100" t="s">
        <v>105</v>
      </c>
      <c r="AA16" s="101" t="s">
        <v>74</v>
      </c>
      <c r="AK16" s="97"/>
      <c r="AL16" s="97"/>
    </row>
    <row r="17" spans="1:39" ht="69.599999999999994" customHeight="1" x14ac:dyDescent="0.35">
      <c r="A17" s="69">
        <v>3</v>
      </c>
      <c r="B17" s="94" t="s">
        <v>145</v>
      </c>
      <c r="C17" s="95" t="s">
        <v>106</v>
      </c>
      <c r="D17" s="69" t="s">
        <v>110</v>
      </c>
      <c r="E17" s="69" t="s">
        <v>111</v>
      </c>
      <c r="F17" s="102" t="s">
        <v>144</v>
      </c>
      <c r="G17" s="103" t="s">
        <v>153</v>
      </c>
      <c r="H17" s="104">
        <v>1</v>
      </c>
      <c r="I17" s="104">
        <v>1</v>
      </c>
      <c r="J17" s="105">
        <v>1500</v>
      </c>
      <c r="K17" s="105">
        <f>IF(F17&lt;&gt;"",H17*I17*J17,"")</f>
        <v>1500</v>
      </c>
      <c r="L17" s="105">
        <f>IF(K17&lt;&gt;"",IF(D17="INTERNO",0,K17*$L$14),"")</f>
        <v>0</v>
      </c>
      <c r="M17" s="105">
        <f>IF(K17&lt;&gt;"",IF(E17="FAT.OGGI",SUM(K17:L17)*(1/(1-$M$14)-1),L17*(1/(1-$M$14)-1)),0)</f>
        <v>364.04871380638758</v>
      </c>
      <c r="N17" s="106">
        <f>SUM(K17:M17)</f>
        <v>1864.0487138063877</v>
      </c>
      <c r="Q17" s="107">
        <f t="shared" ref="Q17:R18" si="0">IF(H17&lt;&gt;"",H17,"")</f>
        <v>1</v>
      </c>
      <c r="R17" s="108">
        <f t="shared" si="0"/>
        <v>1</v>
      </c>
      <c r="S17" s="109"/>
      <c r="T17" s="109">
        <f>IF(Q17&lt;&gt;"",Q17*R17*S17,"")</f>
        <v>0</v>
      </c>
      <c r="U17" s="110">
        <f>IF(Q17&lt;&gt;"",K17-T17,"")</f>
        <v>1500</v>
      </c>
      <c r="V17" s="111">
        <f>IF(Q17&lt;&gt;"",0%,"")</f>
        <v>0</v>
      </c>
      <c r="W17" s="112">
        <f>IF(Q17&lt;&gt;"",V17*U17,"")</f>
        <v>0</v>
      </c>
      <c r="X17" s="112">
        <f>IF(Q17&lt;&gt;"",W17+T17,"")</f>
        <v>0</v>
      </c>
      <c r="Y17" s="113">
        <f t="shared" ref="Y17:Y20" si="1">IF(Q17&lt;&gt;"",X17+M17,"")</f>
        <v>364.04871380638758</v>
      </c>
      <c r="Z17" s="96">
        <f>IF(Q17&lt;&gt;"", IFERROR(U17/K17, 0), 0)</f>
        <v>1</v>
      </c>
      <c r="AA17" s="114" t="str">
        <f>IFERROR(T17/$T$20, "")</f>
        <v/>
      </c>
      <c r="AK17" s="115">
        <f>X17-AL17</f>
        <v>0</v>
      </c>
      <c r="AL17" s="116"/>
    </row>
    <row r="18" spans="1:39" ht="32.4" customHeight="1" x14ac:dyDescent="0.35">
      <c r="A18" s="69">
        <v>4</v>
      </c>
      <c r="B18" s="94" t="s">
        <v>96</v>
      </c>
      <c r="C18" s="95" t="s">
        <v>106</v>
      </c>
      <c r="D18" s="69" t="s">
        <v>110</v>
      </c>
      <c r="E18" s="69" t="s">
        <v>111</v>
      </c>
      <c r="F18" s="102" t="s">
        <v>109</v>
      </c>
      <c r="G18" s="103" t="s">
        <v>154</v>
      </c>
      <c r="H18" s="104">
        <v>1</v>
      </c>
      <c r="I18" s="104">
        <v>1</v>
      </c>
      <c r="J18" s="105">
        <v>1500</v>
      </c>
      <c r="K18" s="105">
        <f>IF(F18&lt;&gt;"",H18*I18*J18,"")</f>
        <v>1500</v>
      </c>
      <c r="L18" s="105">
        <f>IF(K18&lt;&gt;"",IF(D18="INTERNO",0,K18*$L$14),"")</f>
        <v>0</v>
      </c>
      <c r="M18" s="105">
        <f>IF(K18&lt;&gt;"",IF(E18="FAT.OGGI",SUM(K18:L18)*(1/(1-$M$14)-1),L18*(1/(1-$M$14)-1)),0)</f>
        <v>364.04871380638758</v>
      </c>
      <c r="N18" s="106">
        <f>SUM(K18:M18)</f>
        <v>1864.0487138063877</v>
      </c>
      <c r="Q18" s="107">
        <f t="shared" si="0"/>
        <v>1</v>
      </c>
      <c r="R18" s="108">
        <f t="shared" si="0"/>
        <v>1</v>
      </c>
      <c r="S18" s="109"/>
      <c r="T18" s="109">
        <f>IF(Q18&lt;&gt;"",Q18*R18*S18,"")</f>
        <v>0</v>
      </c>
      <c r="U18" s="110">
        <f>IF(Q18&lt;&gt;"",K18-T18,"")</f>
        <v>1500</v>
      </c>
      <c r="V18" s="111">
        <f>IF(Q18&lt;&gt;"",0%,"")</f>
        <v>0</v>
      </c>
      <c r="W18" s="112">
        <f>IF(Q18&lt;&gt;"",V18*U18,"")</f>
        <v>0</v>
      </c>
      <c r="X18" s="112">
        <f>IF(Q18&lt;&gt;"",W18+T18,"")</f>
        <v>0</v>
      </c>
      <c r="Y18" s="113">
        <f t="shared" si="1"/>
        <v>364.04871380638758</v>
      </c>
      <c r="Z18" s="96">
        <f>IF(Q18&lt;&gt;"", IFERROR(U18/K18, 0), 0)</f>
        <v>1</v>
      </c>
      <c r="AA18" s="114" t="str">
        <f>IFERROR(T18/$T$20, "")</f>
        <v/>
      </c>
      <c r="AK18" s="115">
        <f t="shared" ref="AK18:AK38" si="2">X18-AL18</f>
        <v>0</v>
      </c>
      <c r="AL18" s="116"/>
    </row>
    <row r="19" spans="1:39" ht="48.9" customHeight="1" x14ac:dyDescent="0.35">
      <c r="A19" s="69">
        <v>5</v>
      </c>
      <c r="B19" s="94" t="s">
        <v>107</v>
      </c>
      <c r="C19" s="95" t="s">
        <v>106</v>
      </c>
      <c r="D19" s="69" t="s">
        <v>110</v>
      </c>
      <c r="E19" s="69" t="s">
        <v>111</v>
      </c>
      <c r="F19" s="102" t="s">
        <v>124</v>
      </c>
      <c r="G19" s="103" t="s">
        <v>155</v>
      </c>
      <c r="H19" s="104">
        <v>1</v>
      </c>
      <c r="I19" s="104">
        <v>1</v>
      </c>
      <c r="J19" s="105">
        <v>800</v>
      </c>
      <c r="K19" s="105">
        <f>IF(F19&lt;&gt;"",H19*I19*J19,"")</f>
        <v>800</v>
      </c>
      <c r="L19" s="105">
        <f>IF(K19&lt;&gt;"",IF(D19="INTERNO",0,K19*$L$14),"")</f>
        <v>0</v>
      </c>
      <c r="M19" s="105">
        <f>IF(K19&lt;&gt;"",IF(E19="FAT.OGGI",SUM(K19:L19)*(1/(1-$M$14)-1),L19*(1/(1-$M$14)-1)),0)</f>
        <v>194.15931403007338</v>
      </c>
      <c r="N19" s="106">
        <f>SUM(K19:M19)</f>
        <v>994.15931403007335</v>
      </c>
      <c r="Q19" s="107">
        <f>IF(H19&lt;&gt;"",H19,"")</f>
        <v>1</v>
      </c>
      <c r="R19" s="108">
        <f>IF(I19&lt;&gt;"",I19,"")</f>
        <v>1</v>
      </c>
      <c r="S19" s="109">
        <v>0</v>
      </c>
      <c r="T19" s="109">
        <f>IF(Q19&lt;&gt;"",Q19*R19*S19,"")</f>
        <v>0</v>
      </c>
      <c r="U19" s="110">
        <f>IF(Q19&lt;&gt;"",K19-T19,"")</f>
        <v>800</v>
      </c>
      <c r="V19" s="111">
        <f>IF(Q19&lt;&gt;"",0%,"")</f>
        <v>0</v>
      </c>
      <c r="W19" s="112">
        <f>IF(Q19&lt;&gt;"",V19*U19,"")</f>
        <v>0</v>
      </c>
      <c r="X19" s="112">
        <f>IF(Q19&lt;&gt;"",W19+T19,"")</f>
        <v>0</v>
      </c>
      <c r="Y19" s="113">
        <f t="shared" si="1"/>
        <v>194.15931403007338</v>
      </c>
      <c r="Z19" s="96">
        <f>IF(Q19&lt;&gt;"", IFERROR(U19/K19, 0), 0)</f>
        <v>1</v>
      </c>
      <c r="AA19" s="114" t="str">
        <f>IFERROR(T19/$T$20, "")</f>
        <v/>
      </c>
      <c r="AK19" s="115">
        <f t="shared" si="2"/>
        <v>0</v>
      </c>
      <c r="AL19" s="116"/>
    </row>
    <row r="20" spans="1:39" ht="21.9" customHeight="1" thickBot="1" x14ac:dyDescent="0.4">
      <c r="A20" s="69">
        <v>6</v>
      </c>
      <c r="B20" s="94"/>
      <c r="C20" s="95" t="s">
        <v>112</v>
      </c>
      <c r="D20" s="69"/>
      <c r="E20" s="69"/>
      <c r="F20" s="265" t="s">
        <v>127</v>
      </c>
      <c r="G20" s="266"/>
      <c r="H20" s="266"/>
      <c r="I20" s="266"/>
      <c r="J20" s="266"/>
      <c r="K20" s="39">
        <f>SUM(K17:K19)</f>
        <v>3800</v>
      </c>
      <c r="L20" s="39">
        <f>SUM(L17:L19)</f>
        <v>0</v>
      </c>
      <c r="M20" s="39">
        <f>SUM(M17:M19)</f>
        <v>922.25674164284851</v>
      </c>
      <c r="N20" s="40">
        <f>SUM(N17:N19)</f>
        <v>4722.2567416428483</v>
      </c>
      <c r="Q20" s="267" t="s">
        <v>127</v>
      </c>
      <c r="R20" s="268"/>
      <c r="S20" s="268"/>
      <c r="T20" s="41">
        <f>SUM(T17:T19)</f>
        <v>0</v>
      </c>
      <c r="U20" s="42">
        <f>SUM(U17:U19)</f>
        <v>3800</v>
      </c>
      <c r="V20" s="117"/>
      <c r="W20" s="118"/>
      <c r="X20" s="43">
        <f>SUM(X17:X19)</f>
        <v>0</v>
      </c>
      <c r="Y20" s="44">
        <f t="shared" si="1"/>
        <v>922.25674164284851</v>
      </c>
      <c r="Z20" s="96"/>
      <c r="AA20" s="119"/>
      <c r="AK20" s="115">
        <f t="shared" si="2"/>
        <v>0</v>
      </c>
      <c r="AL20" s="116"/>
    </row>
    <row r="21" spans="1:39" ht="18.600000000000001" thickBot="1" x14ac:dyDescent="0.4">
      <c r="A21" s="69">
        <v>7</v>
      </c>
      <c r="B21" s="94">
        <v>2</v>
      </c>
      <c r="C21" s="95" t="s">
        <v>100</v>
      </c>
      <c r="D21" s="69"/>
      <c r="E21" s="69"/>
      <c r="F21" s="233" t="s">
        <v>138</v>
      </c>
      <c r="G21" s="234"/>
      <c r="H21" s="234"/>
      <c r="I21" s="234"/>
      <c r="J21" s="234"/>
      <c r="K21" s="234"/>
      <c r="L21" s="234"/>
      <c r="M21" s="234"/>
      <c r="N21" s="235"/>
      <c r="Q21" s="243" t="str">
        <f>IF(F21&lt;&gt;"",F21,"")</f>
        <v xml:space="preserve">STAFF </v>
      </c>
      <c r="R21" s="244"/>
      <c r="S21" s="244"/>
      <c r="T21" s="244"/>
      <c r="U21" s="244"/>
      <c r="V21" s="244"/>
      <c r="W21" s="244"/>
      <c r="X21" s="244"/>
      <c r="Y21" s="245"/>
      <c r="AK21" s="115">
        <f t="shared" si="2"/>
        <v>0</v>
      </c>
      <c r="AL21" s="116"/>
    </row>
    <row r="22" spans="1:39" ht="36" x14ac:dyDescent="0.35">
      <c r="A22" s="69">
        <v>8</v>
      </c>
      <c r="B22" s="94" t="s">
        <v>113</v>
      </c>
      <c r="C22" s="95" t="s">
        <v>101</v>
      </c>
      <c r="D22" s="69"/>
      <c r="E22" s="69"/>
      <c r="F22" s="239" t="s">
        <v>138</v>
      </c>
      <c r="G22" s="240"/>
      <c r="H22" s="240"/>
      <c r="I22" s="240"/>
      <c r="J22" s="240"/>
      <c r="K22" s="241"/>
      <c r="L22" s="120" t="s">
        <v>103</v>
      </c>
      <c r="M22" s="121" t="s">
        <v>104</v>
      </c>
      <c r="N22" s="122" t="s">
        <v>73</v>
      </c>
      <c r="Q22" s="239" t="str">
        <f>IF(F22&lt;&gt;"",F22,"")</f>
        <v xml:space="preserve">STAFF </v>
      </c>
      <c r="R22" s="240"/>
      <c r="S22" s="240"/>
      <c r="T22" s="240"/>
      <c r="U22" s="240"/>
      <c r="V22" s="240"/>
      <c r="W22" s="240"/>
      <c r="X22" s="240"/>
      <c r="Y22" s="242"/>
      <c r="Z22" s="100" t="s">
        <v>105</v>
      </c>
      <c r="AA22" s="101" t="s">
        <v>74</v>
      </c>
      <c r="AK22" s="115">
        <f t="shared" si="2"/>
        <v>0</v>
      </c>
      <c r="AL22" s="116"/>
    </row>
    <row r="23" spans="1:39" ht="49.5" customHeight="1" x14ac:dyDescent="0.35">
      <c r="A23" s="69">
        <v>9</v>
      </c>
      <c r="B23" s="94" t="s">
        <v>115</v>
      </c>
      <c r="C23" s="95" t="s">
        <v>106</v>
      </c>
      <c r="D23" s="69" t="s">
        <v>116</v>
      </c>
      <c r="E23" s="69" t="s">
        <v>117</v>
      </c>
      <c r="F23" s="123" t="s">
        <v>151</v>
      </c>
      <c r="G23" s="124" t="s">
        <v>156</v>
      </c>
      <c r="H23" s="125">
        <v>1</v>
      </c>
      <c r="I23" s="125">
        <v>2</v>
      </c>
      <c r="J23" s="126">
        <v>900</v>
      </c>
      <c r="K23" s="126">
        <f>IF(F23&lt;&gt;"",H23*I23*J23,"")</f>
        <v>1800</v>
      </c>
      <c r="L23" s="126">
        <f>IF(K23&lt;&gt;"",IF(D23="INTERNO",0,K23*$L$14),"")</f>
        <v>162</v>
      </c>
      <c r="M23" s="126">
        <f>IF(K23&lt;&gt;"",IF(E23="FAT.OGGI",SUM(K23:L23)*(1/(1-$M$14)-1),L23*(1/(1-$M$14)-1)),"")</f>
        <v>39.317261091089861</v>
      </c>
      <c r="N23" s="127">
        <f>SUM(K23:M23)</f>
        <v>2001.3172610910899</v>
      </c>
      <c r="Q23" s="128">
        <f t="shared" ref="Q23" si="3">IF(H23&lt;&gt;"",H23,"")</f>
        <v>1</v>
      </c>
      <c r="R23" s="129">
        <v>3</v>
      </c>
      <c r="S23" s="130">
        <v>650</v>
      </c>
      <c r="T23" s="130">
        <v>1900</v>
      </c>
      <c r="U23" s="131">
        <f>IF(Q23&lt;&gt;"",K23-T23,"")</f>
        <v>-100</v>
      </c>
      <c r="V23" s="132">
        <f>IF(Q23&lt;&gt;"",0%,"")</f>
        <v>0</v>
      </c>
      <c r="W23" s="133">
        <f>IF(Q23&lt;&gt;"",V23*U23,"")</f>
        <v>0</v>
      </c>
      <c r="X23" s="133">
        <f>IF(Q23&lt;&gt;"",W23+T23,"")</f>
        <v>1900</v>
      </c>
      <c r="Y23" s="113">
        <f>IF(Q23&lt;&gt;"",X23+M23,"")</f>
        <v>1939.3172610910899</v>
      </c>
      <c r="Z23" s="96">
        <f>IF(Q23&lt;&gt;"",U23/K23,"")</f>
        <v>-5.5555555555555552E-2</v>
      </c>
      <c r="AA23" s="114">
        <f>T23/$T$24</f>
        <v>1</v>
      </c>
      <c r="AK23" s="115">
        <f t="shared" si="2"/>
        <v>0</v>
      </c>
      <c r="AL23" s="116">
        <v>1900</v>
      </c>
      <c r="AM23" s="219" t="s">
        <v>200</v>
      </c>
    </row>
    <row r="24" spans="1:39" ht="29.4" customHeight="1" thickBot="1" x14ac:dyDescent="0.4">
      <c r="A24" s="69">
        <v>10</v>
      </c>
      <c r="B24" s="94"/>
      <c r="C24" s="95" t="s">
        <v>112</v>
      </c>
      <c r="D24" s="69"/>
      <c r="E24" s="69"/>
      <c r="F24" s="229" t="s">
        <v>139</v>
      </c>
      <c r="G24" s="230"/>
      <c r="H24" s="230"/>
      <c r="I24" s="230"/>
      <c r="J24" s="230"/>
      <c r="K24" s="51">
        <f>SUM(K23:K23)</f>
        <v>1800</v>
      </c>
      <c r="L24" s="51">
        <f>SUM(L23:L23)</f>
        <v>162</v>
      </c>
      <c r="M24" s="51">
        <f>SUM(M23:M23)</f>
        <v>39.317261091089861</v>
      </c>
      <c r="N24" s="48">
        <f>SUM(N23:N23)</f>
        <v>2001.3172610910899</v>
      </c>
      <c r="Q24" s="231" t="s">
        <v>139</v>
      </c>
      <c r="R24" s="232"/>
      <c r="S24" s="232"/>
      <c r="T24" s="45">
        <f>SUM(T23:T23)</f>
        <v>1900</v>
      </c>
      <c r="U24" s="46">
        <f>SUM(U23:U23)</f>
        <v>-100</v>
      </c>
      <c r="V24" s="134"/>
      <c r="W24" s="134"/>
      <c r="X24" s="47">
        <f>SUM(X23:X23)</f>
        <v>1900</v>
      </c>
      <c r="Y24" s="49">
        <f>IF(Q24&lt;&gt;"",X24+M24,"")</f>
        <v>1939.3172610910899</v>
      </c>
      <c r="AK24" s="115"/>
      <c r="AL24" s="116"/>
    </row>
    <row r="25" spans="1:39" ht="18.600000000000001" thickBot="1" x14ac:dyDescent="0.4">
      <c r="A25" s="69">
        <v>11</v>
      </c>
      <c r="B25" s="94">
        <v>3</v>
      </c>
      <c r="C25" s="95" t="s">
        <v>100</v>
      </c>
      <c r="D25" s="69"/>
      <c r="E25" s="69"/>
      <c r="F25" s="243" t="s">
        <v>140</v>
      </c>
      <c r="G25" s="244"/>
      <c r="H25" s="244"/>
      <c r="I25" s="244"/>
      <c r="J25" s="244"/>
      <c r="K25" s="244"/>
      <c r="L25" s="244"/>
      <c r="M25" s="244"/>
      <c r="N25" s="245"/>
      <c r="Q25" s="236" t="str">
        <f>IF(F25&lt;&gt;"",F25,"")</f>
        <v>SALA DE APRESENTAÇÃO</v>
      </c>
      <c r="R25" s="237"/>
      <c r="S25" s="237"/>
      <c r="T25" s="237"/>
      <c r="U25" s="237"/>
      <c r="V25" s="237"/>
      <c r="W25" s="237"/>
      <c r="X25" s="237"/>
      <c r="Y25" s="238"/>
      <c r="AK25" s="115">
        <f t="shared" si="2"/>
        <v>0</v>
      </c>
      <c r="AL25" s="116"/>
    </row>
    <row r="26" spans="1:39" ht="18.600000000000001" thickBot="1" x14ac:dyDescent="0.4">
      <c r="A26" s="69">
        <v>12</v>
      </c>
      <c r="B26" s="94">
        <v>4</v>
      </c>
      <c r="C26" s="95" t="s">
        <v>100</v>
      </c>
      <c r="D26" s="69"/>
      <c r="E26" s="69"/>
      <c r="F26" s="243" t="s">
        <v>125</v>
      </c>
      <c r="G26" s="244"/>
      <c r="H26" s="244"/>
      <c r="I26" s="244"/>
      <c r="J26" s="244"/>
      <c r="K26" s="244"/>
      <c r="L26" s="244"/>
      <c r="M26" s="244"/>
      <c r="N26" s="245"/>
      <c r="Q26" s="236" t="str">
        <f>IF(F26&lt;&gt;"",F26,"")</f>
        <v>BRINDES</v>
      </c>
      <c r="R26" s="237"/>
      <c r="S26" s="237"/>
      <c r="T26" s="237"/>
      <c r="U26" s="237"/>
      <c r="V26" s="237"/>
      <c r="W26" s="237"/>
      <c r="X26" s="237"/>
      <c r="Y26" s="238"/>
      <c r="AK26" s="115">
        <f t="shared" si="2"/>
        <v>0</v>
      </c>
      <c r="AL26" s="116"/>
    </row>
    <row r="27" spans="1:39" ht="36" x14ac:dyDescent="0.35">
      <c r="A27" s="69">
        <v>13</v>
      </c>
      <c r="B27" s="94" t="s">
        <v>118</v>
      </c>
      <c r="C27" s="95" t="s">
        <v>101</v>
      </c>
      <c r="D27" s="69"/>
      <c r="E27" s="69"/>
      <c r="F27" s="239" t="s">
        <v>125</v>
      </c>
      <c r="G27" s="240"/>
      <c r="H27" s="240"/>
      <c r="I27" s="240"/>
      <c r="J27" s="240"/>
      <c r="K27" s="241"/>
      <c r="L27" s="120" t="s">
        <v>103</v>
      </c>
      <c r="M27" s="121" t="s">
        <v>104</v>
      </c>
      <c r="N27" s="122" t="s">
        <v>73</v>
      </c>
      <c r="Q27" s="239" t="str">
        <f>IF(F27&lt;&gt;"",F27,"")</f>
        <v>BRINDES</v>
      </c>
      <c r="R27" s="240"/>
      <c r="S27" s="240"/>
      <c r="T27" s="240"/>
      <c r="U27" s="240"/>
      <c r="V27" s="240"/>
      <c r="W27" s="240"/>
      <c r="X27" s="240"/>
      <c r="Y27" s="242"/>
      <c r="Z27" s="100" t="s">
        <v>105</v>
      </c>
      <c r="AA27" s="101" t="s">
        <v>74</v>
      </c>
      <c r="AK27" s="115">
        <f t="shared" si="2"/>
        <v>0</v>
      </c>
      <c r="AL27" s="116"/>
    </row>
    <row r="28" spans="1:39" ht="35.4" customHeight="1" x14ac:dyDescent="0.35">
      <c r="A28" s="135">
        <v>14</v>
      </c>
      <c r="B28" s="94" t="s">
        <v>119</v>
      </c>
      <c r="C28" s="136" t="s">
        <v>106</v>
      </c>
      <c r="D28" s="135" t="s">
        <v>116</v>
      </c>
      <c r="E28" s="135" t="s">
        <v>117</v>
      </c>
      <c r="F28" s="137" t="s">
        <v>149</v>
      </c>
      <c r="G28" s="103" t="s">
        <v>157</v>
      </c>
      <c r="H28" s="138">
        <v>210</v>
      </c>
      <c r="I28" s="138">
        <v>1</v>
      </c>
      <c r="J28" s="139">
        <v>51</v>
      </c>
      <c r="K28" s="105">
        <f t="shared" ref="K28:K33" si="4">IF(F28&lt;&gt;"",H28*I28*J28,"")</f>
        <v>10710</v>
      </c>
      <c r="L28" s="105">
        <f t="shared" ref="L28:L33" si="5">IF(K28&lt;&gt;"",IF(D28="INTERNO",0,K28*$L$14),"")</f>
        <v>963.9</v>
      </c>
      <c r="M28" s="139">
        <f t="shared" ref="M28" si="6">IF(K28&lt;&gt;"",IF(E28="FAT.OGGI",SUM(K28:L28)*(1/(1-$M$14)-1),L28*(1/(1-$M$14)-1)),"")</f>
        <v>233.93770349198465</v>
      </c>
      <c r="N28" s="140">
        <f t="shared" ref="N28" si="7">SUM(K28:M28)</f>
        <v>11907.837703491985</v>
      </c>
      <c r="Q28" s="141">
        <f t="shared" ref="Q28" si="8">IF(H28&lt;&gt;"",H28,"")</f>
        <v>210</v>
      </c>
      <c r="R28" s="142">
        <v>1</v>
      </c>
      <c r="S28" s="143">
        <v>41.95</v>
      </c>
      <c r="T28" s="143">
        <f t="shared" ref="T28" si="9">IF(Q28&lt;&gt;"",Q28*R28*S28,"")</f>
        <v>8809.5</v>
      </c>
      <c r="U28" s="144">
        <f t="shared" ref="U28" si="10">IF(Q28&lt;&gt;"",K28-T28,"")</f>
        <v>1900.5</v>
      </c>
      <c r="V28" s="145">
        <f t="shared" ref="V28" si="11">IF(Q28&lt;&gt;"",0%,"")</f>
        <v>0</v>
      </c>
      <c r="W28" s="146">
        <f t="shared" ref="W28" si="12">IF(Q28&lt;&gt;"",V28*U28,"")</f>
        <v>0</v>
      </c>
      <c r="X28" s="147">
        <f t="shared" ref="X28" si="13">IF(Q28&lt;&gt;"",W28+T28,"")</f>
        <v>8809.5</v>
      </c>
      <c r="Y28" s="148">
        <f t="shared" ref="Y28:Y34" si="14">IF(Q28&lt;&gt;"",X28+M28,"")</f>
        <v>9043.4377034919853</v>
      </c>
      <c r="Z28" s="149">
        <f t="shared" ref="Z28" si="15">IF(Q28&lt;&gt;"",U28/K28,"")</f>
        <v>0.17745098039215687</v>
      </c>
      <c r="AA28" s="150">
        <f>T28/$T$34</f>
        <v>0.35726669383832055</v>
      </c>
      <c r="AC28" s="151">
        <v>8809.5</v>
      </c>
      <c r="AD28" s="152">
        <f>T28-AC28</f>
        <v>0</v>
      </c>
      <c r="AE28" s="153">
        <v>46118</v>
      </c>
      <c r="AG28" s="154" t="s">
        <v>189</v>
      </c>
      <c r="AH28" s="155" t="s">
        <v>190</v>
      </c>
      <c r="AK28" s="115">
        <f t="shared" si="2"/>
        <v>0</v>
      </c>
      <c r="AL28" s="116">
        <v>8809.5</v>
      </c>
      <c r="AM28" s="219" t="s">
        <v>201</v>
      </c>
    </row>
    <row r="29" spans="1:39" ht="36.9" customHeight="1" x14ac:dyDescent="0.35">
      <c r="A29" s="69">
        <v>15</v>
      </c>
      <c r="B29" s="94" t="s">
        <v>146</v>
      </c>
      <c r="C29" s="95" t="s">
        <v>106</v>
      </c>
      <c r="D29" s="135" t="s">
        <v>116</v>
      </c>
      <c r="E29" s="135" t="s">
        <v>117</v>
      </c>
      <c r="F29" s="123" t="s">
        <v>162</v>
      </c>
      <c r="G29" s="156" t="s">
        <v>163</v>
      </c>
      <c r="H29" s="125">
        <v>210</v>
      </c>
      <c r="I29" s="125">
        <v>1</v>
      </c>
      <c r="J29" s="126">
        <v>10</v>
      </c>
      <c r="K29" s="126">
        <f t="shared" si="4"/>
        <v>2100</v>
      </c>
      <c r="L29" s="126">
        <f t="shared" si="5"/>
        <v>189</v>
      </c>
      <c r="M29" s="126">
        <f>IF(K29&lt;&gt;"",IF(E29="FAT.OGGI",SUM(K29:L29)*(1/(1-$M$14)-1),L29*(1/(1-$M$14)-1)),"")</f>
        <v>45.870137939604838</v>
      </c>
      <c r="N29" s="127">
        <f>SUM(K29:M29)</f>
        <v>2334.8701379396048</v>
      </c>
      <c r="Q29" s="157">
        <v>1</v>
      </c>
      <c r="R29" s="158">
        <f>IF(I29&lt;&gt;"",I29,"")</f>
        <v>1</v>
      </c>
      <c r="S29" s="159">
        <v>850</v>
      </c>
      <c r="T29" s="159">
        <v>0</v>
      </c>
      <c r="U29" s="160">
        <f>IF(Q29&lt;&gt;"",K29-T29,"")</f>
        <v>2100</v>
      </c>
      <c r="V29" s="161">
        <f>IF(Q29&lt;&gt;"",0%,"")</f>
        <v>0</v>
      </c>
      <c r="W29" s="162">
        <f>IF(Q29&lt;&gt;"",V29*U29,"")</f>
        <v>0</v>
      </c>
      <c r="X29" s="162">
        <f>IF(Q29&lt;&gt;"",W29+T29,"")</f>
        <v>0</v>
      </c>
      <c r="Y29" s="163">
        <f>IF(Q29&lt;&gt;"",X29+M29,"")</f>
        <v>45.870137939604838</v>
      </c>
      <c r="Z29" s="96">
        <f>IF(Q29&lt;&gt;"",U29/K29,"")</f>
        <v>1</v>
      </c>
      <c r="AA29" s="119"/>
      <c r="AC29" s="151">
        <v>833.4</v>
      </c>
      <c r="AD29" s="152">
        <f>T29-AC29</f>
        <v>-833.4</v>
      </c>
      <c r="AE29" s="153">
        <v>46118</v>
      </c>
      <c r="AG29" s="154" t="s">
        <v>180</v>
      </c>
      <c r="AH29" s="155" t="s">
        <v>181</v>
      </c>
      <c r="AK29" s="115">
        <f t="shared" si="2"/>
        <v>0</v>
      </c>
      <c r="AL29" s="116"/>
    </row>
    <row r="30" spans="1:39" ht="36.9" customHeight="1" x14ac:dyDescent="0.35">
      <c r="A30" s="69">
        <v>16</v>
      </c>
      <c r="B30" s="94" t="s">
        <v>164</v>
      </c>
      <c r="C30" s="95" t="s">
        <v>106</v>
      </c>
      <c r="D30" s="135" t="s">
        <v>116</v>
      </c>
      <c r="E30" s="135" t="s">
        <v>117</v>
      </c>
      <c r="F30" s="164" t="s">
        <v>165</v>
      </c>
      <c r="G30" s="165" t="s">
        <v>165</v>
      </c>
      <c r="H30" s="125">
        <v>1</v>
      </c>
      <c r="I30" s="125">
        <v>1</v>
      </c>
      <c r="J30" s="126">
        <v>700</v>
      </c>
      <c r="K30" s="126">
        <f t="shared" si="4"/>
        <v>700</v>
      </c>
      <c r="L30" s="126">
        <f t="shared" si="5"/>
        <v>63</v>
      </c>
      <c r="M30" s="126">
        <f>IF(K30&lt;&gt;"",IF(E30="FAT.OGGI",SUM(K30:L30)*(1/(1-$M$14)-1),L30*(1/(1-$M$14)-1)),"")</f>
        <v>15.290045979868278</v>
      </c>
      <c r="N30" s="127">
        <f>SUM(K30:M30)</f>
        <v>778.2900459798683</v>
      </c>
      <c r="Q30" s="157">
        <f>IF(H30&lt;&gt;"",H30,"")</f>
        <v>1</v>
      </c>
      <c r="R30" s="158">
        <f>IF(I30&lt;&gt;"",I30,"")</f>
        <v>1</v>
      </c>
      <c r="S30" s="159">
        <v>700</v>
      </c>
      <c r="T30" s="159">
        <f>IF(Q30&lt;&gt;"",Q30*R30*S30,"")</f>
        <v>700</v>
      </c>
      <c r="U30" s="160">
        <f>IF(Q30&lt;&gt;"",K30-T30,"")</f>
        <v>0</v>
      </c>
      <c r="V30" s="161">
        <f>IF(Q30&lt;&gt;"",0%,"")</f>
        <v>0</v>
      </c>
      <c r="W30" s="162">
        <f>IF(Q30&lt;&gt;"",V30*U30,"")</f>
        <v>0</v>
      </c>
      <c r="X30" s="162">
        <f>IF(Q30&lt;&gt;"",W30+T30,"")</f>
        <v>700</v>
      </c>
      <c r="Y30" s="163">
        <f>IF(Q30&lt;&gt;"",X30+M30,"")</f>
        <v>715.2900459798683</v>
      </c>
      <c r="Z30" s="96">
        <f>IF(Q30&lt;&gt;"",U30/K30,"")</f>
        <v>0</v>
      </c>
      <c r="AA30" s="119"/>
      <c r="AK30" s="115">
        <f t="shared" si="2"/>
        <v>0</v>
      </c>
      <c r="AL30" s="116">
        <v>700</v>
      </c>
      <c r="AM30" s="219" t="s">
        <v>205</v>
      </c>
    </row>
    <row r="31" spans="1:39" ht="36.9" customHeight="1" x14ac:dyDescent="0.35">
      <c r="A31" s="69">
        <v>17</v>
      </c>
      <c r="B31" s="94" t="s">
        <v>166</v>
      </c>
      <c r="C31" s="95" t="s">
        <v>106</v>
      </c>
      <c r="D31" s="135" t="s">
        <v>116</v>
      </c>
      <c r="E31" s="135" t="s">
        <v>117</v>
      </c>
      <c r="F31" s="123" t="s">
        <v>167</v>
      </c>
      <c r="G31" s="156" t="s">
        <v>168</v>
      </c>
      <c r="H31" s="125">
        <v>2</v>
      </c>
      <c r="I31" s="125">
        <v>1</v>
      </c>
      <c r="J31" s="126">
        <v>500</v>
      </c>
      <c r="K31" s="126">
        <f t="shared" si="4"/>
        <v>1000</v>
      </c>
      <c r="L31" s="126">
        <f t="shared" si="5"/>
        <v>90</v>
      </c>
      <c r="M31" s="126">
        <f>IF(K31&lt;&gt;"",IF(E31="FAT.OGGI",SUM(K31:L31)*(1/(1-$M$14)-1),L31*(1/(1-$M$14)-1)),"")</f>
        <v>21.842922828383255</v>
      </c>
      <c r="N31" s="127">
        <f>SUM(K31:M31)</f>
        <v>1111.8429228283833</v>
      </c>
      <c r="Q31" s="157">
        <f>IF(H31&lt;&gt;"",H31,"")</f>
        <v>2</v>
      </c>
      <c r="R31" s="158">
        <f>IF(I31&lt;&gt;"",I31,"")</f>
        <v>1</v>
      </c>
      <c r="S31" s="159">
        <v>0</v>
      </c>
      <c r="T31" s="159">
        <f>IF(Q31&lt;&gt;"",Q31*R31*S31,"")</f>
        <v>0</v>
      </c>
      <c r="U31" s="160">
        <f>IF(Q31&lt;&gt;"",K31-T31,"")</f>
        <v>1000</v>
      </c>
      <c r="V31" s="161">
        <f>IF(Q31&lt;&gt;"",0%,"")</f>
        <v>0</v>
      </c>
      <c r="W31" s="162">
        <f>IF(Q31&lt;&gt;"",V31*U31,"")</f>
        <v>0</v>
      </c>
      <c r="X31" s="162">
        <f>IF(Q31&lt;&gt;"",W31+T31,"")</f>
        <v>0</v>
      </c>
      <c r="Y31" s="163">
        <f>IF(Q31&lt;&gt;"",X31+M31,"")</f>
        <v>21.842922828383255</v>
      </c>
      <c r="Z31" s="96">
        <f>IF(Q31&lt;&gt;"",U31/K31,"")</f>
        <v>1</v>
      </c>
      <c r="AA31" s="119"/>
      <c r="AK31" s="115">
        <f t="shared" si="2"/>
        <v>0</v>
      </c>
      <c r="AL31" s="116"/>
    </row>
    <row r="32" spans="1:39" ht="36.9" customHeight="1" x14ac:dyDescent="0.35">
      <c r="A32" s="69">
        <v>18</v>
      </c>
      <c r="B32" s="94" t="s">
        <v>169</v>
      </c>
      <c r="C32" s="95" t="s">
        <v>106</v>
      </c>
      <c r="D32" s="135" t="s">
        <v>116</v>
      </c>
      <c r="E32" s="135" t="s">
        <v>117</v>
      </c>
      <c r="F32" s="123" t="s">
        <v>171</v>
      </c>
      <c r="G32" s="124" t="s">
        <v>175</v>
      </c>
      <c r="H32" s="125">
        <v>145</v>
      </c>
      <c r="I32" s="125">
        <v>1</v>
      </c>
      <c r="J32" s="126">
        <v>90</v>
      </c>
      <c r="K32" s="126">
        <f t="shared" si="4"/>
        <v>13050</v>
      </c>
      <c r="L32" s="126">
        <f t="shared" si="5"/>
        <v>1174.5</v>
      </c>
      <c r="M32" s="126">
        <f>IF(K32&lt;&gt;"",IF(E32="FAT.OGGI",SUM(K32:L32)*(1/(1-$M$14)-1),L32*(1/(1-$M$14)-1)),"")</f>
        <v>285.05014291040146</v>
      </c>
      <c r="N32" s="127">
        <f>SUM(K32:M32)</f>
        <v>14509.550142910401</v>
      </c>
      <c r="Q32" s="157">
        <f>IF(H32&lt;&gt;"",H32,"")</f>
        <v>145</v>
      </c>
      <c r="R32" s="158">
        <f>IF(I32&lt;&gt;"",I32,"")</f>
        <v>1</v>
      </c>
      <c r="S32" s="159">
        <v>90</v>
      </c>
      <c r="T32" s="159">
        <v>13048.55</v>
      </c>
      <c r="U32" s="160">
        <f>IF(Q32&lt;&gt;"",K32-T32,"")</f>
        <v>1.4500000000007276</v>
      </c>
      <c r="V32" s="161">
        <f>IF(Q32&lt;&gt;"",0%,"")</f>
        <v>0</v>
      </c>
      <c r="W32" s="162">
        <f>IF(Q32&lt;&gt;"",V32*U32,"")</f>
        <v>0</v>
      </c>
      <c r="X32" s="162">
        <f>IF(Q32&lt;&gt;"",W32+T32,"")</f>
        <v>13048.55</v>
      </c>
      <c r="Y32" s="163">
        <f>IF(Q32&lt;&gt;"",X32+M32,"")</f>
        <v>13333.6001429104</v>
      </c>
      <c r="Z32" s="96">
        <f>IF(Q32&lt;&gt;"",U32/K32,"")</f>
        <v>1.1111111111116687E-4</v>
      </c>
      <c r="AA32" s="119"/>
      <c r="AK32" s="115">
        <f t="shared" si="2"/>
        <v>0</v>
      </c>
      <c r="AL32" s="116">
        <v>13048.55</v>
      </c>
      <c r="AM32" s="219" t="s">
        <v>204</v>
      </c>
    </row>
    <row r="33" spans="1:39" ht="36.9" customHeight="1" x14ac:dyDescent="0.35">
      <c r="A33" s="166">
        <v>19</v>
      </c>
      <c r="B33" s="94" t="s">
        <v>170</v>
      </c>
      <c r="C33" s="167" t="s">
        <v>106</v>
      </c>
      <c r="D33" s="135" t="s">
        <v>116</v>
      </c>
      <c r="E33" s="135" t="s">
        <v>117</v>
      </c>
      <c r="F33" s="168" t="s">
        <v>172</v>
      </c>
      <c r="G33" s="169" t="s">
        <v>173</v>
      </c>
      <c r="H33" s="104">
        <v>145</v>
      </c>
      <c r="I33" s="104">
        <v>1</v>
      </c>
      <c r="J33" s="105">
        <v>35</v>
      </c>
      <c r="K33" s="105">
        <f t="shared" si="4"/>
        <v>5075</v>
      </c>
      <c r="L33" s="105">
        <f t="shared" si="5"/>
        <v>456.75</v>
      </c>
      <c r="M33" s="105">
        <f>IF(K33&lt;&gt;"",IF(E33="FAT.OGGI",SUM(K33:L33)*(1/(1-$M$14)-1),L33*(1/(1-$M$14)-1)),"")</f>
        <v>110.85283335404502</v>
      </c>
      <c r="N33" s="106">
        <f>SUM(K33:M33)</f>
        <v>5642.6028333540453</v>
      </c>
      <c r="Q33" s="128">
        <f>IF(H33&lt;&gt;"",H33,"")</f>
        <v>145</v>
      </c>
      <c r="R33" s="129">
        <f>IF(I33&lt;&gt;"",I33,"")</f>
        <v>1</v>
      </c>
      <c r="S33" s="130">
        <v>20</v>
      </c>
      <c r="T33" s="130">
        <v>2100</v>
      </c>
      <c r="U33" s="131">
        <f>IF(Q33&lt;&gt;"",K33-T33,"")</f>
        <v>2975</v>
      </c>
      <c r="V33" s="132">
        <f>IF(Q33&lt;&gt;"",0%,"")</f>
        <v>0</v>
      </c>
      <c r="W33" s="133">
        <f>IF(Q33&lt;&gt;"",V33*U33,"")</f>
        <v>0</v>
      </c>
      <c r="X33" s="133">
        <f>IF(Q33&lt;&gt;"",W33+T33,"")</f>
        <v>2100</v>
      </c>
      <c r="Y33" s="113">
        <f>IF(Q33&lt;&gt;"",X33+M33,"")</f>
        <v>2210.8528333540448</v>
      </c>
      <c r="Z33" s="96">
        <f>IF(Q33&lt;&gt;"",U33/K33,"")</f>
        <v>0.58620689655172409</v>
      </c>
      <c r="AA33" s="119"/>
      <c r="AK33" s="115">
        <f t="shared" si="2"/>
        <v>0</v>
      </c>
      <c r="AL33" s="116">
        <v>2100</v>
      </c>
      <c r="AM33" s="219" t="s">
        <v>206</v>
      </c>
    </row>
    <row r="34" spans="1:39" ht="33.6" customHeight="1" thickBot="1" x14ac:dyDescent="0.4">
      <c r="A34" s="135">
        <v>16</v>
      </c>
      <c r="B34" s="94"/>
      <c r="C34" s="136" t="s">
        <v>112</v>
      </c>
      <c r="D34" s="135"/>
      <c r="E34" s="135"/>
      <c r="F34" s="229" t="s">
        <v>126</v>
      </c>
      <c r="G34" s="230"/>
      <c r="H34" s="230"/>
      <c r="I34" s="230"/>
      <c r="J34" s="230"/>
      <c r="K34" s="51">
        <f>SUM(K28:K33)</f>
        <v>32635</v>
      </c>
      <c r="L34" s="51">
        <f>SUM(L28:L33)</f>
        <v>2937.15</v>
      </c>
      <c r="M34" s="51">
        <f>SUM(M28:M33)</f>
        <v>712.84378650428766</v>
      </c>
      <c r="N34" s="48">
        <f>SUM(N28:N33)</f>
        <v>36284.993786504288</v>
      </c>
      <c r="Q34" s="231" t="s">
        <v>126</v>
      </c>
      <c r="R34" s="232"/>
      <c r="S34" s="232"/>
      <c r="T34" s="45">
        <f>SUM(T28:T33)</f>
        <v>24658.05</v>
      </c>
      <c r="U34" s="46">
        <f>SUM(U28:U33)</f>
        <v>7976.9500000000007</v>
      </c>
      <c r="V34" s="134"/>
      <c r="W34" s="134"/>
      <c r="X34" s="47">
        <f>SUM(X28:X33)</f>
        <v>24658.05</v>
      </c>
      <c r="Y34" s="49">
        <f t="shared" si="14"/>
        <v>25370.893786504286</v>
      </c>
      <c r="AK34" s="115"/>
      <c r="AL34" s="116"/>
    </row>
    <row r="35" spans="1:39" ht="18.600000000000001" thickBot="1" x14ac:dyDescent="0.4">
      <c r="A35" s="69">
        <v>17</v>
      </c>
      <c r="B35" s="94">
        <v>5</v>
      </c>
      <c r="C35" s="95" t="s">
        <v>100</v>
      </c>
      <c r="D35" s="69"/>
      <c r="E35" s="69"/>
      <c r="F35" s="233" t="s">
        <v>141</v>
      </c>
      <c r="G35" s="234"/>
      <c r="H35" s="234"/>
      <c r="I35" s="234"/>
      <c r="J35" s="234"/>
      <c r="K35" s="234"/>
      <c r="L35" s="234"/>
      <c r="M35" s="234"/>
      <c r="N35" s="235"/>
      <c r="Q35" s="236" t="str">
        <f>IF(F35&lt;&gt;"",F35,"")</f>
        <v xml:space="preserve">LOGISTICA / OPERACIONAL </v>
      </c>
      <c r="R35" s="237"/>
      <c r="S35" s="237"/>
      <c r="T35" s="237"/>
      <c r="U35" s="237"/>
      <c r="V35" s="237"/>
      <c r="W35" s="237"/>
      <c r="X35" s="237"/>
      <c r="Y35" s="238"/>
      <c r="AK35" s="115">
        <f t="shared" si="2"/>
        <v>0</v>
      </c>
      <c r="AL35" s="116"/>
    </row>
    <row r="36" spans="1:39" ht="36" x14ac:dyDescent="0.35">
      <c r="A36" s="69">
        <v>18</v>
      </c>
      <c r="B36" s="94" t="s">
        <v>120</v>
      </c>
      <c r="C36" s="95" t="s">
        <v>101</v>
      </c>
      <c r="D36" s="69"/>
      <c r="E36" s="69"/>
      <c r="F36" s="239" t="s">
        <v>141</v>
      </c>
      <c r="G36" s="240"/>
      <c r="H36" s="240"/>
      <c r="I36" s="240"/>
      <c r="J36" s="240"/>
      <c r="K36" s="241"/>
      <c r="L36" s="120" t="s">
        <v>103</v>
      </c>
      <c r="M36" s="121" t="s">
        <v>104</v>
      </c>
      <c r="N36" s="122" t="s">
        <v>73</v>
      </c>
      <c r="Q36" s="239" t="str">
        <f>IF(F36&lt;&gt;"",F36,"")</f>
        <v xml:space="preserve">LOGISTICA / OPERACIONAL </v>
      </c>
      <c r="R36" s="240"/>
      <c r="S36" s="240"/>
      <c r="T36" s="240"/>
      <c r="U36" s="240"/>
      <c r="V36" s="240"/>
      <c r="W36" s="240"/>
      <c r="X36" s="240"/>
      <c r="Y36" s="242"/>
      <c r="Z36" s="100" t="s">
        <v>105</v>
      </c>
      <c r="AA36" s="101" t="s">
        <v>74</v>
      </c>
      <c r="AK36" s="115">
        <f t="shared" si="2"/>
        <v>0</v>
      </c>
      <c r="AL36" s="116"/>
    </row>
    <row r="37" spans="1:39" ht="42.6" customHeight="1" x14ac:dyDescent="0.35">
      <c r="A37" s="135">
        <v>19</v>
      </c>
      <c r="B37" s="94" t="s">
        <v>147</v>
      </c>
      <c r="C37" s="136" t="s">
        <v>106</v>
      </c>
      <c r="D37" s="135" t="s">
        <v>116</v>
      </c>
      <c r="E37" s="135" t="s">
        <v>117</v>
      </c>
      <c r="F37" s="170" t="s">
        <v>150</v>
      </c>
      <c r="G37" s="171" t="s">
        <v>158</v>
      </c>
      <c r="H37" s="138">
        <v>1</v>
      </c>
      <c r="I37" s="138">
        <v>1</v>
      </c>
      <c r="J37" s="139">
        <v>1500</v>
      </c>
      <c r="K37" s="139">
        <f t="shared" ref="K37:K38" si="16">IF(F37&lt;&gt;"",H37*I37*J37,"")</f>
        <v>1500</v>
      </c>
      <c r="L37" s="139">
        <f t="shared" ref="L37:L38" si="17">IF(K37&lt;&gt;"",IF(D37="INTERNO",0,K37*$L$14),"")</f>
        <v>135</v>
      </c>
      <c r="M37" s="139">
        <f t="shared" ref="M37:M38" si="18">IF(K37&lt;&gt;"",IF(E37="FAT.OGGI",SUM(K37:L37)*(1/(1-$M$14)-1),L37*(1/(1-$M$14)-1)),"")</f>
        <v>32.764384242574884</v>
      </c>
      <c r="N37" s="140">
        <f t="shared" ref="N37:N38" si="19">SUM(K37:M37)</f>
        <v>1667.7643842425748</v>
      </c>
      <c r="O37" s="55" t="s">
        <v>191</v>
      </c>
      <c r="Q37" s="141">
        <f t="shared" ref="Q37:R38" si="20">IF(H37&lt;&gt;"",H37,"")</f>
        <v>1</v>
      </c>
      <c r="R37" s="142">
        <f t="shared" si="20"/>
        <v>1</v>
      </c>
      <c r="S37" s="143">
        <v>803.02</v>
      </c>
      <c r="T37" s="143">
        <f t="shared" ref="T37" si="21">IF(Q37&lt;&gt;"",Q37*R37*S37,"")</f>
        <v>803.02</v>
      </c>
      <c r="U37" s="144">
        <f t="shared" ref="U37:U38" si="22">IF(Q37&lt;&gt;"",K37-T37,"")</f>
        <v>696.98</v>
      </c>
      <c r="V37" s="145">
        <f t="shared" ref="V37:V38" si="23">IF(Q37&lt;&gt;"",0%,"")</f>
        <v>0</v>
      </c>
      <c r="W37" s="147">
        <f t="shared" ref="W37:W38" si="24">IF(Q37&lt;&gt;"",V37*U37,"")</f>
        <v>0</v>
      </c>
      <c r="X37" s="147">
        <f t="shared" ref="X37:X38" si="25">IF(Q37&lt;&gt;"",W37+T37,"")</f>
        <v>803.02</v>
      </c>
      <c r="Y37" s="148">
        <f t="shared" ref="Y37:Y39" si="26">IF(Q37&lt;&gt;"",X37+M37,"")</f>
        <v>835.7843842425749</v>
      </c>
      <c r="Z37" s="96">
        <f t="shared" ref="Z37:Z38" si="27">IF(Q37&lt;&gt;"",U37/K37,"")</f>
        <v>0.46465333333333336</v>
      </c>
      <c r="AA37" s="114">
        <f>T37/$T$39</f>
        <v>0.27907639482592045</v>
      </c>
      <c r="AK37" s="115">
        <f t="shared" si="2"/>
        <v>0</v>
      </c>
      <c r="AL37" s="116">
        <v>803.02</v>
      </c>
      <c r="AM37" s="219" t="s">
        <v>202</v>
      </c>
    </row>
    <row r="38" spans="1:39" ht="56.1" customHeight="1" thickBot="1" x14ac:dyDescent="0.4">
      <c r="A38" s="69">
        <v>20</v>
      </c>
      <c r="B38" s="94" t="s">
        <v>148</v>
      </c>
      <c r="C38" s="95" t="s">
        <v>106</v>
      </c>
      <c r="D38" s="69" t="s">
        <v>116</v>
      </c>
      <c r="E38" s="69" t="s">
        <v>117</v>
      </c>
      <c r="F38" s="168" t="s">
        <v>142</v>
      </c>
      <c r="G38" s="172" t="s">
        <v>159</v>
      </c>
      <c r="H38" s="104">
        <v>1</v>
      </c>
      <c r="I38" s="104">
        <v>1</v>
      </c>
      <c r="J38" s="105">
        <v>1200</v>
      </c>
      <c r="K38" s="105">
        <f t="shared" si="16"/>
        <v>1200</v>
      </c>
      <c r="L38" s="105">
        <f t="shared" si="17"/>
        <v>108</v>
      </c>
      <c r="M38" s="105">
        <f t="shared" si="18"/>
        <v>26.211507394059907</v>
      </c>
      <c r="N38" s="106">
        <f t="shared" si="19"/>
        <v>1334.2115073940599</v>
      </c>
      <c r="Q38" s="128">
        <f t="shared" si="20"/>
        <v>1</v>
      </c>
      <c r="R38" s="129">
        <f t="shared" si="20"/>
        <v>1</v>
      </c>
      <c r="S38" s="130">
        <v>1003.2</v>
      </c>
      <c r="T38" s="130">
        <v>2074.4</v>
      </c>
      <c r="U38" s="131">
        <f t="shared" si="22"/>
        <v>-874.40000000000009</v>
      </c>
      <c r="V38" s="132">
        <f t="shared" si="23"/>
        <v>0</v>
      </c>
      <c r="W38" s="133">
        <f t="shared" si="24"/>
        <v>0</v>
      </c>
      <c r="X38" s="133">
        <f t="shared" si="25"/>
        <v>2074.4</v>
      </c>
      <c r="Y38" s="113">
        <f t="shared" si="26"/>
        <v>2100.61150739406</v>
      </c>
      <c r="Z38" s="173">
        <f t="shared" si="27"/>
        <v>-0.7286666666666668</v>
      </c>
      <c r="AA38" s="174">
        <f>T38/$T$39</f>
        <v>0.72092360517407961</v>
      </c>
      <c r="AK38" s="115">
        <f t="shared" si="2"/>
        <v>0</v>
      </c>
      <c r="AL38" s="116">
        <f>833.4+1003.2+20+217.8</f>
        <v>2074.4</v>
      </c>
      <c r="AM38" s="219" t="s">
        <v>207</v>
      </c>
    </row>
    <row r="39" spans="1:39" ht="30.9" customHeight="1" thickBot="1" x14ac:dyDescent="0.4">
      <c r="A39" s="69">
        <v>21</v>
      </c>
      <c r="B39" s="94"/>
      <c r="C39" s="95" t="s">
        <v>112</v>
      </c>
      <c r="D39" s="69"/>
      <c r="E39" s="69"/>
      <c r="F39" s="227" t="s">
        <v>143</v>
      </c>
      <c r="G39" s="228"/>
      <c r="H39" s="228"/>
      <c r="I39" s="228"/>
      <c r="J39" s="228"/>
      <c r="K39" s="51">
        <f>SUM(K37:K38)</f>
        <v>2700</v>
      </c>
      <c r="L39" s="51">
        <f>SUM(L37:L38)</f>
        <v>243</v>
      </c>
      <c r="M39" s="51">
        <f>SUM(M37:M38)</f>
        <v>58.975891636634792</v>
      </c>
      <c r="N39" s="48">
        <f>SUM(N37:N38)</f>
        <v>3001.9758916366345</v>
      </c>
      <c r="Q39" s="227" t="s">
        <v>143</v>
      </c>
      <c r="R39" s="228"/>
      <c r="S39" s="228"/>
      <c r="T39" s="52">
        <f>SUM(T37:T38)</f>
        <v>2877.42</v>
      </c>
      <c r="U39" s="53">
        <f>SUM(U37:U38)</f>
        <v>-177.42000000000007</v>
      </c>
      <c r="V39" s="175"/>
      <c r="W39" s="175"/>
      <c r="X39" s="54">
        <f>SUM(X37:X38)</f>
        <v>2877.42</v>
      </c>
      <c r="Y39" s="50">
        <f t="shared" si="26"/>
        <v>2936.395891636635</v>
      </c>
      <c r="Z39" s="176" t="s">
        <v>122</v>
      </c>
      <c r="AA39" s="177" t="s">
        <v>123</v>
      </c>
      <c r="AK39" s="115"/>
      <c r="AL39" s="116"/>
    </row>
    <row r="40" spans="1:39" ht="38.4" customHeight="1" thickBot="1" x14ac:dyDescent="0.4">
      <c r="A40" s="166">
        <v>22</v>
      </c>
      <c r="B40" s="178"/>
      <c r="C40" s="167" t="s">
        <v>121</v>
      </c>
      <c r="D40" s="166"/>
      <c r="E40" s="166"/>
      <c r="F40" s="179" t="s">
        <v>176</v>
      </c>
      <c r="G40" s="180"/>
      <c r="H40" s="181"/>
      <c r="I40" s="181"/>
      <c r="J40" s="180"/>
      <c r="K40" s="182">
        <f>SUM(K17:K19)+SUM(K23:K23)+SUM(K28:K33)+SUM(K37:K38)</f>
        <v>40935</v>
      </c>
      <c r="L40" s="182">
        <f>SUM(L17:L19)+SUM(L23:L23)+SUM(L28:L33)+SUM(L37:L38)</f>
        <v>3342.15</v>
      </c>
      <c r="M40" s="182">
        <f>SUM(M17:M19)+SUM(M23:M23)+SUM(M28:M33)+SUM(M37:M38)</f>
        <v>1733.3936808748608</v>
      </c>
      <c r="N40" s="183">
        <f>SUM(N17:N19)+SUM(N23:N23)+SUM(N28:N33)+SUM(N37:N38)</f>
        <v>46010.543680874856</v>
      </c>
      <c r="Q40" s="184" t="s">
        <v>42</v>
      </c>
      <c r="R40" s="181"/>
      <c r="S40" s="180"/>
      <c r="T40" s="182">
        <f>SUM(T17:T19)+SUM(T23:T23)+SUM(T28:T33)+SUM(T37:T38)</f>
        <v>29435.47</v>
      </c>
      <c r="U40" s="182">
        <f>SUM(U17:U19)+SUM(U23:U23)+SUM(U28:U33)+SUM(U37:U38)</f>
        <v>11499.53</v>
      </c>
      <c r="V40" s="180"/>
      <c r="W40" s="180"/>
      <c r="X40" s="182">
        <f>SUM(X17:X19)+SUM(X23:X23)+SUM(X28:X33)+SUM(X37:X38)</f>
        <v>29435.47</v>
      </c>
      <c r="Y40" s="183">
        <f>SUM(Y17:Y19)+SUM(Y23:Y23)+SUM(Y28:Y33)+SUM(Y37:Y38)</f>
        <v>31168.86368087486</v>
      </c>
      <c r="Z40" s="185">
        <f>IF(Q40&lt;&gt;"",(N40-Y40)/N40,"")</f>
        <v>0.32257128068167601</v>
      </c>
      <c r="AA40" s="186">
        <f>IF(Z40&lt;&gt;"",(N40-Y40),"")</f>
        <v>14841.679999999997</v>
      </c>
      <c r="AK40" s="115">
        <f>SUM(AK17:AK39)</f>
        <v>0</v>
      </c>
      <c r="AL40" s="116">
        <f>SUM(AL17:AL39)</f>
        <v>29435.47</v>
      </c>
    </row>
    <row r="41" spans="1:39" x14ac:dyDescent="0.35">
      <c r="AM41" s="219" t="s">
        <v>198</v>
      </c>
    </row>
    <row r="42" spans="1:39" x14ac:dyDescent="0.35">
      <c r="AL42" s="220">
        <f>X40</f>
        <v>29435.47</v>
      </c>
      <c r="AM42" s="219" t="s">
        <v>199</v>
      </c>
    </row>
    <row r="43" spans="1:39" x14ac:dyDescent="0.35">
      <c r="AL43" s="220">
        <f>N40-X40</f>
        <v>16575.073680874855</v>
      </c>
      <c r="AM43" s="219" t="s">
        <v>196</v>
      </c>
    </row>
    <row r="44" spans="1:39" x14ac:dyDescent="0.35">
      <c r="AL44" s="221">
        <f>AL43*100%/N40</f>
        <v>0.36024511676797671</v>
      </c>
    </row>
  </sheetData>
  <autoFilter ref="A1:AL14" xr:uid="{107B9E09-8154-459A-AE62-6A4242823A27}">
    <filterColumn colId="5" showButton="0"/>
  </autoFilter>
  <mergeCells count="33">
    <mergeCell ref="F20:J20"/>
    <mergeCell ref="Q20:S20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1:N21"/>
    <mergeCell ref="Q21:Y21"/>
    <mergeCell ref="F22:K22"/>
    <mergeCell ref="Q22:Y22"/>
    <mergeCell ref="F24:J24"/>
    <mergeCell ref="Q24:S24"/>
    <mergeCell ref="F25:N25"/>
    <mergeCell ref="Q25:Y25"/>
    <mergeCell ref="F26:N26"/>
    <mergeCell ref="Q26:Y26"/>
    <mergeCell ref="F27:K27"/>
    <mergeCell ref="Q27:Y27"/>
    <mergeCell ref="F39:J39"/>
    <mergeCell ref="Q39:S39"/>
    <mergeCell ref="F34:J34"/>
    <mergeCell ref="Q34:S34"/>
    <mergeCell ref="F35:N35"/>
    <mergeCell ref="Q35:Y35"/>
    <mergeCell ref="F36:K36"/>
    <mergeCell ref="Q36:Y36"/>
  </mergeCells>
  <dataValidations count="3">
    <dataValidation type="list" allowBlank="1" showInputMessage="1" showErrorMessage="1" sqref="E37:E38 E23 E17:E20 E28:E33" xr:uid="{929887DC-7D05-4145-B5ED-C6DF97AE69FC}">
      <formula1>"FAT.OGGI,FAT.CLIENTE"</formula1>
    </dataValidation>
    <dataValidation type="list" allowBlank="1" showInputMessage="1" showErrorMessage="1" sqref="D37:D38 D23 D40 D17:D20 D28:D33" xr:uid="{0EF484B7-F620-4084-88A1-BEE4D2C001C9}">
      <formula1>"INTERNO,OPERACIONAL"</formula1>
    </dataValidation>
    <dataValidation type="list" allowBlank="1" showInputMessage="1" showErrorMessage="1" sqref="E40" xr:uid="{1B483F8C-E003-4FCD-B777-1D033DF819C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75" t="s">
        <v>10</v>
      </c>
      <c r="B1" s="275"/>
      <c r="C1" s="275"/>
      <c r="D1" s="277" t="s">
        <v>53</v>
      </c>
      <c r="E1" s="277"/>
      <c r="F1" s="277"/>
      <c r="G1" s="277"/>
      <c r="H1" s="277"/>
      <c r="I1" s="277"/>
      <c r="J1" s="27" t="s">
        <v>10</v>
      </c>
      <c r="K1" s="27" t="s">
        <v>10</v>
      </c>
      <c r="L1" s="27" t="s">
        <v>10</v>
      </c>
      <c r="M1" s="27" t="s">
        <v>10</v>
      </c>
      <c r="N1" s="27" t="s">
        <v>10</v>
      </c>
      <c r="O1" s="28" t="s">
        <v>10</v>
      </c>
    </row>
    <row r="2" spans="1:15" x14ac:dyDescent="0.3">
      <c r="A2" s="276"/>
      <c r="B2" s="276"/>
      <c r="C2" s="276"/>
      <c r="D2" s="275" t="s">
        <v>54</v>
      </c>
      <c r="E2" s="275"/>
      <c r="F2" s="275"/>
      <c r="G2" s="275"/>
      <c r="H2" s="275"/>
      <c r="I2" s="275"/>
      <c r="J2" s="27"/>
      <c r="K2" s="27"/>
      <c r="L2" s="27"/>
      <c r="M2" s="27"/>
      <c r="N2" s="27"/>
      <c r="O2" s="278" t="s">
        <v>55</v>
      </c>
    </row>
    <row r="3" spans="1:15" x14ac:dyDescent="0.3">
      <c r="A3" s="276"/>
      <c r="B3" s="276"/>
      <c r="C3" s="276"/>
      <c r="D3" s="275" t="s">
        <v>56</v>
      </c>
      <c r="E3" s="275"/>
      <c r="F3" s="275"/>
      <c r="G3" s="275"/>
      <c r="H3" s="275"/>
      <c r="I3" s="275"/>
      <c r="J3" s="27"/>
      <c r="K3" s="27"/>
      <c r="L3" s="27"/>
      <c r="M3" s="27"/>
      <c r="N3" s="27"/>
      <c r="O3" s="279"/>
    </row>
    <row r="4" spans="1:15" x14ac:dyDescent="0.3">
      <c r="A4" s="276"/>
      <c r="B4" s="276"/>
      <c r="C4" s="276"/>
      <c r="D4" s="275" t="s">
        <v>57</v>
      </c>
      <c r="E4" s="275"/>
      <c r="F4" s="275"/>
      <c r="G4" s="275"/>
      <c r="H4" s="275"/>
      <c r="I4" s="275"/>
      <c r="J4" s="27"/>
      <c r="K4" s="27"/>
      <c r="L4" s="27"/>
      <c r="M4" s="27"/>
      <c r="N4" s="27"/>
      <c r="O4" s="279"/>
    </row>
    <row r="5" spans="1:15" x14ac:dyDescent="0.3">
      <c r="A5" s="276"/>
      <c r="B5" s="276"/>
      <c r="C5" s="276"/>
      <c r="D5" s="275" t="s">
        <v>58</v>
      </c>
      <c r="E5" s="275"/>
      <c r="F5" s="275"/>
      <c r="G5" s="275"/>
      <c r="H5" s="275"/>
      <c r="I5" s="275"/>
      <c r="J5" s="27"/>
      <c r="K5" s="27"/>
      <c r="L5" s="27"/>
      <c r="M5" s="27"/>
      <c r="N5" s="27"/>
      <c r="O5" s="279"/>
    </row>
    <row r="6" spans="1:15" x14ac:dyDescent="0.3">
      <c r="A6" s="276"/>
      <c r="B6" s="276"/>
      <c r="C6" s="276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9"/>
    </row>
    <row r="7" spans="1:15" x14ac:dyDescent="0.3">
      <c r="A7" s="276"/>
      <c r="B7" s="276"/>
      <c r="C7" s="276"/>
      <c r="D7" s="275" t="s">
        <v>59</v>
      </c>
      <c r="E7" s="275"/>
      <c r="F7" s="275"/>
      <c r="G7" s="275"/>
      <c r="H7" s="275"/>
      <c r="I7" s="275"/>
      <c r="J7" s="27"/>
      <c r="K7" s="27"/>
      <c r="L7" s="27"/>
      <c r="M7" s="27"/>
      <c r="N7" s="27"/>
      <c r="O7" s="29">
        <v>45264.482613275461</v>
      </c>
    </row>
    <row r="8" spans="1:15" x14ac:dyDescent="0.3">
      <c r="A8" s="274" t="s">
        <v>60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</row>
    <row r="9" spans="1:15" ht="27.6" x14ac:dyDescent="0.3">
      <c r="A9" s="30" t="s">
        <v>61</v>
      </c>
      <c r="B9" s="30" t="s">
        <v>62</v>
      </c>
      <c r="C9" s="30" t="s">
        <v>63</v>
      </c>
      <c r="D9" s="30" t="s">
        <v>47</v>
      </c>
      <c r="E9" s="30" t="s">
        <v>64</v>
      </c>
      <c r="F9" s="30" t="s">
        <v>65</v>
      </c>
      <c r="G9" s="30" t="s">
        <v>33</v>
      </c>
      <c r="H9" s="30" t="s">
        <v>66</v>
      </c>
      <c r="I9" s="30" t="s">
        <v>67</v>
      </c>
      <c r="J9" s="30" t="s">
        <v>65</v>
      </c>
      <c r="K9" s="30" t="s">
        <v>68</v>
      </c>
      <c r="L9" s="30" t="s">
        <v>69</v>
      </c>
      <c r="M9" s="30" t="s">
        <v>70</v>
      </c>
      <c r="N9" s="30" t="s">
        <v>71</v>
      </c>
      <c r="O9" s="31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view="pageBreakPreview" topLeftCell="A28" zoomScale="60" zoomScaleNormal="10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13" t="s">
        <v>3</v>
      </c>
      <c r="C2" s="314"/>
      <c r="D2" s="314"/>
      <c r="E2" s="314"/>
      <c r="F2" s="314"/>
      <c r="G2" s="314"/>
      <c r="H2" s="314"/>
      <c r="I2" s="314"/>
      <c r="J2" s="314"/>
      <c r="K2" s="314"/>
      <c r="L2" s="315"/>
    </row>
    <row r="3" spans="2:12" ht="47.4" customHeight="1" thickBot="1" x14ac:dyDescent="0.35">
      <c r="B3" s="316" t="s">
        <v>11</v>
      </c>
      <c r="C3" s="317"/>
      <c r="D3" s="317"/>
      <c r="E3" s="317"/>
      <c r="F3" s="317"/>
      <c r="G3" s="317"/>
      <c r="H3" s="317"/>
      <c r="I3" s="317"/>
      <c r="J3" s="317"/>
      <c r="K3" s="317"/>
      <c r="L3" s="318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85" t="s">
        <v>12</v>
      </c>
      <c r="D6" s="285"/>
      <c r="E6" s="285"/>
      <c r="F6" s="285"/>
      <c r="G6" s="285"/>
      <c r="H6" s="285"/>
      <c r="I6" s="285"/>
      <c r="J6" s="285"/>
      <c r="K6" s="285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319" t="s">
        <v>177</v>
      </c>
      <c r="E8" s="320"/>
      <c r="F8" s="320"/>
      <c r="G8" s="320"/>
      <c r="H8" s="320"/>
      <c r="I8" s="320"/>
      <c r="J8" s="320"/>
      <c r="K8" s="321"/>
      <c r="L8" s="5"/>
    </row>
    <row r="9" spans="2:12" x14ac:dyDescent="0.3">
      <c r="B9" s="4"/>
      <c r="C9" s="7" t="s">
        <v>14</v>
      </c>
      <c r="D9" s="306" t="s">
        <v>15</v>
      </c>
      <c r="E9" s="307"/>
      <c r="F9" s="307"/>
      <c r="G9" s="307"/>
      <c r="H9" s="307"/>
      <c r="I9" s="307"/>
      <c r="J9" s="307"/>
      <c r="K9" s="308"/>
      <c r="L9" s="5"/>
    </row>
    <row r="10" spans="2:12" x14ac:dyDescent="0.3">
      <c r="B10" s="4"/>
      <c r="C10" s="7" t="s">
        <v>16</v>
      </c>
      <c r="D10" s="306" t="s">
        <v>128</v>
      </c>
      <c r="E10" s="307"/>
      <c r="F10" s="307"/>
      <c r="G10" s="307"/>
      <c r="H10" s="307"/>
      <c r="I10" s="307"/>
      <c r="J10" s="307"/>
      <c r="K10" s="308"/>
      <c r="L10" s="5"/>
    </row>
    <row r="11" spans="2:12" x14ac:dyDescent="0.3">
      <c r="B11" s="4"/>
      <c r="C11" s="7" t="s">
        <v>17</v>
      </c>
      <c r="D11" s="306" t="s">
        <v>178</v>
      </c>
      <c r="E11" s="307"/>
      <c r="F11" s="307"/>
      <c r="G11" s="307"/>
      <c r="H11" s="307"/>
      <c r="I11" s="307"/>
      <c r="J11" s="307"/>
      <c r="K11" s="308"/>
      <c r="L11" s="5"/>
    </row>
    <row r="12" spans="2:12" x14ac:dyDescent="0.3">
      <c r="B12" s="4"/>
      <c r="C12" s="10" t="s">
        <v>18</v>
      </c>
      <c r="D12" s="303" t="s">
        <v>179</v>
      </c>
      <c r="E12" s="304"/>
      <c r="F12" s="304"/>
      <c r="G12" s="304"/>
      <c r="H12" s="305"/>
      <c r="I12" s="11" t="s">
        <v>19</v>
      </c>
      <c r="J12" s="303" t="s">
        <v>119</v>
      </c>
      <c r="K12" s="30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85" t="s">
        <v>20</v>
      </c>
      <c r="D16" s="285"/>
      <c r="E16" s="285"/>
      <c r="F16" s="285"/>
      <c r="G16" s="285"/>
      <c r="H16" s="285"/>
      <c r="I16" s="285"/>
      <c r="J16" s="285"/>
      <c r="K16" s="285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09" t="s">
        <v>182</v>
      </c>
      <c r="E18" s="309"/>
      <c r="F18" s="309"/>
      <c r="G18" s="300"/>
      <c r="H18" s="309" t="s">
        <v>21</v>
      </c>
      <c r="I18" s="309"/>
      <c r="J18" s="309"/>
      <c r="K18" s="300"/>
      <c r="L18" s="5"/>
    </row>
    <row r="19" spans="2:12" x14ac:dyDescent="0.3">
      <c r="B19" s="4"/>
      <c r="C19" s="15" t="s">
        <v>22</v>
      </c>
      <c r="D19" s="310" t="s">
        <v>184</v>
      </c>
      <c r="E19" s="311"/>
      <c r="F19" s="311"/>
      <c r="G19" s="311"/>
      <c r="H19" s="311"/>
      <c r="I19" s="311"/>
      <c r="J19" s="311"/>
      <c r="K19" s="312"/>
      <c r="L19" s="5"/>
    </row>
    <row r="20" spans="2:12" x14ac:dyDescent="0.3">
      <c r="B20" s="4"/>
      <c r="C20" s="7" t="s">
        <v>23</v>
      </c>
      <c r="D20" s="306"/>
      <c r="E20" s="307"/>
      <c r="F20" s="307"/>
      <c r="G20" s="307"/>
      <c r="H20" s="307"/>
      <c r="I20" s="307"/>
      <c r="J20" s="307"/>
      <c r="K20" s="308"/>
      <c r="L20" s="5"/>
    </row>
    <row r="21" spans="2:12" x14ac:dyDescent="0.3">
      <c r="B21" s="4"/>
      <c r="C21" s="7" t="s">
        <v>24</v>
      </c>
      <c r="D21" s="306" t="s">
        <v>10</v>
      </c>
      <c r="E21" s="308"/>
      <c r="F21" s="7" t="s">
        <v>49</v>
      </c>
      <c r="G21" s="16" t="s">
        <v>10</v>
      </c>
      <c r="H21" s="7" t="s">
        <v>25</v>
      </c>
      <c r="I21" s="8" t="s">
        <v>10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306" t="s">
        <v>183</v>
      </c>
      <c r="E22" s="307"/>
      <c r="F22" s="307"/>
      <c r="G22" s="308"/>
      <c r="H22" s="7" t="s">
        <v>28</v>
      </c>
      <c r="I22" s="306"/>
      <c r="J22" s="307"/>
      <c r="K22" s="308"/>
      <c r="L22" s="5"/>
    </row>
    <row r="23" spans="2:12" x14ac:dyDescent="0.3">
      <c r="B23" s="4"/>
      <c r="C23" s="10" t="s">
        <v>29</v>
      </c>
      <c r="D23" s="303" t="s">
        <v>185</v>
      </c>
      <c r="E23" s="304"/>
      <c r="F23" s="304"/>
      <c r="G23" s="305"/>
      <c r="H23" s="10" t="s">
        <v>30</v>
      </c>
      <c r="I23" s="303" t="s">
        <v>10</v>
      </c>
      <c r="J23" s="304"/>
      <c r="K23" s="305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85" t="s">
        <v>20</v>
      </c>
      <c r="D27" s="285"/>
      <c r="E27" s="285"/>
      <c r="F27" s="285"/>
      <c r="G27" s="285"/>
      <c r="H27" s="285"/>
      <c r="I27" s="285"/>
      <c r="J27" s="285"/>
      <c r="K27" s="285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299" t="s">
        <v>32</v>
      </c>
      <c r="E29" s="300"/>
      <c r="F29" s="299" t="s">
        <v>33</v>
      </c>
      <c r="G29" s="300"/>
      <c r="H29" s="301" t="s">
        <v>34</v>
      </c>
      <c r="I29" s="301"/>
      <c r="J29" s="301"/>
      <c r="K29" s="302"/>
      <c r="L29" s="5"/>
    </row>
    <row r="30" spans="2:12" x14ac:dyDescent="0.3">
      <c r="B30" s="4"/>
      <c r="C30" s="17" t="s">
        <v>35</v>
      </c>
      <c r="D30" s="286" t="s">
        <v>186</v>
      </c>
      <c r="E30" s="287"/>
      <c r="F30" s="288" t="s">
        <v>187</v>
      </c>
      <c r="G30" s="289"/>
      <c r="H30" s="18" t="s">
        <v>188</v>
      </c>
      <c r="I30" s="299" t="s">
        <v>39</v>
      </c>
      <c r="J30" s="300"/>
      <c r="K30" s="6" t="s">
        <v>37</v>
      </c>
      <c r="L30" s="5"/>
    </row>
    <row r="31" spans="2:12" x14ac:dyDescent="0.3">
      <c r="B31" s="4"/>
      <c r="C31" s="17" t="s">
        <v>38</v>
      </c>
      <c r="D31" s="286" t="s">
        <v>10</v>
      </c>
      <c r="E31" s="287"/>
      <c r="F31" s="288" t="s">
        <v>10</v>
      </c>
      <c r="G31" s="289"/>
      <c r="H31" s="17" t="s">
        <v>36</v>
      </c>
      <c r="I31" s="290" t="s">
        <v>39</v>
      </c>
      <c r="J31" s="291"/>
      <c r="K31" s="7" t="s">
        <v>37</v>
      </c>
      <c r="L31" s="5"/>
    </row>
    <row r="32" spans="2:12" x14ac:dyDescent="0.3">
      <c r="B32" s="4"/>
      <c r="C32" s="17" t="s">
        <v>40</v>
      </c>
      <c r="D32" s="286" t="s">
        <v>10</v>
      </c>
      <c r="E32" s="287"/>
      <c r="F32" s="288" t="s">
        <v>10</v>
      </c>
      <c r="G32" s="289"/>
      <c r="H32" s="17" t="s">
        <v>36</v>
      </c>
      <c r="I32" s="290" t="s">
        <v>39</v>
      </c>
      <c r="J32" s="291"/>
      <c r="K32" s="7" t="s">
        <v>37</v>
      </c>
      <c r="L32" s="5"/>
    </row>
    <row r="33" spans="2:12" x14ac:dyDescent="0.3">
      <c r="B33" s="4"/>
      <c r="C33" s="19" t="s">
        <v>41</v>
      </c>
      <c r="D33" s="286" t="s">
        <v>10</v>
      </c>
      <c r="E33" s="287"/>
      <c r="F33" s="292" t="s">
        <v>10</v>
      </c>
      <c r="G33" s="293"/>
      <c r="H33" s="17" t="s">
        <v>36</v>
      </c>
      <c r="I33" s="290" t="s">
        <v>39</v>
      </c>
      <c r="J33" s="291"/>
      <c r="K33" s="7" t="s">
        <v>37</v>
      </c>
      <c r="L33" s="5"/>
    </row>
    <row r="34" spans="2:12" x14ac:dyDescent="0.3">
      <c r="B34" s="4"/>
      <c r="C34" s="294" t="s">
        <v>42</v>
      </c>
      <c r="D34" s="295"/>
      <c r="E34" s="296"/>
      <c r="F34" s="297" t="s">
        <v>187</v>
      </c>
      <c r="G34" s="298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85" t="s">
        <v>43</v>
      </c>
      <c r="D38" s="285"/>
      <c r="E38" s="285"/>
      <c r="F38" s="285"/>
      <c r="G38" s="285"/>
      <c r="H38" s="285"/>
      <c r="I38" s="285"/>
      <c r="J38" s="285"/>
      <c r="K38" s="285"/>
      <c r="L38" s="5"/>
    </row>
    <row r="39" spans="2:12" x14ac:dyDescent="0.3">
      <c r="B39" s="4"/>
      <c r="C39" s="283" t="s">
        <v>10</v>
      </c>
      <c r="D39" s="283"/>
      <c r="E39" s="283"/>
      <c r="F39" s="283"/>
      <c r="G39" s="283"/>
      <c r="H39" s="283"/>
      <c r="I39" s="283"/>
      <c r="J39" s="283"/>
      <c r="K39" s="283"/>
      <c r="L39" s="5"/>
    </row>
    <row r="40" spans="2:12" x14ac:dyDescent="0.3">
      <c r="B40" s="4"/>
      <c r="C40" s="283"/>
      <c r="D40" s="283"/>
      <c r="E40" s="283"/>
      <c r="F40" s="283"/>
      <c r="G40" s="283"/>
      <c r="H40" s="283"/>
      <c r="I40" s="283"/>
      <c r="J40" s="283"/>
      <c r="K40" s="283"/>
      <c r="L40" s="5"/>
    </row>
    <row r="41" spans="2:12" x14ac:dyDescent="0.3">
      <c r="B41" s="4"/>
      <c r="C41" s="283"/>
      <c r="D41" s="283"/>
      <c r="E41" s="283"/>
      <c r="F41" s="283"/>
      <c r="G41" s="283"/>
      <c r="H41" s="283"/>
      <c r="I41" s="283"/>
      <c r="J41" s="283"/>
      <c r="K41" s="283"/>
      <c r="L41" s="5"/>
    </row>
    <row r="42" spans="2:12" x14ac:dyDescent="0.3">
      <c r="B42" s="4"/>
      <c r="C42" s="283"/>
      <c r="D42" s="283"/>
      <c r="E42" s="283"/>
      <c r="F42" s="283"/>
      <c r="G42" s="283"/>
      <c r="H42" s="283"/>
      <c r="I42" s="283"/>
      <c r="J42" s="283"/>
      <c r="K42" s="283"/>
      <c r="L42" s="5"/>
    </row>
    <row r="43" spans="2:12" x14ac:dyDescent="0.3">
      <c r="B43" s="4"/>
      <c r="C43" s="283"/>
      <c r="D43" s="283"/>
      <c r="E43" s="283"/>
      <c r="F43" s="283"/>
      <c r="G43" s="283"/>
      <c r="H43" s="283"/>
      <c r="I43" s="283"/>
      <c r="J43" s="283"/>
      <c r="K43" s="283"/>
      <c r="L43" s="5"/>
    </row>
    <row r="44" spans="2:12" x14ac:dyDescent="0.3">
      <c r="B44" s="4"/>
      <c r="C44" s="283"/>
      <c r="D44" s="283"/>
      <c r="E44" s="283"/>
      <c r="F44" s="283"/>
      <c r="G44" s="283"/>
      <c r="H44" s="283"/>
      <c r="I44" s="283"/>
      <c r="J44" s="283"/>
      <c r="K44" s="283"/>
      <c r="L44" s="5"/>
    </row>
    <row r="45" spans="2:12" x14ac:dyDescent="0.3">
      <c r="B45" s="4"/>
      <c r="C45" s="284"/>
      <c r="D45" s="284"/>
      <c r="E45" s="284"/>
      <c r="F45" s="284"/>
      <c r="G45" s="284"/>
      <c r="H45" s="284"/>
      <c r="I45" s="284"/>
      <c r="J45" s="284"/>
      <c r="K45" s="284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80" t="s">
        <v>44</v>
      </c>
      <c r="C48" s="28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82" t="s">
        <v>45</v>
      </c>
      <c r="D51" s="282"/>
      <c r="E51" s="282"/>
      <c r="F51" s="282"/>
      <c r="H51" s="282" t="s">
        <v>46</v>
      </c>
      <c r="I51" s="282"/>
      <c r="J51" s="282"/>
      <c r="K51" s="28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pageSetup paperSize="9" scale="98"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4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SUMMIT AGRO  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2026-05-14T22:00:20Z</cp:lastPrinted>
  <dcterms:created xsi:type="dcterms:W3CDTF">2023-09-21T21:02:20Z</dcterms:created>
  <dcterms:modified xsi:type="dcterms:W3CDTF">2026-05-27T14:51:16Z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