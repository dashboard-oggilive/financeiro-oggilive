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OK\"/>
    </mc:Choice>
  </mc:AlternateContent>
  <xr:revisionPtr revIDLastSave="0" documentId="13_ncr:1_{B487FD09-F52A-47B4-BE38-CFBF5A671B57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103" r:id="rId1"/>
    <sheet name="Principal" sheetId="91" r:id="rId2"/>
    <sheet name="Atração" sheetId="92" r:id="rId3"/>
    <sheet name="Opcionais" sheetId="93" r:id="rId4"/>
    <sheet name="Itens extra" sheetId="97" r:id="rId5"/>
    <sheet name="Bourbon Atibaia " sheetId="100" r:id="rId6"/>
    <sheet name="Itens Extra Hotel " sheetId="101" r:id="rId7"/>
    <sheet name="CUSTOS OPERACIONAIS" sheetId="102" r:id="rId8"/>
    <sheet name="TOTAL" sheetId="95" r:id="rId9"/>
    <sheet name="Negociação" sheetId="96" r:id="rId10"/>
    <sheet name="Solicitações de Pagamento" sheetId="4" r:id="rId11"/>
    <sheet name="ItensOrc" sheetId="76" state="hidden" r:id="rId12"/>
    <sheet name="Template SP" sheetId="3" state="hidden" r:id="rId13"/>
  </sheets>
  <externalReferences>
    <externalReference r:id="rId14"/>
    <externalReference r:id="rId15"/>
  </externalReferences>
  <definedNames>
    <definedName name="_xlnm._FilterDatabase" localSheetId="2" hidden="1">Atração!$A$1:$AL$14</definedName>
    <definedName name="_xlnm._FilterDatabase" localSheetId="5" hidden="1">'Bourbon Atibaia '!$A$1:$AL$14</definedName>
    <definedName name="_xlnm._FilterDatabase" localSheetId="4" hidden="1">'Itens extra'!$A$1:$AL$14</definedName>
    <definedName name="_xlnm._FilterDatabase" localSheetId="6" hidden="1">'Itens Extra Hotel '!$A$1:$AL$14</definedName>
    <definedName name="_xlnm._FilterDatabase" localSheetId="3" hidden="1">Opcionais!$A$1:$AL$14</definedName>
    <definedName name="_xlnm._FilterDatabase" localSheetId="1" hidden="1">Principal!$A$1:$AL$94</definedName>
    <definedName name="_xlnm._FilterDatabase" localSheetId="8" hidden="1">TOTAL!#REF!</definedName>
    <definedName name="_xleta.AND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11">ItensOrc!$M:$M</definedName>
    <definedName name="itensorc_desconto">#REF!</definedName>
    <definedName name="itensorc_descricao" localSheetId="11">ItensOrc!$D:$D</definedName>
    <definedName name="itensorc_descricao">#REF!</definedName>
    <definedName name="itensorc_encargos" localSheetId="11">ItensOrc!$N:$N</definedName>
    <definedName name="itensorc_encargos">#REF!</definedName>
    <definedName name="itensorc_especifica" localSheetId="11">ItensOrc!$O:$O</definedName>
    <definedName name="itensorc_especifica">#REF!</definedName>
    <definedName name="itensorc_item" localSheetId="11">ItensOrc!$C:$C</definedName>
    <definedName name="itensorc_item">#REF!</definedName>
    <definedName name="itensorc_lancamento" localSheetId="11">ItensOrc!$B:$B</definedName>
    <definedName name="itensorc_lancamento">#REF!</definedName>
    <definedName name="itensorc_percentualhonorarios" localSheetId="11">ItensOrc!$L:$L</definedName>
    <definedName name="itensorc_percentualhonorarios">#REF!</definedName>
    <definedName name="itensorc_quantidade" localSheetId="11">ItensOrc!$E:$E</definedName>
    <definedName name="itensorc_quantidade">#REF!</definedName>
    <definedName name="itensorc_situacao" localSheetId="11">ItensOrc!$H:$H</definedName>
    <definedName name="itensorc_situacao">#REF!</definedName>
    <definedName name="itensorc_subtipo" localSheetId="11">ItensOrc!$K:$K</definedName>
    <definedName name="itensorc_subtipo">#REF!</definedName>
    <definedName name="itensorc_tiporeceita" localSheetId="11">ItensOrc!$A:$A</definedName>
    <definedName name="itensorc_tiporeceita">#REF!</definedName>
    <definedName name="itensorc_valor" localSheetId="11">ItensOrc!$G:$G</definedName>
    <definedName name="itensorc_valor">#REF!</definedName>
    <definedName name="itensorc_valorfornecedor" localSheetId="11">ItensOrc!$I:$I</definedName>
    <definedName name="itensorc_valorfornecedor">#REF!</definedName>
    <definedName name="itensorc_valorfornecedorunitario" localSheetId="11">ItensOrc!$J:$J</definedName>
    <definedName name="itensorc_valorfornecedorunitario">#REF!</definedName>
    <definedName name="itensorc_valorunitario" localSheetId="11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03" l="1"/>
  <c r="E26" i="103"/>
  <c r="E25" i="103"/>
  <c r="E24" i="103"/>
  <c r="E23" i="103"/>
  <c r="E22" i="103"/>
  <c r="D22" i="103"/>
  <c r="D41" i="103"/>
  <c r="D40" i="103"/>
  <c r="D39" i="103"/>
  <c r="E39" i="103"/>
  <c r="F39" i="103" s="1"/>
  <c r="D38" i="103"/>
  <c r="D37" i="103"/>
  <c r="C43" i="103"/>
  <c r="C42" i="103"/>
  <c r="D33" i="103"/>
  <c r="E37" i="103"/>
  <c r="E38" i="103"/>
  <c r="F38" i="103" s="1"/>
  <c r="E40" i="103"/>
  <c r="F40" i="103" s="1"/>
  <c r="E41" i="103"/>
  <c r="F41" i="103" s="1"/>
  <c r="AL34" i="93"/>
  <c r="AL17" i="100"/>
  <c r="AL32" i="93"/>
  <c r="X25" i="97"/>
  <c r="D25" i="103" s="1"/>
  <c r="AL23" i="97"/>
  <c r="AL67" i="91"/>
  <c r="AL23" i="91"/>
  <c r="AL86" i="91"/>
  <c r="AL21" i="93"/>
  <c r="AL82" i="91"/>
  <c r="AL40" i="91"/>
  <c r="AL92" i="91"/>
  <c r="AL64" i="91"/>
  <c r="AL81" i="91"/>
  <c r="AL90" i="91"/>
  <c r="AL91" i="91"/>
  <c r="AL25" i="93"/>
  <c r="T73" i="91"/>
  <c r="AL46" i="91"/>
  <c r="AL17" i="91"/>
  <c r="AL74" i="91"/>
  <c r="AK20" i="93"/>
  <c r="AK22" i="93"/>
  <c r="AK23" i="93"/>
  <c r="AK27" i="93"/>
  <c r="AK33" i="93"/>
  <c r="AK35" i="93"/>
  <c r="AK36" i="93"/>
  <c r="AK39" i="93"/>
  <c r="X36" i="93"/>
  <c r="C25" i="103"/>
  <c r="C24" i="103"/>
  <c r="C23" i="103"/>
  <c r="E3" i="103"/>
  <c r="G21" i="102"/>
  <c r="AL31" i="101"/>
  <c r="AK20" i="100"/>
  <c r="AK21" i="100"/>
  <c r="AK22" i="100"/>
  <c r="AL25" i="97"/>
  <c r="AL42" i="93"/>
  <c r="AK44" i="91"/>
  <c r="AK45" i="91"/>
  <c r="J18" i="101"/>
  <c r="K37" i="100"/>
  <c r="F37" i="103" l="1"/>
  <c r="AL40" i="100"/>
  <c r="AL94" i="91"/>
  <c r="S37" i="100"/>
  <c r="K38" i="100"/>
  <c r="S23" i="97"/>
  <c r="S34" i="93"/>
  <c r="S28" i="91"/>
  <c r="S21" i="91"/>
  <c r="S38" i="100" l="1"/>
  <c r="L38" i="100" l="1"/>
  <c r="R29" i="101"/>
  <c r="Q29" i="101"/>
  <c r="V29" i="101" l="1"/>
  <c r="Q28" i="101"/>
  <c r="R28" i="101"/>
  <c r="K28" i="101"/>
  <c r="L28" i="101" s="1"/>
  <c r="Q15" i="101"/>
  <c r="Q16" i="101"/>
  <c r="K17" i="101"/>
  <c r="Q17" i="101"/>
  <c r="V17" i="101" s="1"/>
  <c r="R17" i="101"/>
  <c r="K18" i="101"/>
  <c r="L18" i="101" s="1"/>
  <c r="Q18" i="101"/>
  <c r="R18" i="101"/>
  <c r="K19" i="101"/>
  <c r="L19" i="101" s="1"/>
  <c r="Q19" i="101"/>
  <c r="V19" i="101" s="1"/>
  <c r="R19" i="101"/>
  <c r="K20" i="101"/>
  <c r="Q20" i="101"/>
  <c r="R20" i="101"/>
  <c r="K21" i="101"/>
  <c r="Q21" i="101"/>
  <c r="V21" i="101" s="1"/>
  <c r="R21" i="101"/>
  <c r="K22" i="101"/>
  <c r="L22" i="101" s="1"/>
  <c r="Q22" i="101"/>
  <c r="V22" i="101" s="1"/>
  <c r="R22" i="101"/>
  <c r="K23" i="101"/>
  <c r="L23" i="101" s="1"/>
  <c r="Q23" i="101"/>
  <c r="R23" i="101"/>
  <c r="V23" i="101"/>
  <c r="K24" i="101"/>
  <c r="Q24" i="101"/>
  <c r="V24" i="101" s="1"/>
  <c r="R24" i="101"/>
  <c r="K25" i="101"/>
  <c r="Q25" i="101"/>
  <c r="V25" i="101" s="1"/>
  <c r="R25" i="101"/>
  <c r="K26" i="101"/>
  <c r="L26" i="101" s="1"/>
  <c r="Q26" i="101"/>
  <c r="V26" i="101" s="1"/>
  <c r="R26" i="101"/>
  <c r="K27" i="101"/>
  <c r="L27" i="101" s="1"/>
  <c r="Q27" i="101"/>
  <c r="R27" i="101"/>
  <c r="M14" i="101"/>
  <c r="M14" i="100"/>
  <c r="M38" i="100" s="1"/>
  <c r="N38" i="100" s="1"/>
  <c r="Q15" i="100"/>
  <c r="Q16" i="100"/>
  <c r="K17" i="100"/>
  <c r="Q17" i="100"/>
  <c r="V17" i="100"/>
  <c r="K18" i="100"/>
  <c r="L18" i="100" s="1"/>
  <c r="Q18" i="100"/>
  <c r="Q19" i="100"/>
  <c r="L20" i="100"/>
  <c r="Q20" i="100"/>
  <c r="L21" i="100"/>
  <c r="Q21" i="100"/>
  <c r="U21" i="100" s="1"/>
  <c r="V21" i="100"/>
  <c r="L22" i="100"/>
  <c r="Q22" i="100"/>
  <c r="K23" i="100"/>
  <c r="Q23" i="100"/>
  <c r="K24" i="100"/>
  <c r="L24" i="100" s="1"/>
  <c r="Q24" i="100"/>
  <c r="K25" i="100"/>
  <c r="L25" i="100" s="1"/>
  <c r="Q25" i="100"/>
  <c r="K26" i="100"/>
  <c r="Q26" i="100"/>
  <c r="K27" i="100"/>
  <c r="L27" i="100" s="1"/>
  <c r="Q27" i="100"/>
  <c r="R27" i="100"/>
  <c r="V27" i="100"/>
  <c r="K28" i="100"/>
  <c r="L28" i="100" s="1"/>
  <c r="Q28" i="100"/>
  <c r="K29" i="100"/>
  <c r="L29" i="100" s="1"/>
  <c r="Q29" i="100"/>
  <c r="K30" i="100"/>
  <c r="L30" i="100" s="1"/>
  <c r="Q30" i="100"/>
  <c r="K31" i="100"/>
  <c r="L31" i="100" s="1"/>
  <c r="Q31" i="100"/>
  <c r="U31" i="100" s="1"/>
  <c r="Z31" i="100" s="1"/>
  <c r="V31" i="100"/>
  <c r="K32" i="100"/>
  <c r="L32" i="100" s="1"/>
  <c r="Q32" i="100"/>
  <c r="V32" i="100" s="1"/>
  <c r="K33" i="100"/>
  <c r="L33" i="100" s="1"/>
  <c r="Q33" i="100"/>
  <c r="K34" i="100"/>
  <c r="Q34" i="100"/>
  <c r="Q36" i="100"/>
  <c r="Q37" i="100"/>
  <c r="R37" i="100"/>
  <c r="Q38" i="100"/>
  <c r="R38" i="100"/>
  <c r="V38" i="100"/>
  <c r="B19" i="95"/>
  <c r="N42" i="93"/>
  <c r="M42" i="93"/>
  <c r="L42" i="93"/>
  <c r="K42" i="93"/>
  <c r="N41" i="93"/>
  <c r="M41" i="93"/>
  <c r="L41" i="93"/>
  <c r="K41" i="93"/>
  <c r="B18" i="95"/>
  <c r="U22" i="101" l="1"/>
  <c r="U38" i="100"/>
  <c r="W38" i="100" s="1"/>
  <c r="X38" i="100" s="1"/>
  <c r="AK38" i="100" s="1"/>
  <c r="J19" i="100"/>
  <c r="K19" i="100" s="1"/>
  <c r="U20" i="101"/>
  <c r="Z20" i="101" s="1"/>
  <c r="U23" i="101"/>
  <c r="U27" i="101"/>
  <c r="W27" i="101" s="1"/>
  <c r="X27" i="101" s="1"/>
  <c r="AK27" i="101" s="1"/>
  <c r="U24" i="101"/>
  <c r="Z24" i="101" s="1"/>
  <c r="U26" i="101"/>
  <c r="Z26" i="101" s="1"/>
  <c r="U18" i="101"/>
  <c r="V27" i="101"/>
  <c r="U19" i="101"/>
  <c r="Z19" i="101" s="1"/>
  <c r="V20" i="101"/>
  <c r="V18" i="101"/>
  <c r="U21" i="101"/>
  <c r="Z21" i="101" s="1"/>
  <c r="U25" i="101"/>
  <c r="L23" i="100"/>
  <c r="M23" i="100" s="1"/>
  <c r="U23" i="100"/>
  <c r="Z23" i="100" s="1"/>
  <c r="V23" i="100"/>
  <c r="U26" i="100"/>
  <c r="V26" i="100"/>
  <c r="V19" i="100"/>
  <c r="V34" i="100"/>
  <c r="U34" i="100"/>
  <c r="L17" i="100"/>
  <c r="U17" i="100"/>
  <c r="S27" i="100"/>
  <c r="V18" i="100"/>
  <c r="U22" i="100"/>
  <c r="Z22" i="100" s="1"/>
  <c r="V22" i="100"/>
  <c r="L34" i="100"/>
  <c r="M34" i="100" s="1"/>
  <c r="U17" i="101"/>
  <c r="Z17" i="101" s="1"/>
  <c r="L17" i="101"/>
  <c r="M17" i="101" s="1"/>
  <c r="U28" i="101"/>
  <c r="Z28" i="101" s="1"/>
  <c r="V28" i="101"/>
  <c r="M28" i="101"/>
  <c r="N28" i="101" s="1"/>
  <c r="M26" i="101"/>
  <c r="W23" i="101"/>
  <c r="X23" i="101" s="1"/>
  <c r="AK23" i="101" s="1"/>
  <c r="Z23" i="101"/>
  <c r="M18" i="101"/>
  <c r="M19" i="101"/>
  <c r="L20" i="101"/>
  <c r="L21" i="101"/>
  <c r="M21" i="101" s="1"/>
  <c r="M22" i="101"/>
  <c r="M23" i="101"/>
  <c r="L24" i="101"/>
  <c r="M24" i="101" s="1"/>
  <c r="L25" i="101"/>
  <c r="M25" i="101" s="1"/>
  <c r="Z12" i="101"/>
  <c r="M27" i="101"/>
  <c r="N27" i="101" s="1"/>
  <c r="M32" i="100"/>
  <c r="N32" i="100" s="1"/>
  <c r="U28" i="100"/>
  <c r="V28" i="100"/>
  <c r="V33" i="100"/>
  <c r="U33" i="100"/>
  <c r="Z33" i="100" s="1"/>
  <c r="V37" i="100"/>
  <c r="W31" i="100"/>
  <c r="X31" i="100" s="1"/>
  <c r="AK31" i="100" s="1"/>
  <c r="U20" i="100"/>
  <c r="Z20" i="100" s="1"/>
  <c r="V20" i="100"/>
  <c r="Z21" i="100"/>
  <c r="W21" i="100"/>
  <c r="X21" i="100" s="1"/>
  <c r="U24" i="100"/>
  <c r="V24" i="100"/>
  <c r="U25" i="100"/>
  <c r="V25" i="100"/>
  <c r="L26" i="100"/>
  <c r="M26" i="100" s="1"/>
  <c r="U30" i="100"/>
  <c r="V30" i="100"/>
  <c r="V29" i="100"/>
  <c r="U32" i="100"/>
  <c r="M33" i="100"/>
  <c r="L37" i="100"/>
  <c r="Z12" i="100"/>
  <c r="M25" i="100"/>
  <c r="M22" i="100"/>
  <c r="M21" i="100"/>
  <c r="M20" i="100"/>
  <c r="M18" i="100"/>
  <c r="M30" i="100"/>
  <c r="N30" i="100" s="1"/>
  <c r="M29" i="100"/>
  <c r="M28" i="100"/>
  <c r="N28" i="100" s="1"/>
  <c r="M27" i="100"/>
  <c r="N27" i="100" s="1"/>
  <c r="M24" i="100"/>
  <c r="M31" i="100"/>
  <c r="Q22" i="97"/>
  <c r="K22" i="97"/>
  <c r="L22" i="97" s="1"/>
  <c r="Z22" i="101" l="1"/>
  <c r="W22" i="101"/>
  <c r="X22" i="101" s="1"/>
  <c r="Z38" i="100"/>
  <c r="W20" i="101"/>
  <c r="X20" i="101" s="1"/>
  <c r="AK20" i="101" s="1"/>
  <c r="K35" i="100"/>
  <c r="K40" i="100"/>
  <c r="U37" i="100"/>
  <c r="U19" i="100"/>
  <c r="W19" i="100" s="1"/>
  <c r="X19" i="100" s="1"/>
  <c r="AK19" i="100" s="1"/>
  <c r="W22" i="100"/>
  <c r="X22" i="100" s="1"/>
  <c r="Y22" i="100" s="1"/>
  <c r="L19" i="100"/>
  <c r="M19" i="100" s="1"/>
  <c r="W23" i="100"/>
  <c r="X23" i="100" s="1"/>
  <c r="W28" i="100"/>
  <c r="X28" i="100" s="1"/>
  <c r="W20" i="100"/>
  <c r="X20" i="100" s="1"/>
  <c r="Y20" i="100" s="1"/>
  <c r="Z28" i="100"/>
  <c r="Z18" i="101"/>
  <c r="W18" i="101"/>
  <c r="X18" i="101" s="1"/>
  <c r="Z27" i="101"/>
  <c r="W19" i="101"/>
  <c r="X19" i="101" s="1"/>
  <c r="W24" i="101"/>
  <c r="X24" i="101" s="1"/>
  <c r="W17" i="101"/>
  <c r="X17" i="101" s="1"/>
  <c r="AK17" i="101" s="1"/>
  <c r="W26" i="101"/>
  <c r="X26" i="101" s="1"/>
  <c r="W21" i="101"/>
  <c r="X21" i="101" s="1"/>
  <c r="M17" i="100"/>
  <c r="W17" i="100"/>
  <c r="X17" i="100" s="1"/>
  <c r="AK17" i="100" s="1"/>
  <c r="Z17" i="100"/>
  <c r="U18" i="100"/>
  <c r="T35" i="100"/>
  <c r="Z34" i="100"/>
  <c r="W34" i="100"/>
  <c r="X34" i="100" s="1"/>
  <c r="W28" i="101"/>
  <c r="X28" i="101" s="1"/>
  <c r="N26" i="101"/>
  <c r="Y23" i="101"/>
  <c r="N23" i="101"/>
  <c r="Z25" i="101"/>
  <c r="W25" i="101"/>
  <c r="X25" i="101" s="1"/>
  <c r="Y17" i="101"/>
  <c r="N17" i="101"/>
  <c r="N21" i="101"/>
  <c r="N24" i="101"/>
  <c r="N25" i="101"/>
  <c r="Y27" i="101"/>
  <c r="N18" i="101"/>
  <c r="N19" i="101"/>
  <c r="M20" i="101"/>
  <c r="N22" i="101"/>
  <c r="W33" i="100"/>
  <c r="X33" i="100" s="1"/>
  <c r="W26" i="100"/>
  <c r="X26" i="100" s="1"/>
  <c r="Z26" i="100"/>
  <c r="Z24" i="100"/>
  <c r="W24" i="100"/>
  <c r="X24" i="100" s="1"/>
  <c r="W25" i="100"/>
  <c r="X25" i="100" s="1"/>
  <c r="Z25" i="100"/>
  <c r="U29" i="100"/>
  <c r="N34" i="100"/>
  <c r="Z30" i="100"/>
  <c r="W30" i="100"/>
  <c r="X30" i="100" s="1"/>
  <c r="W32" i="100"/>
  <c r="X32" i="100" s="1"/>
  <c r="Z32" i="100"/>
  <c r="K39" i="100"/>
  <c r="N25" i="100"/>
  <c r="N23" i="100"/>
  <c r="N22" i="100"/>
  <c r="Y21" i="100"/>
  <c r="N21" i="100"/>
  <c r="N18" i="100"/>
  <c r="N24" i="100"/>
  <c r="Y31" i="100"/>
  <c r="N31" i="100"/>
  <c r="N26" i="100"/>
  <c r="Y38" i="100"/>
  <c r="N33" i="100"/>
  <c r="M37" i="100"/>
  <c r="N29" i="100"/>
  <c r="U22" i="97"/>
  <c r="Z22" i="97" s="1"/>
  <c r="V22" i="97"/>
  <c r="Y28" i="101" l="1"/>
  <c r="AK28" i="101"/>
  <c r="Y26" i="101"/>
  <c r="AK26" i="101"/>
  <c r="Y25" i="101"/>
  <c r="AK25" i="101"/>
  <c r="Y24" i="101"/>
  <c r="AK24" i="101"/>
  <c r="AK22" i="101"/>
  <c r="Y22" i="101"/>
  <c r="Y21" i="101"/>
  <c r="AK21" i="101"/>
  <c r="Y19" i="101"/>
  <c r="AK19" i="101"/>
  <c r="Y18" i="101"/>
  <c r="AK18" i="101"/>
  <c r="Z37" i="100"/>
  <c r="W37" i="100"/>
  <c r="X37" i="100" s="1"/>
  <c r="Y34" i="100"/>
  <c r="AK34" i="100"/>
  <c r="Y33" i="100"/>
  <c r="AK33" i="100"/>
  <c r="Y32" i="100"/>
  <c r="AK32" i="100"/>
  <c r="Y30" i="100"/>
  <c r="AK30" i="100"/>
  <c r="Y28" i="100"/>
  <c r="AK28" i="100"/>
  <c r="Y26" i="100"/>
  <c r="AK26" i="100"/>
  <c r="Y25" i="100"/>
  <c r="AK25" i="100"/>
  <c r="Y24" i="100"/>
  <c r="AK24" i="100"/>
  <c r="Y23" i="100"/>
  <c r="AK23" i="100"/>
  <c r="M35" i="100"/>
  <c r="T39" i="100"/>
  <c r="L35" i="100"/>
  <c r="T40" i="100"/>
  <c r="Y19" i="100"/>
  <c r="Z19" i="100"/>
  <c r="N17" i="100"/>
  <c r="N19" i="100"/>
  <c r="Y17" i="100"/>
  <c r="Z18" i="100"/>
  <c r="W18" i="100"/>
  <c r="X18" i="100" s="1"/>
  <c r="AK18" i="100" s="1"/>
  <c r="AA34" i="100"/>
  <c r="AA31" i="100"/>
  <c r="AA33" i="100"/>
  <c r="AA28" i="100"/>
  <c r="AA26" i="100"/>
  <c r="U27" i="100"/>
  <c r="AA27" i="100"/>
  <c r="AA32" i="100"/>
  <c r="AA30" i="100"/>
  <c r="AA29" i="100"/>
  <c r="N20" i="101"/>
  <c r="Y20" i="101"/>
  <c r="N37" i="100"/>
  <c r="AA25" i="100"/>
  <c r="AA24" i="100"/>
  <c r="AA23" i="100"/>
  <c r="AA22" i="100"/>
  <c r="AA21" i="100"/>
  <c r="AA20" i="100"/>
  <c r="AA19" i="100"/>
  <c r="AA18" i="100"/>
  <c r="AA17" i="100"/>
  <c r="W29" i="100"/>
  <c r="X29" i="100" s="1"/>
  <c r="AK29" i="100" s="1"/>
  <c r="Z29" i="100"/>
  <c r="L39" i="100"/>
  <c r="W22" i="97"/>
  <c r="X22" i="97" s="1"/>
  <c r="AK22" i="97" s="1"/>
  <c r="AK37" i="100" l="1"/>
  <c r="Y37" i="100"/>
  <c r="L40" i="100"/>
  <c r="N35" i="100"/>
  <c r="U40" i="100"/>
  <c r="U39" i="100"/>
  <c r="U35" i="100"/>
  <c r="AA39" i="100"/>
  <c r="AA38" i="100"/>
  <c r="AA37" i="100"/>
  <c r="Y18" i="100"/>
  <c r="W27" i="100"/>
  <c r="X27" i="100" s="1"/>
  <c r="AK27" i="100" s="1"/>
  <c r="AK40" i="100" s="1"/>
  <c r="Z27" i="100"/>
  <c r="Y29" i="100"/>
  <c r="M39" i="100" l="1"/>
  <c r="M40" i="100"/>
  <c r="X39" i="100"/>
  <c r="X35" i="100"/>
  <c r="Y35" i="100" s="1"/>
  <c r="X40" i="100"/>
  <c r="D26" i="103" s="1"/>
  <c r="Y27" i="100"/>
  <c r="R23" i="97"/>
  <c r="Q23" i="97"/>
  <c r="K23" i="97"/>
  <c r="AL42" i="100" l="1"/>
  <c r="Y40" i="100"/>
  <c r="N40" i="100"/>
  <c r="N39" i="100"/>
  <c r="Y39" i="100"/>
  <c r="C25" i="95" s="1"/>
  <c r="B25" i="95"/>
  <c r="U23" i="97"/>
  <c r="V23" i="97"/>
  <c r="L23" i="97"/>
  <c r="AL43" i="100" l="1"/>
  <c r="AL44" i="100" s="1"/>
  <c r="C26" i="103"/>
  <c r="F26" i="103" s="1"/>
  <c r="Z40" i="100"/>
  <c r="AA40" i="100" s="1"/>
  <c r="D25" i="95"/>
  <c r="E25" i="95" s="1"/>
  <c r="W23" i="97"/>
  <c r="X23" i="97" s="1"/>
  <c r="AK23" i="97" s="1"/>
  <c r="Z23" i="97"/>
  <c r="R21" i="97" l="1"/>
  <c r="Q21" i="97"/>
  <c r="K21" i="97"/>
  <c r="L21" i="97" l="1"/>
  <c r="V21" i="97"/>
  <c r="U21" i="97"/>
  <c r="W21" i="97" l="1"/>
  <c r="X21" i="97" s="1"/>
  <c r="AK21" i="97" s="1"/>
  <c r="Z21" i="97"/>
  <c r="R20" i="97"/>
  <c r="Q20" i="97"/>
  <c r="V20" i="97" s="1"/>
  <c r="K20" i="97"/>
  <c r="R19" i="97"/>
  <c r="Q19" i="97"/>
  <c r="V19" i="97" s="1"/>
  <c r="K19" i="97"/>
  <c r="L19" i="97" s="1"/>
  <c r="R18" i="97"/>
  <c r="V18" i="97"/>
  <c r="K18" i="97"/>
  <c r="V17" i="97"/>
  <c r="K17" i="97"/>
  <c r="Q16" i="97"/>
  <c r="Q15" i="97"/>
  <c r="M14" i="97"/>
  <c r="M22" i="97" s="1"/>
  <c r="N22" i="97" l="1"/>
  <c r="Y22" i="97"/>
  <c r="Z12" i="97"/>
  <c r="M23" i="97"/>
  <c r="M21" i="97"/>
  <c r="N21" i="97" s="1"/>
  <c r="U19" i="97"/>
  <c r="W19" i="97" s="1"/>
  <c r="X19" i="97" s="1"/>
  <c r="AK19" i="97" s="1"/>
  <c r="K24" i="97"/>
  <c r="U20" i="97"/>
  <c r="Z20" i="97" s="1"/>
  <c r="K25" i="97"/>
  <c r="M19" i="97"/>
  <c r="N19" i="97" s="1"/>
  <c r="U17" i="97"/>
  <c r="L18" i="97"/>
  <c r="M18" i="97" s="1"/>
  <c r="L17" i="97"/>
  <c r="L20" i="97"/>
  <c r="Y21" i="97" l="1"/>
  <c r="N23" i="97"/>
  <c r="Y23" i="97"/>
  <c r="U18" i="97"/>
  <c r="W18" i="97" s="1"/>
  <c r="X18" i="97" s="1"/>
  <c r="W17" i="97"/>
  <c r="X17" i="97" s="1"/>
  <c r="AK17" i="97" s="1"/>
  <c r="T25" i="97"/>
  <c r="L24" i="97"/>
  <c r="L25" i="97"/>
  <c r="T24" i="97"/>
  <c r="AA20" i="97" s="1"/>
  <c r="Y19" i="97"/>
  <c r="M20" i="97"/>
  <c r="N20" i="97" s="1"/>
  <c r="Z19" i="97"/>
  <c r="W20" i="97"/>
  <c r="X20" i="97" s="1"/>
  <c r="AK20" i="97" s="1"/>
  <c r="Z17" i="97"/>
  <c r="N18" i="97"/>
  <c r="M17" i="97"/>
  <c r="Y18" i="97" l="1"/>
  <c r="AK18" i="97"/>
  <c r="AK25" i="97" s="1"/>
  <c r="Z18" i="97"/>
  <c r="U25" i="97"/>
  <c r="U24" i="97"/>
  <c r="AA18" i="97"/>
  <c r="AA19" i="97"/>
  <c r="AA17" i="97"/>
  <c r="N17" i="97"/>
  <c r="N25" i="97" s="1"/>
  <c r="B20" i="95" s="1"/>
  <c r="M25" i="97"/>
  <c r="M24" i="97"/>
  <c r="Y17" i="97"/>
  <c r="Y20" i="97"/>
  <c r="N24" i="97" l="1"/>
  <c r="Y25" i="97"/>
  <c r="C20" i="95" s="1"/>
  <c r="X24" i="97"/>
  <c r="Y24" i="97" s="1"/>
  <c r="F25" i="103" l="1"/>
  <c r="AL28" i="97"/>
  <c r="AL29" i="97" s="1"/>
  <c r="AL27" i="97"/>
  <c r="D20" i="95"/>
  <c r="E20" i="95" s="1"/>
  <c r="Z25" i="97"/>
  <c r="AA25" i="97" s="1"/>
  <c r="R40" i="93"/>
  <c r="Q40" i="93"/>
  <c r="V40" i="93" s="1"/>
  <c r="K40" i="93"/>
  <c r="U40" i="93" l="1"/>
  <c r="W40" i="93" s="1"/>
  <c r="X40" i="93" s="1"/>
  <c r="AK40" i="93" s="1"/>
  <c r="L40" i="93"/>
  <c r="Z40" i="93" l="1"/>
  <c r="R39" i="93" l="1"/>
  <c r="K39" i="93"/>
  <c r="T39" i="93" l="1"/>
  <c r="U39" i="93" s="1"/>
  <c r="Z39" i="93" s="1"/>
  <c r="V39" i="93"/>
  <c r="L39" i="93"/>
  <c r="W39" i="93" l="1"/>
  <c r="X39" i="93" s="1"/>
  <c r="R37" i="93" l="1"/>
  <c r="Q37" i="93"/>
  <c r="K37" i="93"/>
  <c r="L37" i="93" s="1"/>
  <c r="V37" i="93" l="1"/>
  <c r="U37" i="93" l="1"/>
  <c r="W37" i="93" l="1"/>
  <c r="X37" i="93" s="1"/>
  <c r="AK37" i="93" s="1"/>
  <c r="Z37" i="93"/>
  <c r="R38" i="93" l="1"/>
  <c r="Q38" i="93"/>
  <c r="V38" i="93" s="1"/>
  <c r="K38" i="93"/>
  <c r="R36" i="93"/>
  <c r="K36" i="93"/>
  <c r="R35" i="93"/>
  <c r="Q35" i="93"/>
  <c r="K35" i="93"/>
  <c r="R34" i="93"/>
  <c r="Q34" i="93"/>
  <c r="K34" i="93"/>
  <c r="L34" i="93" s="1"/>
  <c r="L38" i="93" l="1"/>
  <c r="V36" i="93"/>
  <c r="T36" i="93"/>
  <c r="U36" i="93" s="1"/>
  <c r="L36" i="93"/>
  <c r="V35" i="93"/>
  <c r="T35" i="93"/>
  <c r="U35" i="93" s="1"/>
  <c r="U34" i="93"/>
  <c r="V34" i="93"/>
  <c r="L35" i="93"/>
  <c r="U38" i="93" l="1"/>
  <c r="Z36" i="93"/>
  <c r="W36" i="93"/>
  <c r="W35" i="93"/>
  <c r="X35" i="93" s="1"/>
  <c r="Z35" i="93"/>
  <c r="Z34" i="93"/>
  <c r="W34" i="93"/>
  <c r="X34" i="93" s="1"/>
  <c r="AK34" i="93" s="1"/>
  <c r="Z38" i="93" l="1"/>
  <c r="W38" i="93"/>
  <c r="X38" i="93" s="1"/>
  <c r="AK38" i="93" s="1"/>
  <c r="R33" i="93"/>
  <c r="Q33" i="93"/>
  <c r="K33" i="93"/>
  <c r="R32" i="93"/>
  <c r="Q32" i="93"/>
  <c r="V32" i="93" s="1"/>
  <c r="K32" i="93"/>
  <c r="R31" i="93"/>
  <c r="Q31" i="93"/>
  <c r="K31" i="93"/>
  <c r="R30" i="93"/>
  <c r="Q30" i="93"/>
  <c r="K30" i="93"/>
  <c r="L30" i="93" s="1"/>
  <c r="L32" i="93" l="1"/>
  <c r="U32" i="93"/>
  <c r="U30" i="93"/>
  <c r="Z30" i="93" s="1"/>
  <c r="V30" i="93"/>
  <c r="L33" i="93"/>
  <c r="L31" i="93"/>
  <c r="T33" i="93"/>
  <c r="U33" i="93" s="1"/>
  <c r="Z33" i="93" s="1"/>
  <c r="V33" i="93"/>
  <c r="U31" i="93"/>
  <c r="Z31" i="93" s="1"/>
  <c r="V31" i="93"/>
  <c r="W32" i="93" l="1"/>
  <c r="X32" i="93" s="1"/>
  <c r="AK32" i="93" s="1"/>
  <c r="Z32" i="93"/>
  <c r="W33" i="93"/>
  <c r="X33" i="93" s="1"/>
  <c r="W30" i="93"/>
  <c r="X30" i="93" s="1"/>
  <c r="AK30" i="93" s="1"/>
  <c r="W31" i="93"/>
  <c r="X31" i="93" s="1"/>
  <c r="AK31" i="93" s="1"/>
  <c r="R28" i="93" l="1"/>
  <c r="Q28" i="93"/>
  <c r="K28" i="93"/>
  <c r="L28" i="93" l="1"/>
  <c r="V28" i="93"/>
  <c r="U28" i="93" l="1"/>
  <c r="Z28" i="93" s="1"/>
  <c r="W28" i="93" l="1"/>
  <c r="X28" i="93" s="1"/>
  <c r="AK28" i="93" s="1"/>
  <c r="K17" i="93"/>
  <c r="K22" i="93"/>
  <c r="L22" i="93" s="1"/>
  <c r="R22" i="93"/>
  <c r="V22" i="93"/>
  <c r="K21" i="93"/>
  <c r="L21" i="93" s="1"/>
  <c r="R21" i="93"/>
  <c r="Q21" i="93"/>
  <c r="V21" i="93" s="1"/>
  <c r="V17" i="93"/>
  <c r="K36" i="91"/>
  <c r="L36" i="91" s="1"/>
  <c r="R36" i="91"/>
  <c r="Q36" i="91"/>
  <c r="V36" i="91" s="1"/>
  <c r="K34" i="91"/>
  <c r="L34" i="91" s="1"/>
  <c r="R34" i="91"/>
  <c r="Q34" i="91"/>
  <c r="V34" i="91" s="1"/>
  <c r="L17" i="93" l="1"/>
  <c r="T22" i="93"/>
  <c r="T34" i="91"/>
  <c r="U34" i="91" s="1"/>
  <c r="W34" i="91" s="1"/>
  <c r="X34" i="91" s="1"/>
  <c r="AK34" i="91" s="1"/>
  <c r="T36" i="91"/>
  <c r="U36" i="91" s="1"/>
  <c r="U17" i="93"/>
  <c r="Z34" i="91"/>
  <c r="W36" i="91" l="1"/>
  <c r="X36" i="91" s="1"/>
  <c r="AK36" i="91" s="1"/>
  <c r="Z36" i="91"/>
  <c r="U21" i="93"/>
  <c r="W21" i="93" s="1"/>
  <c r="X21" i="93" s="1"/>
  <c r="AK21" i="93" s="1"/>
  <c r="U22" i="93"/>
  <c r="W22" i="93" s="1"/>
  <c r="X22" i="93" s="1"/>
  <c r="W17" i="93"/>
  <c r="X17" i="93" s="1"/>
  <c r="AK17" i="93" s="1"/>
  <c r="Z17" i="93"/>
  <c r="Z22" i="93" l="1"/>
  <c r="Z21" i="93"/>
  <c r="R29" i="93"/>
  <c r="Q29" i="93"/>
  <c r="K29" i="93"/>
  <c r="R27" i="93"/>
  <c r="Q27" i="93"/>
  <c r="K27" i="93"/>
  <c r="R26" i="93"/>
  <c r="Q26" i="93"/>
  <c r="V26" i="93" s="1"/>
  <c r="K26" i="93"/>
  <c r="R25" i="93"/>
  <c r="Q25" i="93"/>
  <c r="K25" i="93"/>
  <c r="L25" i="93" s="1"/>
  <c r="R24" i="93"/>
  <c r="Q24" i="93"/>
  <c r="K24" i="93"/>
  <c r="R23" i="93"/>
  <c r="K23" i="93"/>
  <c r="R20" i="93"/>
  <c r="Q20" i="93"/>
  <c r="V20" i="93" s="1"/>
  <c r="K20" i="93"/>
  <c r="R19" i="93"/>
  <c r="Q19" i="93"/>
  <c r="K19" i="93"/>
  <c r="B55" i="96"/>
  <c r="B40" i="96"/>
  <c r="R18" i="93"/>
  <c r="Q18" i="93"/>
  <c r="K18" i="93"/>
  <c r="Q16" i="93"/>
  <c r="Q15" i="93"/>
  <c r="M14" i="93"/>
  <c r="R17" i="92"/>
  <c r="Q17" i="92"/>
  <c r="V17" i="92" s="1"/>
  <c r="K17" i="92"/>
  <c r="K18" i="92" s="1"/>
  <c r="Q16" i="92"/>
  <c r="Q15" i="92"/>
  <c r="M14" i="92"/>
  <c r="Z12" i="92" s="1"/>
  <c r="R92" i="91"/>
  <c r="Q92" i="91"/>
  <c r="K92" i="91"/>
  <c r="L92" i="91" s="1"/>
  <c r="Q91" i="91"/>
  <c r="K91" i="91"/>
  <c r="R90" i="91"/>
  <c r="Q90" i="91"/>
  <c r="V90" i="91" s="1"/>
  <c r="K90" i="91"/>
  <c r="R89" i="91"/>
  <c r="Q89" i="91"/>
  <c r="V89" i="91" s="1"/>
  <c r="K89" i="91"/>
  <c r="L89" i="91" s="1"/>
  <c r="R88" i="91"/>
  <c r="Q88" i="91"/>
  <c r="V88" i="91" s="1"/>
  <c r="K88" i="91"/>
  <c r="L88" i="91" s="1"/>
  <c r="Q87" i="91"/>
  <c r="K87" i="91"/>
  <c r="L87" i="91" s="1"/>
  <c r="R86" i="91"/>
  <c r="Q86" i="91"/>
  <c r="V86" i="91" s="1"/>
  <c r="K86" i="91"/>
  <c r="Q85" i="91"/>
  <c r="Q84" i="91"/>
  <c r="R82" i="91"/>
  <c r="Q82" i="91"/>
  <c r="V82" i="91" s="1"/>
  <c r="K82" i="91"/>
  <c r="L82" i="91" s="1"/>
  <c r="R81" i="91"/>
  <c r="Q81" i="91"/>
  <c r="K81" i="91"/>
  <c r="R80" i="91"/>
  <c r="Q80" i="91"/>
  <c r="K80" i="91"/>
  <c r="L80" i="91" s="1"/>
  <c r="R79" i="91"/>
  <c r="Q79" i="91"/>
  <c r="K79" i="91"/>
  <c r="L79" i="91" s="1"/>
  <c r="K78" i="91"/>
  <c r="Q77" i="91"/>
  <c r="V77" i="91" s="1"/>
  <c r="K77" i="91"/>
  <c r="L77" i="91" s="1"/>
  <c r="Q76" i="91"/>
  <c r="V76" i="91" s="1"/>
  <c r="K76" i="91"/>
  <c r="Q75" i="91"/>
  <c r="V75" i="91" s="1"/>
  <c r="K75" i="91"/>
  <c r="Q74" i="91"/>
  <c r="K74" i="91"/>
  <c r="L74" i="91" s="1"/>
  <c r="V73" i="91"/>
  <c r="K73" i="91"/>
  <c r="R72" i="91"/>
  <c r="Q72" i="91"/>
  <c r="V72" i="91" s="1"/>
  <c r="K72" i="91"/>
  <c r="Q71" i="91"/>
  <c r="Q70" i="91"/>
  <c r="R68" i="91"/>
  <c r="Q68" i="91"/>
  <c r="V68" i="91" s="1"/>
  <c r="K68" i="91"/>
  <c r="R67" i="91"/>
  <c r="Q67" i="91"/>
  <c r="V67" i="91" s="1"/>
  <c r="K67" i="91"/>
  <c r="R66" i="91"/>
  <c r="Q66" i="91"/>
  <c r="V66" i="91" s="1"/>
  <c r="K66" i="91"/>
  <c r="R65" i="91"/>
  <c r="Q65" i="91"/>
  <c r="V65" i="91" s="1"/>
  <c r="K65" i="91"/>
  <c r="L65" i="91" s="1"/>
  <c r="R64" i="91"/>
  <c r="Q64" i="91"/>
  <c r="K64" i="91"/>
  <c r="R63" i="91"/>
  <c r="Q63" i="91"/>
  <c r="K63" i="91"/>
  <c r="L63" i="91" s="1"/>
  <c r="R62" i="91"/>
  <c r="Q62" i="91"/>
  <c r="V62" i="91" s="1"/>
  <c r="K62" i="91"/>
  <c r="L62" i="91" s="1"/>
  <c r="R61" i="91"/>
  <c r="Q61" i="91"/>
  <c r="V61" i="91"/>
  <c r="K61" i="91"/>
  <c r="R60" i="91"/>
  <c r="Q60" i="91"/>
  <c r="V60" i="91" s="1"/>
  <c r="K60" i="91"/>
  <c r="R59" i="91"/>
  <c r="Q59" i="91"/>
  <c r="V59" i="91" s="1"/>
  <c r="K59" i="91"/>
  <c r="Q58" i="91"/>
  <c r="Q57" i="91"/>
  <c r="R55" i="91"/>
  <c r="Q55" i="91"/>
  <c r="K55" i="91"/>
  <c r="R54" i="91"/>
  <c r="Q54" i="91"/>
  <c r="V54" i="91" s="1"/>
  <c r="K54" i="91"/>
  <c r="L54" i="91" s="1"/>
  <c r="Q53" i="91"/>
  <c r="Q52" i="91"/>
  <c r="R50" i="91"/>
  <c r="Q50" i="91"/>
  <c r="K50" i="91"/>
  <c r="R49" i="91"/>
  <c r="Q49" i="91"/>
  <c r="V49" i="91" s="1"/>
  <c r="K49" i="91"/>
  <c r="R48" i="91"/>
  <c r="Q48" i="91"/>
  <c r="V48" i="91" s="1"/>
  <c r="K48" i="91"/>
  <c r="R47" i="91"/>
  <c r="K47" i="91"/>
  <c r="R46" i="91"/>
  <c r="K46" i="91"/>
  <c r="Q45" i="91"/>
  <c r="Q44" i="91"/>
  <c r="R42" i="91"/>
  <c r="Q42" i="91"/>
  <c r="K42" i="91"/>
  <c r="R41" i="91"/>
  <c r="Q41" i="91"/>
  <c r="V41" i="91" s="1"/>
  <c r="K41" i="91"/>
  <c r="R40" i="91"/>
  <c r="Q40" i="91"/>
  <c r="K40" i="91"/>
  <c r="L40" i="91" s="1"/>
  <c r="R39" i="91"/>
  <c r="Q39" i="91"/>
  <c r="K39" i="91"/>
  <c r="R38" i="91"/>
  <c r="Q38" i="91"/>
  <c r="K38" i="91"/>
  <c r="L38" i="91" s="1"/>
  <c r="R37" i="91"/>
  <c r="Q37" i="91"/>
  <c r="K37" i="91"/>
  <c r="L37" i="91" s="1"/>
  <c r="R35" i="91"/>
  <c r="Q35" i="91"/>
  <c r="V35" i="91" s="1"/>
  <c r="K35" i="91"/>
  <c r="L35" i="91" s="1"/>
  <c r="R33" i="91"/>
  <c r="Q33" i="91"/>
  <c r="V33" i="91" s="1"/>
  <c r="K33" i="91"/>
  <c r="L33" i="91" s="1"/>
  <c r="R32" i="91"/>
  <c r="Q32" i="91"/>
  <c r="K32" i="91"/>
  <c r="R31" i="91"/>
  <c r="Q31" i="91"/>
  <c r="K31" i="91"/>
  <c r="L31" i="91" s="1"/>
  <c r="R30" i="91"/>
  <c r="Q30" i="91"/>
  <c r="V30" i="91" s="1"/>
  <c r="K30" i="91"/>
  <c r="R29" i="91"/>
  <c r="Q29" i="91"/>
  <c r="K29" i="91"/>
  <c r="R28" i="91"/>
  <c r="Q28" i="91"/>
  <c r="K28" i="91"/>
  <c r="Q27" i="91"/>
  <c r="Q26" i="91"/>
  <c r="R24" i="91"/>
  <c r="Q24" i="91"/>
  <c r="V24" i="91" s="1"/>
  <c r="K24" i="91"/>
  <c r="Q23" i="91"/>
  <c r="V23" i="91" s="1"/>
  <c r="K23" i="91"/>
  <c r="R22" i="91"/>
  <c r="Q22" i="91"/>
  <c r="K22" i="91"/>
  <c r="R21" i="91"/>
  <c r="Q21" i="91"/>
  <c r="K21" i="91"/>
  <c r="L21" i="91" s="1"/>
  <c r="R20" i="91"/>
  <c r="Q20" i="91"/>
  <c r="V20" i="91" s="1"/>
  <c r="K20" i="91"/>
  <c r="R19" i="91"/>
  <c r="Q19" i="91"/>
  <c r="V19" i="91" s="1"/>
  <c r="K19" i="91"/>
  <c r="L19" i="91" s="1"/>
  <c r="R18" i="91"/>
  <c r="Q18" i="91"/>
  <c r="K18" i="91"/>
  <c r="L18" i="91" s="1"/>
  <c r="R17" i="91"/>
  <c r="K17" i="91"/>
  <c r="Q16" i="91"/>
  <c r="Q15" i="91"/>
  <c r="M14" i="91"/>
  <c r="M36" i="91" s="1"/>
  <c r="T50" i="91" l="1"/>
  <c r="U50" i="91" s="1"/>
  <c r="Z50" i="91" s="1"/>
  <c r="V55" i="91"/>
  <c r="T55" i="91"/>
  <c r="T77" i="91"/>
  <c r="U77" i="91" s="1"/>
  <c r="Z77" i="91" s="1"/>
  <c r="K19" i="92"/>
  <c r="M40" i="93"/>
  <c r="N40" i="93" s="1"/>
  <c r="M37" i="93"/>
  <c r="N37" i="93" s="1"/>
  <c r="M39" i="93"/>
  <c r="M34" i="93"/>
  <c r="M38" i="93"/>
  <c r="M36" i="93"/>
  <c r="M35" i="93"/>
  <c r="M30" i="93"/>
  <c r="M31" i="93"/>
  <c r="M33" i="93"/>
  <c r="M32" i="93"/>
  <c r="L27" i="93"/>
  <c r="M27" i="93" s="1"/>
  <c r="L18" i="93"/>
  <c r="M28" i="93"/>
  <c r="Y28" i="93" s="1"/>
  <c r="M17" i="93"/>
  <c r="M22" i="93"/>
  <c r="U67" i="91"/>
  <c r="Z67" i="91" s="1"/>
  <c r="U72" i="91"/>
  <c r="U55" i="91"/>
  <c r="W55" i="91" s="1"/>
  <c r="X55" i="91" s="1"/>
  <c r="AK55" i="91" s="1"/>
  <c r="N36" i="91"/>
  <c r="Y36" i="91"/>
  <c r="K25" i="91"/>
  <c r="V81" i="91"/>
  <c r="U81" i="91"/>
  <c r="L17" i="91"/>
  <c r="M17" i="91" s="1"/>
  <c r="L23" i="93"/>
  <c r="M23" i="93" s="1"/>
  <c r="N23" i="93" s="1"/>
  <c r="M21" i="93"/>
  <c r="Z12" i="93"/>
  <c r="T20" i="93"/>
  <c r="V29" i="93"/>
  <c r="L29" i="93"/>
  <c r="T27" i="93"/>
  <c r="V27" i="93"/>
  <c r="V50" i="91"/>
  <c r="Z12" i="91"/>
  <c r="M34" i="91"/>
  <c r="U90" i="91"/>
  <c r="W90" i="91" s="1"/>
  <c r="X90" i="91" s="1"/>
  <c r="AK90" i="91" s="1"/>
  <c r="K69" i="91"/>
  <c r="U82" i="91"/>
  <c r="W82" i="91" s="1"/>
  <c r="X82" i="91" s="1"/>
  <c r="AK82" i="91" s="1"/>
  <c r="K51" i="91"/>
  <c r="U73" i="91"/>
  <c r="Z73" i="91" s="1"/>
  <c r="K83" i="91"/>
  <c r="U89" i="91"/>
  <c r="K93" i="91"/>
  <c r="U49" i="91"/>
  <c r="Z49" i="91" s="1"/>
  <c r="U61" i="91"/>
  <c r="W61" i="91" s="1"/>
  <c r="X61" i="91" s="1"/>
  <c r="AK61" i="91" s="1"/>
  <c r="T20" i="91"/>
  <c r="M62" i="91"/>
  <c r="N62" i="91" s="1"/>
  <c r="T68" i="91"/>
  <c r="U68" i="91" s="1"/>
  <c r="K56" i="91"/>
  <c r="U62" i="91"/>
  <c r="M77" i="91"/>
  <c r="N77" i="91" s="1"/>
  <c r="L26" i="93"/>
  <c r="M25" i="93"/>
  <c r="N25" i="93" s="1"/>
  <c r="L24" i="93"/>
  <c r="T23" i="93"/>
  <c r="V23" i="93"/>
  <c r="V25" i="93"/>
  <c r="V24" i="93"/>
  <c r="L20" i="93"/>
  <c r="V19" i="93"/>
  <c r="L19" i="93"/>
  <c r="K94" i="91"/>
  <c r="K43" i="91"/>
  <c r="M18" i="93"/>
  <c r="N18" i="93" s="1"/>
  <c r="V18" i="93"/>
  <c r="U17" i="92"/>
  <c r="W17" i="92" s="1"/>
  <c r="X17" i="92" s="1"/>
  <c r="AK17" i="92" s="1"/>
  <c r="V92" i="91"/>
  <c r="U91" i="91"/>
  <c r="Z91" i="91" s="1"/>
  <c r="V91" i="91"/>
  <c r="M88" i="91"/>
  <c r="N88" i="91" s="1"/>
  <c r="V87" i="91"/>
  <c r="M87" i="91"/>
  <c r="L90" i="91"/>
  <c r="M90" i="91" s="1"/>
  <c r="M92" i="91"/>
  <c r="N92" i="91" s="1"/>
  <c r="M89" i="91"/>
  <c r="N89" i="91" s="1"/>
  <c r="L86" i="91"/>
  <c r="L91" i="91"/>
  <c r="M91" i="91" s="1"/>
  <c r="T80" i="91"/>
  <c r="U80" i="91" s="1"/>
  <c r="Z80" i="91" s="1"/>
  <c r="V80" i="91"/>
  <c r="V79" i="91"/>
  <c r="U79" i="91"/>
  <c r="U78" i="91"/>
  <c r="V78" i="91"/>
  <c r="T76" i="91"/>
  <c r="U76" i="91" s="1"/>
  <c r="W76" i="91" s="1"/>
  <c r="X76" i="91" s="1"/>
  <c r="AK76" i="91" s="1"/>
  <c r="L75" i="91"/>
  <c r="M75" i="91" s="1"/>
  <c r="T75" i="91"/>
  <c r="U75" i="91" s="1"/>
  <c r="T74" i="91"/>
  <c r="U74" i="91" s="1"/>
  <c r="Z74" i="91" s="1"/>
  <c r="V74" i="91"/>
  <c r="M82" i="91"/>
  <c r="M79" i="91"/>
  <c r="N79" i="91" s="1"/>
  <c r="L73" i="91"/>
  <c r="M73" i="91" s="1"/>
  <c r="N73" i="91" s="1"/>
  <c r="L78" i="91"/>
  <c r="L76" i="91"/>
  <c r="M80" i="91"/>
  <c r="N80" i="91" s="1"/>
  <c r="M74" i="91"/>
  <c r="N74" i="91" s="1"/>
  <c r="L72" i="91"/>
  <c r="L81" i="91"/>
  <c r="M81" i="91" s="1"/>
  <c r="N81" i="91" s="1"/>
  <c r="U59" i="91"/>
  <c r="W59" i="91" s="1"/>
  <c r="X59" i="91" s="1"/>
  <c r="AK59" i="91" s="1"/>
  <c r="L68" i="91"/>
  <c r="U66" i="91"/>
  <c r="W66" i="91" s="1"/>
  <c r="X66" i="91" s="1"/>
  <c r="AK66" i="91" s="1"/>
  <c r="T65" i="91"/>
  <c r="U65" i="91" s="1"/>
  <c r="W65" i="91" s="1"/>
  <c r="X65" i="91" s="1"/>
  <c r="AK65" i="91" s="1"/>
  <c r="L64" i="91"/>
  <c r="M64" i="91" s="1"/>
  <c r="N64" i="91" s="1"/>
  <c r="V64" i="91"/>
  <c r="V63" i="91"/>
  <c r="U63" i="91"/>
  <c r="U60" i="91"/>
  <c r="W60" i="91" s="1"/>
  <c r="X60" i="91" s="1"/>
  <c r="AK60" i="91" s="1"/>
  <c r="L60" i="91"/>
  <c r="M65" i="91"/>
  <c r="L66" i="91"/>
  <c r="M66" i="91" s="1"/>
  <c r="L61" i="91"/>
  <c r="M61" i="91" s="1"/>
  <c r="M63" i="91"/>
  <c r="N63" i="91" s="1"/>
  <c r="L59" i="91"/>
  <c r="M59" i="91" s="1"/>
  <c r="L67" i="91"/>
  <c r="M67" i="91" s="1"/>
  <c r="M54" i="91"/>
  <c r="L55" i="91"/>
  <c r="M55" i="91" s="1"/>
  <c r="L50" i="91"/>
  <c r="M50" i="91" s="1"/>
  <c r="N50" i="91" s="1"/>
  <c r="T48" i="91"/>
  <c r="U48" i="91" s="1"/>
  <c r="W48" i="91" s="1"/>
  <c r="X48" i="91" s="1"/>
  <c r="AK48" i="91" s="1"/>
  <c r="V47" i="91"/>
  <c r="T47" i="91"/>
  <c r="V46" i="91"/>
  <c r="T46" i="91"/>
  <c r="L48" i="91"/>
  <c r="M48" i="91" s="1"/>
  <c r="N48" i="91" s="1"/>
  <c r="L46" i="91"/>
  <c r="L47" i="91"/>
  <c r="L49" i="91"/>
  <c r="V42" i="91"/>
  <c r="V40" i="91"/>
  <c r="V39" i="91"/>
  <c r="V38" i="91"/>
  <c r="V37" i="91"/>
  <c r="M37" i="91"/>
  <c r="N37" i="91" s="1"/>
  <c r="V32" i="91"/>
  <c r="V31" i="91"/>
  <c r="L29" i="91"/>
  <c r="M29" i="91" s="1"/>
  <c r="N29" i="91" s="1"/>
  <c r="V29" i="91"/>
  <c r="V28" i="91"/>
  <c r="M40" i="91"/>
  <c r="N40" i="91" s="1"/>
  <c r="L30" i="91"/>
  <c r="M30" i="91" s="1"/>
  <c r="L32" i="91"/>
  <c r="L41" i="91"/>
  <c r="M41" i="91" s="1"/>
  <c r="L28" i="91"/>
  <c r="M38" i="91"/>
  <c r="N38" i="91" s="1"/>
  <c r="M35" i="91"/>
  <c r="N35" i="91" s="1"/>
  <c r="L39" i="91"/>
  <c r="M39" i="91" s="1"/>
  <c r="M31" i="91"/>
  <c r="N31" i="91" s="1"/>
  <c r="M33" i="91"/>
  <c r="N33" i="91" s="1"/>
  <c r="L42" i="91"/>
  <c r="T24" i="91"/>
  <c r="U23" i="91"/>
  <c r="Z23" i="91" s="1"/>
  <c r="T22" i="91"/>
  <c r="V22" i="91"/>
  <c r="T21" i="91"/>
  <c r="V21" i="91"/>
  <c r="L20" i="91"/>
  <c r="M20" i="91" s="1"/>
  <c r="U19" i="91"/>
  <c r="W19" i="91" s="1"/>
  <c r="X19" i="91" s="1"/>
  <c r="AK19" i="91" s="1"/>
  <c r="T18" i="91"/>
  <c r="V18" i="91"/>
  <c r="M18" i="91"/>
  <c r="N18" i="91" s="1"/>
  <c r="M21" i="91"/>
  <c r="N21" i="91" s="1"/>
  <c r="M19" i="91"/>
  <c r="N19" i="91" s="1"/>
  <c r="L22" i="91"/>
  <c r="L24" i="91"/>
  <c r="M24" i="91" s="1"/>
  <c r="L23" i="91"/>
  <c r="M23" i="91" s="1"/>
  <c r="V17" i="91"/>
  <c r="T41" i="93" l="1"/>
  <c r="AA23" i="93" s="1"/>
  <c r="T42" i="93"/>
  <c r="W72" i="91"/>
  <c r="X72" i="91" s="1"/>
  <c r="AK72" i="91" s="1"/>
  <c r="Z72" i="91"/>
  <c r="X19" i="92"/>
  <c r="X18" i="92"/>
  <c r="AK18" i="92" s="1"/>
  <c r="U19" i="92"/>
  <c r="U18" i="92"/>
  <c r="T18" i="92"/>
  <c r="T19" i="92"/>
  <c r="AA17" i="92"/>
  <c r="Y40" i="93"/>
  <c r="Y37" i="93"/>
  <c r="N39" i="93"/>
  <c r="Y39" i="93"/>
  <c r="N35" i="93"/>
  <c r="Y35" i="93"/>
  <c r="U19" i="93"/>
  <c r="U29" i="93"/>
  <c r="W29" i="93" s="1"/>
  <c r="X29" i="93" s="1"/>
  <c r="AK29" i="93" s="1"/>
  <c r="N36" i="93"/>
  <c r="Y36" i="93"/>
  <c r="U23" i="93"/>
  <c r="Z23" i="93" s="1"/>
  <c r="N38" i="93"/>
  <c r="Y38" i="93"/>
  <c r="U24" i="93"/>
  <c r="Z24" i="93" s="1"/>
  <c r="U25" i="93"/>
  <c r="Z25" i="93" s="1"/>
  <c r="U26" i="93"/>
  <c r="Z26" i="93" s="1"/>
  <c r="U20" i="93"/>
  <c r="Z20" i="93" s="1"/>
  <c r="N34" i="93"/>
  <c r="Y34" i="93"/>
  <c r="N32" i="93"/>
  <c r="Y32" i="93"/>
  <c r="N33" i="93"/>
  <c r="Y33" i="93"/>
  <c r="N31" i="93"/>
  <c r="Y31" i="93"/>
  <c r="N30" i="93"/>
  <c r="Y30" i="93"/>
  <c r="N27" i="93"/>
  <c r="U27" i="93"/>
  <c r="N28" i="93"/>
  <c r="U18" i="93"/>
  <c r="N22" i="93"/>
  <c r="Y22" i="93"/>
  <c r="N17" i="93"/>
  <c r="Y17" i="93"/>
  <c r="W81" i="91"/>
  <c r="X81" i="91" s="1"/>
  <c r="N34" i="91"/>
  <c r="Y34" i="91"/>
  <c r="T25" i="91"/>
  <c r="AA21" i="91" s="1"/>
  <c r="L25" i="91"/>
  <c r="Z55" i="91"/>
  <c r="N17" i="91"/>
  <c r="N21" i="93"/>
  <c r="Y21" i="93"/>
  <c r="M29" i="93"/>
  <c r="N29" i="93" s="1"/>
  <c r="W62" i="91"/>
  <c r="X62" i="91" s="1"/>
  <c r="Z62" i="91"/>
  <c r="W74" i="91"/>
  <c r="X74" i="91" s="1"/>
  <c r="W63" i="91"/>
  <c r="X63" i="91" s="1"/>
  <c r="W50" i="91"/>
  <c r="X50" i="91" s="1"/>
  <c r="Z90" i="91"/>
  <c r="W89" i="91"/>
  <c r="X89" i="91" s="1"/>
  <c r="Z89" i="91"/>
  <c r="U83" i="91"/>
  <c r="W68" i="91"/>
  <c r="X68" i="91" s="1"/>
  <c r="AK68" i="91" s="1"/>
  <c r="Z68" i="91"/>
  <c r="U24" i="91"/>
  <c r="U46" i="91"/>
  <c r="T51" i="91"/>
  <c r="AA50" i="91" s="1"/>
  <c r="U17" i="91"/>
  <c r="U37" i="91"/>
  <c r="Z37" i="91" s="1"/>
  <c r="U21" i="91"/>
  <c r="Z21" i="91" s="1"/>
  <c r="U31" i="91"/>
  <c r="Z31" i="91" s="1"/>
  <c r="W67" i="91"/>
  <c r="X67" i="91" s="1"/>
  <c r="Y82" i="91"/>
  <c r="U86" i="91"/>
  <c r="W86" i="91" s="1"/>
  <c r="X86" i="91" s="1"/>
  <c r="AK86" i="91" s="1"/>
  <c r="T93" i="91"/>
  <c r="AA88" i="91" s="1"/>
  <c r="U22" i="91"/>
  <c r="Z22" i="91" s="1"/>
  <c r="U38" i="91"/>
  <c r="Z38" i="91" s="1"/>
  <c r="W91" i="91"/>
  <c r="X91" i="91" s="1"/>
  <c r="U92" i="91"/>
  <c r="Z92" i="91" s="1"/>
  <c r="U30" i="91"/>
  <c r="Z30" i="91" s="1"/>
  <c r="U47" i="91"/>
  <c r="W47" i="91" s="1"/>
  <c r="X47" i="91" s="1"/>
  <c r="AK47" i="91" s="1"/>
  <c r="U20" i="91"/>
  <c r="U18" i="91"/>
  <c r="Z18" i="91" s="1"/>
  <c r="U28" i="91"/>
  <c r="Z28" i="91" s="1"/>
  <c r="U32" i="91"/>
  <c r="Z32" i="91" s="1"/>
  <c r="Z82" i="91"/>
  <c r="U87" i="91"/>
  <c r="Z87" i="91" s="1"/>
  <c r="U41" i="91"/>
  <c r="U42" i="91"/>
  <c r="Z42" i="91" s="1"/>
  <c r="U29" i="91"/>
  <c r="Z29" i="91" s="1"/>
  <c r="U33" i="91"/>
  <c r="W33" i="91" s="1"/>
  <c r="X33" i="91" s="1"/>
  <c r="W49" i="91"/>
  <c r="X49" i="91" s="1"/>
  <c r="AK49" i="91" s="1"/>
  <c r="U54" i="91"/>
  <c r="U56" i="91" s="1"/>
  <c r="T56" i="91"/>
  <c r="AA55" i="91" s="1"/>
  <c r="W73" i="91"/>
  <c r="X73" i="91" s="1"/>
  <c r="U88" i="91"/>
  <c r="W88" i="91" s="1"/>
  <c r="X88" i="91" s="1"/>
  <c r="U35" i="91"/>
  <c r="W35" i="91" s="1"/>
  <c r="X35" i="91" s="1"/>
  <c r="U40" i="91"/>
  <c r="Z40" i="91" s="1"/>
  <c r="U64" i="91"/>
  <c r="W64" i="91" s="1"/>
  <c r="X64" i="91" s="1"/>
  <c r="T69" i="91"/>
  <c r="AA64" i="91" s="1"/>
  <c r="W78" i="91"/>
  <c r="X78" i="91" s="1"/>
  <c r="AK78" i="91" s="1"/>
  <c r="T83" i="91"/>
  <c r="Z78" i="91"/>
  <c r="M26" i="93"/>
  <c r="N26" i="93" s="1"/>
  <c r="M24" i="93"/>
  <c r="N24" i="93" s="1"/>
  <c r="M20" i="93"/>
  <c r="N20" i="93" s="1"/>
  <c r="M19" i="93"/>
  <c r="N19" i="93" s="1"/>
  <c r="M18" i="92"/>
  <c r="M19" i="92"/>
  <c r="L19" i="92"/>
  <c r="L18" i="92"/>
  <c r="N17" i="92"/>
  <c r="Z17" i="92"/>
  <c r="Y17" i="92"/>
  <c r="Y19" i="92" s="1"/>
  <c r="C18" i="95" s="1"/>
  <c r="L94" i="91"/>
  <c r="N75" i="91"/>
  <c r="Y48" i="91"/>
  <c r="L83" i="91"/>
  <c r="M46" i="91"/>
  <c r="L51" i="91"/>
  <c r="N54" i="91"/>
  <c r="M56" i="91"/>
  <c r="L69" i="91"/>
  <c r="M28" i="91"/>
  <c r="L43" i="91"/>
  <c r="L56" i="91"/>
  <c r="M86" i="91"/>
  <c r="N86" i="91" s="1"/>
  <c r="L93" i="91"/>
  <c r="N87" i="91"/>
  <c r="Y90" i="91"/>
  <c r="N90" i="91"/>
  <c r="N91" i="91"/>
  <c r="W77" i="91"/>
  <c r="X77" i="91" s="1"/>
  <c r="N82" i="91"/>
  <c r="W80" i="91"/>
  <c r="X80" i="91" s="1"/>
  <c r="Z81" i="91"/>
  <c r="Z79" i="91"/>
  <c r="W79" i="91"/>
  <c r="X79" i="91" s="1"/>
  <c r="Z76" i="91"/>
  <c r="Z75" i="91"/>
  <c r="W75" i="91"/>
  <c r="X75" i="91" s="1"/>
  <c r="M78" i="91"/>
  <c r="N78" i="91" s="1"/>
  <c r="M72" i="91"/>
  <c r="M76" i="91"/>
  <c r="N76" i="91" s="1"/>
  <c r="M68" i="91"/>
  <c r="Z61" i="91"/>
  <c r="Y59" i="91"/>
  <c r="Y66" i="91"/>
  <c r="Y65" i="91"/>
  <c r="Z66" i="91"/>
  <c r="Z65" i="91"/>
  <c r="Z63" i="91"/>
  <c r="Y61" i="91"/>
  <c r="Z60" i="91"/>
  <c r="Z59" i="91"/>
  <c r="N61" i="91"/>
  <c r="N66" i="91"/>
  <c r="N67" i="91"/>
  <c r="M60" i="91"/>
  <c r="Y60" i="91" s="1"/>
  <c r="N59" i="91"/>
  <c r="Y55" i="91"/>
  <c r="N55" i="91"/>
  <c r="Z48" i="91"/>
  <c r="M49" i="91"/>
  <c r="N49" i="91" s="1"/>
  <c r="M47" i="91"/>
  <c r="N47" i="91" s="1"/>
  <c r="N41" i="91"/>
  <c r="N30" i="91"/>
  <c r="M42" i="91"/>
  <c r="N42" i="91" s="1"/>
  <c r="N39" i="91"/>
  <c r="M32" i="91"/>
  <c r="N32" i="91" s="1"/>
  <c r="Y19" i="91"/>
  <c r="W23" i="91"/>
  <c r="X23" i="91" s="1"/>
  <c r="N20" i="91"/>
  <c r="Z19" i="91"/>
  <c r="N23" i="91"/>
  <c r="M22" i="91"/>
  <c r="N22" i="91" s="1"/>
  <c r="N24" i="91"/>
  <c r="Y18" i="92" l="1"/>
  <c r="D23" i="103"/>
  <c r="F23" i="103" s="1"/>
  <c r="AL21" i="92"/>
  <c r="AL22" i="92"/>
  <c r="AL23" i="92" s="1"/>
  <c r="Y74" i="91"/>
  <c r="AK74" i="91"/>
  <c r="Y50" i="91"/>
  <c r="AK50" i="91"/>
  <c r="Y77" i="91"/>
  <c r="AK77" i="91"/>
  <c r="Y80" i="91"/>
  <c r="AK80" i="91"/>
  <c r="Y75" i="91"/>
  <c r="AK75" i="91"/>
  <c r="Z41" i="91"/>
  <c r="W41" i="91"/>
  <c r="X41" i="91" s="1"/>
  <c r="Y79" i="91"/>
  <c r="AK79" i="91"/>
  <c r="Y89" i="91"/>
  <c r="AK89" i="91"/>
  <c r="Y67" i="91"/>
  <c r="AK67" i="91"/>
  <c r="Y63" i="91"/>
  <c r="AK63" i="91"/>
  <c r="Y62" i="91"/>
  <c r="AK62" i="91"/>
  <c r="Y35" i="91"/>
  <c r="AK35" i="91"/>
  <c r="Y33" i="91"/>
  <c r="AK33" i="91"/>
  <c r="Y88" i="91"/>
  <c r="AK88" i="91"/>
  <c r="Y64" i="91"/>
  <c r="AK64" i="91"/>
  <c r="Y81" i="91"/>
  <c r="AK81" i="91"/>
  <c r="Y91" i="91"/>
  <c r="AK91" i="91"/>
  <c r="Y73" i="91"/>
  <c r="AK73" i="91"/>
  <c r="Y23" i="91"/>
  <c r="AK23" i="91"/>
  <c r="W19" i="93"/>
  <c r="X19" i="93" s="1"/>
  <c r="Y19" i="93" s="1"/>
  <c r="U42" i="93"/>
  <c r="U41" i="93"/>
  <c r="Z19" i="93"/>
  <c r="AA19" i="91"/>
  <c r="W24" i="93"/>
  <c r="X24" i="93" s="1"/>
  <c r="W20" i="93"/>
  <c r="X20" i="93" s="1"/>
  <c r="Y20" i="93" s="1"/>
  <c r="W26" i="93"/>
  <c r="X26" i="93" s="1"/>
  <c r="Z29" i="93"/>
  <c r="AA20" i="93"/>
  <c r="AA29" i="93"/>
  <c r="AA25" i="93"/>
  <c r="AA18" i="93"/>
  <c r="AA24" i="93"/>
  <c r="AA19" i="93"/>
  <c r="W23" i="93"/>
  <c r="X23" i="93" s="1"/>
  <c r="Y23" i="93" s="1"/>
  <c r="AA26" i="93"/>
  <c r="W18" i="93"/>
  <c r="X18" i="93" s="1"/>
  <c r="AK18" i="93" s="1"/>
  <c r="W25" i="93"/>
  <c r="X25" i="93" s="1"/>
  <c r="AA30" i="93"/>
  <c r="AA35" i="93"/>
  <c r="AA34" i="93"/>
  <c r="AA38" i="93"/>
  <c r="AA32" i="93"/>
  <c r="AA36" i="93"/>
  <c r="AA31" i="93"/>
  <c r="AA33" i="93"/>
  <c r="AA28" i="93"/>
  <c r="AA17" i="93"/>
  <c r="AA21" i="93"/>
  <c r="AA22" i="93"/>
  <c r="AA27" i="93"/>
  <c r="Z27" i="93"/>
  <c r="W27" i="93"/>
  <c r="X27" i="93" s="1"/>
  <c r="Z18" i="93"/>
  <c r="W22" i="91"/>
  <c r="X22" i="91" s="1"/>
  <c r="U25" i="91"/>
  <c r="Z47" i="91"/>
  <c r="AA23" i="91"/>
  <c r="AA18" i="91"/>
  <c r="M25" i="91"/>
  <c r="N25" i="91"/>
  <c r="AA17" i="91"/>
  <c r="Z33" i="91"/>
  <c r="AA20" i="91"/>
  <c r="Y29" i="93"/>
  <c r="AA87" i="91"/>
  <c r="AA86" i="91"/>
  <c r="W32" i="91"/>
  <c r="X32" i="91" s="1"/>
  <c r="AA91" i="91"/>
  <c r="AA92" i="91"/>
  <c r="W42" i="91"/>
  <c r="X42" i="91" s="1"/>
  <c r="W37" i="91"/>
  <c r="X37" i="91" s="1"/>
  <c r="AA22" i="91"/>
  <c r="AA24" i="91"/>
  <c r="Z35" i="91"/>
  <c r="Y68" i="91"/>
  <c r="W92" i="91"/>
  <c r="X92" i="91" s="1"/>
  <c r="W18" i="91"/>
  <c r="X18" i="91" s="1"/>
  <c r="Z17" i="91"/>
  <c r="W38" i="91"/>
  <c r="X38" i="91" s="1"/>
  <c r="W30" i="91"/>
  <c r="X30" i="91" s="1"/>
  <c r="X83" i="91"/>
  <c r="AA48" i="91"/>
  <c r="Z46" i="91"/>
  <c r="U51" i="91"/>
  <c r="W54" i="91"/>
  <c r="X54" i="91" s="1"/>
  <c r="AK54" i="91" s="1"/>
  <c r="W87" i="91"/>
  <c r="X87" i="91" s="1"/>
  <c r="X69" i="91"/>
  <c r="AA89" i="91"/>
  <c r="AA90" i="91"/>
  <c r="W29" i="91"/>
  <c r="X29" i="91" s="1"/>
  <c r="Z20" i="91"/>
  <c r="W20" i="91"/>
  <c r="X20" i="91" s="1"/>
  <c r="W46" i="91"/>
  <c r="X46" i="91" s="1"/>
  <c r="Z88" i="91"/>
  <c r="AA47" i="91"/>
  <c r="W28" i="91"/>
  <c r="X28" i="91" s="1"/>
  <c r="AA46" i="91"/>
  <c r="W31" i="91"/>
  <c r="X31" i="91" s="1"/>
  <c r="W40" i="91"/>
  <c r="X40" i="91" s="1"/>
  <c r="Z54" i="91"/>
  <c r="AA49" i="91"/>
  <c r="Z86" i="91"/>
  <c r="U93" i="91"/>
  <c r="W24" i="91"/>
  <c r="X24" i="91" s="1"/>
  <c r="Z24" i="91"/>
  <c r="W21" i="91"/>
  <c r="X21" i="91" s="1"/>
  <c r="W17" i="91"/>
  <c r="X17" i="91" s="1"/>
  <c r="AK17" i="91" s="1"/>
  <c r="AA54" i="91"/>
  <c r="AA63" i="91"/>
  <c r="AA62" i="91"/>
  <c r="AA61" i="91"/>
  <c r="AA68" i="91"/>
  <c r="AA60" i="91"/>
  <c r="AA65" i="91"/>
  <c r="AA67" i="91"/>
  <c r="AA59" i="91"/>
  <c r="AA66" i="91"/>
  <c r="Z64" i="91"/>
  <c r="U69" i="91"/>
  <c r="AA79" i="91"/>
  <c r="AA74" i="91"/>
  <c r="AA72" i="91"/>
  <c r="AA77" i="91"/>
  <c r="AA75" i="91"/>
  <c r="AA73" i="91"/>
  <c r="AA76" i="91"/>
  <c r="AA82" i="91"/>
  <c r="AA81" i="91"/>
  <c r="AA80" i="91"/>
  <c r="AA78" i="91"/>
  <c r="N19" i="92"/>
  <c r="N18" i="92"/>
  <c r="M93" i="91"/>
  <c r="Y86" i="91"/>
  <c r="N56" i="91"/>
  <c r="N46" i="91"/>
  <c r="N51" i="91" s="1"/>
  <c r="M51" i="91"/>
  <c r="M94" i="91"/>
  <c r="N72" i="91"/>
  <c r="N83" i="91" s="1"/>
  <c r="M83" i="91"/>
  <c r="M69" i="91"/>
  <c r="N28" i="91"/>
  <c r="N43" i="91" s="1"/>
  <c r="M43" i="91"/>
  <c r="N93" i="91"/>
  <c r="Y78" i="91"/>
  <c r="Y76" i="91"/>
  <c r="Y72" i="91"/>
  <c r="N68" i="91"/>
  <c r="N60" i="91"/>
  <c r="Y49" i="91"/>
  <c r="Y47" i="91"/>
  <c r="Y26" i="93" l="1"/>
  <c r="AK26" i="93"/>
  <c r="Y24" i="93"/>
  <c r="AK24" i="93"/>
  <c r="Y22" i="91"/>
  <c r="AK22" i="91"/>
  <c r="Y92" i="91"/>
  <c r="AK92" i="91"/>
  <c r="Y18" i="91"/>
  <c r="AK18" i="91"/>
  <c r="Y20" i="91"/>
  <c r="AK20" i="91"/>
  <c r="X51" i="91"/>
  <c r="Y51" i="91" s="1"/>
  <c r="AK46" i="91"/>
  <c r="Y24" i="91"/>
  <c r="AK24" i="91"/>
  <c r="Y21" i="91"/>
  <c r="AK21" i="91"/>
  <c r="Y87" i="91"/>
  <c r="AK87" i="91"/>
  <c r="Y42" i="91"/>
  <c r="AK42" i="91"/>
  <c r="AK41" i="91"/>
  <c r="Y41" i="91"/>
  <c r="Y38" i="91"/>
  <c r="AK38" i="91"/>
  <c r="Y37" i="91"/>
  <c r="AK37" i="91"/>
  <c r="Y32" i="91"/>
  <c r="AK32" i="91"/>
  <c r="Y31" i="91"/>
  <c r="AK31" i="91"/>
  <c r="Y30" i="91"/>
  <c r="AK30" i="91"/>
  <c r="Y29" i="91"/>
  <c r="AK29" i="91"/>
  <c r="Y28" i="91"/>
  <c r="AK28" i="91"/>
  <c r="Y40" i="91"/>
  <c r="AK40" i="91"/>
  <c r="Y25" i="93"/>
  <c r="AK25" i="93"/>
  <c r="X41" i="93"/>
  <c r="Y41" i="93" s="1"/>
  <c r="X42" i="93"/>
  <c r="D24" i="103" s="1"/>
  <c r="Z19" i="92"/>
  <c r="AA19" i="92" s="1"/>
  <c r="D18" i="95"/>
  <c r="E18" i="95" s="1"/>
  <c r="Y18" i="93"/>
  <c r="Y42" i="93" s="1"/>
  <c r="C19" i="95" s="1"/>
  <c r="Y27" i="93"/>
  <c r="X25" i="91"/>
  <c r="Y25" i="91" s="1"/>
  <c r="X93" i="91"/>
  <c r="Y93" i="91" s="1"/>
  <c r="Y46" i="91"/>
  <c r="Y69" i="91"/>
  <c r="Y17" i="91"/>
  <c r="Y54" i="91"/>
  <c r="X56" i="91"/>
  <c r="Y56" i="91" s="1"/>
  <c r="Y83" i="91"/>
  <c r="N94" i="91"/>
  <c r="N69" i="91"/>
  <c r="AK42" i="93" l="1"/>
  <c r="B17" i="95"/>
  <c r="B21" i="95" s="1"/>
  <c r="C22" i="103"/>
  <c r="AL45" i="93"/>
  <c r="AL46" i="93" s="1"/>
  <c r="AL44" i="93"/>
  <c r="D19" i="95"/>
  <c r="E19" i="95" s="1"/>
  <c r="Z42" i="93" l="1"/>
  <c r="AA42" i="93" s="1"/>
  <c r="F24" i="103" l="1"/>
  <c r="J29" i="101"/>
  <c r="K29" i="101" l="1"/>
  <c r="S29" i="101"/>
  <c r="T31" i="101" l="1"/>
  <c r="T30" i="101"/>
  <c r="U29" i="101"/>
  <c r="L29" i="101"/>
  <c r="K31" i="101"/>
  <c r="K30" i="101"/>
  <c r="L30" i="101" l="1"/>
  <c r="L31" i="101"/>
  <c r="M29" i="101"/>
  <c r="N29" i="101" s="1"/>
  <c r="U31" i="101"/>
  <c r="U30" i="101"/>
  <c r="W29" i="101"/>
  <c r="X29" i="101" s="1"/>
  <c r="AK29" i="101" s="1"/>
  <c r="AK31" i="101" s="1"/>
  <c r="Z29" i="101"/>
  <c r="AA29" i="101"/>
  <c r="AA23" i="101"/>
  <c r="AA21" i="101"/>
  <c r="AA25" i="101"/>
  <c r="AA24" i="101"/>
  <c r="AA28" i="101"/>
  <c r="AA19" i="101"/>
  <c r="AA26" i="101"/>
  <c r="AA17" i="101"/>
  <c r="AA18" i="101"/>
  <c r="AA20" i="101"/>
  <c r="AA27" i="101"/>
  <c r="AA22" i="101"/>
  <c r="Y29" i="101" l="1"/>
  <c r="Y31" i="101" s="1"/>
  <c r="C26" i="95" s="1"/>
  <c r="C27" i="95" s="1"/>
  <c r="X30" i="101"/>
  <c r="X31" i="101"/>
  <c r="D27" i="103" s="1"/>
  <c r="N30" i="101"/>
  <c r="N31" i="101"/>
  <c r="C27" i="103" s="1"/>
  <c r="C28" i="103" s="1"/>
  <c r="M31" i="101"/>
  <c r="M30" i="101"/>
  <c r="AL34" i="101" l="1"/>
  <c r="AL35" i="101" s="1"/>
  <c r="F27" i="103"/>
  <c r="AL33" i="101"/>
  <c r="B26" i="95"/>
  <c r="Z31" i="101"/>
  <c r="AA31" i="101" s="1"/>
  <c r="Y30" i="101"/>
  <c r="B27" i="95" l="1"/>
  <c r="D26" i="95"/>
  <c r="E26" i="95" s="1"/>
  <c r="B28" i="95" l="1"/>
  <c r="D27" i="95"/>
  <c r="E27" i="95" s="1"/>
  <c r="U39" i="91"/>
  <c r="T43" i="91"/>
  <c r="T94" i="91"/>
  <c r="W39" i="91" l="1"/>
  <c r="X39" i="91" s="1"/>
  <c r="Z39" i="91"/>
  <c r="U94" i="91"/>
  <c r="AA33" i="91"/>
  <c r="AA32" i="91"/>
  <c r="AA30" i="91"/>
  <c r="AA40" i="91"/>
  <c r="AA34" i="91"/>
  <c r="AA31" i="91"/>
  <c r="AA41" i="91"/>
  <c r="AA28" i="91"/>
  <c r="AA39" i="91"/>
  <c r="AA36" i="91"/>
  <c r="AA42" i="91"/>
  <c r="AA37" i="91"/>
  <c r="AA29" i="91"/>
  <c r="U43" i="91"/>
  <c r="AA35" i="91"/>
  <c r="AA38" i="91"/>
  <c r="AK39" i="91" l="1"/>
  <c r="AK94" i="91" s="1"/>
  <c r="X43" i="91"/>
  <c r="Y43" i="91" s="1"/>
  <c r="X94" i="91"/>
  <c r="Y39" i="91"/>
  <c r="Y94" i="91" s="1"/>
  <c r="AL97" i="91" l="1"/>
  <c r="AL98" i="91" s="1"/>
  <c r="AL96" i="91"/>
  <c r="Z94" i="91"/>
  <c r="AA94" i="91" s="1"/>
  <c r="C17" i="95"/>
  <c r="D28" i="103"/>
  <c r="D35" i="103" s="1"/>
  <c r="E28" i="103"/>
  <c r="E35" i="103" l="1"/>
  <c r="D42" i="103"/>
  <c r="C21" i="95"/>
  <c r="D17" i="95"/>
  <c r="E17" i="95" s="1"/>
  <c r="F28" i="103"/>
  <c r="F22" i="103"/>
  <c r="F35" i="103" l="1"/>
  <c r="E42" i="103"/>
  <c r="F42" i="103"/>
  <c r="D21" i="95"/>
  <c r="E21" i="95" s="1"/>
  <c r="C28" i="95"/>
  <c r="D28" i="95" s="1"/>
  <c r="E28" i="95" s="1"/>
</calcChain>
</file>

<file path=xl/sharedStrings.xml><?xml version="1.0" encoding="utf-8"?>
<sst xmlns="http://schemas.openxmlformats.org/spreadsheetml/2006/main" count="1698" uniqueCount="648">
  <si>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</si>
  <si>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</si>
  <si>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</si>
  <si>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</si>
  <si>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</si>
  <si>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</si>
  <si>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</si>
  <si>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</si>
  <si>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</si>
  <si>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</si>
  <si>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</si>
  <si>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</si>
  <si>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</si>
  <si>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</si>
  <si>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</si>
  <si>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</si>
  <si>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</si>
  <si>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</si>
  <si>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</si>
  <si>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</si>
  <si>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</si>
  <si>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</si>
  <si>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</si>
  <si>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</si>
  <si>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</si>
  <si>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</si>
  <si>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</si>
  <si>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</si>
  <si>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</si>
  <si>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</si>
  <si>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</si>
  <si>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</si>
  <si>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</si>
  <si>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</si>
  <si>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</si>
  <si>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</si>
  <si>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</si>
  <si>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</si>
  <si>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</si>
  <si>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</si>
  <si>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</si>
  <si>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</si>
  <si>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</si>
  <si>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</si>
  <si>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</si>
  <si>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</si>
  <si>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</si>
  <si>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</si>
  <si>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</si>
  <si>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</si>
  <si>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</si>
  <si>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</si>
  <si>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</si>
  <si>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</si>
  <si>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</si>
  <si>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</si>
  <si>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</si>
  <si>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</si>
  <si>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</si>
  <si>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</si>
  <si>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</si>
  <si>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</si>
  <si>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</si>
  <si>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</si>
  <si>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</si>
  <si>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</si>
  <si>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</si>
  <si>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</si>
  <si>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</si>
  <si>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</si>
  <si>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</si>
  <si>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</si>
  <si>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</si>
  <si>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</si>
  <si>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</si>
  <si>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</si>
  <si>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</si>
  <si>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</si>
  <si>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</si>
  <si>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</si>
  <si>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</si>
  <si>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</si>
  <si>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</si>
  <si>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</si>
  <si>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</si>
  <si>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</si>
  <si>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</si>
  <si>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</si>
  <si>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</si>
  <si>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</si>
  <si>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</si>
  <si>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</si>
  <si>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</si>
  <si>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</si>
  <si>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</si>
  <si>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</si>
  <si>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</si>
  <si>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</si>
  <si>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</si>
  <si>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</si>
  <si>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</si>
  <si>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</si>
  <si>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</si>
  <si>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</si>
  <si>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</si>
  <si>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</si>
  <si>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</si>
  <si>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</si>
  <si>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</si>
  <si>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</si>
  <si>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</si>
  <si>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</si>
  <si>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</si>
  <si>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</si>
  <si>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</si>
  <si>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</si>
  <si>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</si>
  <si>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</si>
  <si>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</si>
  <si>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</si>
  <si>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</si>
  <si>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</si>
  <si>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</si>
  <si>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</si>
  <si>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</si>
  <si>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</si>
  <si>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</si>
  <si>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</si>
  <si>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</si>
  <si>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1.1.3</t>
  </si>
  <si>
    <t>1.1.4</t>
  </si>
  <si>
    <t>1.1.5</t>
  </si>
  <si>
    <t>1.1.6</t>
  </si>
  <si>
    <t>1.1.7</t>
  </si>
  <si>
    <t>1.1.8</t>
  </si>
  <si>
    <t>OPERACIONAL</t>
  </si>
  <si>
    <t>INTERNO</t>
  </si>
  <si>
    <t>FAT.OGGI</t>
  </si>
  <si>
    <t>INTERNOS</t>
  </si>
  <si>
    <t>PLANEJAMENTO</t>
  </si>
  <si>
    <t>Custo para o planejamento do projeto</t>
  </si>
  <si>
    <t>CRIAÇÃO DE  KV - 50% LDB/50% Itambé</t>
  </si>
  <si>
    <t xml:space="preserve">DESDOBRAMENTO DE PEÇAS </t>
  </si>
  <si>
    <t>PLANTA BAIXA</t>
  </si>
  <si>
    <t>3D</t>
  </si>
  <si>
    <t>ATENDIMENTO</t>
  </si>
  <si>
    <t>PRODUTOR</t>
  </si>
  <si>
    <t>ASSIST. DE PRODUÇÃO</t>
  </si>
  <si>
    <t xml:space="preserve">Custo para criação de KV </t>
  </si>
  <si>
    <t>Crachás, Backdrop, Totem, Cartas de Boas vindas, Agenda QR Code, Template PPT, Ficha de Palco.</t>
  </si>
  <si>
    <t xml:space="preserve">Planta baixa </t>
  </si>
  <si>
    <t>Layout 3d da sala com a implantação do KV + festa</t>
  </si>
  <si>
    <t>Atendimento ao cliente, reuniões, alinhamento e fluxo interno</t>
  </si>
  <si>
    <t>Produtor executivo dedicado, responsável pela pré-produção, implementação do projeto e pós produção</t>
  </si>
  <si>
    <t>Suporte e acompanhamento junto ao produtor executivo;</t>
  </si>
  <si>
    <t>SUBTOTAL SUBGRUPO</t>
  </si>
  <si>
    <t>Subtotal INTERNOS</t>
  </si>
  <si>
    <t>2.1</t>
  </si>
  <si>
    <t>ESTRUTURA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</si>
  <si>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</si>
  <si>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</si>
  <si>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</si>
  <si>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</si>
  <si>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</si>
  <si>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</si>
  <si>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</si>
  <si>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</si>
  <si>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</si>
  <si>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</si>
  <si>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2.1.11</t>
  </si>
  <si>
    <t>2.1.12</t>
  </si>
  <si>
    <t>2.1.13</t>
  </si>
  <si>
    <t>CENOGRAFIA - PALCO
50% LDB/50% Itambé</t>
  </si>
  <si>
    <t>CENOGRAFIA - FUNDO DE PALCO
50% LDB/50% Itambé</t>
  </si>
  <si>
    <t>CENOGRAFIA -  ESTRUTURA PARA PAINEIS DE LED
50% LDB/50% Itambé</t>
  </si>
  <si>
    <t>CENOGRAFIA -  FECHAMENTO HOUSE MIX
50% LDB/50% Itambé</t>
  </si>
  <si>
    <t>CENOGRAFIA - CREDENCIAMENTO - BACKDROP
50% LDB/50% Itambé</t>
  </si>
  <si>
    <t>CENOGRAFIA - CREDENCIAMENTO - BALCÃO</t>
  </si>
  <si>
    <t>CENOGRAFIA - TOTENS INFORMATIVOS
50% LDB/50% Itambé</t>
  </si>
  <si>
    <t>CENOGRAFIA - EQUIPE DE MANUTENÇÃO DURANTE O EVENTO
50% LDB/50% Itambé</t>
  </si>
  <si>
    <t>CENOGRAFIA - DOCUMENTAÇÃO + LOGISTICA
50% LDB/50% Itambé</t>
  </si>
  <si>
    <t>CENOGRAFIA - TROCA DE COMUNICAÇÃO</t>
  </si>
  <si>
    <t>TÉCNICA PLENÁRIA 
50% LDB/50% Itambé</t>
  </si>
  <si>
    <t>PAINEL LED (50% LDB)</t>
  </si>
  <si>
    <t>Praticáveis para sustentação dos Paineis Led laterais - medidas  4,00 x 1,00 x 1,50m
Praticáveis para sustentação dos Paineis Led Central - medidas  10,00 x 1,00 x 60,00</t>
  </si>
  <si>
    <t>Trainel de madeira com acabamento em napa preta, frente e laterais. - medidas  10,00 x 1,50 x 1,00m</t>
  </si>
  <si>
    <t>Painel de madeira com lona impressa aplicada, pesos para sustentação e fechamentos  laterais em bagum preto - medidas  5,00 x 2,50m</t>
  </si>
  <si>
    <t>Balcão em Madeira construído revestido adesivo com Logomarca em recorte MDF tamanho proporcional sanca com led RGB - medidas  2,70 x 1,10m</t>
  </si>
  <si>
    <t>Totem de madeira adesivado autoportante, comunicação dos dois lados. - medidas  0,60 x 1,60m</t>
  </si>
  <si>
    <t>Equipe de 1 funcionário para manutenção durante o evento</t>
  </si>
  <si>
    <t>RRT, Plantas, Documentação para hotel 
Despesas com equipe para 01 dia de montagem e 01 dia de desmontagem + fretes</t>
  </si>
  <si>
    <t>Troca de comunicação de marcas: Lactalis/Itambé</t>
  </si>
  <si>
    <t>Equipamentos Sonorização Plenária
Equipamentos De Iluminação De Palco 
Equipamentos De Luz Cénica 
Art | Estadia | Logística
Equipe Técnica | Plenária 
Equipamentos De Sonorização E Iluminação Foyer
Valor Negociado</t>
  </si>
  <si>
    <t xml:space="preserve">01 Painel 10x3m P2 
02 paineis 4x2.5m P2 
02 Tvs de retorno 
Gerenciamento completo </t>
  </si>
  <si>
    <t>Divido para os 03 eventos Gerador em Uso + Backup Standby - 400 KVA
11/nov MONTAGEM 3 horas MONTAGEM
12/nov EVENTO 12 horas 7:00 às 19:00 12 horas 7:00 às 19:00
13/nov EVENTO 18 horas 7:00 às 1:00 18 horas 7:00 às 1:00
14/nov EVENTO 16 horas 7:00 às 23:00 16 horas 7:00 às 23:00
15/nov EVENTO 18 horas 7:00 às 1:00 18 horas 7:00 às 1:00
Total 67 horas</t>
  </si>
  <si>
    <t>Subtotal ESTRUTURA</t>
  </si>
  <si>
    <t>3.1</t>
  </si>
  <si>
    <t>MATERIAL GRAFICO</t>
  </si>
  <si>
    <t>3.1.1</t>
  </si>
  <si>
    <t>3.1.2</t>
  </si>
  <si>
    <t>3.1.3</t>
  </si>
  <si>
    <t>3.1.4</t>
  </si>
  <si>
    <t>CREDENCIAL</t>
  </si>
  <si>
    <t>CARTA DE BOAS VINDAS</t>
  </si>
  <si>
    <t>CORDÃO</t>
  </si>
  <si>
    <t>FICHA DE PALCO</t>
  </si>
  <si>
    <t>Cordão</t>
  </si>
  <si>
    <t>Fichas de palco A5 4x0 CF350G</t>
  </si>
  <si>
    <t>3.1.5</t>
  </si>
  <si>
    <t>CORDÃO PARA CELULAR</t>
  </si>
  <si>
    <t>Cordão de pescoço para celular, confeccionados em poliester, com TAG em pvc Columbia, acabamento em mosquete.</t>
  </si>
  <si>
    <t>Subtotal MATERIAL GRAFICO</t>
  </si>
  <si>
    <t>4.1</t>
  </si>
  <si>
    <t>TAXAS</t>
  </si>
  <si>
    <t>4.1.1</t>
  </si>
  <si>
    <t>4.1.2</t>
  </si>
  <si>
    <t>SEGURO RC AP
30% LDB/30% Itambé/40%DPA</t>
  </si>
  <si>
    <t>ECAD</t>
  </si>
  <si>
    <t xml:space="preserve">Cobre os danos corporais ou materiais causados a terceiros em razão de acidentes relacionados à realização do evento. </t>
  </si>
  <si>
    <t xml:space="preserve">Taxa obrigatória (sujeito a alteração de valor) </t>
  </si>
  <si>
    <t>Subtotal TAXAS</t>
  </si>
  <si>
    <t>5.1</t>
  </si>
  <si>
    <t>FESTA</t>
  </si>
  <si>
    <t>5.1.2</t>
  </si>
  <si>
    <t>5.1.3</t>
  </si>
  <si>
    <t>5.1.4</t>
  </si>
  <si>
    <t>5.1.5</t>
  </si>
  <si>
    <t>5.1.6</t>
  </si>
  <si>
    <t>5.1.7</t>
  </si>
  <si>
    <t>5.1.8</t>
  </si>
  <si>
    <t>5.1.9</t>
  </si>
  <si>
    <t>5.1.10</t>
  </si>
  <si>
    <t>DJ FESTA</t>
  </si>
  <si>
    <t>TÉCNICA HH
50% LDB/50% Itambé</t>
  </si>
  <si>
    <t>RIDER TÉCNICO
50% LDB/50% Itambé</t>
  </si>
  <si>
    <t>ALIMENTAÇÃO EQUIPE
50% LDB/50% Itambé</t>
  </si>
  <si>
    <t>NECESSIDADES ARTÍSTICAS</t>
  </si>
  <si>
    <t>NECESSIDADES ARTÍSTICAS
50% LDB/50% Itambé</t>
  </si>
  <si>
    <t>MOBILIÁRIO FESTA
50% LDB/50% Itambé</t>
  </si>
  <si>
    <t>Plataforma 360 e Cabine de Fotos</t>
  </si>
  <si>
    <t>DJ para as festas</t>
  </si>
  <si>
    <t>EQUIPAMENTOS DE SONORIZAÇÃO E ILUMINAÇÃO PRAÇA DAS PALMEIRAS</t>
  </si>
  <si>
    <t>RIDER GRUPO SAMBÔ</t>
  </si>
  <si>
    <t xml:space="preserve">Alimentação 6 refeições por pessoa total x 18 pessoas </t>
  </si>
  <si>
    <t>Necessidades da banda com o camarim - Ajustado, sujeito a alteração conforme solicitações durante o evento</t>
  </si>
  <si>
    <t>Hospedagem - 12 quartos (6 dbl e 6 sgl - 3 diárias - Check-in 13/01 e check-out 16/01</t>
  </si>
  <si>
    <t xml:space="preserve">Mobiliário para a montagem do lounge da festa </t>
  </si>
  <si>
    <t>Plataforma 360 + cabine de fotos</t>
  </si>
  <si>
    <t>5.1.11</t>
  </si>
  <si>
    <t>Subtotal FESTA</t>
  </si>
  <si>
    <t>6.1</t>
  </si>
  <si>
    <t>SERVIÇOS</t>
  </si>
  <si>
    <t>6.1.1</t>
  </si>
  <si>
    <t>6.1.2</t>
  </si>
  <si>
    <t>6.1.3</t>
  </si>
  <si>
    <t>6.1.4</t>
  </si>
  <si>
    <t>6.1.5</t>
  </si>
  <si>
    <t>6.1.6</t>
  </si>
  <si>
    <t>6.1.7</t>
  </si>
  <si>
    <t>6.1.8</t>
  </si>
  <si>
    <t>6.1.9</t>
  </si>
  <si>
    <t>6.1.10</t>
  </si>
  <si>
    <t>PROMOTORAS</t>
  </si>
  <si>
    <t xml:space="preserve">UNIFORME ASSIS. </t>
  </si>
  <si>
    <t>AMBULÂNCIA
50% Itambé/50% DPA</t>
  </si>
  <si>
    <t>AMBULÂNCIA UTI
50% Itambé/50% DPA</t>
  </si>
  <si>
    <t>RADIO HT</t>
  </si>
  <si>
    <t>CARREGADOR</t>
  </si>
  <si>
    <t>UNIFILAS
50% LDB/50% Itambé</t>
  </si>
  <si>
    <t>FOTÓGRAFO</t>
  </si>
  <si>
    <t>VIDEO MAKER</t>
  </si>
  <si>
    <t>6.1.11</t>
  </si>
  <si>
    <t>Assistente de Produção/Promotoras Plenária</t>
  </si>
  <si>
    <t>Evento 14 e 15 | Unid. Básica | - alimentação não inclusa</t>
  </si>
  <si>
    <t>Festa de confraternização 15/03 - Ambulância UTI - 20h às 24h - alimentação não inclusa</t>
  </si>
  <si>
    <t>Locação de rádio + frete ( 20 rádios)</t>
  </si>
  <si>
    <t xml:space="preserve">Carregadores para montagem, evento e desmontagem </t>
  </si>
  <si>
    <t>Unifilas + cabeças unifilas</t>
  </si>
  <si>
    <t xml:space="preserve">Fotográfo para capatação de imagens no plenária + happy + festa de confraternização </t>
  </si>
  <si>
    <t>Edição de vídeo com os melhores momentos, com entrega de 1 clipe de até 5 min, inlcuindo: 
- Trilha sonora inclusa (c/ direito de utilização na internet
- até 3 versões inclusas à partir do 1º corte (V1)
- Correção de cor básica</t>
  </si>
  <si>
    <t>Subtotal SERVIÇOS</t>
  </si>
  <si>
    <t>7.1</t>
  </si>
  <si>
    <t>7.1.1</t>
  </si>
  <si>
    <t>7.1.2</t>
  </si>
  <si>
    <t>7.1.3</t>
  </si>
  <si>
    <t>7.1.4</t>
  </si>
  <si>
    <t>7.1.5</t>
  </si>
  <si>
    <t>7.1.6</t>
  </si>
  <si>
    <t>7.1.7</t>
  </si>
  <si>
    <t>PRODUTOR DE A&amp;B</t>
  </si>
  <si>
    <t>PRODUTOR MONTAGEM</t>
  </si>
  <si>
    <t>PRODUTOR OPERACIONAL</t>
  </si>
  <si>
    <t>PRODUTOR RUNNING</t>
  </si>
  <si>
    <t>DIRETOR ARTÍSTICO
50% LDB/50% Itambé</t>
  </si>
  <si>
    <t>SONOPLASTA</t>
  </si>
  <si>
    <t>CUSTOS DE VT
33% LDB/33% Itambé/33%DPA</t>
  </si>
  <si>
    <t xml:space="preserve">Produtor de A&amp;B cuidando de todas demandas </t>
  </si>
  <si>
    <t xml:space="preserve">Responsável pelo evento | desmontagem </t>
  </si>
  <si>
    <t>Serviços | Logistica/Demandas Hotel | Credenciamento e Salas/Plenária | Ativações</t>
  </si>
  <si>
    <t>Produtor com carro para atender as demandas extras e emergenciais.</t>
  </si>
  <si>
    <t>Responsável pela house, palco, ensaios e garantir que todos os elementos do evento estejam em sintonia, de forma a criar uma experiência inesquecível para os participantes (05 diárias)</t>
  </si>
  <si>
    <t>(05 diárias)</t>
  </si>
  <si>
    <t xml:space="preserve">Verba para reuniões e VT </t>
  </si>
  <si>
    <t>Subtotal OPERACIONAL</t>
  </si>
  <si>
    <t>SUBTOTAL PLANILHA</t>
  </si>
  <si>
    <t xml:space="preserve">TOTAL </t>
  </si>
  <si>
    <t>Marg. Lucro</t>
  </si>
  <si>
    <t>Lucro</t>
  </si>
  <si>
    <t>ATRAÇÃO</t>
  </si>
  <si>
    <t>BANDA FESTA DE CONFRATERNIZAÇÃO</t>
  </si>
  <si>
    <t>Grupo Sambô</t>
  </si>
  <si>
    <t>Subtotal ATRAÇÃO</t>
  </si>
  <si>
    <t>ORÇAMENTO 5.1</t>
  </si>
  <si>
    <t>CÓDIGO DO JOB: LT_049</t>
  </si>
  <si>
    <t>CLIENTE:  LACTALIS</t>
  </si>
  <si>
    <t>EVENTO: CONVENÇÃO DE VENDAS 2026</t>
  </si>
  <si>
    <t>LOCAL: À DEFINIR</t>
  </si>
  <si>
    <t>ATENDIMENTO: NILSON MIGUEL</t>
  </si>
  <si>
    <t>PRODUTOR: CAROL IGLEZIAS/NATÁLIA NOBESCHI</t>
  </si>
  <si>
    <t>NOME PLANILHA: LT_049_CONVENÇÃO ITAMBÉ 2026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</si>
  <si>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</si>
  <si>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</si>
  <si>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</si>
  <si>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</si>
  <si>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</si>
  <si>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</si>
  <si>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</si>
  <si>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</si>
  <si>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</si>
  <si>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</si>
  <si>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DATA: JANEIRO DE 2026</t>
  </si>
  <si>
    <t>CONVENÇÃO ITAMBÉ 2026</t>
  </si>
  <si>
    <t>PRINCIPAL</t>
  </si>
  <si>
    <t>Atração</t>
  </si>
  <si>
    <t>Opcionais</t>
  </si>
  <si>
    <t>Negociação Padrão</t>
  </si>
  <si>
    <t>Clientes Oggi</t>
  </si>
  <si>
    <t>Fee</t>
  </si>
  <si>
    <t>Nota Fiscal</t>
  </si>
  <si>
    <t>Nota debito</t>
  </si>
  <si>
    <t>Prazo de pagto</t>
  </si>
  <si>
    <t>Emissão</t>
  </si>
  <si>
    <t>Prestação de conta</t>
  </si>
  <si>
    <t>Custos Internos</t>
  </si>
  <si>
    <t>x</t>
  </si>
  <si>
    <t>30 dias</t>
  </si>
  <si>
    <t>Emissão da Nf após o evento</t>
  </si>
  <si>
    <t>Não é necessário</t>
  </si>
  <si>
    <t>Custos de Produção</t>
  </si>
  <si>
    <t>Hotel</t>
  </si>
  <si>
    <t>Espaços de eventos</t>
  </si>
  <si>
    <t>Show</t>
  </si>
  <si>
    <t>Passagem Aérea</t>
  </si>
  <si>
    <t>Financeiro</t>
  </si>
  <si>
    <t xml:space="preserve">Nota fiscal </t>
  </si>
  <si>
    <t>Data emissão de Nota</t>
  </si>
  <si>
    <t>NAÕ TEM DATA</t>
  </si>
  <si>
    <t>Negociações Diferenciadas</t>
  </si>
  <si>
    <t>Lactalis | DPA | Itambé</t>
  </si>
  <si>
    <t>60 DIAS</t>
  </si>
  <si>
    <t>Nota sob agenc</t>
  </si>
  <si>
    <t xml:space="preserve">Emissão no dia do pagamento ao fornecedor </t>
  </si>
  <si>
    <t>Apresentar NF ou Recido do fornecedor ao cliente</t>
  </si>
  <si>
    <t>sem emissão de nota</t>
  </si>
  <si>
    <t>Envio de Recibo</t>
  </si>
  <si>
    <t>Confirm Santader</t>
  </si>
  <si>
    <t>WHIRLPOOL</t>
  </si>
  <si>
    <t>X</t>
  </si>
  <si>
    <t>Transfer</t>
  </si>
  <si>
    <t>Até dia 15</t>
  </si>
  <si>
    <t>LENOVO</t>
  </si>
  <si>
    <t>NÃO NECESSÁRIO</t>
  </si>
  <si>
    <t>Não precisam de confirmação de nota de fornecedor</t>
  </si>
  <si>
    <t>TAG</t>
  </si>
  <si>
    <t>INTERVENÇÃO PIPOQUEIROS</t>
  </si>
  <si>
    <t>BATECOS</t>
  </si>
  <si>
    <t>TABLE TENT</t>
  </si>
  <si>
    <t>Table tent formato aberto 10,5 x 38 cm + dobras + montagem</t>
  </si>
  <si>
    <t>SAMBA DE MESA</t>
  </si>
  <si>
    <t xml:space="preserve">Roda de samba - Grupo Eterna Amizade
5 integrantes variando entre, pagode, samba 90, samba atual e antigo. 2 horas de Show.
</t>
  </si>
  <si>
    <t>MESA DE PEBOLIM</t>
  </si>
  <si>
    <t>Mesa de Pebolim para festa - 2 unidades</t>
  </si>
  <si>
    <t>OPCIONAIS</t>
  </si>
  <si>
    <t>Subtotal OPCIONAIS</t>
  </si>
  <si>
    <t>CENOGRAFIA BALCÃO OPCIONAL - 50% LDB/50% Itambé</t>
  </si>
  <si>
    <t xml:space="preserve">Balcão de Credenciamento construído em madeira personalizado com 2 grades laterais
em formato de cestas para bolas de futebol </t>
  </si>
  <si>
    <t>HALL HOTEL (MALAS) - PAINEL COMUNICAÇÃO - 50% LDB/50% Itambé</t>
  </si>
  <si>
    <t>PISTA DE DANÇA</t>
  </si>
  <si>
    <t xml:space="preserve">PUFF BOLA - FESTA </t>
  </si>
  <si>
    <t xml:space="preserve">Puff Bola Super em Branco &amp; Preto Phoenix </t>
  </si>
  <si>
    <t>PLACA IDENTIFICAÇÃO VANS</t>
  </si>
  <si>
    <t xml:space="preserve">01 carrinho de pipoca salgada por até 4horas com operador e insumos - </t>
  </si>
  <si>
    <t>PIPOQUEIRA</t>
  </si>
  <si>
    <t>SAQUINHOS PIPOCA</t>
  </si>
  <si>
    <t>Cartão 54x86cms I pvc 030  I  4x4 I  sem dados variáveis</t>
  </si>
  <si>
    <t xml:space="preserve">CONTAINER
</t>
  </si>
  <si>
    <t>Container para acomodar produtos Lactalis/ Itambé/ DPA -  10 a 16/01
10,00 mts de comprimento 
2,29 mts de largura 
2,55 mts de altura
Capacidade de carga 30,480 kg</t>
  </si>
  <si>
    <t>DJ</t>
  </si>
  <si>
    <t>Happy Hour 14/01 - Ambulância UTI - 19h às 23h - alimentação não inclusa</t>
  </si>
  <si>
    <t>Inpro</t>
  </si>
  <si>
    <t>TGPRO</t>
  </si>
  <si>
    <t>WM LED</t>
  </si>
  <si>
    <t>IMPRIMA</t>
  </si>
  <si>
    <t>BADGE</t>
  </si>
  <si>
    <t>BEST GIFT</t>
  </si>
  <si>
    <t>CHUBB</t>
  </si>
  <si>
    <t>PH</t>
  </si>
  <si>
    <t>XIBA</t>
  </si>
  <si>
    <t>TG PRO</t>
  </si>
  <si>
    <t>SAMBÔ</t>
  </si>
  <si>
    <t>MOBILI</t>
  </si>
  <si>
    <t>STATUS</t>
  </si>
  <si>
    <t>ANDROMEDA</t>
  </si>
  <si>
    <t>ALE</t>
  </si>
  <si>
    <t>MR RADIOS</t>
  </si>
  <si>
    <t>SELF MADE</t>
  </si>
  <si>
    <t>COELHO</t>
  </si>
  <si>
    <t>MARIO NAKASE</t>
  </si>
  <si>
    <t>LEO CRAVO</t>
  </si>
  <si>
    <t>FLAVIO/LUISA</t>
  </si>
  <si>
    <t>MASSARI</t>
  </si>
  <si>
    <t>MARCELO</t>
  </si>
  <si>
    <t>CACÁ</t>
  </si>
  <si>
    <t>LÚCIO</t>
  </si>
  <si>
    <t>WWG</t>
  </si>
  <si>
    <t>DESIGN STIL</t>
  </si>
  <si>
    <t>CIDINHA</t>
  </si>
  <si>
    <t>FLY BALLONS</t>
  </si>
  <si>
    <t xml:space="preserve">Lona Impressa Laterais - medidas 2,00m x 3,40m + Lona base LED Laterais </t>
  </si>
  <si>
    <t>MC DIVERSÕES</t>
  </si>
  <si>
    <t>UHP</t>
  </si>
  <si>
    <t>Hospedagem DAY OFF - 14/01 Hospedagem de equipe Sambô - Hotel Faro Atibaia com café da manhã incluso - (6 quartos duplos e 6 quartos single)</t>
  </si>
  <si>
    <t>ECOBAG</t>
  </si>
  <si>
    <t>Saquinhos de pipoca personalizados</t>
  </si>
  <si>
    <t>1 promotora com bandeja de pipoca</t>
  </si>
  <si>
    <t>Sacola de tnt com costura termo selada.
Dimensões |35 x 26.9 cm
Garantia |Alça ponta a ponta: 46,5
Medidas gravação |31 cm x 24 cmPeso (G) |23G</t>
  </si>
  <si>
    <t>Palco de praticáveis revestido com piso carpete forração azul. 04 escadas sendo 2 laterais
2,30m x 0,60m 2 degraus + cobled azul borda de palco e degraus c/ dimmer</t>
  </si>
  <si>
    <t>02 Vans executivas e 01 carretinha</t>
  </si>
  <si>
    <t>Placas de identificação para as vans placa para painel da van A4 – 21 x 29,7 cm</t>
  </si>
  <si>
    <t>2.1.14</t>
  </si>
  <si>
    <t>2.1.15</t>
  </si>
  <si>
    <t xml:space="preserve">Batecos infláveis personalizados 240 pares. </t>
  </si>
  <si>
    <t>BOTTONS</t>
  </si>
  <si>
    <t>Bottons redondos de 4,5 cm. 
220 com frase - 11ª marca mais consumida nos lares brasileiros
220 com a frase - 20º marca mais valiosa do Brasil ou Marca de alimentos mais valiosa do Brasil
220 com a frase- 1º marca de lácteos em Reputação no Brasil
total 660 bottons</t>
  </si>
  <si>
    <t>ACESSÓRIOS CARNAVAL</t>
  </si>
  <si>
    <t>PÓDIO</t>
  </si>
  <si>
    <t xml:space="preserve">Cadeira bunker, ferro pintado de preto, assento de madeira revestida, com espuma e acabamento PU. Profundidade: 71 cm, Largura: 66 cm,  Altura total:1,35 - cadeira toda preta </t>
  </si>
  <si>
    <t>CADEIRAS GIRATÓRIAS</t>
  </si>
  <si>
    <t>1.1.21</t>
  </si>
  <si>
    <t>URNA</t>
  </si>
  <si>
    <t>Urna 25 cm
5 Faces
4x0 (colorido)
Onda E (Branco)
Sem Enobrecimento</t>
  </si>
  <si>
    <t>1.1.22</t>
  </si>
  <si>
    <t>MÁQUINA CHURROS</t>
  </si>
  <si>
    <t>MÁQUINA AÇAÍ</t>
  </si>
  <si>
    <t>1.1.23</t>
  </si>
  <si>
    <t>1.1.24</t>
  </si>
  <si>
    <t>Carrinho de açaí, original e premium, toppings leite condensado, granola, Banana nanica - 08h as 19h - açaí sem xarope de guaraná, sem corante, e sem injeção de ar - Medidas : 1,50 de largura, 0,70 de profundidade e 2,10 de altura.</t>
  </si>
  <si>
    <t>Pódio com 3 posições de lugar</t>
  </si>
  <si>
    <t>BACKDROPS MÓVEL</t>
  </si>
  <si>
    <t>Painel Pantográfico 368x230 Reto Impresso 1 Case de nylon para transporte e armazenamento;
1 Painel Gráfico Impresso;
1 Estrutura em alumínio pantográfica com barras.</t>
  </si>
  <si>
    <t>Dj after party - tocar na madrugada de 15 para 16/01 - das 02h as 05h</t>
  </si>
  <si>
    <t>LIVRO</t>
  </si>
  <si>
    <t>Livro Desperte Paz Interior (sujeito a estoque, valores podem mudar se for diversas compras)</t>
  </si>
  <si>
    <t>Pista de dança cenografica - PISTA DANÇA - 7X7</t>
  </si>
  <si>
    <t>Churros 10cm fritos em gordura vegetal sem odor.
Recheados por dentro e por fora. Passados em açúcar e canela,
servidos em caixinhas biodegradáveis.
Contempla 4 horas de evento.
3 coberturas a vontade .
2 promotores uniformizados. Carrinho decorativo personalizado com identificação do cliente</t>
  </si>
  <si>
    <t xml:space="preserve">Crachá 09x13cm 4x0 plastificação rigida </t>
  </si>
  <si>
    <t>GARRAFAS</t>
  </si>
  <si>
    <t>garrafa térmica de 850 ml
Altura :  26,7 cm
Largura :  8 cm
Circunferência :  25 cm</t>
  </si>
  <si>
    <t xml:space="preserve">Cartas de boas vindas A4 4x) CF170G </t>
  </si>
  <si>
    <t>Camiseta com logo - Itambé ou tema do evento</t>
  </si>
  <si>
    <t>1.1.19</t>
  </si>
  <si>
    <t>1.1.20</t>
  </si>
  <si>
    <t>CONVITES</t>
  </si>
  <si>
    <t>convites after - cartão de visita</t>
  </si>
  <si>
    <t>BOLAS</t>
  </si>
  <si>
    <t>Bolas de futebol - solicitadas dia 14 de janeiro</t>
  </si>
  <si>
    <t>DOCE DE LEITE</t>
  </si>
  <si>
    <t>Doces de leite ITAMBÉ para ativação da máquina de churros</t>
  </si>
  <si>
    <t>FLORES</t>
  </si>
  <si>
    <t>Buquê de flores sortidas para homenageados</t>
  </si>
  <si>
    <t>CHECÃO</t>
  </si>
  <si>
    <t xml:space="preserve">1 cheque 60cm x 120cm </t>
  </si>
  <si>
    <t>Itens extra</t>
  </si>
  <si>
    <t>TOTAL PRINCIPAL + ATRAÇÃO + OPCIONAIS E EXTRAS</t>
  </si>
  <si>
    <t>Festa de confraternização 15/03 - Ambulância UTI - 24h as 02h</t>
  </si>
  <si>
    <t>Custos operacionais</t>
  </si>
  <si>
    <t>Produtora extra</t>
  </si>
  <si>
    <t>Produtora extra para HH, Festa e after</t>
  </si>
  <si>
    <t>R$500 absorvido de presentes clientes</t>
  </si>
  <si>
    <t>R$220 absorvido de presente de clientes</t>
  </si>
  <si>
    <t>SUBTOTAL GRUPO</t>
  </si>
  <si>
    <t>R$850 de Van do Molina para VT
R$546,20 verba absorvida de presentes dos clientes
R$1000 verba absorvida de van para evento - MOLINA</t>
  </si>
  <si>
    <t xml:space="preserve">Custos operacionais durante montagem 10 e 11/01 - evento 14 e 15/01 e desmontagem 16/01 
Transporte produção entre Faro e Bourbon durante período de montagem - evento- desmontagem 
Custos com carro do produtor Runner 11 a 16/01
Uber para locomoção de produtores durante evento
Lavanderia </t>
  </si>
  <si>
    <t>Carol subiu DA - 3.000</t>
  </si>
  <si>
    <t xml:space="preserve">R$1.196,00 verba absorvida da van para o evento - MOLINA
R$377,31 Marcelo 
R$99,97 - Nati
R$55,03 Uber camisetas Oggi
R$110,43 Uber Massari para Bourbon
R$70,81 Uber Thay 
R$198 Lavanderia
</t>
  </si>
  <si>
    <t>R$1237 de maquiagem</t>
  </si>
  <si>
    <t>FAT.CLIENTE</t>
  </si>
  <si>
    <t xml:space="preserve">INTERNET </t>
  </si>
  <si>
    <t>Internet 15gigas para dias 14 e 15</t>
  </si>
  <si>
    <t xml:space="preserve">A&amp;B - HOUSE MIX/ ENSAIO </t>
  </si>
  <si>
    <t>A&amp;B - CONSUMO BOURBON CLUB</t>
  </si>
  <si>
    <t>155 heineken lata - 65 stella lata - 6 pepsi - 6 pepsi black - 6 guaraná - 6 guaraná zero - 1 sukita - 25 agua de coco</t>
  </si>
  <si>
    <t xml:space="preserve">Consumo de água e café plenaria dia 15 - 20 termicas de café - 1251 águas -  </t>
  </si>
  <si>
    <t>A&amp;B - BOLO</t>
  </si>
  <si>
    <t>CONSUMO DE ÁGUA QUARTO</t>
  </si>
  <si>
    <t>Dia 14 - 12 aguas / dia 15 - 1842 aguas</t>
  </si>
  <si>
    <t xml:space="preserve">Subtotal </t>
  </si>
  <si>
    <t>HOTEL</t>
  </si>
  <si>
    <t>BOURBON ATIBAIA - PERÍODO DE 14 A 15 DE JANEIRO</t>
  </si>
  <si>
    <t>Hospedagem</t>
  </si>
  <si>
    <t>Taxas ISS</t>
  </si>
  <si>
    <t>Serviços do Hotel</t>
  </si>
  <si>
    <t>Locação de Sala</t>
  </si>
  <si>
    <t xml:space="preserve">Sala de apoio </t>
  </si>
  <si>
    <t>Espaço Coquetel  (Dia 01|14/01) - Praça das Palmeiras</t>
  </si>
  <si>
    <t>Espaço Coquetel  (Dia 02|15/01) - Virada de sala</t>
  </si>
  <si>
    <t>Alimentação</t>
  </si>
  <si>
    <t>Bebidas</t>
  </si>
  <si>
    <t>Jantar Dia 02 -  Festa de Confraternização 
Mesa de queijos
12 cestas de pães; 6 geleia de pimenta; 6 geleia frutas vermelhas; 6 cesta frutas frescas; 12 patê de ricota com tomate seco; 12 patê ervas finas; 12 antepasto de berinjela; 12 porções frutas secas; 13 focaccia sal grosso</t>
  </si>
  <si>
    <t>Subtotal HOTEL - PERÍODO DE 13 A 14 DE JANEIRO</t>
  </si>
  <si>
    <t>1.2</t>
  </si>
  <si>
    <t>ALIMENTAÇÃO E HOSPEDAGEM EQUIPE</t>
  </si>
  <si>
    <t>1.2.1</t>
  </si>
  <si>
    <t>1.2.2</t>
  </si>
  <si>
    <t>HOSPEDAGEM EQUIPE
50% LDB/50% Itambé</t>
  </si>
  <si>
    <t>BOURBON CLUB</t>
  </si>
  <si>
    <t>Bourbon Atibaia</t>
  </si>
  <si>
    <t>Itens Extra Hotel</t>
  </si>
  <si>
    <t>TOTAL Bourbon Atibaia + Itens Extras Bourbon</t>
  </si>
  <si>
    <t>Custo de lavanderia alocado R$344,66</t>
  </si>
  <si>
    <t>ALIMENTAÇÃO EXTRAS</t>
  </si>
  <si>
    <t>Alimentos e Bebidas para Ensaio dia 14/01</t>
  </si>
  <si>
    <t>Consumo em plenária - 715 copos de água, 18 termicas de café</t>
  </si>
  <si>
    <t>A&amp;B -  EXTRAS HH</t>
  </si>
  <si>
    <t>Consumo no HH dia 14 - Cerveja zero - Heineken</t>
  </si>
  <si>
    <t>A&amp;B -  CONSUMO CAMARIM</t>
  </si>
  <si>
    <t>A&amp;B - ÁGUA E CAFÉ AO CONSUMO - 14</t>
  </si>
  <si>
    <t>A&amp;B - ÁGUA E CAFÉ AO CONSUMO - 15</t>
  </si>
  <si>
    <t>Bolo festa - dia 15/01</t>
  </si>
  <si>
    <t>Whisky After - 1 Chivas</t>
  </si>
  <si>
    <t>ESTACIONAMENTO</t>
  </si>
  <si>
    <t xml:space="preserve">Todos hospedados </t>
  </si>
  <si>
    <t>Subtotal HOTEL</t>
  </si>
  <si>
    <t>Consumo 25 refrigerantes, bandeja de chipa, esfiha e bolo - 48 aguas copo + 48 aguas garrafas                           (considerandocamarim de dançarinos + jogadores)</t>
  </si>
  <si>
    <t xml:space="preserve">Alimentação 10 refeições por pessoa total x 27 pessoas </t>
  </si>
  <si>
    <t>TOTAL GERAL</t>
  </si>
  <si>
    <t>ATIVAR IDEIAS COMERCIO DE BRINDES</t>
  </si>
  <si>
    <t>SK COPIADORA</t>
  </si>
  <si>
    <t>Hospedagem Equipe</t>
  </si>
  <si>
    <r>
      <t xml:space="preserve">CÓDIGO DO JOB: </t>
    </r>
    <r>
      <rPr>
        <b/>
        <sz val="16"/>
        <color theme="1"/>
        <rFont val="Trebuchet MS"/>
        <family val="2"/>
      </rPr>
      <t>LT_049</t>
    </r>
  </si>
  <si>
    <r>
      <t>CLIENTE:</t>
    </r>
    <r>
      <rPr>
        <b/>
        <sz val="16"/>
        <color theme="1"/>
        <rFont val="Trebuchet MS"/>
        <family val="2"/>
      </rPr>
      <t>LACTALIS</t>
    </r>
  </si>
  <si>
    <r>
      <t>EVENTO:</t>
    </r>
    <r>
      <rPr>
        <b/>
        <sz val="16"/>
        <color theme="1"/>
        <rFont val="Trebuchet MS"/>
        <family val="2"/>
      </rPr>
      <t>CONVENÇÃO DE VENDAS 2026</t>
    </r>
  </si>
  <si>
    <r>
      <t>LOCAL:</t>
    </r>
    <r>
      <rPr>
        <b/>
        <sz val="16"/>
        <color theme="1"/>
        <rFont val="Trebuchet MS"/>
        <family val="2"/>
      </rPr>
      <t>HOTEL BOURBON ATIBAIA</t>
    </r>
  </si>
  <si>
    <r>
      <t>DATA:</t>
    </r>
    <r>
      <rPr>
        <b/>
        <sz val="16"/>
        <color theme="1"/>
        <rFont val="Trebuchet MS"/>
        <family val="2"/>
      </rPr>
      <t>14 E 15 DE JANEIRO</t>
    </r>
  </si>
  <si>
    <r>
      <t>ATENDIMENTO:</t>
    </r>
    <r>
      <rPr>
        <b/>
        <sz val="16"/>
        <color theme="1"/>
        <rFont val="Trebuchet MS"/>
        <family val="2"/>
      </rPr>
      <t>NILSON MIGUEL</t>
    </r>
  </si>
  <si>
    <r>
      <t>PRODUTOR:</t>
    </r>
    <r>
      <rPr>
        <b/>
        <sz val="16"/>
        <color theme="1"/>
        <rFont val="Trebuchet MS"/>
        <family val="2"/>
      </rPr>
      <t>CAROL IGLEZIAS/ NATÁLIA NOBESCHI</t>
    </r>
  </si>
  <si>
    <r>
      <t>NOME PLANILHA:</t>
    </r>
    <r>
      <rPr>
        <b/>
        <sz val="16"/>
        <color theme="1"/>
        <rFont val="Trebuchet MS"/>
        <family val="2"/>
      </rPr>
      <t>LT_049_CONVENÇÃO ITAMBÉ 2026</t>
    </r>
  </si>
  <si>
    <r>
      <t xml:space="preserve">Painel de madeira com lona impressa aplicada, pesos para sustentação e fechamentos
laterais em bagum preto - </t>
    </r>
    <r>
      <rPr>
        <sz val="16"/>
        <color rgb="FFFF0000"/>
        <rFont val="Trebuchet MS"/>
        <family val="2"/>
      </rPr>
      <t>aguardando retorno do Hotel</t>
    </r>
  </si>
  <si>
    <r>
      <t xml:space="preserve">GERADOR
30% LDB/30% Itambé/40%DPA
</t>
    </r>
    <r>
      <rPr>
        <i/>
        <sz val="16"/>
        <color theme="1"/>
        <rFont val="Trebuchet MS"/>
        <family val="2"/>
      </rPr>
      <t>Custo pode variar de acordo com as necessidades do evento</t>
    </r>
  </si>
  <si>
    <r>
      <t>PRODUTOR:</t>
    </r>
    <r>
      <rPr>
        <b/>
        <sz val="16"/>
        <color theme="1"/>
        <rFont val="Trebuchet MS"/>
        <family val="2"/>
      </rPr>
      <t>CAROL IGLEZIAS/ NATÁLIA NOBESCH</t>
    </r>
    <r>
      <rPr>
        <b/>
        <sz val="16"/>
        <color theme="0" tint="-0.249977111117893"/>
        <rFont val="Trebuchet MS"/>
        <family val="2"/>
      </rPr>
      <t>I</t>
    </r>
  </si>
  <si>
    <r>
      <t xml:space="preserve">Acessórios de carnaval e copa do mundo para evento </t>
    </r>
    <r>
      <rPr>
        <sz val="16"/>
        <color rgb="FFFF0000"/>
        <rFont val="Trebuchet MS"/>
        <family val="2"/>
      </rPr>
      <t>(sujeito a alteração)</t>
    </r>
  </si>
  <si>
    <r>
      <t xml:space="preserve">Ambulância UTI
</t>
    </r>
    <r>
      <rPr>
        <b/>
        <sz val="16"/>
        <color rgb="FFFF0000"/>
        <rFont val="Trebuchet MS"/>
        <family val="2"/>
      </rPr>
      <t>50% Itambé/50% DPA</t>
    </r>
  </si>
  <si>
    <r>
      <t xml:space="preserve">Quarto Single - Incluso Café da manhã
Check-in: </t>
    </r>
    <r>
      <rPr>
        <b/>
        <sz val="16"/>
        <color rgb="FFFF0000"/>
        <rFont val="Trebuchet MS"/>
        <family val="2"/>
      </rPr>
      <t>14/01</t>
    </r>
    <r>
      <rPr>
        <sz val="16"/>
        <color theme="1"/>
        <rFont val="Trebuchet MS"/>
        <family val="2"/>
      </rPr>
      <t xml:space="preserve"> a partir das 16h00 || Check-out: </t>
    </r>
    <r>
      <rPr>
        <b/>
        <sz val="16"/>
        <color rgb="FFFF0000"/>
        <rFont val="Trebuchet MS"/>
        <family val="2"/>
      </rPr>
      <t>16/01</t>
    </r>
    <r>
      <rPr>
        <sz val="16"/>
        <color theme="1"/>
        <rFont val="Trebuchet MS"/>
        <family val="2"/>
      </rPr>
      <t xml:space="preserve"> até às 12h00</t>
    </r>
  </si>
  <si>
    <r>
      <t xml:space="preserve">Quarto Duplo - Incluso Café da manhã
Check-in: </t>
    </r>
    <r>
      <rPr>
        <b/>
        <sz val="16"/>
        <color rgb="FFFF0000"/>
        <rFont val="Trebuchet MS"/>
        <family val="2"/>
      </rPr>
      <t>14/01</t>
    </r>
    <r>
      <rPr>
        <sz val="16"/>
        <color theme="1"/>
        <rFont val="Trebuchet MS"/>
        <family val="2"/>
      </rPr>
      <t xml:space="preserve"> a partir das 16h00 || Check-out: </t>
    </r>
    <r>
      <rPr>
        <b/>
        <sz val="16"/>
        <color rgb="FFFF0000"/>
        <rFont val="Trebuchet MS"/>
        <family val="2"/>
      </rPr>
      <t>16/01</t>
    </r>
    <r>
      <rPr>
        <sz val="16"/>
        <color theme="1"/>
        <rFont val="Trebuchet MS"/>
        <family val="2"/>
      </rPr>
      <t xml:space="preserve"> até às 12h00</t>
    </r>
  </si>
  <si>
    <r>
      <t xml:space="preserve">Abertura de porta </t>
    </r>
    <r>
      <rPr>
        <sz val="16"/>
        <color rgb="FFFF0000"/>
        <rFont val="Trebuchet MS"/>
        <family val="2"/>
      </rPr>
      <t xml:space="preserve"> (Cobrado conforme necessidade em extras)</t>
    </r>
  </si>
  <si>
    <r>
      <t xml:space="preserve">Personalização de Frigobar </t>
    </r>
    <r>
      <rPr>
        <sz val="16"/>
        <color rgb="FFFF0000"/>
        <rFont val="Trebuchet MS"/>
        <family val="2"/>
      </rPr>
      <t>(Cobrado conforme necessidade em extras)</t>
    </r>
  </si>
  <si>
    <r>
      <t xml:space="preserve">Estacionamento com seguro </t>
    </r>
    <r>
      <rPr>
        <sz val="16"/>
        <color rgb="FFFF0000"/>
        <rFont val="Trebuchet MS"/>
        <family val="2"/>
      </rPr>
      <t>(Cobrado conforme necessidade em extras)</t>
    </r>
  </si>
  <si>
    <r>
      <t xml:space="preserve">Plenária - Ballroom C  - Metragem 758,9m², 6,4m pé direito
(02 dias de evento | Dia 14 e 15/01)
</t>
    </r>
    <r>
      <rPr>
        <b/>
        <u/>
        <sz val="16"/>
        <rFont val="Trebuchet MS"/>
        <family val="2"/>
      </rPr>
      <t xml:space="preserve">Agenda </t>
    </r>
    <r>
      <rPr>
        <b/>
        <sz val="16"/>
        <rFont val="Trebuchet MS"/>
        <family val="2"/>
      </rPr>
      <t xml:space="preserve">
Dia 01 (Dia 14/01) </t>
    </r>
    <r>
      <rPr>
        <sz val="16"/>
        <rFont val="Trebuchet MS"/>
        <family val="2"/>
      </rPr>
      <t xml:space="preserve">Almoço | Coffee tarde | Jantar/happy hour com pacote de bebidas por 3h de cerveja Heineken
</t>
    </r>
    <r>
      <rPr>
        <b/>
        <sz val="16"/>
        <rFont val="Trebuchet MS"/>
        <family val="2"/>
      </rPr>
      <t xml:space="preserve">Dia 02 (Dia 15/01) </t>
    </r>
    <r>
      <rPr>
        <sz val="16"/>
        <rFont val="Trebuchet MS"/>
        <family val="2"/>
      </rPr>
      <t xml:space="preserve">Coffee break manhã | Almoço | Coffee tarde | festa de confraternização com pacote de bebidas alcoólicas com cerveja, drinks e espumante. Serviço de bebida por 5hs
</t>
    </r>
    <r>
      <rPr>
        <b/>
        <sz val="16"/>
        <rFont val="Trebuchet MS"/>
        <family val="2"/>
      </rPr>
      <t xml:space="preserve">Dia 03 Dia (16/01) </t>
    </r>
    <r>
      <rPr>
        <sz val="16"/>
        <rFont val="Trebuchet MS"/>
        <family val="2"/>
      </rPr>
      <t>Almoço | Checkout</t>
    </r>
  </si>
  <si>
    <r>
      <t xml:space="preserve">Consumo de água e café na plenária </t>
    </r>
    <r>
      <rPr>
        <sz val="16"/>
        <color rgb="FFED0000"/>
        <rFont val="Trebuchet MS"/>
        <family val="2"/>
      </rPr>
      <t>(Cobrado conforme consumo em extras)</t>
    </r>
  </si>
  <si>
    <r>
      <t xml:space="preserve">Almoço (Dias 01, 02 e 03)
</t>
    </r>
    <r>
      <rPr>
        <sz val="16"/>
        <color theme="1"/>
        <rFont val="Trebuchet MS"/>
        <family val="2"/>
      </rPr>
      <t>Buffet do Chef</t>
    </r>
    <r>
      <rPr>
        <b/>
        <sz val="16"/>
        <color theme="1"/>
        <rFont val="Trebuchet MS"/>
        <family val="2"/>
      </rPr>
      <t xml:space="preserve"> -  inclui bebidas não alcoólicas servidas durante a refeição (água, refrigerante e suco)</t>
    </r>
  </si>
  <si>
    <r>
      <rPr>
        <b/>
        <sz val="16"/>
        <color theme="1"/>
        <rFont val="Trebuchet MS"/>
        <family val="2"/>
      </rPr>
      <t xml:space="preserve">Coffee Break (Dia 01 tarde, Dia 02 manhã e tarde ) </t>
    </r>
    <r>
      <rPr>
        <sz val="16"/>
        <color theme="1"/>
        <rFont val="Trebuchet MS"/>
        <family val="2"/>
      </rPr>
      <t xml:space="preserve">
Opcao 1 - Café, Chá, Leite, Chocolate, Suco de Laranja, Pão de Queijo, Coxinha de frango e Cuca de Abacaxi</t>
    </r>
  </si>
  <si>
    <r>
      <t xml:space="preserve">Jantar Dia 01 - Happy Hour -  2 horas de duração
Churrasco I
</t>
    </r>
    <r>
      <rPr>
        <sz val="16"/>
        <color theme="1"/>
        <rFont val="Trebuchet MS"/>
        <family val="2"/>
      </rPr>
      <t>Buffet de Saladas: Pães (3 tipos), Variedade de Folhas Verdes, Variedade de Crudités, Salada de Tomate, Salada de Abóbora com Carne Seca | Guarnições: Farofa, Batata Bolinha com Alho e Salsinha, Brócolis Alho e Óleo, Arroz Branco | Buffet Quente: Maminha, Alcatra, Cupim, Lombo de Porco, Linguiça, Coxa e Sobrecoxa de Frango, Fraldinha | Molhos para Carne: Vinagrete, Chimichurri, Molho de Pimenta | Buffet de Sobremesas: Pudim de Leite, Cocada, Mousse de Chocolate, Frutas Laminadas, Salada de Frutas</t>
    </r>
  </si>
  <si>
    <r>
      <rPr>
        <b/>
        <sz val="16"/>
        <color theme="1"/>
        <rFont val="Trebuchet MS"/>
        <family val="2"/>
      </rPr>
      <t>Jantar Dia 01 - Happy Hour - Pacote de bebidas - 3 horas de duração</t>
    </r>
    <r>
      <rPr>
        <sz val="16"/>
        <color theme="1"/>
        <rFont val="Trebuchet MS"/>
        <family val="2"/>
      </rPr>
      <t xml:space="preserve">
Open Bar II - Água Mineral, Refrigerante, Suco de Frutas, Cerveja Heineken</t>
    </r>
  </si>
  <si>
    <r>
      <t xml:space="preserve">Jantar Dia 02
</t>
    </r>
    <r>
      <rPr>
        <sz val="16"/>
        <color theme="1"/>
        <rFont val="Trebuchet MS"/>
        <family val="2"/>
      </rPr>
      <t>Buffet do Chef -  inclui bebidas não alcoólicas servidas durante a refeição (água, refrigerante e suco)</t>
    </r>
  </si>
  <si>
    <r>
      <rPr>
        <b/>
        <sz val="16"/>
        <color theme="1"/>
        <rFont val="Trebuchet MS"/>
        <family val="2"/>
      </rPr>
      <t>Jantar Dia 02 - Festa de Confraternização - Pacote de bebidas alcoólicas por 5h</t>
    </r>
    <r>
      <rPr>
        <sz val="16"/>
        <color theme="1"/>
        <rFont val="Trebuchet MS"/>
        <family val="2"/>
      </rPr>
      <t xml:space="preserve">
Open Bar VI - Água Mineral, Refrigerante, Suco de Frutas, Cerveja Heineken, Caipirinha,
Caipiroska, Sakeroska.</t>
    </r>
  </si>
  <si>
    <r>
      <t>Alimentação dia 10 e 11 para o Staff - Almoço e Jantar -</t>
    </r>
    <r>
      <rPr>
        <b/>
        <sz val="16"/>
        <color rgb="FFFF0000"/>
        <rFont val="Trebuchet MS"/>
        <family val="2"/>
      </rPr>
      <t xml:space="preserve"> </t>
    </r>
    <r>
      <rPr>
        <sz val="16"/>
        <rFont val="Trebuchet MS"/>
        <family val="2"/>
      </rPr>
      <t xml:space="preserve">50% Lactalis/Itambé </t>
    </r>
  </si>
  <si>
    <t>NOME</t>
  </si>
  <si>
    <t>RONALDO TRIGUEIRO</t>
  </si>
  <si>
    <t>MERCADO LIVRE</t>
  </si>
  <si>
    <t>UBER</t>
  </si>
  <si>
    <t>ALINE SANCHES</t>
  </si>
  <si>
    <t>NATALIA NOBESCHI</t>
  </si>
  <si>
    <t>MARCELO BAYEUX</t>
  </si>
  <si>
    <t>THAYNA MOEDAS</t>
  </si>
  <si>
    <t>VÍDEO</t>
  </si>
  <si>
    <t>STUDIO ROCA</t>
  </si>
  <si>
    <r>
      <t>CLIENTE:</t>
    </r>
    <r>
      <rPr>
        <b/>
        <sz val="12"/>
        <color theme="1"/>
        <rFont val="Trebuchet MS"/>
        <family val="2"/>
      </rPr>
      <t>LACTALIS</t>
    </r>
  </si>
  <si>
    <r>
      <t>EVENTO:</t>
    </r>
    <r>
      <rPr>
        <b/>
        <sz val="12"/>
        <color theme="1"/>
        <rFont val="Trebuchet MS"/>
        <family val="2"/>
      </rPr>
      <t>CONVENÇÃO DE VENDAS 2026</t>
    </r>
  </si>
  <si>
    <r>
      <t>LOCAL:</t>
    </r>
    <r>
      <rPr>
        <b/>
        <sz val="12"/>
        <color theme="1"/>
        <rFont val="Trebuchet MS"/>
        <family val="2"/>
      </rPr>
      <t>HOTEL BOURBON ATIBAIA</t>
    </r>
  </si>
  <si>
    <r>
      <t>DATA:</t>
    </r>
    <r>
      <rPr>
        <b/>
        <sz val="12"/>
        <color theme="1"/>
        <rFont val="Trebuchet MS"/>
        <family val="2"/>
      </rPr>
      <t>12 E 13 DE JANEIRO</t>
    </r>
  </si>
  <si>
    <r>
      <t>ATENDIMENTO:</t>
    </r>
    <r>
      <rPr>
        <b/>
        <sz val="12"/>
        <color theme="1"/>
        <rFont val="Trebuchet MS"/>
        <family val="2"/>
      </rPr>
      <t>NILSON MIGUEL</t>
    </r>
  </si>
  <si>
    <r>
      <t>PRODUTOR:</t>
    </r>
    <r>
      <rPr>
        <b/>
        <sz val="12"/>
        <color theme="1"/>
        <rFont val="Trebuchet MS"/>
        <family val="2"/>
      </rPr>
      <t>GABI GOULART</t>
    </r>
  </si>
  <si>
    <t>VENDA</t>
  </si>
  <si>
    <t xml:space="preserve">CUSTO </t>
  </si>
  <si>
    <t>LUCRO</t>
  </si>
  <si>
    <t>NOTAS EMITIDAS</t>
  </si>
  <si>
    <t>PEDRO HENRIQUE</t>
  </si>
  <si>
    <t>ITENS EXTRA</t>
  </si>
  <si>
    <t>BOURBON ATIBAIA</t>
  </si>
  <si>
    <t xml:space="preserve">ITENS EXTRA HOTEL </t>
  </si>
  <si>
    <t>IMPOSTO</t>
  </si>
  <si>
    <t>CUSTO TOTAL</t>
  </si>
  <si>
    <t>CIRANDA CULTURA</t>
  </si>
  <si>
    <t>ATIVAR IDEIAS</t>
  </si>
  <si>
    <t>N DE ML PINHEIRO</t>
  </si>
  <si>
    <t>CLAUDIO VALLIM</t>
  </si>
  <si>
    <t>LLM TECNOLOGIA</t>
  </si>
  <si>
    <t>SILVIA CRISTINA</t>
  </si>
  <si>
    <t>EDIMARA SIMONI</t>
  </si>
  <si>
    <t>KLEBER CESAR</t>
  </si>
  <si>
    <t>LML ILUMINAÇÃO</t>
  </si>
  <si>
    <t>RFM MOROZINI</t>
  </si>
  <si>
    <t>LUCIO DE SOUZA</t>
  </si>
  <si>
    <t>DANIEL FERRAZ</t>
  </si>
  <si>
    <t>FESTA VIDEOKE</t>
  </si>
  <si>
    <t>STARZ LOCAÇÕES</t>
  </si>
  <si>
    <t xml:space="preserve">DANIEL CUNHA </t>
  </si>
  <si>
    <t>GPL LOCADORA</t>
  </si>
  <si>
    <t>MR LOCAÇÕES</t>
  </si>
  <si>
    <t>BS TOZZINI</t>
  </si>
  <si>
    <t>SUPLICY DESINGN</t>
  </si>
  <si>
    <t xml:space="preserve">NATALIA NOBESCHI </t>
  </si>
  <si>
    <t>MAC PRODUTOS</t>
  </si>
  <si>
    <t>ALESSANDRO SANTOS</t>
  </si>
  <si>
    <t>BADGESET</t>
  </si>
  <si>
    <t>TCP LANDERIA</t>
  </si>
  <si>
    <t>MARIO ANDERSON</t>
  </si>
  <si>
    <t xml:space="preserve">ALBERTO LIRA </t>
  </si>
  <si>
    <t>STEPHANIE SUELLEN</t>
  </si>
  <si>
    <t>ANTONIO CARLOS</t>
  </si>
  <si>
    <t>HOTEL BOOURBON</t>
  </si>
  <si>
    <t>GRAFICA PAULISTA</t>
  </si>
  <si>
    <t xml:space="preserve">MOLINA </t>
  </si>
  <si>
    <t>TIAGO EVENTOS</t>
  </si>
  <si>
    <t>FESTA VIDEOKE - LT CRAVO</t>
  </si>
  <si>
    <t>JORGE LUIZ</t>
  </si>
  <si>
    <t>LUIZ HENRIQUE - FLAVIO PEREIRA - LUIZA TAVORA</t>
  </si>
  <si>
    <t>THAYNA DE SOUZA - NATALIA NOBESCHI - AS CASTING - MAYARA ALMEIDA</t>
  </si>
  <si>
    <t>NOTA DE DÉBITO 23</t>
  </si>
  <si>
    <t>NOTA DE DÉBITO 24</t>
  </si>
  <si>
    <t>NOTA FISCAL 2702</t>
  </si>
  <si>
    <t>NOTA FISCAL 2703</t>
  </si>
  <si>
    <t>NOTA FISCAL 2704</t>
  </si>
  <si>
    <t>NOTA FISCAL 2706</t>
  </si>
  <si>
    <t>NOTA FISCAL 2707</t>
  </si>
  <si>
    <t>ND</t>
  </si>
  <si>
    <r>
      <t>NOME PLANILHA:</t>
    </r>
    <r>
      <rPr>
        <b/>
        <sz val="12"/>
        <color theme="1"/>
        <rFont val="Trebuchet MS"/>
        <family val="2"/>
      </rPr>
      <t>:LT_049_CONVENÇÃO ITAMBÉ 2026</t>
    </r>
  </si>
  <si>
    <r>
      <t xml:space="preserve">CÓDIGO DO JOB: </t>
    </r>
    <r>
      <rPr>
        <b/>
        <sz val="12"/>
        <color theme="1"/>
        <rFont val="Trebuchet MS"/>
        <family val="2"/>
      </rPr>
      <t>LT_049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</si>
</sst>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0"/>
      <name val="Trebuchet MS"/>
      <family val="2"/>
    </font>
    <font>
      <sz val="11"/>
      <name val="Calibri"/>
      <family val="2"/>
      <scheme val="minor"/>
    </font>
    <font>
      <sz val="11"/>
      <color rgb="FFED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Trebuchet MS"/>
      <family val="2"/>
    </font>
    <font>
      <b/>
      <sz val="11"/>
      <color rgb="FFED0000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theme="1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color theme="4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rgb="FFFF0000"/>
      <name val="Trebuchet MS"/>
      <family val="2"/>
    </font>
    <font>
      <i/>
      <sz val="16"/>
      <color theme="1"/>
      <name val="Trebuchet MS"/>
      <family val="2"/>
    </font>
    <font>
      <b/>
      <sz val="16"/>
      <color rgb="FF000000"/>
      <name val="Trebuchet MS"/>
      <family val="2"/>
    </font>
    <font>
      <sz val="16"/>
      <color rgb="FF000000"/>
      <name val="Trebuchet MS"/>
      <family val="2"/>
    </font>
    <font>
      <sz val="16"/>
      <color theme="4"/>
      <name val="Calibri"/>
      <family val="2"/>
      <scheme val="minor"/>
    </font>
    <font>
      <sz val="16"/>
      <name val="Trebuchet MS"/>
      <family val="2"/>
    </font>
    <font>
      <sz val="16"/>
      <color rgb="FF0476D0"/>
      <name val="Trebuchet MS"/>
      <family val="2"/>
    </font>
    <font>
      <b/>
      <sz val="16"/>
      <color theme="0" tint="-0.249977111117893"/>
      <name val="Trebuchet MS"/>
      <family val="2"/>
    </font>
    <font>
      <sz val="16"/>
      <color theme="1" tint="4.9989318521683403E-2"/>
      <name val="Trebuchet MS"/>
      <family val="2"/>
    </font>
    <font>
      <b/>
      <u/>
      <sz val="16"/>
      <name val="Trebuchet MS"/>
      <family val="2"/>
    </font>
    <font>
      <sz val="16"/>
      <color rgb="FF00B0F0"/>
      <name val="Trebuchet MS"/>
      <family val="2"/>
    </font>
    <font>
      <sz val="16"/>
      <color rgb="FFED0000"/>
      <name val="Trebuchet MS"/>
      <family val="2"/>
    </font>
    <font>
      <b/>
      <sz val="24"/>
      <color rgb="FFFF0000"/>
      <name val="Trebuchet MS"/>
      <family val="2"/>
    </font>
    <font>
      <b/>
      <sz val="24"/>
      <color theme="1"/>
      <name val="Trebuchet MS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Trebuchet MS"/>
      <family val="2"/>
    </font>
    <font>
      <sz val="12"/>
      <color rgb="FFFF0000"/>
      <name val="Trebuchet MS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94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1" fillId="4" borderId="35" xfId="0" applyFont="1" applyFill="1" applyBorder="1"/>
    <xf numFmtId="0" fontId="11" fillId="4" borderId="36" xfId="0" applyFont="1" applyFill="1" applyBorder="1"/>
    <xf numFmtId="164" fontId="6" fillId="0" borderId="0" xfId="2" applyNumberFormat="1" applyFont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6" fillId="8" borderId="42" xfId="0" applyFont="1" applyFill="1" applyBorder="1" applyAlignment="1">
      <alignment horizontal="center" vertical="center"/>
    </xf>
    <xf numFmtId="22" fontId="14" fillId="8" borderId="42" xfId="0" applyNumberFormat="1" applyFont="1" applyFill="1" applyBorder="1" applyAlignment="1">
      <alignment horizontal="center" vertical="center"/>
    </xf>
    <xf numFmtId="0" fontId="18" fillId="8" borderId="43" xfId="0" applyFont="1" applyFill="1" applyBorder="1" applyAlignment="1">
      <alignment horizontal="center" vertical="center" wrapText="1"/>
    </xf>
    <xf numFmtId="0" fontId="1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4" fontId="0" fillId="0" borderId="0" xfId="0" applyNumberFormat="1"/>
    <xf numFmtId="0" fontId="24" fillId="18" borderId="6" xfId="0" applyFont="1" applyFill="1" applyBorder="1"/>
    <xf numFmtId="0" fontId="24" fillId="18" borderId="37" xfId="0" applyFont="1" applyFill="1" applyBorder="1"/>
    <xf numFmtId="0" fontId="24" fillId="18" borderId="37" xfId="0" applyFont="1" applyFill="1" applyBorder="1" applyAlignment="1">
      <alignment horizontal="center"/>
    </xf>
    <xf numFmtId="44" fontId="24" fillId="18" borderId="37" xfId="0" applyNumberFormat="1" applyFont="1" applyFill="1" applyBorder="1"/>
    <xf numFmtId="0" fontId="24" fillId="18" borderId="6" xfId="0" applyFont="1" applyFill="1" applyBorder="1" applyAlignment="1">
      <alignment horizontal="center"/>
    </xf>
    <xf numFmtId="44" fontId="24" fillId="18" borderId="79" xfId="0" applyNumberFormat="1" applyFont="1" applyFill="1" applyBorder="1"/>
    <xf numFmtId="9" fontId="24" fillId="18" borderId="14" xfId="1" applyFont="1" applyFill="1" applyBorder="1"/>
    <xf numFmtId="44" fontId="24" fillId="18" borderId="81" xfId="8" applyFont="1" applyFill="1" applyBorder="1"/>
    <xf numFmtId="164" fontId="6" fillId="0" borderId="85" xfId="2" applyNumberFormat="1" applyFont="1" applyBorder="1" applyAlignment="1" applyProtection="1">
      <alignment horizontal="left" vertical="center"/>
      <protection locked="0"/>
    </xf>
    <xf numFmtId="164" fontId="6" fillId="0" borderId="86" xfId="2" applyNumberFormat="1" applyFont="1" applyBorder="1" applyAlignment="1" applyProtection="1">
      <alignment horizontal="left" vertical="center"/>
      <protection locked="0"/>
    </xf>
    <xf numFmtId="164" fontId="6" fillId="0" borderId="87" xfId="2" applyNumberFormat="1" applyFont="1" applyBorder="1" applyAlignment="1" applyProtection="1">
      <alignment horizontal="left" vertical="center"/>
      <protection locked="0"/>
    </xf>
    <xf numFmtId="164" fontId="6" fillId="0" borderId="88" xfId="2" applyNumberFormat="1" applyFont="1" applyBorder="1" applyAlignment="1" applyProtection="1">
      <alignment horizontal="left" vertical="center"/>
      <protection locked="0"/>
    </xf>
    <xf numFmtId="0" fontId="7" fillId="0" borderId="89" xfId="2" applyFont="1" applyBorder="1" applyAlignment="1" applyProtection="1">
      <alignment horizontal="left" vertical="center"/>
      <protection locked="0"/>
    </xf>
    <xf numFmtId="0" fontId="6" fillId="0" borderId="89" xfId="2" applyFont="1" applyBorder="1" applyAlignment="1" applyProtection="1">
      <alignment horizontal="left" vertical="center"/>
      <protection locked="0"/>
    </xf>
    <xf numFmtId="14" fontId="7" fillId="0" borderId="88" xfId="2" applyNumberFormat="1" applyFont="1" applyBorder="1" applyAlignment="1" applyProtection="1">
      <alignment horizontal="left" vertical="center"/>
      <protection locked="0"/>
    </xf>
    <xf numFmtId="164" fontId="6" fillId="0" borderId="14" xfId="2" applyNumberFormat="1" applyFont="1" applyBorder="1" applyAlignment="1" applyProtection="1">
      <alignment horizontal="left" vertical="center"/>
      <protection locked="0"/>
    </xf>
    <xf numFmtId="0" fontId="6" fillId="0" borderId="90" xfId="2" applyFont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center"/>
    </xf>
    <xf numFmtId="170" fontId="2" fillId="0" borderId="0" xfId="0" applyNumberFormat="1" applyFont="1" applyAlignment="1">
      <alignment horizontal="right" vertical="center"/>
    </xf>
    <xf numFmtId="0" fontId="2" fillId="0" borderId="91" xfId="0" applyFont="1" applyBorder="1" applyAlignment="1">
      <alignment horizontal="left" vertical="center"/>
    </xf>
    <xf numFmtId="170" fontId="0" fillId="0" borderId="84" xfId="0" applyNumberFormat="1" applyBorder="1" applyAlignment="1">
      <alignment horizontal="right" vertical="center"/>
    </xf>
    <xf numFmtId="44" fontId="25" fillId="17" borderId="65" xfId="0" applyNumberFormat="1" applyFont="1" applyFill="1" applyBorder="1" applyAlignment="1">
      <alignment horizontal="left"/>
    </xf>
    <xf numFmtId="170" fontId="26" fillId="0" borderId="0" xfId="0" applyNumberFormat="1" applyFont="1"/>
    <xf numFmtId="9" fontId="23" fillId="0" borderId="0" xfId="1" applyFont="1" applyAlignment="1">
      <alignment horizontal="left"/>
    </xf>
    <xf numFmtId="0" fontId="2" fillId="0" borderId="69" xfId="0" applyFont="1" applyBorder="1" applyAlignment="1">
      <alignment horizontal="left" vertical="center"/>
    </xf>
    <xf numFmtId="170" fontId="0" fillId="0" borderId="70" xfId="0" applyNumberFormat="1" applyBorder="1" applyAlignment="1">
      <alignment horizontal="right" vertical="center"/>
    </xf>
    <xf numFmtId="44" fontId="25" fillId="17" borderId="66" xfId="0" applyNumberFormat="1" applyFont="1" applyFill="1" applyBorder="1" applyAlignment="1">
      <alignment horizontal="left"/>
    </xf>
    <xf numFmtId="0" fontId="22" fillId="19" borderId="77" xfId="0" applyFont="1" applyFill="1" applyBorder="1" applyAlignment="1">
      <alignment horizontal="left" vertical="center"/>
    </xf>
    <xf numFmtId="170" fontId="22" fillId="19" borderId="78" xfId="0" applyNumberFormat="1" applyFont="1" applyFill="1" applyBorder="1" applyAlignment="1">
      <alignment horizontal="right" vertical="center"/>
    </xf>
    <xf numFmtId="44" fontId="22" fillId="19" borderId="78" xfId="0" applyNumberFormat="1" applyFont="1" applyFill="1" applyBorder="1" applyAlignment="1">
      <alignment horizontal="right" vertical="center"/>
    </xf>
    <xf numFmtId="170" fontId="26" fillId="17" borderId="0" xfId="0" applyNumberFormat="1" applyFont="1" applyFill="1"/>
    <xf numFmtId="9" fontId="23" fillId="17" borderId="0" xfId="1" applyFont="1" applyFill="1" applyAlignment="1">
      <alignment horizontal="left"/>
    </xf>
    <xf numFmtId="0" fontId="27" fillId="0" borderId="0" xfId="0" applyFont="1"/>
    <xf numFmtId="9" fontId="0" fillId="0" borderId="0" xfId="1" applyFont="1" applyAlignment="1">
      <alignment horizontal="center"/>
    </xf>
    <xf numFmtId="0" fontId="2" fillId="20" borderId="14" xfId="0" applyFont="1" applyFill="1" applyBorder="1"/>
    <xf numFmtId="9" fontId="0" fillId="20" borderId="15" xfId="1" applyFont="1" applyFill="1" applyBorder="1" applyAlignment="1">
      <alignment horizontal="center"/>
    </xf>
    <xf numFmtId="0" fontId="0" fillId="20" borderId="15" xfId="0" applyFill="1" applyBorder="1" applyAlignment="1">
      <alignment horizontal="center"/>
    </xf>
    <xf numFmtId="0" fontId="0" fillId="20" borderId="16" xfId="0" applyFill="1" applyBorder="1" applyAlignment="1">
      <alignment horizontal="center"/>
    </xf>
    <xf numFmtId="0" fontId="0" fillId="20" borderId="0" xfId="0" applyFill="1" applyAlignment="1">
      <alignment horizontal="center"/>
    </xf>
    <xf numFmtId="0" fontId="2" fillId="0" borderId="0" xfId="0" applyFont="1"/>
    <xf numFmtId="10" fontId="0" fillId="0" borderId="0" xfId="0" applyNumberFormat="1" applyAlignment="1">
      <alignment horizontal="center"/>
    </xf>
    <xf numFmtId="171" fontId="0" fillId="0" borderId="0" xfId="1" applyNumberFormat="1" applyFon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27" fillId="16" borderId="0" xfId="0" applyFont="1" applyFill="1"/>
    <xf numFmtId="9" fontId="0" fillId="16" borderId="0" xfId="1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/>
    <xf numFmtId="0" fontId="2" fillId="16" borderId="14" xfId="0" applyFont="1" applyFill="1" applyBorder="1"/>
    <xf numFmtId="9" fontId="0" fillId="16" borderId="15" xfId="1" applyFont="1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2" fillId="16" borderId="0" xfId="0" applyFont="1" applyFill="1"/>
    <xf numFmtId="10" fontId="0" fillId="16" borderId="0" xfId="0" applyNumberFormat="1" applyFill="1" applyAlignment="1">
      <alignment horizontal="center"/>
    </xf>
    <xf numFmtId="171" fontId="0" fillId="16" borderId="0" xfId="1" applyNumberFormat="1" applyFont="1" applyFill="1" applyAlignment="1">
      <alignment horizontal="center"/>
    </xf>
    <xf numFmtId="0" fontId="23" fillId="16" borderId="0" xfId="0" applyFont="1" applyFill="1" applyAlignment="1">
      <alignment horizontal="center"/>
    </xf>
    <xf numFmtId="171" fontId="0" fillId="16" borderId="0" xfId="1" applyNumberFormat="1" applyFont="1" applyFill="1" applyBorder="1" applyAlignment="1">
      <alignment horizontal="center"/>
    </xf>
    <xf numFmtId="10" fontId="0" fillId="16" borderId="0" xfId="1" applyNumberFormat="1" applyFont="1" applyFill="1" applyBorder="1" applyAlignment="1">
      <alignment horizontal="center"/>
    </xf>
    <xf numFmtId="166" fontId="0" fillId="16" borderId="0" xfId="0" applyNumberFormat="1" applyFill="1" applyAlignment="1">
      <alignment horizontal="center"/>
    </xf>
    <xf numFmtId="9" fontId="0" fillId="16" borderId="0" xfId="0" applyNumberFormat="1" applyFill="1" applyAlignment="1">
      <alignment horizontal="center"/>
    </xf>
    <xf numFmtId="171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9" fontId="23" fillId="0" borderId="0" xfId="1" applyFont="1" applyAlignment="1">
      <alignment horizontal="center"/>
    </xf>
    <xf numFmtId="0" fontId="28" fillId="0" borderId="0" xfId="0" applyFont="1"/>
    <xf numFmtId="9" fontId="25" fillId="0" borderId="0" xfId="1" applyFont="1" applyAlignment="1">
      <alignment horizontal="center"/>
    </xf>
    <xf numFmtId="1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71" fontId="25" fillId="0" borderId="0" xfId="1" applyNumberFormat="1" applyFont="1" applyAlignment="1">
      <alignment horizontal="center"/>
    </xf>
    <xf numFmtId="9" fontId="25" fillId="0" borderId="0" xfId="0" applyNumberFormat="1" applyFont="1" applyAlignment="1">
      <alignment horizontal="center"/>
    </xf>
    <xf numFmtId="0" fontId="25" fillId="0" borderId="0" xfId="0" applyFont="1"/>
    <xf numFmtId="10" fontId="25" fillId="0" borderId="0" xfId="1" applyNumberFormat="1" applyFont="1" applyAlignment="1">
      <alignment horizontal="center"/>
    </xf>
    <xf numFmtId="0" fontId="0" fillId="0" borderId="65" xfId="0" applyBorder="1"/>
    <xf numFmtId="0" fontId="24" fillId="18" borderId="65" xfId="0" applyFont="1" applyFill="1" applyBorder="1"/>
    <xf numFmtId="44" fontId="24" fillId="18" borderId="65" xfId="0" applyNumberFormat="1" applyFont="1" applyFill="1" applyBorder="1"/>
    <xf numFmtId="9" fontId="24" fillId="18" borderId="65" xfId="1" applyFont="1" applyFill="1" applyBorder="1"/>
    <xf numFmtId="44" fontId="24" fillId="18" borderId="65" xfId="8" applyFont="1" applyFill="1" applyBorder="1"/>
    <xf numFmtId="44" fontId="24" fillId="18" borderId="94" xfId="0" applyNumberFormat="1" applyFont="1" applyFill="1" applyBorder="1"/>
    <xf numFmtId="44" fontId="24" fillId="18" borderId="96" xfId="8" applyFont="1" applyFill="1" applyBorder="1"/>
    <xf numFmtId="0" fontId="2" fillId="0" borderId="65" xfId="0" applyFont="1" applyBorder="1" applyAlignment="1">
      <alignment horizontal="left" vertical="center"/>
    </xf>
    <xf numFmtId="170" fontId="0" fillId="0" borderId="65" xfId="0" applyNumberFormat="1" applyBorder="1" applyAlignment="1">
      <alignment horizontal="right" vertical="center"/>
    </xf>
    <xf numFmtId="44" fontId="0" fillId="0" borderId="65" xfId="0" applyNumberFormat="1" applyBorder="1"/>
    <xf numFmtId="44" fontId="0" fillId="17" borderId="65" xfId="0" applyNumberFormat="1" applyFill="1" applyBorder="1"/>
    <xf numFmtId="44" fontId="23" fillId="0" borderId="0" xfId="0" applyNumberFormat="1" applyFont="1"/>
    <xf numFmtId="44" fontId="24" fillId="18" borderId="106" xfId="0" applyNumberFormat="1" applyFont="1" applyFill="1" applyBorder="1"/>
    <xf numFmtId="44" fontId="24" fillId="18" borderId="107" xfId="8" applyFont="1" applyFill="1" applyBorder="1"/>
    <xf numFmtId="44" fontId="23" fillId="17" borderId="0" xfId="0" applyNumberFormat="1" applyFont="1" applyFill="1"/>
    <xf numFmtId="0" fontId="2" fillId="22" borderId="77" xfId="0" applyFont="1" applyFill="1" applyBorder="1" applyAlignment="1">
      <alignment horizontal="left" vertical="center"/>
    </xf>
    <xf numFmtId="170" fontId="2" fillId="22" borderId="78" xfId="0" applyNumberFormat="1" applyFont="1" applyFill="1" applyBorder="1" applyAlignment="1">
      <alignment horizontal="right" vertical="center"/>
    </xf>
    <xf numFmtId="170" fontId="2" fillId="22" borderId="105" xfId="0" applyNumberFormat="1" applyFont="1" applyFill="1" applyBorder="1" applyAlignment="1">
      <alignment horizontal="right" vertical="center"/>
    </xf>
    <xf numFmtId="170" fontId="31" fillId="11" borderId="0" xfId="0" applyNumberFormat="1" applyFont="1" applyFill="1"/>
    <xf numFmtId="9" fontId="26" fillId="11" borderId="0" xfId="1" applyFont="1" applyFill="1"/>
    <xf numFmtId="0" fontId="0" fillId="11" borderId="0" xfId="0" applyFill="1"/>
    <xf numFmtId="0" fontId="24" fillId="18" borderId="65" xfId="0" applyFont="1" applyFill="1" applyBorder="1" applyAlignment="1">
      <alignment horizontal="center"/>
    </xf>
    <xf numFmtId="0" fontId="33" fillId="0" borderId="0" xfId="0" applyFont="1"/>
    <xf numFmtId="49" fontId="34" fillId="0" borderId="0" xfId="2" applyNumberFormat="1" applyFont="1" applyAlignment="1">
      <alignment horizontal="left" vertical="center" wrapText="1"/>
    </xf>
    <xf numFmtId="0" fontId="34" fillId="0" borderId="0" xfId="2" applyFont="1" applyAlignment="1">
      <alignment horizontal="left" vertical="center" wrapText="1"/>
    </xf>
    <xf numFmtId="0" fontId="33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64" fontId="34" fillId="0" borderId="0" xfId="2" applyNumberFormat="1" applyFont="1" applyAlignment="1">
      <alignment horizontal="left" vertical="center"/>
    </xf>
    <xf numFmtId="164" fontId="34" fillId="0" borderId="20" xfId="2" applyNumberFormat="1" applyFont="1" applyBorder="1" applyAlignment="1" applyProtection="1">
      <alignment horizontal="left" vertical="center"/>
      <protection locked="0"/>
    </xf>
    <xf numFmtId="164" fontId="34" fillId="0" borderId="19" xfId="2" applyNumberFormat="1" applyFont="1" applyBorder="1" applyAlignment="1" applyProtection="1">
      <alignment horizontal="left" vertical="center"/>
      <protection locked="0"/>
    </xf>
    <xf numFmtId="164" fontId="34" fillId="0" borderId="31" xfId="2" applyNumberFormat="1" applyFont="1" applyBorder="1" applyAlignment="1" applyProtection="1">
      <alignment horizontal="left" vertical="center"/>
      <protection locked="0"/>
    </xf>
    <xf numFmtId="164" fontId="34" fillId="0" borderId="30" xfId="2" applyNumberFormat="1" applyFont="1" applyBorder="1" applyAlignment="1" applyProtection="1">
      <alignment horizontal="left" vertical="center"/>
      <protection locked="0"/>
    </xf>
    <xf numFmtId="0" fontId="34" fillId="0" borderId="23" xfId="2" applyFont="1" applyBorder="1" applyAlignment="1" applyProtection="1">
      <alignment horizontal="left" vertical="center"/>
      <protection locked="0"/>
    </xf>
    <xf numFmtId="14" fontId="34" fillId="0" borderId="30" xfId="2" applyNumberFormat="1" applyFont="1" applyBorder="1" applyAlignment="1" applyProtection="1">
      <alignment horizontal="left" vertical="center"/>
      <protection locked="0"/>
    </xf>
    <xf numFmtId="164" fontId="34" fillId="0" borderId="39" xfId="2" applyNumberFormat="1" applyFont="1" applyBorder="1" applyAlignment="1" applyProtection="1">
      <alignment horizontal="left" vertical="center"/>
      <protection locked="0"/>
    </xf>
    <xf numFmtId="0" fontId="34" fillId="0" borderId="26" xfId="2" applyFont="1" applyBorder="1" applyAlignment="1" applyProtection="1">
      <alignment horizontal="left" vertical="center"/>
      <protection locked="0"/>
    </xf>
    <xf numFmtId="49" fontId="33" fillId="0" borderId="0" xfId="0" applyNumberFormat="1" applyFont="1"/>
    <xf numFmtId="0" fontId="33" fillId="0" borderId="0" xfId="1" applyNumberFormat="1" applyFont="1"/>
    <xf numFmtId="165" fontId="37" fillId="6" borderId="38" xfId="4" applyFont="1" applyFill="1" applyBorder="1" applyAlignment="1">
      <alignment horizontal="center" vertical="center" wrapText="1"/>
    </xf>
    <xf numFmtId="168" fontId="38" fillId="0" borderId="5" xfId="1" applyNumberFormat="1" applyFont="1" applyBorder="1"/>
    <xf numFmtId="166" fontId="37" fillId="0" borderId="40" xfId="4" applyNumberFormat="1" applyFont="1" applyBorder="1" applyAlignment="1">
      <alignment horizontal="center" vertical="center" wrapText="1"/>
    </xf>
    <xf numFmtId="0" fontId="36" fillId="5" borderId="0" xfId="0" applyFont="1" applyFill="1"/>
    <xf numFmtId="49" fontId="36" fillId="5" borderId="0" xfId="0" applyNumberFormat="1" applyFont="1" applyFill="1"/>
    <xf numFmtId="0" fontId="39" fillId="0" borderId="0" xfId="0" applyFont="1"/>
    <xf numFmtId="0" fontId="40" fillId="0" borderId="45" xfId="0" applyFont="1" applyBorder="1" applyAlignment="1">
      <alignment horizontal="left" vertical="center"/>
    </xf>
    <xf numFmtId="49" fontId="40" fillId="0" borderId="46" xfId="0" applyNumberFormat="1" applyFont="1" applyBorder="1" applyAlignment="1">
      <alignment horizontal="left" vertical="center"/>
    </xf>
    <xf numFmtId="0" fontId="40" fillId="0" borderId="47" xfId="0" applyFont="1" applyBorder="1" applyAlignment="1">
      <alignment horizontal="left" vertical="center"/>
    </xf>
    <xf numFmtId="0" fontId="40" fillId="0" borderId="45" xfId="0" applyFont="1" applyBorder="1" applyAlignment="1">
      <alignment horizontal="left" vertical="center" wrapText="1"/>
    </xf>
    <xf numFmtId="0" fontId="34" fillId="6" borderId="38" xfId="3" applyFont="1" applyFill="1" applyBorder="1" applyAlignment="1">
      <alignment horizontal="left" vertical="center"/>
    </xf>
    <xf numFmtId="0" fontId="34" fillId="6" borderId="58" xfId="3" applyFont="1" applyFill="1" applyBorder="1" applyAlignment="1">
      <alignment horizontal="center" vertical="center"/>
    </xf>
    <xf numFmtId="0" fontId="36" fillId="6" borderId="55" xfId="3" applyFont="1" applyFill="1" applyBorder="1" applyAlignment="1">
      <alignment horizontal="center" vertical="center"/>
    </xf>
    <xf numFmtId="169" fontId="36" fillId="6" borderId="55" xfId="3" applyNumberFormat="1" applyFont="1" applyFill="1" applyBorder="1" applyAlignment="1">
      <alignment horizontal="center" vertical="center" wrapText="1"/>
    </xf>
    <xf numFmtId="0" fontId="36" fillId="6" borderId="56" xfId="3" applyFont="1" applyFill="1" applyBorder="1" applyAlignment="1">
      <alignment horizontal="center" vertical="center" wrapText="1"/>
    </xf>
    <xf numFmtId="9" fontId="36" fillId="6" borderId="54" xfId="1" applyFont="1" applyFill="1" applyBorder="1" applyAlignment="1">
      <alignment horizontal="center" vertical="center" wrapText="1"/>
    </xf>
    <xf numFmtId="10" fontId="36" fillId="6" borderId="55" xfId="1" applyNumberFormat="1" applyFont="1" applyFill="1" applyBorder="1" applyAlignment="1">
      <alignment horizontal="center" vertical="center" wrapText="1"/>
    </xf>
    <xf numFmtId="0" fontId="36" fillId="6" borderId="57" xfId="3" applyFont="1" applyFill="1" applyBorder="1" applyAlignment="1">
      <alignment horizontal="center" vertical="center" wrapText="1"/>
    </xf>
    <xf numFmtId="37" fontId="37" fillId="6" borderId="54" xfId="3" applyNumberFormat="1" applyFont="1" applyFill="1" applyBorder="1" applyAlignment="1">
      <alignment horizontal="center" vertical="center"/>
    </xf>
    <xf numFmtId="37" fontId="37" fillId="6" borderId="55" xfId="3" applyNumberFormat="1" applyFont="1" applyFill="1" applyBorder="1" applyAlignment="1">
      <alignment horizontal="center" vertical="center"/>
    </xf>
    <xf numFmtId="40" fontId="37" fillId="6" borderId="55" xfId="4" applyNumberFormat="1" applyFont="1" applyFill="1" applyBorder="1" applyAlignment="1">
      <alignment horizontal="center" vertical="center"/>
    </xf>
    <xf numFmtId="165" fontId="37" fillId="6" borderId="55" xfId="4" applyFont="1" applyFill="1" applyBorder="1" applyAlignment="1">
      <alignment horizontal="right" vertical="center"/>
    </xf>
    <xf numFmtId="40" fontId="37" fillId="6" borderId="55" xfId="4" applyNumberFormat="1" applyFont="1" applyFill="1" applyBorder="1" applyAlignment="1">
      <alignment horizontal="center" vertical="center" wrapText="1"/>
    </xf>
    <xf numFmtId="10" fontId="37" fillId="6" borderId="55" xfId="5" applyNumberFormat="1" applyFont="1" applyFill="1" applyBorder="1" applyAlignment="1">
      <alignment horizontal="center" vertical="center" wrapText="1"/>
    </xf>
    <xf numFmtId="165" fontId="37" fillId="6" borderId="55" xfId="4" applyFont="1" applyFill="1" applyBorder="1" applyAlignment="1">
      <alignment horizontal="center" vertical="center" wrapText="1"/>
    </xf>
    <xf numFmtId="165" fontId="37" fillId="6" borderId="57" xfId="4" applyFont="1" applyFill="1" applyBorder="1" applyAlignment="1">
      <alignment horizontal="center" vertical="center" wrapText="1"/>
    </xf>
    <xf numFmtId="10" fontId="37" fillId="6" borderId="48" xfId="5" applyNumberFormat="1" applyFont="1" applyFill="1" applyBorder="1" applyAlignment="1">
      <alignment horizontal="center" vertical="center" wrapText="1"/>
    </xf>
    <xf numFmtId="10" fontId="37" fillId="6" borderId="49" xfId="5" applyNumberFormat="1" applyFont="1" applyFill="1" applyBorder="1" applyAlignment="1">
      <alignment horizontal="center" vertical="center" wrapText="1"/>
    </xf>
    <xf numFmtId="165" fontId="37" fillId="6" borderId="50" xfId="4" applyFont="1" applyFill="1" applyBorder="1" applyAlignment="1">
      <alignment horizontal="center" vertical="center" wrapText="1"/>
    </xf>
    <xf numFmtId="165" fontId="37" fillId="6" borderId="49" xfId="4" applyFont="1" applyFill="1" applyBorder="1" applyAlignment="1">
      <alignment horizontal="center" vertical="center" wrapText="1"/>
    </xf>
    <xf numFmtId="37" fontId="37" fillId="6" borderId="3" xfId="3" applyNumberFormat="1" applyFont="1" applyFill="1" applyBorder="1" applyAlignment="1">
      <alignment horizontal="center" vertical="center"/>
    </xf>
    <xf numFmtId="40" fontId="37" fillId="6" borderId="51" xfId="4" applyNumberFormat="1" applyFont="1" applyFill="1" applyBorder="1" applyAlignment="1">
      <alignment horizontal="center" vertical="center"/>
    </xf>
    <xf numFmtId="166" fontId="41" fillId="6" borderId="52" xfId="4" applyNumberFormat="1" applyFont="1" applyFill="1" applyBorder="1" applyAlignment="1">
      <alignment horizontal="center" vertical="center" wrapText="1"/>
    </xf>
    <xf numFmtId="166" fontId="42" fillId="6" borderId="53" xfId="4" applyNumberFormat="1" applyFont="1" applyFill="1" applyBorder="1" applyAlignment="1">
      <alignment horizontal="center" vertical="center" wrapText="1"/>
    </xf>
    <xf numFmtId="49" fontId="40" fillId="0" borderId="46" xfId="0" applyNumberFormat="1" applyFont="1" applyBorder="1" applyAlignment="1">
      <alignment horizontal="left" vertical="center" wrapText="1"/>
    </xf>
    <xf numFmtId="0" fontId="40" fillId="0" borderId="47" xfId="0" applyFont="1" applyBorder="1" applyAlignment="1">
      <alignment horizontal="left" vertical="center" wrapText="1"/>
    </xf>
    <xf numFmtId="0" fontId="40" fillId="0" borderId="46" xfId="0" applyFont="1" applyBorder="1" applyAlignment="1">
      <alignment horizontal="left" vertical="center" wrapText="1"/>
    </xf>
    <xf numFmtId="0" fontId="36" fillId="12" borderId="56" xfId="0" applyFont="1" applyFill="1" applyBorder="1" applyAlignment="1">
      <alignment horizontal="center" vertical="center"/>
    </xf>
    <xf numFmtId="0" fontId="36" fillId="12" borderId="55" xfId="0" applyFont="1" applyFill="1" applyBorder="1" applyAlignment="1">
      <alignment horizontal="center" vertical="center"/>
    </xf>
    <xf numFmtId="0" fontId="36" fillId="12" borderId="13" xfId="0" applyFont="1" applyFill="1" applyBorder="1" applyAlignment="1">
      <alignment horizontal="center" vertical="center"/>
    </xf>
    <xf numFmtId="0" fontId="38" fillId="12" borderId="10" xfId="0" applyFont="1" applyFill="1" applyBorder="1" applyAlignment="1">
      <alignment horizontal="center" vertical="center"/>
    </xf>
    <xf numFmtId="0" fontId="38" fillId="12" borderId="65" xfId="0" applyFont="1" applyFill="1" applyBorder="1" applyAlignment="1">
      <alignment horizontal="center" vertical="center"/>
    </xf>
    <xf numFmtId="0" fontId="36" fillId="0" borderId="52" xfId="0" applyFont="1" applyBorder="1" applyAlignment="1">
      <alignment horizontal="left" vertical="center" wrapText="1"/>
    </xf>
    <xf numFmtId="0" fontId="40" fillId="0" borderId="66" xfId="0" applyFont="1" applyBorder="1" applyAlignment="1">
      <alignment horizontal="left" vertical="center" wrapText="1"/>
    </xf>
    <xf numFmtId="0" fontId="40" fillId="0" borderId="66" xfId="0" applyFont="1" applyBorder="1" applyAlignment="1">
      <alignment horizontal="center" vertical="center"/>
    </xf>
    <xf numFmtId="44" fontId="40" fillId="0" borderId="66" xfId="8" applyFont="1" applyBorder="1" applyAlignment="1">
      <alignment vertical="center"/>
    </xf>
    <xf numFmtId="44" fontId="40" fillId="0" borderId="53" xfId="8" applyFont="1" applyBorder="1" applyAlignment="1">
      <alignment vertical="center"/>
    </xf>
    <xf numFmtId="1" fontId="40" fillId="13" borderId="71" xfId="0" applyNumberFormat="1" applyFont="1" applyFill="1" applyBorder="1" applyAlignment="1">
      <alignment horizontal="center" vertical="center"/>
    </xf>
    <xf numFmtId="1" fontId="40" fillId="13" borderId="64" xfId="0" applyNumberFormat="1" applyFont="1" applyFill="1" applyBorder="1" applyAlignment="1">
      <alignment horizontal="center" vertical="center"/>
    </xf>
    <xf numFmtId="44" fontId="43" fillId="13" borderId="64" xfId="8" applyFont="1" applyFill="1" applyBorder="1" applyAlignment="1">
      <alignment vertical="center"/>
    </xf>
    <xf numFmtId="44" fontId="40" fillId="15" borderId="64" xfId="8" applyFont="1" applyFill="1" applyBorder="1" applyAlignment="1">
      <alignment vertical="center"/>
    </xf>
    <xf numFmtId="9" fontId="40" fillId="14" borderId="64" xfId="1" applyFont="1" applyFill="1" applyBorder="1" applyAlignment="1">
      <alignment vertical="center"/>
    </xf>
    <xf numFmtId="44" fontId="40" fillId="14" borderId="64" xfId="8" applyFont="1" applyFill="1" applyBorder="1" applyAlignment="1">
      <alignment vertical="center"/>
    </xf>
    <xf numFmtId="44" fontId="40" fillId="14" borderId="53" xfId="8" applyFont="1" applyFill="1" applyBorder="1" applyAlignment="1">
      <alignment vertical="center"/>
    </xf>
    <xf numFmtId="10" fontId="40" fillId="15" borderId="10" xfId="0" applyNumberFormat="1" applyFont="1" applyFill="1" applyBorder="1" applyAlignment="1">
      <alignment horizontal="center" vertical="center"/>
    </xf>
    <xf numFmtId="10" fontId="40" fillId="15" borderId="65" xfId="0" applyNumberFormat="1" applyFont="1" applyFill="1" applyBorder="1" applyAlignment="1">
      <alignment horizontal="center" vertical="center"/>
    </xf>
    <xf numFmtId="44" fontId="44" fillId="0" borderId="65" xfId="8" applyFont="1" applyBorder="1"/>
    <xf numFmtId="44" fontId="45" fillId="0" borderId="65" xfId="8" applyFont="1" applyBorder="1"/>
    <xf numFmtId="0" fontId="36" fillId="0" borderId="68" xfId="0" applyFont="1" applyBorder="1" applyAlignment="1">
      <alignment horizontal="left" vertical="center" wrapText="1"/>
    </xf>
    <xf numFmtId="0" fontId="40" fillId="0" borderId="65" xfId="0" applyFont="1" applyBorder="1" applyAlignment="1">
      <alignment horizontal="left" vertical="center" wrapText="1"/>
    </xf>
    <xf numFmtId="44" fontId="40" fillId="13" borderId="64" xfId="8" applyFont="1" applyFill="1" applyBorder="1" applyAlignment="1">
      <alignment vertical="center"/>
    </xf>
    <xf numFmtId="44" fontId="43" fillId="21" borderId="64" xfId="8" applyFont="1" applyFill="1" applyBorder="1" applyAlignment="1">
      <alignment vertical="center"/>
    </xf>
    <xf numFmtId="0" fontId="33" fillId="16" borderId="0" xfId="0" applyFont="1" applyFill="1"/>
    <xf numFmtId="0" fontId="36" fillId="0" borderId="69" xfId="0" applyFont="1" applyBorder="1" applyAlignment="1">
      <alignment horizontal="left" vertical="center" wrapText="1"/>
    </xf>
    <xf numFmtId="0" fontId="40" fillId="11" borderId="70" xfId="2" applyFont="1" applyFill="1" applyBorder="1" applyAlignment="1">
      <alignment horizontal="left" vertical="center" wrapText="1"/>
    </xf>
    <xf numFmtId="0" fontId="40" fillId="0" borderId="65" xfId="0" applyFont="1" applyBorder="1" applyAlignment="1">
      <alignment horizontal="center" vertical="center"/>
    </xf>
    <xf numFmtId="44" fontId="40" fillId="0" borderId="65" xfId="8" applyFont="1" applyBorder="1" applyAlignment="1">
      <alignment vertical="center"/>
    </xf>
    <xf numFmtId="44" fontId="40" fillId="0" borderId="75" xfId="8" applyFont="1" applyBorder="1" applyAlignment="1">
      <alignment vertical="center"/>
    </xf>
    <xf numFmtId="1" fontId="40" fillId="13" borderId="72" xfId="0" applyNumberFormat="1" applyFont="1" applyFill="1" applyBorder="1" applyAlignment="1">
      <alignment horizontal="center" vertical="center"/>
    </xf>
    <xf numFmtId="1" fontId="40" fillId="13" borderId="7" xfId="0" applyNumberFormat="1" applyFont="1" applyFill="1" applyBorder="1" applyAlignment="1">
      <alignment horizontal="center" vertical="center"/>
    </xf>
    <xf numFmtId="44" fontId="40" fillId="13" borderId="7" xfId="8" applyFont="1" applyFill="1" applyBorder="1" applyAlignment="1">
      <alignment vertical="center"/>
    </xf>
    <xf numFmtId="44" fontId="40" fillId="15" borderId="7" xfId="8" applyFont="1" applyFill="1" applyBorder="1" applyAlignment="1">
      <alignment vertical="center"/>
    </xf>
    <xf numFmtId="9" fontId="40" fillId="14" borderId="7" xfId="1" applyFont="1" applyFill="1" applyBorder="1" applyAlignment="1">
      <alignment vertical="center"/>
    </xf>
    <xf numFmtId="44" fontId="40" fillId="14" borderId="7" xfId="8" applyFont="1" applyFill="1" applyBorder="1" applyAlignment="1">
      <alignment vertical="center"/>
    </xf>
    <xf numFmtId="44" fontId="40" fillId="14" borderId="75" xfId="8" applyFont="1" applyFill="1" applyBorder="1" applyAlignment="1">
      <alignment vertical="center"/>
    </xf>
    <xf numFmtId="170" fontId="24" fillId="10" borderId="15" xfId="0" applyNumberFormat="1" applyFont="1" applyFill="1" applyBorder="1" applyAlignment="1">
      <alignment horizontal="right"/>
    </xf>
    <xf numFmtId="170" fontId="24" fillId="10" borderId="0" xfId="0" applyNumberFormat="1" applyFont="1" applyFill="1" applyAlignment="1">
      <alignment horizontal="right"/>
    </xf>
    <xf numFmtId="170" fontId="24" fillId="10" borderId="16" xfId="0" applyNumberFormat="1" applyFont="1" applyFill="1" applyBorder="1" applyAlignment="1">
      <alignment horizontal="right"/>
    </xf>
    <xf numFmtId="44" fontId="24" fillId="10" borderId="15" xfId="0" applyNumberFormat="1" applyFont="1" applyFill="1" applyBorder="1" applyAlignment="1">
      <alignment horizontal="right"/>
    </xf>
    <xf numFmtId="44" fontId="36" fillId="15" borderId="15" xfId="0" applyNumberFormat="1" applyFont="1" applyFill="1" applyBorder="1"/>
    <xf numFmtId="0" fontId="33" fillId="14" borderId="15" xfId="0" applyFont="1" applyFill="1" applyBorder="1"/>
    <xf numFmtId="44" fontId="36" fillId="14" borderId="15" xfId="0" applyNumberFormat="1" applyFont="1" applyFill="1" applyBorder="1"/>
    <xf numFmtId="44" fontId="36" fillId="14" borderId="16" xfId="8" applyFont="1" applyFill="1" applyBorder="1"/>
    <xf numFmtId="49" fontId="40" fillId="0" borderId="62" xfId="0" applyNumberFormat="1" applyFont="1" applyBorder="1" applyAlignment="1">
      <alignment horizontal="left" vertical="center" wrapText="1"/>
    </xf>
    <xf numFmtId="0" fontId="40" fillId="0" borderId="62" xfId="0" applyFont="1" applyBorder="1" applyAlignment="1">
      <alignment horizontal="left" vertical="center" wrapText="1"/>
    </xf>
    <xf numFmtId="49" fontId="40" fillId="0" borderId="83" xfId="0" applyNumberFormat="1" applyFont="1" applyBorder="1" applyAlignment="1">
      <alignment horizontal="left" vertical="center" wrapText="1"/>
    </xf>
    <xf numFmtId="0" fontId="40" fillId="0" borderId="61" xfId="0" applyFont="1" applyBorder="1" applyAlignment="1">
      <alignment horizontal="left" vertical="center" wrapText="1"/>
    </xf>
    <xf numFmtId="0" fontId="24" fillId="9" borderId="10" xfId="0" applyFont="1" applyFill="1" applyBorder="1" applyAlignment="1">
      <alignment horizontal="left"/>
    </xf>
    <xf numFmtId="0" fontId="24" fillId="9" borderId="65" xfId="0" applyFont="1" applyFill="1" applyBorder="1" applyAlignment="1">
      <alignment horizontal="left"/>
    </xf>
    <xf numFmtId="0" fontId="24" fillId="9" borderId="66" xfId="0" applyFont="1" applyFill="1" applyBorder="1" applyAlignment="1">
      <alignment horizontal="center"/>
    </xf>
    <xf numFmtId="44" fontId="24" fillId="9" borderId="66" xfId="8" applyFont="1" applyFill="1" applyBorder="1" applyAlignment="1">
      <alignment horizontal="left"/>
    </xf>
    <xf numFmtId="44" fontId="24" fillId="9" borderId="53" xfId="8" applyFont="1" applyFill="1" applyBorder="1" applyAlignment="1">
      <alignment horizontal="left"/>
    </xf>
    <xf numFmtId="0" fontId="40" fillId="0" borderId="60" xfId="0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36" fillId="0" borderId="65" xfId="0" applyFont="1" applyBorder="1" applyAlignment="1">
      <alignment horizontal="left" vertical="center" wrapText="1"/>
    </xf>
    <xf numFmtId="0" fontId="40" fillId="16" borderId="66" xfId="0" applyFont="1" applyFill="1" applyBorder="1" applyAlignment="1">
      <alignment horizontal="left" vertical="center" wrapText="1"/>
    </xf>
    <xf numFmtId="44" fontId="43" fillId="13" borderId="7" xfId="8" applyFont="1" applyFill="1" applyBorder="1" applyAlignment="1">
      <alignment vertical="center"/>
    </xf>
    <xf numFmtId="0" fontId="48" fillId="11" borderId="68" xfId="0" applyFont="1" applyFill="1" applyBorder="1" applyAlignment="1">
      <alignment horizontal="left" vertical="center" wrapText="1"/>
    </xf>
    <xf numFmtId="0" fontId="49" fillId="0" borderId="65" xfId="0" applyFont="1" applyBorder="1" applyAlignment="1">
      <alignment horizontal="left" vertical="center" wrapText="1"/>
    </xf>
    <xf numFmtId="0" fontId="50" fillId="0" borderId="0" xfId="0" applyFont="1"/>
    <xf numFmtId="0" fontId="48" fillId="0" borderId="68" xfId="0" applyFont="1" applyBorder="1" applyAlignment="1">
      <alignment horizontal="left" vertical="center" wrapText="1"/>
    </xf>
    <xf numFmtId="0" fontId="48" fillId="11" borderId="52" xfId="0" applyFont="1" applyFill="1" applyBorder="1" applyAlignment="1">
      <alignment horizontal="left" vertical="center" wrapText="1"/>
    </xf>
    <xf numFmtId="0" fontId="49" fillId="0" borderId="66" xfId="0" applyFont="1" applyBorder="1" applyAlignment="1">
      <alignment horizontal="left" vertical="center" wrapText="1"/>
    </xf>
    <xf numFmtId="0" fontId="36" fillId="11" borderId="68" xfId="0" applyFont="1" applyFill="1" applyBorder="1" applyAlignment="1">
      <alignment horizontal="left" vertical="center" wrapText="1"/>
    </xf>
    <xf numFmtId="0" fontId="51" fillId="11" borderId="65" xfId="0" applyFont="1" applyFill="1" applyBorder="1" applyAlignment="1">
      <alignment horizontal="left" vertical="center" wrapText="1"/>
    </xf>
    <xf numFmtId="0" fontId="34" fillId="11" borderId="65" xfId="0" applyFont="1" applyFill="1" applyBorder="1" applyAlignment="1">
      <alignment horizontal="left" vertical="center" wrapText="1"/>
    </xf>
    <xf numFmtId="0" fontId="36" fillId="11" borderId="68" xfId="2" applyFont="1" applyFill="1" applyBorder="1" applyAlignment="1">
      <alignment horizontal="left" vertical="center" wrapText="1"/>
    </xf>
    <xf numFmtId="0" fontId="51" fillId="11" borderId="65" xfId="2" applyFont="1" applyFill="1" applyBorder="1" applyAlignment="1">
      <alignment horizontal="left" vertical="center" wrapText="1"/>
    </xf>
    <xf numFmtId="0" fontId="36" fillId="11" borderId="69" xfId="2" applyFont="1" applyFill="1" applyBorder="1" applyAlignment="1">
      <alignment horizontal="left" vertical="center" wrapText="1"/>
    </xf>
    <xf numFmtId="0" fontId="40" fillId="11" borderId="65" xfId="0" applyFont="1" applyFill="1" applyBorder="1" applyAlignment="1">
      <alignment horizontal="left" vertical="center" wrapText="1"/>
    </xf>
    <xf numFmtId="0" fontId="40" fillId="0" borderId="65" xfId="2" applyFont="1" applyBorder="1" applyAlignment="1">
      <alignment horizontal="left" vertical="center" wrapText="1"/>
    </xf>
    <xf numFmtId="0" fontId="40" fillId="11" borderId="65" xfId="2" applyFont="1" applyFill="1" applyBorder="1" applyAlignment="1">
      <alignment horizontal="left" vertical="center" wrapText="1"/>
    </xf>
    <xf numFmtId="44" fontId="46" fillId="0" borderId="66" xfId="8" applyFont="1" applyBorder="1" applyAlignment="1">
      <alignment vertical="center"/>
    </xf>
    <xf numFmtId="0" fontId="36" fillId="11" borderId="52" xfId="2" applyFont="1" applyFill="1" applyBorder="1" applyAlignment="1">
      <alignment horizontal="left" vertical="center" wrapText="1"/>
    </xf>
    <xf numFmtId="0" fontId="40" fillId="11" borderId="66" xfId="2" applyFont="1" applyFill="1" applyBorder="1" applyAlignment="1">
      <alignment horizontal="left" vertical="center" wrapText="1"/>
    </xf>
    <xf numFmtId="44" fontId="52" fillId="13" borderId="64" xfId="8" applyFont="1" applyFill="1" applyBorder="1" applyAlignment="1">
      <alignment vertical="center"/>
    </xf>
    <xf numFmtId="0" fontId="40" fillId="11" borderId="66" xfId="0" applyFont="1" applyFill="1" applyBorder="1" applyAlignment="1">
      <alignment horizontal="left" vertical="center" wrapText="1"/>
    </xf>
    <xf numFmtId="0" fontId="36" fillId="11" borderId="52" xfId="0" applyFont="1" applyFill="1" applyBorder="1" applyAlignment="1">
      <alignment horizontal="left" vertical="center" wrapText="1"/>
    </xf>
    <xf numFmtId="44" fontId="40" fillId="16" borderId="64" xfId="8" applyFont="1" applyFill="1" applyBorder="1" applyAlignment="1">
      <alignment vertical="center"/>
    </xf>
    <xf numFmtId="0" fontId="49" fillId="0" borderId="66" xfId="0" applyFont="1" applyBorder="1" applyAlignment="1">
      <alignment vertical="center" wrapText="1"/>
    </xf>
    <xf numFmtId="0" fontId="33" fillId="16" borderId="0" xfId="0" applyFont="1" applyFill="1" applyAlignment="1">
      <alignment wrapText="1"/>
    </xf>
    <xf numFmtId="170" fontId="24" fillId="10" borderId="18" xfId="0" applyNumberFormat="1" applyFont="1" applyFill="1" applyBorder="1" applyAlignment="1">
      <alignment horizontal="right"/>
    </xf>
    <xf numFmtId="44" fontId="24" fillId="10" borderId="0" xfId="0" applyNumberFormat="1" applyFont="1" applyFill="1" applyAlignment="1">
      <alignment horizontal="right"/>
    </xf>
    <xf numFmtId="44" fontId="36" fillId="15" borderId="0" xfId="0" applyNumberFormat="1" applyFont="1" applyFill="1"/>
    <xf numFmtId="0" fontId="33" fillId="14" borderId="0" xfId="0" applyFont="1" applyFill="1"/>
    <xf numFmtId="44" fontId="36" fillId="14" borderId="0" xfId="0" applyNumberFormat="1" applyFont="1" applyFill="1"/>
    <xf numFmtId="44" fontId="36" fillId="14" borderId="0" xfId="8" applyFont="1" applyFill="1" applyBorder="1"/>
    <xf numFmtId="44" fontId="24" fillId="18" borderId="17" xfId="8" applyFont="1" applyFill="1" applyBorder="1" applyAlignment="1">
      <alignment horizontal="center"/>
    </xf>
    <xf numFmtId="44" fontId="24" fillId="18" borderId="18" xfId="8" applyFont="1" applyFill="1" applyBorder="1" applyAlignment="1">
      <alignment horizontal="center"/>
    </xf>
    <xf numFmtId="10" fontId="40" fillId="15" borderId="33" xfId="0" applyNumberFormat="1" applyFont="1" applyFill="1" applyBorder="1" applyAlignment="1">
      <alignment horizontal="center" vertical="center"/>
    </xf>
    <xf numFmtId="10" fontId="40" fillId="15" borderId="66" xfId="0" applyNumberFormat="1" applyFont="1" applyFill="1" applyBorder="1" applyAlignment="1">
      <alignment horizontal="center" vertical="center"/>
    </xf>
    <xf numFmtId="44" fontId="24" fillId="18" borderId="11" xfId="8" applyFont="1" applyFill="1" applyBorder="1" applyAlignment="1">
      <alignment horizontal="center"/>
    </xf>
    <xf numFmtId="44" fontId="24" fillId="18" borderId="80" xfId="8" applyFont="1" applyFill="1" applyBorder="1" applyAlignment="1">
      <alignment horizontal="center"/>
    </xf>
    <xf numFmtId="0" fontId="34" fillId="6" borderId="92" xfId="3" applyFont="1" applyFill="1" applyBorder="1" applyAlignment="1">
      <alignment horizontal="left" vertical="center"/>
    </xf>
    <xf numFmtId="0" fontId="36" fillId="12" borderId="93" xfId="0" applyFont="1" applyFill="1" applyBorder="1" applyAlignment="1">
      <alignment horizontal="center" vertical="center"/>
    </xf>
    <xf numFmtId="0" fontId="38" fillId="12" borderId="33" xfId="0" applyFont="1" applyFill="1" applyBorder="1" applyAlignment="1">
      <alignment horizontal="center" vertical="center"/>
    </xf>
    <xf numFmtId="0" fontId="38" fillId="12" borderId="66" xfId="0" applyFont="1" applyFill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0" fontId="40" fillId="0" borderId="10" xfId="0" applyFont="1" applyBorder="1" applyAlignment="1">
      <alignment horizontal="left" vertical="center" wrapText="1"/>
    </xf>
    <xf numFmtId="0" fontId="36" fillId="11" borderId="65" xfId="0" applyFont="1" applyFill="1" applyBorder="1" applyAlignment="1">
      <alignment horizontal="left" vertical="center" wrapText="1"/>
    </xf>
    <xf numFmtId="0" fontId="33" fillId="0" borderId="65" xfId="0" applyFont="1" applyBorder="1"/>
    <xf numFmtId="1" fontId="40" fillId="13" borderId="65" xfId="0" applyNumberFormat="1" applyFont="1" applyFill="1" applyBorder="1" applyAlignment="1">
      <alignment horizontal="center" vertical="center"/>
    </xf>
    <xf numFmtId="44" fontId="40" fillId="13" borderId="65" xfId="8" applyFont="1" applyFill="1" applyBorder="1" applyAlignment="1">
      <alignment vertical="center"/>
    </xf>
    <xf numFmtId="44" fontId="40" fillId="15" borderId="65" xfId="8" applyFont="1" applyFill="1" applyBorder="1" applyAlignment="1">
      <alignment vertical="center"/>
    </xf>
    <xf numFmtId="9" fontId="40" fillId="14" borderId="65" xfId="1" applyFont="1" applyFill="1" applyBorder="1" applyAlignment="1">
      <alignment vertical="center"/>
    </xf>
    <xf numFmtId="44" fontId="40" fillId="14" borderId="65" xfId="8" applyFont="1" applyFill="1" applyBorder="1" applyAlignment="1">
      <alignment vertical="center"/>
    </xf>
    <xf numFmtId="0" fontId="33" fillId="0" borderId="7" xfId="0" applyFont="1" applyBorder="1"/>
    <xf numFmtId="0" fontId="40" fillId="0" borderId="65" xfId="0" applyFont="1" applyBorder="1" applyAlignment="1">
      <alignment vertical="center"/>
    </xf>
    <xf numFmtId="44" fontId="43" fillId="13" borderId="65" xfId="8" applyFont="1" applyFill="1" applyBorder="1" applyAlignment="1">
      <alignment vertical="center"/>
    </xf>
    <xf numFmtId="0" fontId="33" fillId="16" borderId="65" xfId="0" applyFont="1" applyFill="1" applyBorder="1"/>
    <xf numFmtId="0" fontId="54" fillId="0" borderId="65" xfId="0" applyFont="1" applyBorder="1" applyAlignment="1">
      <alignment horizontal="left" vertical="center" wrapText="1"/>
    </xf>
    <xf numFmtId="8" fontId="40" fillId="0" borderId="65" xfId="8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 wrapText="1"/>
    </xf>
    <xf numFmtId="0" fontId="40" fillId="0" borderId="33" xfId="0" applyFont="1" applyBorder="1" applyAlignment="1">
      <alignment horizontal="left" vertical="center" wrapText="1"/>
    </xf>
    <xf numFmtId="0" fontId="36" fillId="11" borderId="66" xfId="0" applyFont="1" applyFill="1" applyBorder="1" applyAlignment="1">
      <alignment horizontal="left" vertical="center" wrapText="1"/>
    </xf>
    <xf numFmtId="0" fontId="40" fillId="0" borderId="66" xfId="0" applyFont="1" applyBorder="1" applyAlignment="1">
      <alignment vertical="center"/>
    </xf>
    <xf numFmtId="1" fontId="40" fillId="13" borderId="66" xfId="0" applyNumberFormat="1" applyFont="1" applyFill="1" applyBorder="1" applyAlignment="1">
      <alignment horizontal="center" vertical="center"/>
    </xf>
    <xf numFmtId="44" fontId="43" fillId="13" borderId="66" xfId="8" applyFont="1" applyFill="1" applyBorder="1" applyAlignment="1">
      <alignment vertical="center"/>
    </xf>
    <xf numFmtId="44" fontId="40" fillId="15" borderId="66" xfId="8" applyFont="1" applyFill="1" applyBorder="1" applyAlignment="1">
      <alignment vertical="center"/>
    </xf>
    <xf numFmtId="9" fontId="40" fillId="14" borderId="66" xfId="1" applyFont="1" applyFill="1" applyBorder="1" applyAlignment="1">
      <alignment vertical="center"/>
    </xf>
    <xf numFmtId="44" fontId="40" fillId="14" borderId="66" xfId="8" applyFont="1" applyFill="1" applyBorder="1" applyAlignment="1">
      <alignment vertical="center"/>
    </xf>
    <xf numFmtId="0" fontId="33" fillId="0" borderId="10" xfId="0" applyFont="1" applyBorder="1"/>
    <xf numFmtId="0" fontId="40" fillId="0" borderId="39" xfId="0" applyFont="1" applyBorder="1" applyAlignment="1">
      <alignment horizontal="left" vertical="center" wrapText="1"/>
    </xf>
    <xf numFmtId="0" fontId="40" fillId="0" borderId="82" xfId="0" applyFont="1" applyBorder="1" applyAlignment="1">
      <alignment horizontal="left" vertical="center" wrapText="1"/>
    </xf>
    <xf numFmtId="0" fontId="40" fillId="0" borderId="70" xfId="0" applyFont="1" applyBorder="1" applyAlignment="1">
      <alignment horizontal="left" vertical="center" wrapText="1"/>
    </xf>
    <xf numFmtId="170" fontId="24" fillId="10" borderId="70" xfId="0" applyNumberFormat="1" applyFont="1" applyFill="1" applyBorder="1" applyAlignment="1">
      <alignment horizontal="right"/>
    </xf>
    <xf numFmtId="44" fontId="24" fillId="10" borderId="70" xfId="0" applyNumberFormat="1" applyFont="1" applyFill="1" applyBorder="1" applyAlignment="1">
      <alignment horizontal="right"/>
    </xf>
    <xf numFmtId="44" fontId="36" fillId="15" borderId="70" xfId="0" applyNumberFormat="1" applyFont="1" applyFill="1" applyBorder="1"/>
    <xf numFmtId="0" fontId="33" fillId="14" borderId="70" xfId="0" applyFont="1" applyFill="1" applyBorder="1"/>
    <xf numFmtId="44" fontId="36" fillId="14" borderId="70" xfId="0" applyNumberFormat="1" applyFont="1" applyFill="1" applyBorder="1"/>
    <xf numFmtId="44" fontId="36" fillId="14" borderId="70" xfId="8" applyFont="1" applyFill="1" applyBorder="1"/>
    <xf numFmtId="44" fontId="24" fillId="18" borderId="65" xfId="8" applyFont="1" applyFill="1" applyBorder="1" applyAlignment="1">
      <alignment horizontal="center"/>
    </xf>
    <xf numFmtId="1" fontId="40" fillId="13" borderId="68" xfId="0" applyNumberFormat="1" applyFont="1" applyFill="1" applyBorder="1" applyAlignment="1">
      <alignment horizontal="center" vertical="center"/>
    </xf>
    <xf numFmtId="10" fontId="40" fillId="15" borderId="7" xfId="0" applyNumberFormat="1" applyFont="1" applyFill="1" applyBorder="1" applyAlignment="1">
      <alignment horizontal="center" vertical="center"/>
    </xf>
    <xf numFmtId="1" fontId="40" fillId="13" borderId="68" xfId="0" applyNumberFormat="1" applyFont="1" applyFill="1" applyBorder="1" applyAlignment="1">
      <alignment vertical="center"/>
    </xf>
    <xf numFmtId="1" fontId="40" fillId="13" borderId="65" xfId="0" applyNumberFormat="1" applyFont="1" applyFill="1" applyBorder="1" applyAlignment="1">
      <alignment vertical="center"/>
    </xf>
    <xf numFmtId="1" fontId="40" fillId="13" borderId="52" xfId="0" applyNumberFormat="1" applyFont="1" applyFill="1" applyBorder="1" applyAlignment="1">
      <alignment vertical="center"/>
    </xf>
    <xf numFmtId="1" fontId="40" fillId="13" borderId="66" xfId="0" applyNumberFormat="1" applyFont="1" applyFill="1" applyBorder="1" applyAlignment="1">
      <alignment vertical="center"/>
    </xf>
    <xf numFmtId="44" fontId="40" fillId="13" borderId="66" xfId="8" applyFont="1" applyFill="1" applyBorder="1" applyAlignment="1">
      <alignment vertical="center"/>
    </xf>
    <xf numFmtId="1" fontId="40" fillId="13" borderId="64" xfId="0" applyNumberFormat="1" applyFont="1" applyFill="1" applyBorder="1" applyAlignment="1">
      <alignment vertical="center"/>
    </xf>
    <xf numFmtId="0" fontId="40" fillId="0" borderId="63" xfId="0" applyFont="1" applyBorder="1" applyAlignment="1">
      <alignment horizontal="left" vertical="center" wrapText="1"/>
    </xf>
    <xf numFmtId="1" fontId="40" fillId="13" borderId="7" xfId="0" applyNumberFormat="1" applyFont="1" applyFill="1" applyBorder="1" applyAlignment="1">
      <alignment vertical="center"/>
    </xf>
    <xf numFmtId="44" fontId="52" fillId="13" borderId="7" xfId="8" applyFont="1" applyFill="1" applyBorder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83" xfId="0" applyFont="1" applyBorder="1" applyAlignment="1">
      <alignment horizontal="left" vertical="center" wrapText="1"/>
    </xf>
    <xf numFmtId="0" fontId="40" fillId="0" borderId="67" xfId="0" applyFont="1" applyBorder="1" applyAlignment="1">
      <alignment horizontal="left" vertical="center" wrapText="1"/>
    </xf>
    <xf numFmtId="0" fontId="40" fillId="0" borderId="59" xfId="0" applyFont="1" applyBorder="1" applyAlignment="1">
      <alignment horizontal="left" vertical="center" wrapText="1"/>
    </xf>
    <xf numFmtId="0" fontId="36" fillId="11" borderId="70" xfId="0" applyFont="1" applyFill="1" applyBorder="1" applyAlignment="1">
      <alignment horizontal="left" vertical="center" wrapText="1"/>
    </xf>
    <xf numFmtId="0" fontId="40" fillId="0" borderId="70" xfId="0" applyFont="1" applyBorder="1" applyAlignment="1">
      <alignment vertical="center"/>
    </xf>
    <xf numFmtId="44" fontId="40" fillId="0" borderId="70" xfId="8" applyFont="1" applyBorder="1" applyAlignment="1">
      <alignment vertical="center"/>
    </xf>
    <xf numFmtId="1" fontId="40" fillId="13" borderId="39" xfId="0" applyNumberFormat="1" applyFont="1" applyFill="1" applyBorder="1" applyAlignment="1">
      <alignment vertical="center"/>
    </xf>
    <xf numFmtId="44" fontId="43" fillId="13" borderId="39" xfId="8" applyFont="1" applyFill="1" applyBorder="1" applyAlignment="1">
      <alignment vertical="center"/>
    </xf>
    <xf numFmtId="44" fontId="40" fillId="15" borderId="39" xfId="8" applyFont="1" applyFill="1" applyBorder="1" applyAlignment="1">
      <alignment vertical="center"/>
    </xf>
    <xf numFmtId="9" fontId="40" fillId="14" borderId="39" xfId="1" applyFont="1" applyFill="1" applyBorder="1" applyAlignment="1">
      <alignment vertical="center"/>
    </xf>
    <xf numFmtId="44" fontId="40" fillId="14" borderId="39" xfId="8" applyFont="1" applyFill="1" applyBorder="1" applyAlignment="1">
      <alignment vertical="center"/>
    </xf>
    <xf numFmtId="44" fontId="40" fillId="14" borderId="70" xfId="8" applyFont="1" applyFill="1" applyBorder="1" applyAlignment="1">
      <alignment vertical="center"/>
    </xf>
    <xf numFmtId="10" fontId="40" fillId="15" borderId="0" xfId="0" applyNumberFormat="1" applyFont="1" applyFill="1" applyAlignment="1">
      <alignment horizontal="center" vertical="center"/>
    </xf>
    <xf numFmtId="44" fontId="24" fillId="18" borderId="95" xfId="8" applyFont="1" applyFill="1" applyBorder="1" applyAlignment="1">
      <alignment horizontal="center"/>
    </xf>
    <xf numFmtId="168" fontId="38" fillId="0" borderId="99" xfId="1" applyNumberFormat="1" applyFont="1" applyBorder="1"/>
    <xf numFmtId="0" fontId="36" fillId="12" borderId="98" xfId="0" applyFont="1" applyFill="1" applyBorder="1" applyAlignment="1">
      <alignment horizontal="center" vertical="center"/>
    </xf>
    <xf numFmtId="0" fontId="40" fillId="0" borderId="54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center" vertical="center"/>
    </xf>
    <xf numFmtId="44" fontId="40" fillId="0" borderId="55" xfId="8" applyFont="1" applyBorder="1" applyAlignment="1">
      <alignment vertical="center"/>
    </xf>
    <xf numFmtId="44" fontId="40" fillId="0" borderId="57" xfId="8" applyFont="1" applyBorder="1" applyAlignment="1">
      <alignment vertical="center"/>
    </xf>
    <xf numFmtId="44" fontId="51" fillId="13" borderId="65" xfId="8" applyFont="1" applyFill="1" applyBorder="1" applyAlignment="1">
      <alignment vertical="center"/>
    </xf>
    <xf numFmtId="0" fontId="40" fillId="0" borderId="52" xfId="0" applyFont="1" applyBorder="1" applyAlignment="1">
      <alignment horizontal="left" vertical="center" wrapText="1"/>
    </xf>
    <xf numFmtId="0" fontId="40" fillId="11" borderId="68" xfId="0" applyFont="1" applyFill="1" applyBorder="1" applyAlignment="1">
      <alignment horizontal="left" vertical="center" wrapText="1"/>
    </xf>
    <xf numFmtId="0" fontId="40" fillId="11" borderId="65" xfId="0" applyFont="1" applyFill="1" applyBorder="1" applyAlignment="1">
      <alignment horizontal="center" vertical="center"/>
    </xf>
    <xf numFmtId="44" fontId="40" fillId="11" borderId="65" xfId="8" applyFont="1" applyFill="1" applyBorder="1" applyAlignment="1">
      <alignment vertical="center"/>
    </xf>
    <xf numFmtId="44" fontId="40" fillId="11" borderId="75" xfId="8" applyFont="1" applyFill="1" applyBorder="1" applyAlignment="1">
      <alignment vertical="center"/>
    </xf>
    <xf numFmtId="0" fontId="40" fillId="0" borderId="68" xfId="0" applyFont="1" applyBorder="1" applyAlignment="1">
      <alignment horizontal="left" vertical="center" wrapText="1"/>
    </xf>
    <xf numFmtId="8" fontId="51" fillId="13" borderId="65" xfId="8" applyNumberFormat="1" applyFont="1" applyFill="1" applyBorder="1" applyAlignment="1">
      <alignment vertical="center"/>
    </xf>
    <xf numFmtId="10" fontId="40" fillId="15" borderId="82" xfId="0" applyNumberFormat="1" applyFont="1" applyFill="1" applyBorder="1" applyAlignment="1">
      <alignment horizontal="center" vertical="center"/>
    </xf>
    <xf numFmtId="0" fontId="40" fillId="0" borderId="97" xfId="0" applyFont="1" applyBorder="1" applyAlignment="1">
      <alignment horizontal="left" vertical="center" wrapText="1"/>
    </xf>
    <xf numFmtId="0" fontId="51" fillId="0" borderId="67" xfId="0" applyFont="1" applyBorder="1" applyAlignment="1">
      <alignment horizontal="left" vertical="center" wrapText="1"/>
    </xf>
    <xf numFmtId="0" fontId="40" fillId="0" borderId="67" xfId="0" applyFont="1" applyBorder="1" applyAlignment="1">
      <alignment horizontal="center" vertical="center"/>
    </xf>
    <xf numFmtId="44" fontId="40" fillId="0" borderId="67" xfId="8" applyFont="1" applyBorder="1" applyAlignment="1">
      <alignment vertical="center"/>
    </xf>
    <xf numFmtId="44" fontId="51" fillId="0" borderId="67" xfId="8" applyFont="1" applyBorder="1" applyAlignment="1">
      <alignment vertical="center"/>
    </xf>
    <xf numFmtId="44" fontId="40" fillId="0" borderId="102" xfId="8" applyFont="1" applyBorder="1" applyAlignment="1">
      <alignment vertical="center"/>
    </xf>
    <xf numFmtId="44" fontId="56" fillId="13" borderId="65" xfId="8" applyFont="1" applyFill="1" applyBorder="1" applyAlignment="1">
      <alignment vertical="center"/>
    </xf>
    <xf numFmtId="10" fontId="40" fillId="15" borderId="70" xfId="0" applyNumberFormat="1" applyFont="1" applyFill="1" applyBorder="1" applyAlignment="1">
      <alignment horizontal="center" vertical="center"/>
    </xf>
    <xf numFmtId="44" fontId="51" fillId="0" borderId="66" xfId="8" applyFont="1" applyBorder="1" applyAlignment="1">
      <alignment vertical="center"/>
    </xf>
    <xf numFmtId="44" fontId="51" fillId="11" borderId="66" xfId="8" applyFont="1" applyFill="1" applyBorder="1" applyAlignment="1">
      <alignment vertical="center"/>
    </xf>
    <xf numFmtId="44" fontId="51" fillId="11" borderId="53" xfId="8" applyFont="1" applyFill="1" applyBorder="1" applyAlignment="1">
      <alignment vertical="center"/>
    </xf>
    <xf numFmtId="44" fontId="36" fillId="14" borderId="65" xfId="8" applyFont="1" applyFill="1" applyBorder="1" applyAlignment="1">
      <alignment vertical="center"/>
    </xf>
    <xf numFmtId="44" fontId="36" fillId="14" borderId="75" xfId="8" applyFont="1" applyFill="1" applyBorder="1" applyAlignment="1">
      <alignment vertical="center"/>
    </xf>
    <xf numFmtId="44" fontId="51" fillId="11" borderId="65" xfId="8" applyFont="1" applyFill="1" applyBorder="1" applyAlignment="1">
      <alignment vertical="center"/>
    </xf>
    <xf numFmtId="44" fontId="51" fillId="11" borderId="75" xfId="8" applyFont="1" applyFill="1" applyBorder="1" applyAlignment="1">
      <alignment vertical="center"/>
    </xf>
    <xf numFmtId="44" fontId="51" fillId="0" borderId="65" xfId="8" applyFont="1" applyBorder="1" applyAlignment="1">
      <alignment vertical="center"/>
    </xf>
    <xf numFmtId="44" fontId="46" fillId="13" borderId="65" xfId="8" applyFont="1" applyFill="1" applyBorder="1" applyAlignment="1">
      <alignment vertical="center"/>
    </xf>
    <xf numFmtId="0" fontId="40" fillId="11" borderId="69" xfId="0" applyFont="1" applyFill="1" applyBorder="1" applyAlignment="1">
      <alignment horizontal="left" vertical="center" wrapText="1"/>
    </xf>
    <xf numFmtId="0" fontId="40" fillId="0" borderId="70" xfId="0" applyFont="1" applyBorder="1" applyAlignment="1">
      <alignment horizontal="center" vertical="center"/>
    </xf>
    <xf numFmtId="44" fontId="51" fillId="0" borderId="70" xfId="8" applyFont="1" applyBorder="1" applyAlignment="1">
      <alignment vertical="center"/>
    </xf>
    <xf numFmtId="44" fontId="40" fillId="11" borderId="70" xfId="8" applyFont="1" applyFill="1" applyBorder="1" applyAlignment="1">
      <alignment vertical="center"/>
    </xf>
    <xf numFmtId="44" fontId="51" fillId="11" borderId="102" xfId="8" applyFont="1" applyFill="1" applyBorder="1" applyAlignment="1">
      <alignment vertical="center"/>
    </xf>
    <xf numFmtId="44" fontId="51" fillId="11" borderId="70" xfId="8" applyFont="1" applyFill="1" applyBorder="1" applyAlignment="1">
      <alignment vertical="center"/>
    </xf>
    <xf numFmtId="44" fontId="51" fillId="11" borderId="101" xfId="8" applyFont="1" applyFill="1" applyBorder="1" applyAlignment="1">
      <alignment vertical="center"/>
    </xf>
    <xf numFmtId="44" fontId="40" fillId="0" borderId="101" xfId="8" applyFont="1" applyBorder="1" applyAlignment="1">
      <alignment vertical="center"/>
    </xf>
    <xf numFmtId="44" fontId="40" fillId="11" borderId="66" xfId="8" applyFont="1" applyFill="1" applyBorder="1" applyAlignment="1">
      <alignment vertical="center"/>
    </xf>
    <xf numFmtId="44" fontId="40" fillId="11" borderId="53" xfId="8" applyFont="1" applyFill="1" applyBorder="1" applyAlignment="1">
      <alignment vertical="center"/>
    </xf>
    <xf numFmtId="44" fontId="24" fillId="10" borderId="66" xfId="0" applyNumberFormat="1" applyFont="1" applyFill="1" applyBorder="1" applyAlignment="1">
      <alignment horizontal="right"/>
    </xf>
    <xf numFmtId="44" fontId="36" fillId="15" borderId="66" xfId="0" applyNumberFormat="1" applyFont="1" applyFill="1" applyBorder="1"/>
    <xf numFmtId="0" fontId="33" fillId="14" borderId="66" xfId="0" applyFont="1" applyFill="1" applyBorder="1"/>
    <xf numFmtId="44" fontId="36" fillId="14" borderId="66" xfId="0" applyNumberFormat="1" applyFont="1" applyFill="1" applyBorder="1"/>
    <xf numFmtId="44" fontId="36" fillId="14" borderId="53" xfId="8" applyFont="1" applyFill="1" applyBorder="1"/>
    <xf numFmtId="44" fontId="24" fillId="18" borderId="12" xfId="8" applyFont="1" applyFill="1" applyBorder="1" applyAlignment="1">
      <alignment horizontal="center"/>
    </xf>
    <xf numFmtId="44" fontId="24" fillId="18" borderId="98" xfId="8" applyFont="1" applyFill="1" applyBorder="1" applyAlignment="1">
      <alignment horizontal="center"/>
    </xf>
    <xf numFmtId="170" fontId="36" fillId="12" borderId="103" xfId="0" applyNumberFormat="1" applyFont="1" applyFill="1" applyBorder="1" applyAlignment="1">
      <alignment horizontal="center" vertical="center"/>
    </xf>
    <xf numFmtId="170" fontId="36" fillId="12" borderId="84" xfId="0" applyNumberFormat="1" applyFont="1" applyFill="1" applyBorder="1" applyAlignment="1">
      <alignment horizontal="center" vertical="center"/>
    </xf>
    <xf numFmtId="170" fontId="24" fillId="12" borderId="98" xfId="0" applyNumberFormat="1" applyFont="1" applyFill="1" applyBorder="1" applyAlignment="1">
      <alignment horizontal="center" vertical="center"/>
    </xf>
    <xf numFmtId="44" fontId="24" fillId="12" borderId="10" xfId="8" applyFont="1" applyFill="1" applyBorder="1" applyAlignment="1">
      <alignment horizontal="center" vertical="center"/>
    </xf>
    <xf numFmtId="44" fontId="24" fillId="12" borderId="65" xfId="8" applyFont="1" applyFill="1" applyBorder="1" applyAlignment="1">
      <alignment horizontal="center" vertical="center"/>
    </xf>
    <xf numFmtId="44" fontId="24" fillId="9" borderId="15" xfId="0" applyNumberFormat="1" applyFont="1" applyFill="1" applyBorder="1" applyAlignment="1">
      <alignment horizontal="right"/>
    </xf>
    <xf numFmtId="44" fontId="24" fillId="9" borderId="100" xfId="0" applyNumberFormat="1" applyFont="1" applyFill="1" applyBorder="1" applyAlignment="1">
      <alignment horizontal="right"/>
    </xf>
    <xf numFmtId="44" fontId="24" fillId="9" borderId="78" xfId="0" applyNumberFormat="1" applyFont="1" applyFill="1" applyBorder="1" applyAlignment="1">
      <alignment horizontal="right"/>
    </xf>
    <xf numFmtId="44" fontId="36" fillId="15" borderId="78" xfId="0" applyNumberFormat="1" applyFont="1" applyFill="1" applyBorder="1"/>
    <xf numFmtId="0" fontId="33" fillId="14" borderId="78" xfId="0" applyFont="1" applyFill="1" applyBorder="1"/>
    <xf numFmtId="44" fontId="36" fillId="14" borderId="78" xfId="0" applyNumberFormat="1" applyFont="1" applyFill="1" applyBorder="1"/>
    <xf numFmtId="44" fontId="36" fillId="14" borderId="105" xfId="8" applyFont="1" applyFill="1" applyBorder="1"/>
    <xf numFmtId="44" fontId="33" fillId="0" borderId="0" xfId="0" applyNumberFormat="1" applyFont="1"/>
    <xf numFmtId="44" fontId="56" fillId="0" borderId="66" xfId="8" applyFont="1" applyBorder="1" applyAlignment="1">
      <alignment vertical="center"/>
    </xf>
    <xf numFmtId="1" fontId="40" fillId="13" borderId="71" xfId="0" applyNumberFormat="1" applyFont="1" applyFill="1" applyBorder="1" applyAlignment="1">
      <alignment vertical="center"/>
    </xf>
    <xf numFmtId="44" fontId="40" fillId="21" borderId="65" xfId="8" applyFont="1" applyFill="1" applyBorder="1" applyAlignment="1">
      <alignment vertical="center"/>
    </xf>
    <xf numFmtId="44" fontId="40" fillId="21" borderId="66" xfId="8" applyFont="1" applyFill="1" applyBorder="1" applyAlignment="1">
      <alignment vertical="center"/>
    </xf>
    <xf numFmtId="0" fontId="40" fillId="11" borderId="66" xfId="0" applyFont="1" applyFill="1" applyBorder="1" applyAlignment="1">
      <alignment horizontal="center" vertical="center"/>
    </xf>
    <xf numFmtId="44" fontId="56" fillId="0" borderId="65" xfId="8" applyFont="1" applyBorder="1" applyAlignment="1">
      <alignment vertical="center"/>
    </xf>
    <xf numFmtId="0" fontId="36" fillId="11" borderId="69" xfId="0" applyFont="1" applyFill="1" applyBorder="1" applyAlignment="1">
      <alignment horizontal="left" vertical="center" wrapText="1"/>
    </xf>
    <xf numFmtId="0" fontId="40" fillId="11" borderId="70" xfId="0" applyFont="1" applyFill="1" applyBorder="1" applyAlignment="1">
      <alignment horizontal="left" vertical="center" wrapText="1"/>
    </xf>
    <xf numFmtId="44" fontId="56" fillId="0" borderId="70" xfId="8" applyFont="1" applyBorder="1" applyAlignment="1">
      <alignment vertical="center"/>
    </xf>
    <xf numFmtId="44" fontId="40" fillId="21" borderId="67" xfId="8" applyFont="1" applyFill="1" applyBorder="1" applyAlignment="1">
      <alignment vertical="center"/>
    </xf>
    <xf numFmtId="44" fontId="36" fillId="14" borderId="0" xfId="8" applyFont="1" applyFill="1"/>
    <xf numFmtId="44" fontId="24" fillId="18" borderId="99" xfId="0" applyNumberFormat="1" applyFont="1" applyFill="1" applyBorder="1"/>
    <xf numFmtId="44" fontId="24" fillId="18" borderId="100" xfId="8" applyFont="1" applyFill="1" applyBorder="1"/>
    <xf numFmtId="0" fontId="28" fillId="23" borderId="0" xfId="0" applyFont="1" applyFill="1"/>
    <xf numFmtId="44" fontId="28" fillId="23" borderId="0" xfId="8" applyFont="1" applyFill="1"/>
    <xf numFmtId="44" fontId="0" fillId="0" borderId="0" xfId="8" applyFont="1"/>
    <xf numFmtId="44" fontId="2" fillId="0" borderId="0" xfId="8" applyFont="1"/>
    <xf numFmtId="0" fontId="20" fillId="0" borderId="0" xfId="0" applyFont="1"/>
    <xf numFmtId="0" fontId="20" fillId="0" borderId="0" xfId="0" applyFont="1" applyAlignment="1">
      <alignment horizontal="center"/>
    </xf>
    <xf numFmtId="16" fontId="20" fillId="24" borderId="11" xfId="0" applyNumberFormat="1" applyFont="1" applyFill="1" applyBorder="1"/>
    <xf numFmtId="16" fontId="20" fillId="24" borderId="12" xfId="0" applyNumberFormat="1" applyFont="1" applyFill="1" applyBorder="1"/>
    <xf numFmtId="16" fontId="20" fillId="25" borderId="14" xfId="0" applyNumberFormat="1" applyFont="1" applyFill="1" applyBorder="1"/>
    <xf numFmtId="16" fontId="20" fillId="25" borderId="15" xfId="0" applyNumberFormat="1" applyFont="1" applyFill="1" applyBorder="1"/>
    <xf numFmtId="0" fontId="20" fillId="26" borderId="17" xfId="0" applyFont="1" applyFill="1" applyBorder="1" applyAlignment="1">
      <alignment horizontal="right"/>
    </xf>
    <xf numFmtId="0" fontId="20" fillId="26" borderId="0" xfId="0" applyFont="1" applyFill="1" applyAlignment="1">
      <alignment horizontal="right"/>
    </xf>
    <xf numFmtId="0" fontId="30" fillId="19" borderId="14" xfId="0" applyFont="1" applyFill="1" applyBorder="1"/>
    <xf numFmtId="0" fontId="30" fillId="19" borderId="15" xfId="0" applyFont="1" applyFill="1" applyBorder="1"/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70" xfId="2" applyNumberFormat="1" applyFont="1" applyBorder="1" applyAlignment="1" applyProtection="1">
      <alignment horizontal="left" vertical="center"/>
      <protection locked="0"/>
    </xf>
    <xf numFmtId="0" fontId="21" fillId="23" borderId="65" xfId="0" applyFont="1" applyFill="1" applyBorder="1" applyAlignment="1">
      <alignment horizontal="center"/>
    </xf>
    <xf numFmtId="164" fontId="4" fillId="0" borderId="65" xfId="2" applyNumberFormat="1" applyFont="1" applyBorder="1" applyAlignment="1" applyProtection="1">
      <alignment horizontal="left" vertical="center"/>
      <protection locked="0"/>
    </xf>
    <xf numFmtId="44" fontId="21" fillId="0" borderId="65" xfId="0" applyNumberFormat="1" applyFont="1" applyBorder="1"/>
    <xf numFmtId="9" fontId="21" fillId="0" borderId="65" xfId="1" applyFont="1" applyBorder="1" applyAlignment="1">
      <alignment horizontal="center"/>
    </xf>
    <xf numFmtId="44" fontId="21" fillId="23" borderId="65" xfId="0" applyNumberFormat="1" applyFont="1" applyFill="1" applyBorder="1" applyAlignment="1">
      <alignment horizontal="center"/>
    </xf>
    <xf numFmtId="0" fontId="21" fillId="0" borderId="50" xfId="0" applyFont="1" applyBorder="1"/>
    <xf numFmtId="170" fontId="21" fillId="0" borderId="108" xfId="0" applyNumberFormat="1" applyFont="1" applyBorder="1" applyAlignment="1">
      <alignment horizontal="center"/>
    </xf>
    <xf numFmtId="44" fontId="21" fillId="0" borderId="108" xfId="0" applyNumberFormat="1" applyFont="1" applyBorder="1"/>
    <xf numFmtId="170" fontId="21" fillId="0" borderId="108" xfId="0" applyNumberFormat="1" applyFont="1" applyBorder="1"/>
    <xf numFmtId="0" fontId="21" fillId="0" borderId="109" xfId="0" applyFont="1" applyBorder="1"/>
    <xf numFmtId="170" fontId="21" fillId="0" borderId="110" xfId="0" applyNumberFormat="1" applyFont="1" applyBorder="1" applyAlignment="1">
      <alignment horizontal="center"/>
    </xf>
    <xf numFmtId="9" fontId="21" fillId="0" borderId="111" xfId="1" applyFont="1" applyBorder="1" applyAlignment="1">
      <alignment horizontal="center"/>
    </xf>
    <xf numFmtId="0" fontId="21" fillId="0" borderId="0" xfId="0" applyFont="1"/>
    <xf numFmtId="170" fontId="21" fillId="23" borderId="70" xfId="0" applyNumberFormat="1" applyFont="1" applyFill="1" applyBorder="1" applyAlignment="1">
      <alignment horizontal="center"/>
    </xf>
    <xf numFmtId="44" fontId="21" fillId="23" borderId="65" xfId="0" applyNumberFormat="1" applyFont="1" applyFill="1" applyBorder="1"/>
    <xf numFmtId="170" fontId="21" fillId="23" borderId="65" xfId="0" applyNumberFormat="1" applyFont="1" applyFill="1" applyBorder="1"/>
    <xf numFmtId="0" fontId="38" fillId="0" borderId="0" xfId="0" applyFont="1"/>
    <xf numFmtId="44" fontId="32" fillId="0" borderId="0" xfId="8" applyFont="1"/>
    <xf numFmtId="0" fontId="58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9" fontId="60" fillId="0" borderId="0" xfId="1" applyFont="1"/>
    <xf numFmtId="0" fontId="60" fillId="0" borderId="0" xfId="0" applyFont="1"/>
    <xf numFmtId="0" fontId="61" fillId="0" borderId="0" xfId="0" applyFont="1" applyAlignment="1">
      <alignment horizontal="right"/>
    </xf>
    <xf numFmtId="170" fontId="62" fillId="0" borderId="0" xfId="8" applyNumberFormat="1" applyFont="1"/>
    <xf numFmtId="44" fontId="62" fillId="0" borderId="0" xfId="0" applyNumberFormat="1" applyFont="1"/>
    <xf numFmtId="170" fontId="20" fillId="0" borderId="0" xfId="0" applyNumberFormat="1" applyFont="1"/>
    <xf numFmtId="44" fontId="61" fillId="0" borderId="65" xfId="0" applyNumberFormat="1" applyFont="1" applyBorder="1"/>
    <xf numFmtId="9" fontId="61" fillId="0" borderId="65" xfId="1" applyFont="1" applyBorder="1" applyAlignment="1">
      <alignment horizontal="center"/>
    </xf>
    <xf numFmtId="44" fontId="20" fillId="0" borderId="98" xfId="0" applyNumberFormat="1" applyFont="1" applyBorder="1" applyAlignment="1">
      <alignment horizontal="center" vertical="center"/>
    </xf>
    <xf numFmtId="0" fontId="20" fillId="0" borderId="107" xfId="0" applyFont="1" applyBorder="1" applyAlignment="1">
      <alignment horizontal="center" vertical="center"/>
    </xf>
    <xf numFmtId="0" fontId="21" fillId="23" borderId="6" xfId="0" applyFont="1" applyFill="1" applyBorder="1" applyAlignment="1">
      <alignment horizontal="center"/>
    </xf>
    <xf numFmtId="0" fontId="21" fillId="23" borderId="37" xfId="0" applyFont="1" applyFill="1" applyBorder="1" applyAlignment="1">
      <alignment horizontal="center"/>
    </xf>
    <xf numFmtId="0" fontId="21" fillId="23" borderId="106" xfId="0" applyFont="1" applyFill="1" applyBorder="1" applyAlignment="1">
      <alignment horizontal="center"/>
    </xf>
    <xf numFmtId="44" fontId="21" fillId="0" borderId="55" xfId="0" applyNumberFormat="1" applyFont="1" applyBorder="1" applyAlignment="1">
      <alignment horizontal="center" vertical="center"/>
    </xf>
    <xf numFmtId="44" fontId="21" fillId="0" borderId="110" xfId="0" applyNumberFormat="1" applyFont="1" applyBorder="1" applyAlignment="1">
      <alignment horizontal="center" vertical="center"/>
    </xf>
    <xf numFmtId="170" fontId="61" fillId="0" borderId="55" xfId="0" applyNumberFormat="1" applyFont="1" applyBorder="1" applyAlignment="1">
      <alignment horizontal="center" vertical="center"/>
    </xf>
    <xf numFmtId="170" fontId="61" fillId="0" borderId="110" xfId="0" applyNumberFormat="1" applyFont="1" applyBorder="1" applyAlignment="1">
      <alignment horizontal="center" vertical="center"/>
    </xf>
    <xf numFmtId="9" fontId="61" fillId="0" borderId="57" xfId="1" applyFont="1" applyBorder="1" applyAlignment="1">
      <alignment horizontal="center" vertical="center"/>
    </xf>
    <xf numFmtId="9" fontId="61" fillId="0" borderId="111" xfId="1" applyFont="1" applyBorder="1" applyAlignment="1">
      <alignment horizontal="center" vertical="center"/>
    </xf>
    <xf numFmtId="0" fontId="24" fillId="9" borderId="0" xfId="0" applyFont="1" applyFill="1" applyAlignment="1">
      <alignment horizontal="center"/>
    </xf>
    <xf numFmtId="0" fontId="24" fillId="10" borderId="11" xfId="0" applyFont="1" applyFill="1" applyBorder="1" applyAlignment="1">
      <alignment horizontal="left"/>
    </xf>
    <xf numFmtId="0" fontId="24" fillId="10" borderId="12" xfId="0" applyFont="1" applyFill="1" applyBorder="1" applyAlignment="1">
      <alignment horizontal="left"/>
    </xf>
    <xf numFmtId="0" fontId="24" fillId="9" borderId="60" xfId="0" applyFont="1" applyFill="1" applyBorder="1" applyAlignment="1">
      <alignment horizontal="center"/>
    </xf>
    <xf numFmtId="0" fontId="24" fillId="9" borderId="12" xfId="0" applyFont="1" applyFill="1" applyBorder="1" applyAlignment="1">
      <alignment horizontal="center"/>
    </xf>
    <xf numFmtId="0" fontId="24" fillId="10" borderId="58" xfId="0" applyFont="1" applyFill="1" applyBorder="1" applyAlignment="1">
      <alignment horizontal="left"/>
    </xf>
    <xf numFmtId="0" fontId="24" fillId="10" borderId="13" xfId="0" applyFont="1" applyFill="1" applyBorder="1" applyAlignment="1">
      <alignment horizontal="left"/>
    </xf>
    <xf numFmtId="0" fontId="24" fillId="10" borderId="73" xfId="0" applyFont="1" applyFill="1" applyBorder="1" applyAlignment="1">
      <alignment horizontal="left"/>
    </xf>
    <xf numFmtId="0" fontId="24" fillId="10" borderId="74" xfId="0" applyFont="1" applyFill="1" applyBorder="1" applyAlignment="1">
      <alignment horizontal="left"/>
    </xf>
    <xf numFmtId="0" fontId="24" fillId="10" borderId="17" xfId="0" applyFont="1" applyFill="1" applyBorder="1" applyAlignment="1">
      <alignment horizontal="left"/>
    </xf>
    <xf numFmtId="0" fontId="24" fillId="10" borderId="0" xfId="0" applyFont="1" applyFill="1" applyAlignment="1">
      <alignment horizontal="left"/>
    </xf>
    <xf numFmtId="0" fontId="24" fillId="10" borderId="71" xfId="0" applyFont="1" applyFill="1" applyBorder="1" applyAlignment="1">
      <alignment horizontal="left"/>
    </xf>
    <xf numFmtId="166" fontId="37" fillId="0" borderId="40" xfId="4" applyNumberFormat="1" applyFont="1" applyBorder="1" applyAlignment="1">
      <alignment horizontal="center" vertical="center" wrapText="1"/>
    </xf>
    <xf numFmtId="166" fontId="37" fillId="0" borderId="41" xfId="4" applyNumberFormat="1" applyFont="1" applyBorder="1" applyAlignment="1">
      <alignment horizontal="center" vertical="center" wrapText="1"/>
    </xf>
    <xf numFmtId="0" fontId="34" fillId="0" borderId="0" xfId="2" applyFont="1" applyAlignment="1">
      <alignment horizontal="left" vertical="center" wrapText="1"/>
    </xf>
    <xf numFmtId="0" fontId="34" fillId="0" borderId="0" xfId="2" applyFont="1" applyAlignment="1">
      <alignment horizontal="left" vertical="top"/>
    </xf>
    <xf numFmtId="0" fontId="37" fillId="2" borderId="3" xfId="3" applyFont="1" applyFill="1" applyBorder="1" applyAlignment="1">
      <alignment horizontal="center" vertical="center"/>
    </xf>
    <xf numFmtId="0" fontId="37" fillId="2" borderId="4" xfId="3" applyFont="1" applyFill="1" applyBorder="1" applyAlignment="1">
      <alignment horizontal="center" vertical="center"/>
    </xf>
    <xf numFmtId="0" fontId="37" fillId="2" borderId="5" xfId="3" applyFont="1" applyFill="1" applyBorder="1" applyAlignment="1">
      <alignment horizontal="center" vertical="center"/>
    </xf>
    <xf numFmtId="0" fontId="37" fillId="3" borderId="6" xfId="0" applyFont="1" applyFill="1" applyBorder="1" applyAlignment="1">
      <alignment horizontal="center" vertical="center" wrapText="1"/>
    </xf>
    <xf numFmtId="0" fontId="37" fillId="3" borderId="37" xfId="0" applyFont="1" applyFill="1" applyBorder="1" applyAlignment="1">
      <alignment horizontal="center" vertical="center" wrapText="1"/>
    </xf>
    <xf numFmtId="0" fontId="37" fillId="3" borderId="5" xfId="0" applyFont="1" applyFill="1" applyBorder="1" applyAlignment="1">
      <alignment horizontal="center" vertical="center" wrapText="1"/>
    </xf>
    <xf numFmtId="166" fontId="37" fillId="4" borderId="6" xfId="4" applyNumberFormat="1" applyFont="1" applyFill="1" applyBorder="1" applyAlignment="1">
      <alignment horizontal="center" vertical="center" wrapText="1"/>
    </xf>
    <xf numFmtId="166" fontId="37" fillId="4" borderId="37" xfId="4" applyNumberFormat="1" applyFont="1" applyFill="1" applyBorder="1" applyAlignment="1">
      <alignment horizontal="center" vertical="center" wrapText="1"/>
    </xf>
    <xf numFmtId="166" fontId="37" fillId="4" borderId="5" xfId="4" applyNumberFormat="1" applyFont="1" applyFill="1" applyBorder="1" applyAlignment="1">
      <alignment horizontal="center" vertical="center" wrapText="1"/>
    </xf>
    <xf numFmtId="166" fontId="37" fillId="4" borderId="17" xfId="4" applyNumberFormat="1" applyFont="1" applyFill="1" applyBorder="1" applyAlignment="1">
      <alignment horizontal="center" vertical="center" wrapText="1"/>
    </xf>
    <xf numFmtId="166" fontId="37" fillId="4" borderId="0" xfId="4" applyNumberFormat="1" applyFont="1" applyFill="1" applyBorder="1" applyAlignment="1">
      <alignment horizontal="center" vertical="center" wrapText="1"/>
    </xf>
    <xf numFmtId="0" fontId="24" fillId="10" borderId="70" xfId="0" applyFont="1" applyFill="1" applyBorder="1" applyAlignment="1">
      <alignment horizontal="left"/>
    </xf>
    <xf numFmtId="0" fontId="24" fillId="9" borderId="11" xfId="0" applyFont="1" applyFill="1" applyBorder="1" applyAlignment="1">
      <alignment horizontal="center"/>
    </xf>
    <xf numFmtId="0" fontId="24" fillId="9" borderId="13" xfId="0" applyFont="1" applyFill="1" applyBorder="1" applyAlignment="1">
      <alignment horizontal="center"/>
    </xf>
    <xf numFmtId="0" fontId="24" fillId="9" borderId="54" xfId="0" applyFont="1" applyFill="1" applyBorder="1" applyAlignment="1">
      <alignment horizontal="center"/>
    </xf>
    <xf numFmtId="0" fontId="24" fillId="9" borderId="55" xfId="0" applyFont="1" applyFill="1" applyBorder="1" applyAlignment="1">
      <alignment horizontal="center"/>
    </xf>
    <xf numFmtId="0" fontId="24" fillId="9" borderId="57" xfId="0" applyFont="1" applyFill="1" applyBorder="1" applyAlignment="1">
      <alignment horizontal="center"/>
    </xf>
    <xf numFmtId="0" fontId="24" fillId="10" borderId="54" xfId="0" applyFont="1" applyFill="1" applyBorder="1" applyAlignment="1">
      <alignment horizontal="left"/>
    </xf>
    <xf numFmtId="0" fontId="24" fillId="10" borderId="55" xfId="0" applyFont="1" applyFill="1" applyBorder="1" applyAlignment="1">
      <alignment horizontal="left"/>
    </xf>
    <xf numFmtId="0" fontId="24" fillId="10" borderId="57" xfId="0" applyFont="1" applyFill="1" applyBorder="1" applyAlignment="1">
      <alignment horizontal="left"/>
    </xf>
    <xf numFmtId="0" fontId="24" fillId="9" borderId="98" xfId="0" applyFont="1" applyFill="1" applyBorder="1" applyAlignment="1">
      <alignment horizontal="center"/>
    </xf>
    <xf numFmtId="0" fontId="24" fillId="9" borderId="91" xfId="0" applyFont="1" applyFill="1" applyBorder="1" applyAlignment="1">
      <alignment horizontal="center"/>
    </xf>
    <xf numFmtId="0" fontId="24" fillId="9" borderId="84" xfId="0" applyFont="1" applyFill="1" applyBorder="1" applyAlignment="1">
      <alignment horizontal="center"/>
    </xf>
    <xf numFmtId="0" fontId="24" fillId="9" borderId="104" xfId="0" applyFont="1" applyFill="1" applyBorder="1" applyAlignment="1">
      <alignment horizontal="center"/>
    </xf>
    <xf numFmtId="0" fontId="37" fillId="2" borderId="99" xfId="3" applyFont="1" applyFill="1" applyBorder="1" applyAlignment="1">
      <alignment horizontal="center" vertical="center"/>
    </xf>
    <xf numFmtId="0" fontId="37" fillId="3" borderId="99" xfId="0" applyFont="1" applyFill="1" applyBorder="1" applyAlignment="1">
      <alignment horizontal="center" vertical="center" wrapText="1"/>
    </xf>
    <xf numFmtId="166" fontId="37" fillId="4" borderId="99" xfId="4" applyNumberFormat="1" applyFont="1" applyFill="1" applyBorder="1" applyAlignment="1">
      <alignment horizontal="center" vertical="center" wrapText="1"/>
    </xf>
    <xf numFmtId="166" fontId="37" fillId="4" borderId="0" xfId="4" applyNumberFormat="1" applyFont="1" applyFill="1" applyAlignment="1">
      <alignment horizontal="center" vertical="center" wrapText="1"/>
    </xf>
    <xf numFmtId="0" fontId="24" fillId="9" borderId="14" xfId="0" applyFont="1" applyFill="1" applyBorder="1" applyAlignment="1">
      <alignment horizontal="left"/>
    </xf>
    <xf numFmtId="0" fontId="24" fillId="9" borderId="15" xfId="0" applyFont="1" applyFill="1" applyBorder="1" applyAlignment="1">
      <alignment horizontal="left"/>
    </xf>
    <xf numFmtId="0" fontId="24" fillId="9" borderId="77" xfId="0" applyFont="1" applyFill="1" applyBorder="1" applyAlignment="1">
      <alignment horizontal="left"/>
    </xf>
    <xf numFmtId="0" fontId="24" fillId="9" borderId="78" xfId="0" applyFont="1" applyFill="1" applyBorder="1" applyAlignment="1">
      <alignment horizontal="left"/>
    </xf>
    <xf numFmtId="0" fontId="24" fillId="10" borderId="68" xfId="0" applyFont="1" applyFill="1" applyBorder="1" applyAlignment="1">
      <alignment horizontal="left"/>
    </xf>
    <xf numFmtId="0" fontId="24" fillId="10" borderId="65" xfId="0" applyFont="1" applyFill="1" applyBorder="1" applyAlignment="1">
      <alignment horizontal="left"/>
    </xf>
    <xf numFmtId="0" fontId="24" fillId="10" borderId="75" xfId="0" applyFont="1" applyFill="1" applyBorder="1" applyAlignment="1">
      <alignment horizontal="left"/>
    </xf>
    <xf numFmtId="0" fontId="24" fillId="10" borderId="8" xfId="0" applyFont="1" applyFill="1" applyBorder="1" applyAlignment="1">
      <alignment horizontal="left"/>
    </xf>
    <xf numFmtId="0" fontId="24" fillId="10" borderId="52" xfId="0" applyFont="1" applyFill="1" applyBorder="1" applyAlignment="1">
      <alignment horizontal="left"/>
    </xf>
    <xf numFmtId="0" fontId="24" fillId="10" borderId="66" xfId="0" applyFont="1" applyFill="1" applyBorder="1" applyAlignment="1">
      <alignment horizontal="left"/>
    </xf>
    <xf numFmtId="0" fontId="24" fillId="10" borderId="91" xfId="0" applyFont="1" applyFill="1" applyBorder="1" applyAlignment="1">
      <alignment horizontal="left"/>
    </xf>
    <xf numFmtId="0" fontId="24" fillId="10" borderId="84" xfId="0" applyFont="1" applyFill="1" applyBorder="1" applyAlignment="1">
      <alignment horizontal="left"/>
    </xf>
    <xf numFmtId="0" fontId="24" fillId="10" borderId="104" xfId="0" applyFont="1" applyFill="1" applyBorder="1" applyAlignment="1">
      <alignment horizontal="left"/>
    </xf>
    <xf numFmtId="0" fontId="24" fillId="9" borderId="17" xfId="0" applyFont="1" applyFill="1" applyBorder="1" applyAlignment="1">
      <alignment horizontal="center"/>
    </xf>
    <xf numFmtId="0" fontId="24" fillId="9" borderId="18" xfId="0" applyFont="1" applyFill="1" applyBorder="1" applyAlignment="1">
      <alignment horizontal="center"/>
    </xf>
    <xf numFmtId="0" fontId="24" fillId="10" borderId="98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2" fillId="19" borderId="17" xfId="0" applyFont="1" applyFill="1" applyBorder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left"/>
    </xf>
    <xf numFmtId="0" fontId="0" fillId="16" borderId="0" xfId="0" applyFill="1" applyAlignment="1">
      <alignment horizontal="center"/>
    </xf>
    <xf numFmtId="9" fontId="0" fillId="16" borderId="0" xfId="1" applyFont="1" applyFill="1" applyAlignment="1">
      <alignment horizontal="left"/>
    </xf>
    <xf numFmtId="0" fontId="28" fillId="0" borderId="0" xfId="0" applyFont="1" applyAlignment="1">
      <alignment horizontal="left"/>
    </xf>
    <xf numFmtId="0" fontId="14" fillId="8" borderId="42" xfId="0" applyFont="1" applyFill="1" applyBorder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2" xfId="0" applyFont="1" applyFill="1" applyBorder="1" applyAlignment="1">
      <alignment horizontal="left" vertical="top"/>
    </xf>
    <xf numFmtId="0" fontId="17" fillId="8" borderId="42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20" fillId="0" borderId="0" xfId="0" applyNumberFormat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0476D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683268</xdr:colOff>
      <xdr:row>0</xdr:row>
      <xdr:rowOff>152400</xdr:rowOff>
    </xdr:from>
    <xdr:to>
      <xdr:col>5</xdr:col>
      <xdr:colOff>740398</xdr:colOff>
      <xdr:row>1</xdr:row>
      <xdr:rowOff>74386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247310</xdr:colOff>
      <xdr:row>0</xdr:row>
      <xdr:rowOff>133692</xdr:rowOff>
    </xdr:from>
    <xdr:to>
      <xdr:col>1</xdr:col>
      <xdr:colOff>613566</xdr:colOff>
      <xdr:row>0</xdr:row>
      <xdr:rowOff>510495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338169</xdr:colOff>
      <xdr:row>0</xdr:row>
      <xdr:rowOff>190500</xdr:rowOff>
    </xdr:from>
    <xdr:to>
      <xdr:col>47</xdr:col>
      <xdr:colOff>167993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515250</xdr:colOff>
      <xdr:row>0</xdr:row>
      <xdr:rowOff>187102</xdr:rowOff>
    </xdr:from>
    <xdr:to>
      <xdr:col>45</xdr:col>
      <xdr:colOff>301880</xdr:colOff>
      <xdr:row>0</xdr:row>
      <xdr:rowOff>550297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683268</xdr:colOff>
      <xdr:row>0</xdr:row>
      <xdr:rowOff>152400</xdr:rowOff>
    </xdr:from>
    <xdr:to>
      <xdr:col>5</xdr:col>
      <xdr:colOff>740398</xdr:colOff>
      <xdr:row>1</xdr:row>
      <xdr:rowOff>74386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338169</xdr:colOff>
      <xdr:row>0</xdr:row>
      <xdr:rowOff>190500</xdr:rowOff>
    </xdr:from>
    <xdr:to>
      <xdr:col>47</xdr:col>
      <xdr:colOff>167993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675557</xdr:colOff>
      <xdr:row>0</xdr:row>
      <xdr:rowOff>152400</xdr:rowOff>
    </xdr:from>
    <xdr:to>
      <xdr:col>5</xdr:col>
      <xdr:colOff>740059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078DDC5-83DF-4C9A-A71D-5D1C85C9EB85}"/>
            </a:ext>
          </a:extLst>
        </xdr:cNvPr>
        <xdr:cNvSpPr/>
      </xdr:nvSpPr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606535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A6E6CCE-626D-41EF-A341-21876086F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822" cy="372267"/>
        </a:xfrm>
        <a:prstGeom prst="rect">
          <a:avLst/>
        </a:prstGeom>
      </xdr:spPr>
    </xdr:pic>
    <xdr:clientData/>
  </xdr:twoCellAnchor>
  <xdr:twoCellAnchor editAs="absolute">
    <xdr:from>
      <xdr:col>51</xdr:col>
      <xdr:colOff>113084</xdr:colOff>
      <xdr:row>0</xdr:row>
      <xdr:rowOff>190500</xdr:rowOff>
    </xdr:from>
    <xdr:to>
      <xdr:col>52</xdr:col>
      <xdr:colOff>486287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4B53B9F7-0D8A-45FF-9658-DF4DEE42106D}"/>
            </a:ext>
          </a:extLst>
        </xdr:cNvPr>
        <xdr:cNvSpPr/>
      </xdr:nvSpPr>
      <xdr:spPr bwMode="auto">
        <a:xfrm>
          <a:off x="29688662" y="190500"/>
          <a:ext cx="1037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229387</xdr:colOff>
      <xdr:row>0</xdr:row>
      <xdr:rowOff>182566</xdr:rowOff>
    </xdr:from>
    <xdr:to>
      <xdr:col>51</xdr:col>
      <xdr:colOff>49581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1C929FE6-C8DA-49AD-B87D-B118FBE63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3940" y="179391"/>
          <a:ext cx="391694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675557</xdr:colOff>
      <xdr:row>0</xdr:row>
      <xdr:rowOff>152400</xdr:rowOff>
    </xdr:from>
    <xdr:to>
      <xdr:col>5</xdr:col>
      <xdr:colOff>740059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51CCBEE2-7D24-4C34-855A-F9E18BC487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51</xdr:col>
      <xdr:colOff>113084</xdr:colOff>
      <xdr:row>0</xdr:row>
      <xdr:rowOff>190500</xdr:rowOff>
    </xdr:from>
    <xdr:to>
      <xdr:col>52</xdr:col>
      <xdr:colOff>486287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DAB11780-58AA-4994-8DFE-3A65FBFA5AF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8662" y="190500"/>
          <a:ext cx="1037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682588</xdr:colOff>
      <xdr:row>0</xdr:row>
      <xdr:rowOff>152400</xdr:rowOff>
    </xdr:from>
    <xdr:to>
      <xdr:col>5</xdr:col>
      <xdr:colOff>701731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3A2E3DB-0020-4641-8558-2EDE5E468E09}"/>
            </a:ext>
          </a:extLst>
        </xdr:cNvPr>
        <xdr:cNvSpPr/>
      </xdr:nvSpPr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613566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32B66C43-D5A5-4B60-B62E-B9728C911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822" cy="372267"/>
        </a:xfrm>
        <a:prstGeom prst="rect">
          <a:avLst/>
        </a:prstGeom>
      </xdr:spPr>
    </xdr:pic>
    <xdr:clientData/>
  </xdr:twoCellAnchor>
  <xdr:twoCellAnchor editAs="absolute">
    <xdr:from>
      <xdr:col>48</xdr:col>
      <xdr:colOff>33369</xdr:colOff>
      <xdr:row>0</xdr:row>
      <xdr:rowOff>190500</xdr:rowOff>
    </xdr:from>
    <xdr:to>
      <xdr:col>49</xdr:col>
      <xdr:colOff>383099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DB93EBB9-CB1C-4B42-B1C7-AA0685C33E5F}"/>
            </a:ext>
          </a:extLst>
        </xdr:cNvPr>
        <xdr:cNvSpPr/>
      </xdr:nvSpPr>
      <xdr:spPr bwMode="auto">
        <a:xfrm>
          <a:off x="29688662" y="190500"/>
          <a:ext cx="1037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150692</xdr:colOff>
      <xdr:row>0</xdr:row>
      <xdr:rowOff>185741</xdr:rowOff>
    </xdr:from>
    <xdr:to>
      <xdr:col>47</xdr:col>
      <xdr:colOff>547716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7AFBF3B-5CFB-4EDD-8F06-80F0D7EE6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3940" y="179391"/>
          <a:ext cx="391694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682588</xdr:colOff>
      <xdr:row>0</xdr:row>
      <xdr:rowOff>152400</xdr:rowOff>
    </xdr:from>
    <xdr:to>
      <xdr:col>5</xdr:col>
      <xdr:colOff>701731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2B448D9-B5AC-434C-AF57-954EE14BB96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33369</xdr:colOff>
      <xdr:row>0</xdr:row>
      <xdr:rowOff>190500</xdr:rowOff>
    </xdr:from>
    <xdr:to>
      <xdr:col>49</xdr:col>
      <xdr:colOff>383099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5E6B3C0-45AB-4809-BB6F-0F305C546F2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8662" y="190500"/>
          <a:ext cx="1037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152136</xdr:colOff>
      <xdr:row>0</xdr:row>
      <xdr:rowOff>152400</xdr:rowOff>
    </xdr:from>
    <xdr:to>
      <xdr:col>5</xdr:col>
      <xdr:colOff>1024902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DD7BA706-789E-4271-AF85-52C6B226AAF5}"/>
            </a:ext>
          </a:extLst>
        </xdr:cNvPr>
        <xdr:cNvSpPr/>
      </xdr:nvSpPr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92639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465CD181-6D47-490B-B1FF-1E6BAA41E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822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320819</xdr:colOff>
      <xdr:row>0</xdr:row>
      <xdr:rowOff>190500</xdr:rowOff>
    </xdr:from>
    <xdr:to>
      <xdr:col>47</xdr:col>
      <xdr:colOff>99391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FD188E6B-7653-4923-9ECC-C05C2B1DCEE6}"/>
            </a:ext>
          </a:extLst>
        </xdr:cNvPr>
        <xdr:cNvSpPr/>
      </xdr:nvSpPr>
      <xdr:spPr bwMode="auto">
        <a:xfrm>
          <a:off x="29688662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454811</xdr:colOff>
      <xdr:row>0</xdr:row>
      <xdr:rowOff>185741</xdr:rowOff>
    </xdr:from>
    <xdr:to>
      <xdr:col>45</xdr:col>
      <xdr:colOff>244616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170F2CA-B13F-4AC7-8808-FC4A64300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5754" y="179391"/>
          <a:ext cx="389880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152136</xdr:colOff>
      <xdr:row>0</xdr:row>
      <xdr:rowOff>152400</xdr:rowOff>
    </xdr:from>
    <xdr:to>
      <xdr:col>5</xdr:col>
      <xdr:colOff>1024902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26DD3D0B-FE33-4374-8F55-637C19884E7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875" y="152400"/>
          <a:ext cx="8859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320819</xdr:colOff>
      <xdr:row>0</xdr:row>
      <xdr:rowOff>190500</xdr:rowOff>
    </xdr:from>
    <xdr:to>
      <xdr:col>47</xdr:col>
      <xdr:colOff>99391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79AEED1-956C-4B36-A2ED-BB646FB2822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8662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662857</xdr:colOff>
      <xdr:row>0</xdr:row>
      <xdr:rowOff>152400</xdr:rowOff>
    </xdr:from>
    <xdr:to>
      <xdr:col>5</xdr:col>
      <xdr:colOff>783602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F3B22071-429F-427F-A917-7494B732DA08}"/>
            </a:ext>
          </a:extLst>
        </xdr:cNvPr>
        <xdr:cNvSpPr/>
      </xdr:nvSpPr>
      <xdr:spPr bwMode="auto">
        <a:xfrm>
          <a:off x="677825" y="152400"/>
          <a:ext cx="8605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587485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C552F07-1CD2-4104-A047-C41C6005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58772" cy="372267"/>
        </a:xfrm>
        <a:prstGeom prst="rect">
          <a:avLst/>
        </a:prstGeom>
      </xdr:spPr>
    </xdr:pic>
    <xdr:clientData/>
  </xdr:twoCellAnchor>
  <xdr:twoCellAnchor editAs="absolute">
    <xdr:from>
      <xdr:col>50</xdr:col>
      <xdr:colOff>225116</xdr:colOff>
      <xdr:row>0</xdr:row>
      <xdr:rowOff>190500</xdr:rowOff>
    </xdr:from>
    <xdr:to>
      <xdr:col>52</xdr:col>
      <xdr:colOff>59477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F255D8BC-747F-4724-A9BF-DE7CAF10C8DD}"/>
            </a:ext>
          </a:extLst>
        </xdr:cNvPr>
        <xdr:cNvSpPr/>
      </xdr:nvSpPr>
      <xdr:spPr bwMode="auto">
        <a:xfrm>
          <a:off x="28329762" y="190500"/>
          <a:ext cx="99505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49</xdr:col>
      <xdr:colOff>529651</xdr:colOff>
      <xdr:row>0</xdr:row>
      <xdr:rowOff>185741</xdr:rowOff>
    </xdr:from>
    <xdr:to>
      <xdr:col>50</xdr:col>
      <xdr:colOff>205156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1BAD478-65C6-4E9B-AED6-93BB71699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52579" y="179391"/>
          <a:ext cx="304155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662857</xdr:colOff>
      <xdr:row>0</xdr:row>
      <xdr:rowOff>152400</xdr:rowOff>
    </xdr:from>
    <xdr:to>
      <xdr:col>5</xdr:col>
      <xdr:colOff>783602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4765546-ABDE-493E-A172-91146A5FF0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825" y="152400"/>
          <a:ext cx="8605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50</xdr:col>
      <xdr:colOff>225116</xdr:colOff>
      <xdr:row>0</xdr:row>
      <xdr:rowOff>190500</xdr:rowOff>
    </xdr:from>
    <xdr:to>
      <xdr:col>52</xdr:col>
      <xdr:colOff>59477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5ACF81F6-3BDE-4275-9024-59CEE3BB0C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9762" y="190500"/>
          <a:ext cx="99505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669888</xdr:colOff>
      <xdr:row>0</xdr:row>
      <xdr:rowOff>152400</xdr:rowOff>
    </xdr:from>
    <xdr:to>
      <xdr:col>5</xdr:col>
      <xdr:colOff>758087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443A0BEB-5BCE-49EC-AB25-D82DE1ED03BC}"/>
            </a:ext>
          </a:extLst>
        </xdr:cNvPr>
        <xdr:cNvSpPr/>
      </xdr:nvSpPr>
      <xdr:spPr bwMode="auto">
        <a:xfrm>
          <a:off x="677825" y="152400"/>
          <a:ext cx="8605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607216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1FF7872-0C34-4C75-9E58-67B8C41B2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58772" cy="372267"/>
        </a:xfrm>
        <a:prstGeom prst="rect">
          <a:avLst/>
        </a:prstGeom>
      </xdr:spPr>
    </xdr:pic>
    <xdr:clientData/>
  </xdr:twoCellAnchor>
  <xdr:twoCellAnchor editAs="absolute">
    <xdr:from>
      <xdr:col>49</xdr:col>
      <xdr:colOff>300977</xdr:colOff>
      <xdr:row>0</xdr:row>
      <xdr:rowOff>190500</xdr:rowOff>
    </xdr:from>
    <xdr:to>
      <xdr:col>51</xdr:col>
      <xdr:colOff>35551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2E173139-5CBE-40B6-8E69-8EA80D3164E9}"/>
            </a:ext>
          </a:extLst>
        </xdr:cNvPr>
        <xdr:cNvSpPr/>
      </xdr:nvSpPr>
      <xdr:spPr bwMode="auto">
        <a:xfrm>
          <a:off x="28333845" y="190500"/>
          <a:ext cx="10045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48</xdr:col>
      <xdr:colOff>500056</xdr:colOff>
      <xdr:row>0</xdr:row>
      <xdr:rowOff>185741</xdr:rowOff>
    </xdr:from>
    <xdr:to>
      <xdr:col>49</xdr:col>
      <xdr:colOff>231124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3FE25AF5-3120-4FE4-B927-6D6CBC580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7137" y="179391"/>
          <a:ext cx="313680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669888</xdr:colOff>
      <xdr:row>0</xdr:row>
      <xdr:rowOff>152400</xdr:rowOff>
    </xdr:from>
    <xdr:to>
      <xdr:col>5</xdr:col>
      <xdr:colOff>758087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277E0517-2171-4824-9DD7-FA42C94310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825" y="152400"/>
          <a:ext cx="860519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49</xdr:col>
      <xdr:colOff>300977</xdr:colOff>
      <xdr:row>0</xdr:row>
      <xdr:rowOff>190500</xdr:rowOff>
    </xdr:from>
    <xdr:to>
      <xdr:col>51</xdr:col>
      <xdr:colOff>35551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0714B4AD-455F-4C4E-B1F4-55A8FD6DA58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33845" y="190500"/>
          <a:ext cx="10045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673100</xdr:colOff>
      <xdr:row>0</xdr:row>
      <xdr:rowOff>152400</xdr:rowOff>
    </xdr:from>
    <xdr:to>
      <xdr:col>0</xdr:col>
      <xdr:colOff>1625600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89291FB6-EF2D-4EDF-9D15-6367E72B6CD7}"/>
            </a:ext>
          </a:extLst>
        </xdr:cNvPr>
        <xdr:cNvSpPr/>
      </xdr:nvSpPr>
      <xdr:spPr bwMode="auto">
        <a:xfrm>
          <a:off x="6762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483659</xdr:colOff>
      <xdr:row>0</xdr:row>
      <xdr:rowOff>215900</xdr:rowOff>
    </xdr:from>
    <xdr:to>
      <xdr:col>41</xdr:col>
      <xdr:colOff>236008</xdr:colOff>
      <xdr:row>1</xdr:row>
      <xdr:rowOff>120650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A281F429-6B59-41A8-A6E5-86D1D76D5F5B}"/>
            </a:ext>
          </a:extLst>
        </xdr:cNvPr>
        <xdr:cNvSpPr/>
      </xdr:nvSpPr>
      <xdr:spPr bwMode="auto">
        <a:xfrm>
          <a:off x="29519034" y="219075"/>
          <a:ext cx="971549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2]!ChamaForm_Menu">
      <xdr:nvPicPr>
        <xdr:cNvPr id="4" name="Imagem 3">
          <a:extLst>
            <a:ext uri="{FF2B5EF4-FFF2-40B4-BE49-F238E27FC236}">
              <a16:creationId xmlns:a16="http://schemas.microsoft.com/office/drawing/2014/main" id="{381C0809-783E-4E78-8241-47D23B54B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2</xdr:col>
      <xdr:colOff>169334</xdr:colOff>
      <xdr:row>4</xdr:row>
      <xdr:rowOff>120705</xdr:rowOff>
    </xdr:from>
    <xdr:ext cx="1949038" cy="1399706"/>
    <xdr:pic>
      <xdr:nvPicPr>
        <xdr:cNvPr id="5" name="Imagem 4">
          <a:extLst>
            <a:ext uri="{FF2B5EF4-FFF2-40B4-BE49-F238E27FC236}">
              <a16:creationId xmlns:a16="http://schemas.microsoft.com/office/drawing/2014/main" id="{1B364C4C-1A89-438E-AC07-587891C14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7084" y="1549455"/>
          <a:ext cx="1949038" cy="1399706"/>
        </a:xfrm>
        <a:prstGeom prst="rect">
          <a:avLst/>
        </a:prstGeom>
      </xdr:spPr>
    </xdr:pic>
    <xdr:clientData/>
  </xdr:oneCellAnchor>
  <xdr:twoCellAnchor editAs="absolute">
    <xdr:from>
      <xdr:col>39</xdr:col>
      <xdr:colOff>484717</xdr:colOff>
      <xdr:row>0</xdr:row>
      <xdr:rowOff>215900</xdr:rowOff>
    </xdr:from>
    <xdr:to>
      <xdr:col>41</xdr:col>
      <xdr:colOff>220133</xdr:colOff>
      <xdr:row>1</xdr:row>
      <xdr:rowOff>120650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E2D18446-5291-4352-B804-93A0121D87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0092" y="219075"/>
          <a:ext cx="967316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.sharepoint.com/sites/OggiLive/Documentos%20Compartilhados/PROJETOS%202026/LACTALIS%2026/L_049_Conven&#231;&#227;o%20Itamb&#233;/HOTEL/C&#243;pia%20de%20Fechamento%20ITAMB&#201;.xls" TargetMode="External"/><Relationship Id="rId1" Type="http://schemas.openxmlformats.org/officeDocument/2006/relationships/externalLinkPath" Target="https://oggigrouplive-my.sharepoint.com/sites/OggiLive/Documentos%20Compartilhados/PROJETOS%202026/LACTALIS%2026/L_049_Conven&#231;&#227;o%20Itamb&#233;/HOTEL/C&#243;pia%20de%20Fechamento%20ITAMB&#201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\OneDrive\&#193;rea%20de%20Trabalho\Oggi\Lactalis\05.%20L_047_Ciclo%20DPA_Regional%20Sul\Planilhas\L_47.48_Ciclo%20DPA_Regional%20Sul%20e%20Nordeste.xlsm" TargetMode="External"/><Relationship Id="rId1" Type="http://schemas.openxmlformats.org/officeDocument/2006/relationships/externalLinkPath" Target="https://d.docs.live.net/f45c0a971cf22b75/&#193;rea%20de%20Trabalho/Oggi/Lactalis/01.%20Ciclo%20DPA/L_047_Ciclo%20DPA_Regional%20Sul/Planilhas/Hist&#243;rico/L_47.48_Ciclo%20DPA_Regional%20Sul%20e%20Nordes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chamento"/>
    </sheetNames>
    <sheetDataSet>
      <sheetData sheetId="0" refreshError="1">
        <row r="4">
          <cell r="H4">
            <v>5176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Vale Suiço"/>
      <sheetName val="Resort Catussaba"/>
      <sheetName val="TOTAL"/>
      <sheetName val="TIVOLI"/>
      <sheetName val="GRAND MERCURE VILA OLIMPIA"/>
      <sheetName val="RENAISSANCE"/>
      <sheetName val="WTC SHERATON"/>
      <sheetName val="Solicitações de Pagamento"/>
      <sheetName val="Help"/>
      <sheetName val="ItensOrc"/>
      <sheetName val="Template SP"/>
      <sheetName val="L_47"/>
    </sheetNames>
    <definedNames>
      <definedName name="ChamaForm_Menu"/>
    </definedNames>
    <sheetDataSet>
      <sheetData sheetId="0">
        <row r="23">
          <cell r="N23">
            <v>57164.160556729228</v>
          </cell>
        </row>
      </sheetData>
      <sheetData sheetId="1">
        <row r="50">
          <cell r="N50">
            <v>333543.64421052625</v>
          </cell>
        </row>
      </sheetData>
      <sheetData sheetId="2">
        <row r="51">
          <cell r="N51">
            <v>177068.27368421055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4C87D-56F7-496C-A140-13EFAB9D42E8}">
  <dimension ref="A1:H49"/>
  <sheetViews>
    <sheetView showGridLines="0" tabSelected="1" topLeftCell="A8" zoomScaleNormal="100" workbookViewId="0">
      <selection activeCell="H28" sqref="H28"/>
    </sheetView>
  </sheetViews>
  <sheetFormatPr defaultColWidth="8.6640625" defaultRowHeight="16.2" x14ac:dyDescent="0.35"/>
  <cols>
    <col min="1" max="1" width="8.6640625" style="422"/>
    <col min="2" max="2" width="41.109375" style="422" customWidth="1"/>
    <col min="3" max="3" width="22.88671875" style="422" customWidth="1"/>
    <col min="4" max="4" width="21" style="422" bestFit="1" customWidth="1"/>
    <col min="5" max="5" width="19.109375" style="422" bestFit="1" customWidth="1"/>
    <col min="6" max="6" width="11.88671875" style="423" bestFit="1" customWidth="1"/>
    <col min="7" max="7" width="13.5546875" style="422" bestFit="1" customWidth="1"/>
    <col min="8" max="8" width="18.21875" style="422" bestFit="1" customWidth="1"/>
    <col min="9" max="16384" width="8.6640625" style="422"/>
  </cols>
  <sheetData>
    <row r="1" spans="1:5" s="423" customFormat="1" hidden="1" x14ac:dyDescent="0.35">
      <c r="A1" s="422"/>
      <c r="B1" s="422"/>
      <c r="C1" s="422"/>
      <c r="D1" s="422"/>
      <c r="E1" s="422"/>
    </row>
    <row r="2" spans="1:5" s="423" customFormat="1" hidden="1" x14ac:dyDescent="0.35">
      <c r="A2" s="422"/>
      <c r="B2" s="422"/>
      <c r="C2" s="422"/>
      <c r="D2" s="422"/>
      <c r="E2" s="422"/>
    </row>
    <row r="3" spans="1:5" s="423" customFormat="1" hidden="1" x14ac:dyDescent="0.35">
      <c r="A3" s="422"/>
      <c r="B3" s="422"/>
      <c r="C3" s="424">
        <v>45866</v>
      </c>
      <c r="D3" s="425"/>
      <c r="E3" s="466" t="e">
        <f>SUM(#REF!)</f>
        <v>#REF!</v>
      </c>
    </row>
    <row r="4" spans="1:5" s="423" customFormat="1" ht="15.6" hidden="1" customHeight="1" thickBot="1" x14ac:dyDescent="0.4">
      <c r="A4" s="422"/>
      <c r="B4" s="422"/>
      <c r="C4" s="426">
        <v>45867</v>
      </c>
      <c r="D4" s="427"/>
      <c r="E4" s="467"/>
    </row>
    <row r="5" spans="1:5" s="423" customFormat="1" hidden="1" x14ac:dyDescent="0.35">
      <c r="A5" s="422"/>
      <c r="B5" s="422"/>
      <c r="C5" s="428" t="s">
        <v>584</v>
      </c>
      <c r="D5" s="429"/>
      <c r="E5" s="422"/>
    </row>
    <row r="6" spans="1:5" s="423" customFormat="1" hidden="1" x14ac:dyDescent="0.35">
      <c r="A6" s="422"/>
      <c r="B6" s="422"/>
      <c r="C6" s="428" t="s">
        <v>585</v>
      </c>
      <c r="D6" s="429"/>
      <c r="E6" s="422"/>
    </row>
    <row r="7" spans="1:5" s="423" customFormat="1" ht="16.8" hidden="1" thickBot="1" x14ac:dyDescent="0.4">
      <c r="A7" s="422"/>
      <c r="B7" s="422"/>
      <c r="C7" s="430" t="s">
        <v>43</v>
      </c>
      <c r="D7" s="431"/>
      <c r="E7" s="422"/>
    </row>
    <row r="9" spans="1:5" s="423" customFormat="1" x14ac:dyDescent="0.35">
      <c r="A9" s="422" t="s">
        <v>107</v>
      </c>
      <c r="B9" s="422"/>
      <c r="C9" s="422"/>
      <c r="D9" s="422"/>
      <c r="E9" s="422"/>
    </row>
    <row r="10" spans="1:5" s="423" customFormat="1" ht="24" customHeight="1" x14ac:dyDescent="0.35">
      <c r="A10" s="422"/>
      <c r="B10" s="422"/>
      <c r="C10" s="422"/>
      <c r="D10" s="422"/>
      <c r="E10" s="422"/>
    </row>
    <row r="12" spans="1:5" s="423" customFormat="1" ht="15" customHeight="1" x14ac:dyDescent="0.35">
      <c r="A12" s="422"/>
      <c r="B12" s="432" t="s">
        <v>647</v>
      </c>
      <c r="C12" s="433"/>
      <c r="D12" s="433"/>
      <c r="E12" s="422"/>
    </row>
    <row r="13" spans="1:5" s="423" customFormat="1" ht="15" customHeight="1" x14ac:dyDescent="0.35">
      <c r="A13" s="422"/>
      <c r="B13" s="434" t="s">
        <v>586</v>
      </c>
      <c r="C13" s="433"/>
      <c r="D13" s="433"/>
      <c r="E13" s="422"/>
    </row>
    <row r="14" spans="1:5" s="423" customFormat="1" ht="15" customHeight="1" x14ac:dyDescent="0.35">
      <c r="A14" s="422"/>
      <c r="B14" s="434" t="s">
        <v>587</v>
      </c>
      <c r="C14" s="435"/>
      <c r="D14" s="435"/>
      <c r="E14" s="422"/>
    </row>
    <row r="15" spans="1:5" s="423" customFormat="1" ht="15" customHeight="1" x14ac:dyDescent="0.35">
      <c r="A15" s="422"/>
      <c r="B15" s="434" t="s">
        <v>588</v>
      </c>
      <c r="C15" s="435"/>
      <c r="D15" s="435"/>
      <c r="E15" s="422"/>
    </row>
    <row r="16" spans="1:5" s="423" customFormat="1" ht="15" customHeight="1" x14ac:dyDescent="0.35">
      <c r="A16" s="422"/>
      <c r="B16" s="434" t="s">
        <v>589</v>
      </c>
      <c r="C16" s="436"/>
      <c r="D16" s="436"/>
      <c r="E16" s="422"/>
    </row>
    <row r="17" spans="2:8" ht="15" customHeight="1" x14ac:dyDescent="0.35">
      <c r="B17" s="434" t="s">
        <v>590</v>
      </c>
      <c r="C17" s="435"/>
      <c r="D17" s="435"/>
    </row>
    <row r="18" spans="2:8" ht="15" customHeight="1" x14ac:dyDescent="0.35">
      <c r="B18" s="434" t="s">
        <v>591</v>
      </c>
      <c r="C18" s="435"/>
      <c r="D18" s="435"/>
    </row>
    <row r="19" spans="2:8" ht="15" customHeight="1" x14ac:dyDescent="0.35">
      <c r="B19" s="437" t="s">
        <v>646</v>
      </c>
      <c r="C19" s="435"/>
      <c r="D19" s="435"/>
    </row>
    <row r="21" spans="2:8" ht="15.6" customHeight="1" x14ac:dyDescent="0.35">
      <c r="B21" s="438"/>
      <c r="C21" s="438" t="s">
        <v>592</v>
      </c>
      <c r="D21" s="438" t="s">
        <v>593</v>
      </c>
      <c r="E21" s="438" t="s">
        <v>594</v>
      </c>
    </row>
    <row r="22" spans="2:8" x14ac:dyDescent="0.35">
      <c r="B22" s="439" t="s">
        <v>332</v>
      </c>
      <c r="C22" s="440">
        <f>Principal!N94</f>
        <v>531917.45005095075</v>
      </c>
      <c r="D22" s="440">
        <f>Principal!X94</f>
        <v>484516.61000000004</v>
      </c>
      <c r="E22" s="440">
        <f t="shared" ref="E22:E27" si="0">C22-D22</f>
        <v>47400.840050950705</v>
      </c>
      <c r="F22" s="441">
        <f>E22*100%/C22</f>
        <v>8.9113151009447653E-2</v>
      </c>
    </row>
    <row r="23" spans="2:8" x14ac:dyDescent="0.35">
      <c r="B23" s="439" t="s">
        <v>308</v>
      </c>
      <c r="C23" s="440">
        <f>Atração!N19</f>
        <v>100902.82</v>
      </c>
      <c r="D23" s="440">
        <f>Atração!X19</f>
        <v>0</v>
      </c>
      <c r="E23" s="440">
        <f t="shared" si="0"/>
        <v>100902.82</v>
      </c>
      <c r="F23" s="441">
        <f t="shared" ref="F23:F28" si="1">E23*100%/C23</f>
        <v>1</v>
      </c>
    </row>
    <row r="24" spans="2:8" x14ac:dyDescent="0.35">
      <c r="B24" s="439" t="s">
        <v>382</v>
      </c>
      <c r="C24" s="440">
        <f>Opcionais!N42</f>
        <v>82686.002236858461</v>
      </c>
      <c r="D24" s="440">
        <f>Opcionais!X42</f>
        <v>98377.323199999984</v>
      </c>
      <c r="E24" s="464">
        <f t="shared" si="0"/>
        <v>-15691.320963141523</v>
      </c>
      <c r="F24" s="465">
        <f t="shared" si="1"/>
        <v>-0.1897699796658798</v>
      </c>
    </row>
    <row r="25" spans="2:8" x14ac:dyDescent="0.35">
      <c r="B25" s="439" t="s">
        <v>597</v>
      </c>
      <c r="C25" s="440">
        <f>'Itens extra'!N25</f>
        <v>7655.7446874611669</v>
      </c>
      <c r="D25" s="440">
        <f>'Itens extra'!X25</f>
        <v>7376.82</v>
      </c>
      <c r="E25" s="440">
        <f t="shared" si="0"/>
        <v>278.9246874611672</v>
      </c>
      <c r="F25" s="441">
        <f t="shared" si="1"/>
        <v>3.6433384190306048E-2</v>
      </c>
    </row>
    <row r="26" spans="2:8" x14ac:dyDescent="0.35">
      <c r="B26" s="439" t="s">
        <v>598</v>
      </c>
      <c r="C26" s="440">
        <f>'Bourbon Atibaia '!N40</f>
        <v>723228.34212377295</v>
      </c>
      <c r="D26" s="440">
        <f>'Bourbon Atibaia '!X40</f>
        <v>718567.86</v>
      </c>
      <c r="E26" s="440">
        <f t="shared" si="0"/>
        <v>4660.482123772963</v>
      </c>
      <c r="F26" s="441">
        <f t="shared" si="1"/>
        <v>6.4439981847052262E-3</v>
      </c>
    </row>
    <row r="27" spans="2:8" x14ac:dyDescent="0.35">
      <c r="B27" s="439" t="s">
        <v>599</v>
      </c>
      <c r="C27" s="440">
        <f>'Itens Extra Hotel '!N31</f>
        <v>39987.660477196478</v>
      </c>
      <c r="D27" s="440">
        <f>'Itens Extra Hotel '!X31</f>
        <v>0</v>
      </c>
      <c r="E27" s="440">
        <f t="shared" si="0"/>
        <v>39987.660477196478</v>
      </c>
      <c r="F27" s="441">
        <f t="shared" si="1"/>
        <v>1</v>
      </c>
    </row>
    <row r="28" spans="2:8" x14ac:dyDescent="0.35">
      <c r="B28" s="438" t="s">
        <v>43</v>
      </c>
      <c r="C28" s="442">
        <f>SUM(C22:C27)</f>
        <v>1486378.0195762401</v>
      </c>
      <c r="D28" s="442">
        <f>SUM(D22:D27)</f>
        <v>1308838.6132</v>
      </c>
      <c r="E28" s="442">
        <f>SUM(E22:E27)</f>
        <v>177539.40637623981</v>
      </c>
      <c r="F28" s="441">
        <f t="shared" si="1"/>
        <v>0.1194443163434666</v>
      </c>
      <c r="H28" s="593"/>
    </row>
    <row r="30" spans="2:8" ht="200.1" hidden="1" customHeight="1" x14ac:dyDescent="0.35"/>
    <row r="31" spans="2:8" ht="30" customHeight="1" x14ac:dyDescent="0.35"/>
    <row r="33" spans="2:7" ht="16.8" thickBot="1" x14ac:dyDescent="0.4">
      <c r="C33" s="460" t="s">
        <v>645</v>
      </c>
      <c r="D33" s="461">
        <f>C35+C36</f>
        <v>783841.57</v>
      </c>
    </row>
    <row r="34" spans="2:7" ht="21.9" customHeight="1" thickBot="1" x14ac:dyDescent="0.4">
      <c r="B34" s="468" t="s">
        <v>595</v>
      </c>
      <c r="C34" s="469"/>
      <c r="D34" s="469"/>
      <c r="E34" s="469"/>
      <c r="F34" s="470"/>
    </row>
    <row r="35" spans="2:7" ht="24.9" customHeight="1" thickBot="1" x14ac:dyDescent="0.4">
      <c r="B35" s="443" t="s">
        <v>638</v>
      </c>
      <c r="C35" s="444">
        <v>688841.57</v>
      </c>
      <c r="D35" s="471">
        <f>D28</f>
        <v>1308838.6132</v>
      </c>
      <c r="E35" s="473">
        <f>D33-D35</f>
        <v>-524997.04320000007</v>
      </c>
      <c r="F35" s="475">
        <f>E35*100%/C35</f>
        <v>-0.76214483280966927</v>
      </c>
    </row>
    <row r="36" spans="2:7" ht="24.9" customHeight="1" thickBot="1" x14ac:dyDescent="0.4">
      <c r="B36" s="447" t="s">
        <v>639</v>
      </c>
      <c r="C36" s="448">
        <v>95000</v>
      </c>
      <c r="D36" s="472"/>
      <c r="E36" s="474"/>
      <c r="F36" s="476"/>
    </row>
    <row r="37" spans="2:7" ht="24.9" customHeight="1" thickBot="1" x14ac:dyDescent="0.4">
      <c r="B37" s="447" t="s">
        <v>640</v>
      </c>
      <c r="C37" s="448">
        <v>1202.31</v>
      </c>
      <c r="D37" s="445">
        <f>C37*0.15</f>
        <v>180.34649999999999</v>
      </c>
      <c r="E37" s="446">
        <f>C37-D37</f>
        <v>1021.9635</v>
      </c>
      <c r="F37" s="449">
        <f>E37*100%/C37</f>
        <v>0.85</v>
      </c>
    </row>
    <row r="38" spans="2:7" ht="24.9" customHeight="1" thickBot="1" x14ac:dyDescent="0.4">
      <c r="B38" s="447" t="s">
        <v>641</v>
      </c>
      <c r="C38" s="448">
        <v>8082.2</v>
      </c>
      <c r="D38" s="445">
        <f>C38*0.15</f>
        <v>1212.33</v>
      </c>
      <c r="E38" s="446">
        <f t="shared" ref="E38:E41" si="2">C38-D38</f>
        <v>6869.87</v>
      </c>
      <c r="F38" s="449">
        <f>E38*100%/C38</f>
        <v>0.85</v>
      </c>
    </row>
    <row r="39" spans="2:7" ht="24.9" customHeight="1" thickBot="1" x14ac:dyDescent="0.4">
      <c r="B39" s="447" t="s">
        <v>642</v>
      </c>
      <c r="C39" s="448">
        <v>612974.68000000005</v>
      </c>
      <c r="D39" s="445">
        <f>C39*0.15</f>
        <v>91946.202000000005</v>
      </c>
      <c r="E39" s="446">
        <f t="shared" si="2"/>
        <v>521028.47800000006</v>
      </c>
      <c r="F39" s="449">
        <f>E39*100%/C39</f>
        <v>0.85</v>
      </c>
    </row>
    <row r="40" spans="2:7" ht="24.9" customHeight="1" thickBot="1" x14ac:dyDescent="0.4">
      <c r="B40" s="447" t="s">
        <v>643</v>
      </c>
      <c r="C40" s="448">
        <v>5902</v>
      </c>
      <c r="D40" s="445">
        <f>C40*0.15</f>
        <v>885.3</v>
      </c>
      <c r="E40" s="446">
        <f t="shared" si="2"/>
        <v>5016.7</v>
      </c>
      <c r="F40" s="449">
        <f>E40*100%/C40</f>
        <v>0.85</v>
      </c>
    </row>
    <row r="41" spans="2:7" ht="24.9" customHeight="1" thickBot="1" x14ac:dyDescent="0.4">
      <c r="B41" s="447" t="s">
        <v>644</v>
      </c>
      <c r="C41" s="448">
        <v>42801.14</v>
      </c>
      <c r="D41" s="445">
        <f>C41*0.15</f>
        <v>6420.1709999999994</v>
      </c>
      <c r="E41" s="446">
        <f t="shared" si="2"/>
        <v>36380.968999999997</v>
      </c>
      <c r="F41" s="449">
        <f t="shared" ref="F41:F42" si="3">E41*100%/C41</f>
        <v>0.85</v>
      </c>
    </row>
    <row r="42" spans="2:7" ht="20.25" customHeight="1" thickBot="1" x14ac:dyDescent="0.4">
      <c r="B42" s="450"/>
      <c r="C42" s="451">
        <f>SUM(C35:C41)</f>
        <v>1454803.9</v>
      </c>
      <c r="D42" s="452">
        <f>SUM(D35:D41)</f>
        <v>1409482.9627000003</v>
      </c>
      <c r="E42" s="453">
        <f>SUM(E35:E41)</f>
        <v>45320.937299999991</v>
      </c>
      <c r="F42" s="449">
        <f t="shared" si="3"/>
        <v>3.1152609159213824E-2</v>
      </c>
      <c r="G42" s="463"/>
    </row>
    <row r="43" spans="2:7" x14ac:dyDescent="0.35">
      <c r="C43" s="462">
        <f>C28-C42</f>
        <v>31574.119576240191</v>
      </c>
    </row>
    <row r="49" spans="5:5" x14ac:dyDescent="0.35">
      <c r="E49" s="463"/>
    </row>
  </sheetData>
  <mergeCells count="5">
    <mergeCell ref="E3:E4"/>
    <mergeCell ref="B34:F34"/>
    <mergeCell ref="D35:D36"/>
    <mergeCell ref="E35:E36"/>
    <mergeCell ref="F35:F36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M98"/>
  <sheetViews>
    <sheetView showGridLines="0" topLeftCell="B1" zoomScale="50" zoomScaleNormal="50" workbookViewId="0">
      <pane ySplit="1" topLeftCell="A86" activePane="bottomLeft" state="frozen"/>
      <selection activeCell="T28" sqref="Q28:Y39"/>
      <selection pane="bottomLeft" activeCell="T97" sqref="T97"/>
    </sheetView>
  </sheetViews>
  <sheetFormatPr defaultColWidth="8.88671875" defaultRowHeight="21" x14ac:dyDescent="0.4"/>
  <cols>
    <col min="1" max="1" width="4.5546875" style="128" hidden="1" customWidth="1"/>
    <col min="2" max="2" width="11.88671875" style="128" customWidth="1"/>
    <col min="3" max="3" width="11.44140625" style="128" hidden="1" customWidth="1"/>
    <col min="4" max="4" width="9.109375" style="128" hidden="1" customWidth="1"/>
    <col min="5" max="5" width="10.6640625" style="128" hidden="1" customWidth="1"/>
    <col min="6" max="6" width="41.88671875" style="128" customWidth="1"/>
    <col min="7" max="7" width="56.88671875" style="128" customWidth="1"/>
    <col min="8" max="8" width="5.6640625" style="131" hidden="1" customWidth="1"/>
    <col min="9" max="9" width="5.88671875" style="131" hidden="1" customWidth="1"/>
    <col min="10" max="10" width="18.33203125" style="128" hidden="1" customWidth="1"/>
    <col min="11" max="11" width="30.109375" style="128" customWidth="1"/>
    <col min="12" max="12" width="22.88671875" style="128" customWidth="1"/>
    <col min="13" max="13" width="25.109375" style="128" customWidth="1"/>
    <col min="14" max="14" width="34.6640625" style="128" bestFit="1" customWidth="1"/>
    <col min="15" max="15" width="5.5546875" style="128" hidden="1" customWidth="1"/>
    <col min="16" max="16" width="12.44140625" style="128" hidden="1" customWidth="1"/>
    <col min="17" max="17" width="5.88671875" style="131" customWidth="1"/>
    <col min="18" max="18" width="5.109375" style="131" hidden="1" customWidth="1"/>
    <col min="19" max="19" width="16.44140625" style="128" hidden="1" customWidth="1"/>
    <col min="20" max="20" width="26.5546875" style="128" customWidth="1"/>
    <col min="21" max="21" width="24.6640625" style="128" hidden="1" customWidth="1"/>
    <col min="22" max="22" width="9.6640625" style="128" hidden="1" customWidth="1"/>
    <col min="23" max="23" width="16.109375" style="128" hidden="1" customWidth="1"/>
    <col min="24" max="24" width="34.6640625" style="128" bestFit="1" customWidth="1"/>
    <col min="25" max="25" width="26.6640625" style="128" hidden="1" customWidth="1"/>
    <col min="26" max="26" width="14.6640625" style="128" hidden="1" customWidth="1"/>
    <col min="27" max="27" width="24.6640625" style="128" hidden="1" customWidth="1"/>
    <col min="28" max="28" width="38.10937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6.6640625" style="128" customWidth="1"/>
    <col min="38" max="38" width="27.88671875" style="128" customWidth="1"/>
    <col min="39" max="39" width="8.88671875" style="454"/>
    <col min="40" max="40" width="21.33203125" style="128" customWidth="1"/>
    <col min="41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555</v>
      </c>
      <c r="G10" s="138"/>
    </row>
    <row r="11" spans="1:38" ht="22.8" thickBot="1" x14ac:dyDescent="0.45">
      <c r="F11" s="140" t="s">
        <v>556</v>
      </c>
      <c r="G11" s="141"/>
    </row>
    <row r="12" spans="1:38" ht="67.2" thickBot="1" x14ac:dyDescent="0.45">
      <c r="B12" s="142"/>
      <c r="M12" s="143"/>
      <c r="Q12" s="493" t="s">
        <v>1</v>
      </c>
      <c r="R12" s="494"/>
      <c r="S12" s="494"/>
      <c r="T12" s="495"/>
      <c r="U12" s="496" t="s">
        <v>2</v>
      </c>
      <c r="V12" s="497"/>
      <c r="W12" s="497"/>
      <c r="X12" s="498"/>
      <c r="Y12" s="144" t="s">
        <v>56</v>
      </c>
      <c r="Z12" s="145">
        <f>(1/(1-M14))-1</f>
        <v>0.24269914253759173</v>
      </c>
      <c r="AC12" s="499" t="s">
        <v>3</v>
      </c>
      <c r="AD12" s="500"/>
      <c r="AE12" s="501"/>
      <c r="AG12" s="502" t="s">
        <v>58</v>
      </c>
      <c r="AH12" s="503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9.9" customHeight="1" thickBot="1" x14ac:dyDescent="0.45">
      <c r="A14" s="150">
        <v>0</v>
      </c>
      <c r="B14" s="151"/>
      <c r="C14" s="152"/>
      <c r="D14" s="153"/>
      <c r="E14" s="153"/>
      <c r="F14" s="154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7.4999999999999997E-2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9.9" customHeight="1" thickBot="1" x14ac:dyDescent="0.5">
      <c r="A15" s="153">
        <v>1</v>
      </c>
      <c r="B15" s="178">
        <v>1</v>
      </c>
      <c r="C15" s="179" t="s">
        <v>121</v>
      </c>
      <c r="D15" s="153"/>
      <c r="E15" s="180"/>
      <c r="F15" s="480" t="s">
        <v>138</v>
      </c>
      <c r="G15" s="477"/>
      <c r="H15" s="477"/>
      <c r="I15" s="477"/>
      <c r="J15" s="477"/>
      <c r="K15" s="477"/>
      <c r="L15" s="477"/>
      <c r="M15" s="477"/>
      <c r="N15" s="477"/>
      <c r="Q15" s="477" t="str">
        <f>IF(F15&lt;&gt;"",F15,"")</f>
        <v>INTERNOS</v>
      </c>
      <c r="R15" s="477"/>
      <c r="S15" s="477"/>
      <c r="T15" s="477"/>
      <c r="U15" s="477"/>
      <c r="V15" s="477"/>
      <c r="W15" s="477"/>
      <c r="X15" s="477"/>
      <c r="Y15" s="477"/>
      <c r="AK15" s="477"/>
      <c r="AL15" s="477"/>
    </row>
    <row r="16" spans="1:38" ht="39.9" customHeight="1" x14ac:dyDescent="0.45">
      <c r="A16" s="153">
        <v>2</v>
      </c>
      <c r="B16" s="178" t="s">
        <v>123</v>
      </c>
      <c r="C16" s="179" t="s">
        <v>122</v>
      </c>
      <c r="D16" s="153"/>
      <c r="E16" s="153"/>
      <c r="F16" s="478" t="s">
        <v>138</v>
      </c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183" t="s">
        <v>82</v>
      </c>
      <c r="Q16" s="478" t="str">
        <f>IF(F16&lt;&gt;"",F16,"")</f>
        <v>INTERNOS</v>
      </c>
      <c r="R16" s="479"/>
      <c r="S16" s="479"/>
      <c r="T16" s="479"/>
      <c r="U16" s="479"/>
      <c r="V16" s="479"/>
      <c r="W16" s="479"/>
      <c r="X16" s="479"/>
      <c r="Y16" s="483"/>
      <c r="Z16" s="184" t="s">
        <v>126</v>
      </c>
      <c r="AA16" s="185" t="s">
        <v>83</v>
      </c>
      <c r="AK16" s="478"/>
      <c r="AL16" s="479"/>
    </row>
    <row r="17" spans="1:39" ht="120" customHeight="1" x14ac:dyDescent="0.4">
      <c r="A17" s="153">
        <v>3</v>
      </c>
      <c r="B17" s="178" t="s">
        <v>128</v>
      </c>
      <c r="C17" s="179" t="s">
        <v>127</v>
      </c>
      <c r="D17" s="153" t="s">
        <v>136</v>
      </c>
      <c r="E17" s="153" t="s">
        <v>137</v>
      </c>
      <c r="F17" s="186" t="s">
        <v>139</v>
      </c>
      <c r="G17" s="187" t="s">
        <v>140</v>
      </c>
      <c r="H17" s="188">
        <v>1</v>
      </c>
      <c r="I17" s="188">
        <v>1</v>
      </c>
      <c r="J17" s="189">
        <v>10200</v>
      </c>
      <c r="K17" s="189">
        <f t="shared" ref="K17:K24" si="0">IF(F17&lt;&gt;"",H17*I17*J17,"")</f>
        <v>10200</v>
      </c>
      <c r="L17" s="189">
        <f t="shared" ref="L17:L24" si="1">IF(K17&lt;&gt;"",IF(D17="INTERNO",0,K17*$L$14),"")</f>
        <v>0</v>
      </c>
      <c r="M17" s="189">
        <f t="shared" ref="M17:M24" si="2">IF(K17&lt;&gt;"",IF(E17="FAT.OGGI",SUM(K17:L17)*(1/(1-$M$14)-1),L17*(1/(1-$M$14)-1)),0)</f>
        <v>2475.5312538834355</v>
      </c>
      <c r="N17" s="190">
        <f t="shared" ref="N17:N24" si="3">SUM(K17:M17)</f>
        <v>12675.531253883435</v>
      </c>
      <c r="Q17" s="191">
        <v>1</v>
      </c>
      <c r="R17" s="192">
        <f t="shared" ref="Q17:R24" si="4">IF(I17&lt;&gt;"",I17,"")</f>
        <v>1</v>
      </c>
      <c r="S17" s="193">
        <v>13800</v>
      </c>
      <c r="T17" s="193">
        <v>27600</v>
      </c>
      <c r="U17" s="194">
        <f t="shared" ref="U17:U24" si="5">IF(Q17&lt;&gt;"",K17-T17,"")</f>
        <v>-17400</v>
      </c>
      <c r="V17" s="195">
        <f t="shared" ref="V17:V24" si="6">IF(Q17&lt;&gt;"",0%,"")</f>
        <v>0</v>
      </c>
      <c r="W17" s="196">
        <f t="shared" ref="W17:W24" si="7">IF(Q17&lt;&gt;"",V17*U17,"")</f>
        <v>0</v>
      </c>
      <c r="X17" s="196">
        <f t="shared" ref="X17:X24" si="8">IF(Q17&lt;&gt;"",W17+T17,"")</f>
        <v>27600</v>
      </c>
      <c r="Y17" s="197">
        <f t="shared" ref="Y17:Y25" si="9">IF(Q17&lt;&gt;"",X17+M17,"")</f>
        <v>30075.531253883437</v>
      </c>
      <c r="Z17" s="198">
        <f t="shared" ref="Z17:Z24" si="10">IF(Q17&lt;&gt;"", IFERROR(U17/K17, 0), 0)</f>
        <v>-1.7058823529411764</v>
      </c>
      <c r="AA17" s="199">
        <f t="shared" ref="AA17:AA24" si="11">IFERROR(T17/$T$25, "")</f>
        <v>0.32515218241320176</v>
      </c>
      <c r="AK17" s="200">
        <f>X17-AL17</f>
        <v>0</v>
      </c>
      <c r="AL17" s="201">
        <f>13800+13800</f>
        <v>27600</v>
      </c>
      <c r="AM17" s="454" t="s">
        <v>620</v>
      </c>
    </row>
    <row r="18" spans="1:39" ht="120" customHeight="1" x14ac:dyDescent="0.4">
      <c r="A18" s="153">
        <v>4</v>
      </c>
      <c r="B18" s="178" t="s">
        <v>105</v>
      </c>
      <c r="C18" s="179" t="s">
        <v>127</v>
      </c>
      <c r="D18" s="153" t="s">
        <v>136</v>
      </c>
      <c r="E18" s="153" t="s">
        <v>137</v>
      </c>
      <c r="F18" s="202" t="s">
        <v>141</v>
      </c>
      <c r="G18" s="203" t="s">
        <v>148</v>
      </c>
      <c r="H18" s="188">
        <v>1</v>
      </c>
      <c r="I18" s="188">
        <v>1</v>
      </c>
      <c r="J18" s="189">
        <v>2300</v>
      </c>
      <c r="K18" s="189">
        <f t="shared" si="0"/>
        <v>2300</v>
      </c>
      <c r="L18" s="189">
        <f t="shared" si="1"/>
        <v>0</v>
      </c>
      <c r="M18" s="189">
        <f t="shared" si="2"/>
        <v>558.20802783646093</v>
      </c>
      <c r="N18" s="190">
        <f t="shared" si="3"/>
        <v>2858.208027836461</v>
      </c>
      <c r="Q18" s="191">
        <f t="shared" si="4"/>
        <v>1</v>
      </c>
      <c r="R18" s="192">
        <f t="shared" si="4"/>
        <v>1</v>
      </c>
      <c r="S18" s="204">
        <v>0</v>
      </c>
      <c r="T18" s="204">
        <f t="shared" ref="T18:T24" si="12">IF(Q18&lt;&gt;"",Q18*R18*S18,"")</f>
        <v>0</v>
      </c>
      <c r="U18" s="194">
        <f t="shared" si="5"/>
        <v>2300</v>
      </c>
      <c r="V18" s="195">
        <f t="shared" si="6"/>
        <v>0</v>
      </c>
      <c r="W18" s="196">
        <f t="shared" si="7"/>
        <v>0</v>
      </c>
      <c r="X18" s="196">
        <f t="shared" si="8"/>
        <v>0</v>
      </c>
      <c r="Y18" s="197">
        <f t="shared" si="9"/>
        <v>558.20802783646093</v>
      </c>
      <c r="Z18" s="198">
        <f t="shared" si="10"/>
        <v>1</v>
      </c>
      <c r="AA18" s="199">
        <f t="shared" si="11"/>
        <v>0</v>
      </c>
      <c r="AK18" s="200">
        <f t="shared" ref="AK18:AK81" si="13">X18-AL18</f>
        <v>0</v>
      </c>
      <c r="AL18" s="201"/>
    </row>
    <row r="19" spans="1:39" ht="120" customHeight="1" x14ac:dyDescent="0.4">
      <c r="A19" s="153">
        <v>5</v>
      </c>
      <c r="B19" s="178" t="s">
        <v>129</v>
      </c>
      <c r="C19" s="179" t="s">
        <v>127</v>
      </c>
      <c r="D19" s="153" t="s">
        <v>136</v>
      </c>
      <c r="E19" s="153" t="s">
        <v>137</v>
      </c>
      <c r="F19" s="202" t="s">
        <v>142</v>
      </c>
      <c r="G19" s="203" t="s">
        <v>149</v>
      </c>
      <c r="H19" s="188">
        <v>1</v>
      </c>
      <c r="I19" s="188">
        <v>1</v>
      </c>
      <c r="J19" s="189">
        <v>8000</v>
      </c>
      <c r="K19" s="189">
        <f t="shared" si="0"/>
        <v>8000</v>
      </c>
      <c r="L19" s="189">
        <f t="shared" si="1"/>
        <v>0</v>
      </c>
      <c r="M19" s="189">
        <f t="shared" si="2"/>
        <v>1941.5931403007339</v>
      </c>
      <c r="N19" s="190">
        <f t="shared" si="3"/>
        <v>9941.5931403007344</v>
      </c>
      <c r="Q19" s="191">
        <f t="shared" si="4"/>
        <v>1</v>
      </c>
      <c r="R19" s="192">
        <f t="shared" si="4"/>
        <v>1</v>
      </c>
      <c r="S19" s="205">
        <v>3000</v>
      </c>
      <c r="T19" s="193">
        <v>0</v>
      </c>
      <c r="U19" s="194">
        <f t="shared" si="5"/>
        <v>8000</v>
      </c>
      <c r="V19" s="195">
        <f t="shared" si="6"/>
        <v>0</v>
      </c>
      <c r="W19" s="196">
        <f t="shared" si="7"/>
        <v>0</v>
      </c>
      <c r="X19" s="196">
        <f t="shared" si="8"/>
        <v>0</v>
      </c>
      <c r="Y19" s="197">
        <f t="shared" si="9"/>
        <v>1941.5931403007339</v>
      </c>
      <c r="Z19" s="198">
        <f t="shared" si="10"/>
        <v>1</v>
      </c>
      <c r="AA19" s="199">
        <f t="shared" si="11"/>
        <v>0</v>
      </c>
      <c r="AB19" s="206" t="s">
        <v>493</v>
      </c>
      <c r="AK19" s="200">
        <f t="shared" si="13"/>
        <v>0</v>
      </c>
      <c r="AL19" s="201"/>
    </row>
    <row r="20" spans="1:39" ht="120" customHeight="1" x14ac:dyDescent="0.4">
      <c r="A20" s="153">
        <v>6</v>
      </c>
      <c r="B20" s="178" t="s">
        <v>130</v>
      </c>
      <c r="C20" s="179" t="s">
        <v>127</v>
      </c>
      <c r="D20" s="153" t="s">
        <v>136</v>
      </c>
      <c r="E20" s="153" t="s">
        <v>137</v>
      </c>
      <c r="F20" s="202" t="s">
        <v>143</v>
      </c>
      <c r="G20" s="203" t="s">
        <v>150</v>
      </c>
      <c r="H20" s="188">
        <v>1</v>
      </c>
      <c r="I20" s="188">
        <v>1</v>
      </c>
      <c r="J20" s="189">
        <v>1800</v>
      </c>
      <c r="K20" s="189">
        <f t="shared" si="0"/>
        <v>1800</v>
      </c>
      <c r="L20" s="189">
        <f t="shared" si="1"/>
        <v>0</v>
      </c>
      <c r="M20" s="189">
        <f t="shared" si="2"/>
        <v>436.85845656766509</v>
      </c>
      <c r="N20" s="190">
        <f t="shared" si="3"/>
        <v>2236.8584565676651</v>
      </c>
      <c r="Q20" s="191">
        <f t="shared" si="4"/>
        <v>1</v>
      </c>
      <c r="R20" s="192">
        <f t="shared" si="4"/>
        <v>1</v>
      </c>
      <c r="S20" s="204">
        <v>0</v>
      </c>
      <c r="T20" s="204">
        <f t="shared" si="12"/>
        <v>0</v>
      </c>
      <c r="U20" s="194">
        <f t="shared" si="5"/>
        <v>1800</v>
      </c>
      <c r="V20" s="195">
        <f t="shared" si="6"/>
        <v>0</v>
      </c>
      <c r="W20" s="196">
        <f t="shared" si="7"/>
        <v>0</v>
      </c>
      <c r="X20" s="196">
        <f t="shared" si="8"/>
        <v>0</v>
      </c>
      <c r="Y20" s="197">
        <f t="shared" si="9"/>
        <v>436.85845656766509</v>
      </c>
      <c r="Z20" s="198">
        <f t="shared" si="10"/>
        <v>1</v>
      </c>
      <c r="AA20" s="199">
        <f t="shared" si="11"/>
        <v>0</v>
      </c>
      <c r="AK20" s="200">
        <f t="shared" si="13"/>
        <v>0</v>
      </c>
      <c r="AL20" s="201"/>
    </row>
    <row r="21" spans="1:39" ht="120" customHeight="1" x14ac:dyDescent="0.4">
      <c r="A21" s="153">
        <v>7</v>
      </c>
      <c r="B21" s="178" t="s">
        <v>131</v>
      </c>
      <c r="C21" s="179" t="s">
        <v>127</v>
      </c>
      <c r="D21" s="153" t="s">
        <v>136</v>
      </c>
      <c r="E21" s="153" t="s">
        <v>137</v>
      </c>
      <c r="F21" s="202" t="s">
        <v>144</v>
      </c>
      <c r="G21" s="203" t="s">
        <v>151</v>
      </c>
      <c r="H21" s="188">
        <v>1</v>
      </c>
      <c r="I21" s="188">
        <v>1</v>
      </c>
      <c r="J21" s="189">
        <v>5400</v>
      </c>
      <c r="K21" s="189">
        <f t="shared" si="0"/>
        <v>5400</v>
      </c>
      <c r="L21" s="189">
        <f t="shared" si="1"/>
        <v>0</v>
      </c>
      <c r="M21" s="189">
        <f t="shared" si="2"/>
        <v>1310.5753697029954</v>
      </c>
      <c r="N21" s="190">
        <f t="shared" si="3"/>
        <v>6710.5753697029959</v>
      </c>
      <c r="Q21" s="191">
        <f t="shared" si="4"/>
        <v>1</v>
      </c>
      <c r="R21" s="192">
        <f t="shared" si="4"/>
        <v>1</v>
      </c>
      <c r="S21" s="193">
        <f>1333.33</f>
        <v>1333.33</v>
      </c>
      <c r="T21" s="193">
        <f t="shared" si="12"/>
        <v>1333.33</v>
      </c>
      <c r="U21" s="194">
        <f t="shared" si="5"/>
        <v>4066.67</v>
      </c>
      <c r="V21" s="195">
        <f t="shared" si="6"/>
        <v>0</v>
      </c>
      <c r="W21" s="196">
        <f t="shared" si="7"/>
        <v>0</v>
      </c>
      <c r="X21" s="196">
        <f t="shared" si="8"/>
        <v>1333.33</v>
      </c>
      <c r="Y21" s="197">
        <f t="shared" si="9"/>
        <v>2643.9053697029954</v>
      </c>
      <c r="Z21" s="198">
        <f t="shared" si="10"/>
        <v>0.75308703703703705</v>
      </c>
      <c r="AA21" s="199">
        <f t="shared" si="11"/>
        <v>1.5707795629601239E-2</v>
      </c>
      <c r="AK21" s="200">
        <f t="shared" si="13"/>
        <v>0</v>
      </c>
      <c r="AL21" s="201">
        <v>1333.33</v>
      </c>
      <c r="AM21" s="454" t="s">
        <v>628</v>
      </c>
    </row>
    <row r="22" spans="1:39" ht="120" customHeight="1" x14ac:dyDescent="0.4">
      <c r="A22" s="153">
        <v>8</v>
      </c>
      <c r="B22" s="178" t="s">
        <v>132</v>
      </c>
      <c r="C22" s="179" t="s">
        <v>127</v>
      </c>
      <c r="D22" s="153" t="s">
        <v>136</v>
      </c>
      <c r="E22" s="153" t="s">
        <v>137</v>
      </c>
      <c r="F22" s="202" t="s">
        <v>145</v>
      </c>
      <c r="G22" s="203" t="s">
        <v>152</v>
      </c>
      <c r="H22" s="188">
        <v>1</v>
      </c>
      <c r="I22" s="188">
        <v>1.5</v>
      </c>
      <c r="J22" s="189">
        <v>8250</v>
      </c>
      <c r="K22" s="189">
        <f t="shared" si="0"/>
        <v>12375</v>
      </c>
      <c r="L22" s="189">
        <f t="shared" si="1"/>
        <v>0</v>
      </c>
      <c r="M22" s="189">
        <f t="shared" si="2"/>
        <v>3003.4018889026975</v>
      </c>
      <c r="N22" s="190">
        <f t="shared" si="3"/>
        <v>15378.401888902697</v>
      </c>
      <c r="Q22" s="191">
        <f t="shared" si="4"/>
        <v>1</v>
      </c>
      <c r="R22" s="192">
        <f t="shared" si="4"/>
        <v>1.5</v>
      </c>
      <c r="S22" s="204">
        <v>0</v>
      </c>
      <c r="T22" s="204">
        <f t="shared" si="12"/>
        <v>0</v>
      </c>
      <c r="U22" s="194">
        <f t="shared" si="5"/>
        <v>12375</v>
      </c>
      <c r="V22" s="195">
        <f t="shared" si="6"/>
        <v>0</v>
      </c>
      <c r="W22" s="196">
        <f t="shared" si="7"/>
        <v>0</v>
      </c>
      <c r="X22" s="196">
        <f t="shared" si="8"/>
        <v>0</v>
      </c>
      <c r="Y22" s="197">
        <f t="shared" si="9"/>
        <v>3003.4018889026975</v>
      </c>
      <c r="Z22" s="198">
        <f t="shared" si="10"/>
        <v>1</v>
      </c>
      <c r="AA22" s="199">
        <f t="shared" si="11"/>
        <v>0</v>
      </c>
      <c r="AK22" s="200">
        <f t="shared" si="13"/>
        <v>0</v>
      </c>
      <c r="AL22" s="201"/>
    </row>
    <row r="23" spans="1:39" ht="120" customHeight="1" x14ac:dyDescent="0.4">
      <c r="A23" s="153">
        <v>9</v>
      </c>
      <c r="B23" s="178" t="s">
        <v>133</v>
      </c>
      <c r="C23" s="179" t="s">
        <v>127</v>
      </c>
      <c r="D23" s="153" t="s">
        <v>136</v>
      </c>
      <c r="E23" s="153" t="s">
        <v>137</v>
      </c>
      <c r="F23" s="202" t="s">
        <v>146</v>
      </c>
      <c r="G23" s="203" t="s">
        <v>153</v>
      </c>
      <c r="H23" s="188">
        <v>1</v>
      </c>
      <c r="I23" s="188">
        <v>1.5</v>
      </c>
      <c r="J23" s="189">
        <v>8250</v>
      </c>
      <c r="K23" s="189">
        <f t="shared" si="0"/>
        <v>12375</v>
      </c>
      <c r="L23" s="189">
        <f t="shared" si="1"/>
        <v>0</v>
      </c>
      <c r="M23" s="189">
        <f t="shared" si="2"/>
        <v>3003.4018889026975</v>
      </c>
      <c r="N23" s="190">
        <f t="shared" si="3"/>
        <v>15378.401888902697</v>
      </c>
      <c r="Q23" s="191">
        <f t="shared" si="4"/>
        <v>1</v>
      </c>
      <c r="R23" s="192">
        <v>1</v>
      </c>
      <c r="S23" s="193">
        <v>12000</v>
      </c>
      <c r="T23" s="193">
        <v>55950</v>
      </c>
      <c r="U23" s="194">
        <f t="shared" si="5"/>
        <v>-43575</v>
      </c>
      <c r="V23" s="195">
        <f t="shared" si="6"/>
        <v>0</v>
      </c>
      <c r="W23" s="196">
        <f t="shared" si="7"/>
        <v>0</v>
      </c>
      <c r="X23" s="196">
        <f t="shared" si="8"/>
        <v>55950</v>
      </c>
      <c r="Y23" s="197">
        <f t="shared" si="9"/>
        <v>58953.401888902699</v>
      </c>
      <c r="Z23" s="198">
        <f t="shared" si="10"/>
        <v>-3.521212121212121</v>
      </c>
      <c r="AA23" s="199">
        <f t="shared" si="11"/>
        <v>0.65914002195719701</v>
      </c>
      <c r="AK23" s="200">
        <f t="shared" si="13"/>
        <v>0</v>
      </c>
      <c r="AL23" s="201">
        <f>1950+10000+10000+12000+12000+10000</f>
        <v>55950</v>
      </c>
      <c r="AM23" s="454" t="s">
        <v>637</v>
      </c>
    </row>
    <row r="24" spans="1:39" ht="120" customHeight="1" x14ac:dyDescent="0.4">
      <c r="A24" s="153">
        <v>10</v>
      </c>
      <c r="B24" s="178" t="s">
        <v>134</v>
      </c>
      <c r="C24" s="179" t="s">
        <v>127</v>
      </c>
      <c r="D24" s="153" t="s">
        <v>136</v>
      </c>
      <c r="E24" s="153" t="s">
        <v>137</v>
      </c>
      <c r="F24" s="207" t="s">
        <v>147</v>
      </c>
      <c r="G24" s="208" t="s">
        <v>154</v>
      </c>
      <c r="H24" s="209">
        <v>1</v>
      </c>
      <c r="I24" s="209">
        <v>1.5</v>
      </c>
      <c r="J24" s="210">
        <v>6500</v>
      </c>
      <c r="K24" s="210">
        <f t="shared" si="0"/>
        <v>9750</v>
      </c>
      <c r="L24" s="210">
        <f t="shared" si="1"/>
        <v>0</v>
      </c>
      <c r="M24" s="210">
        <f t="shared" si="2"/>
        <v>2366.3166397415193</v>
      </c>
      <c r="N24" s="211">
        <f t="shared" si="3"/>
        <v>12116.316639741519</v>
      </c>
      <c r="Q24" s="212">
        <f t="shared" si="4"/>
        <v>1</v>
      </c>
      <c r="R24" s="213">
        <f t="shared" si="4"/>
        <v>1.5</v>
      </c>
      <c r="S24" s="214">
        <v>0</v>
      </c>
      <c r="T24" s="214">
        <f t="shared" si="12"/>
        <v>0</v>
      </c>
      <c r="U24" s="215">
        <f t="shared" si="5"/>
        <v>9750</v>
      </c>
      <c r="V24" s="216">
        <f t="shared" si="6"/>
        <v>0</v>
      </c>
      <c r="W24" s="217">
        <f t="shared" si="7"/>
        <v>0</v>
      </c>
      <c r="X24" s="217">
        <f t="shared" si="8"/>
        <v>0</v>
      </c>
      <c r="Y24" s="218">
        <f t="shared" si="9"/>
        <v>2366.3166397415193</v>
      </c>
      <c r="Z24" s="198">
        <f t="shared" si="10"/>
        <v>1</v>
      </c>
      <c r="AA24" s="199">
        <f t="shared" si="11"/>
        <v>0</v>
      </c>
      <c r="AK24" s="200">
        <f t="shared" si="13"/>
        <v>0</v>
      </c>
      <c r="AL24" s="201"/>
    </row>
    <row r="25" spans="1:39" ht="39.9" customHeight="1" thickBot="1" x14ac:dyDescent="0.5">
      <c r="A25" s="153">
        <v>11</v>
      </c>
      <c r="B25" s="178"/>
      <c r="C25" s="179" t="s">
        <v>155</v>
      </c>
      <c r="D25" s="153"/>
      <c r="E25" s="153"/>
      <c r="F25" s="484" t="s">
        <v>156</v>
      </c>
      <c r="G25" s="485"/>
      <c r="H25" s="485"/>
      <c r="I25" s="485"/>
      <c r="J25" s="485"/>
      <c r="K25" s="219">
        <f>SUM(K17:K24)</f>
        <v>62200</v>
      </c>
      <c r="L25" s="220">
        <f>SUM(L17:L24)</f>
        <v>0</v>
      </c>
      <c r="M25" s="220">
        <f>SUM(M17:M24)</f>
        <v>15095.886665838205</v>
      </c>
      <c r="N25" s="221">
        <f>SUM(N17:N24)</f>
        <v>77295.886665838218</v>
      </c>
      <c r="Q25" s="484" t="s">
        <v>156</v>
      </c>
      <c r="R25" s="485"/>
      <c r="S25" s="485"/>
      <c r="T25" s="222">
        <f>SUM(T17:T24)</f>
        <v>84883.33</v>
      </c>
      <c r="U25" s="223">
        <f>SUM(U17:U24)</f>
        <v>-22683.33</v>
      </c>
      <c r="V25" s="224"/>
      <c r="W25" s="224"/>
      <c r="X25" s="225">
        <f>SUM(X17:X24)</f>
        <v>84883.33</v>
      </c>
      <c r="Y25" s="226">
        <f t="shared" si="9"/>
        <v>99979.216665838205</v>
      </c>
      <c r="AK25" s="200"/>
      <c r="AL25" s="201"/>
    </row>
    <row r="26" spans="1:39" ht="39.9" customHeight="1" thickBot="1" x14ac:dyDescent="0.5">
      <c r="A26" s="153">
        <v>12</v>
      </c>
      <c r="B26" s="178">
        <v>2</v>
      </c>
      <c r="C26" s="179" t="s">
        <v>121</v>
      </c>
      <c r="D26" s="153"/>
      <c r="E26" s="180"/>
      <c r="F26" s="480" t="s">
        <v>158</v>
      </c>
      <c r="G26" s="477"/>
      <c r="H26" s="477"/>
      <c r="I26" s="477"/>
      <c r="J26" s="477"/>
      <c r="K26" s="477"/>
      <c r="L26" s="477"/>
      <c r="M26" s="477"/>
      <c r="N26" s="477"/>
      <c r="Q26" s="481" t="str">
        <f>IF(F26&lt;&gt;"",F26,"")</f>
        <v>ESTRUTURA</v>
      </c>
      <c r="R26" s="481"/>
      <c r="S26" s="481"/>
      <c r="T26" s="481"/>
      <c r="U26" s="481"/>
      <c r="V26" s="481"/>
      <c r="W26" s="481"/>
      <c r="X26" s="481"/>
      <c r="Y26" s="481"/>
      <c r="AK26" s="200"/>
      <c r="AL26" s="201"/>
    </row>
    <row r="27" spans="1:39" ht="39.9" customHeight="1" x14ac:dyDescent="0.45">
      <c r="A27" s="153">
        <v>13</v>
      </c>
      <c r="B27" s="178" t="s">
        <v>157</v>
      </c>
      <c r="C27" s="179" t="s">
        <v>122</v>
      </c>
      <c r="D27" s="153"/>
      <c r="E27" s="153"/>
      <c r="F27" s="478" t="s">
        <v>158</v>
      </c>
      <c r="G27" s="479"/>
      <c r="H27" s="479"/>
      <c r="I27" s="479"/>
      <c r="J27" s="479"/>
      <c r="K27" s="482"/>
      <c r="L27" s="181" t="s">
        <v>124</v>
      </c>
      <c r="M27" s="182" t="s">
        <v>125</v>
      </c>
      <c r="N27" s="183" t="s">
        <v>82</v>
      </c>
      <c r="Q27" s="478" t="str">
        <f>IF(F27&lt;&gt;"",F27,"")</f>
        <v>ESTRUTURA</v>
      </c>
      <c r="R27" s="479"/>
      <c r="S27" s="479"/>
      <c r="T27" s="479"/>
      <c r="U27" s="479"/>
      <c r="V27" s="479"/>
      <c r="W27" s="479"/>
      <c r="X27" s="479"/>
      <c r="Y27" s="483"/>
      <c r="Z27" s="184" t="s">
        <v>126</v>
      </c>
      <c r="AA27" s="185" t="s">
        <v>83</v>
      </c>
      <c r="AK27" s="200"/>
      <c r="AL27" s="201"/>
    </row>
    <row r="28" spans="1:39" ht="120" customHeight="1" x14ac:dyDescent="0.4">
      <c r="A28" s="153">
        <v>14</v>
      </c>
      <c r="B28" s="178" t="s">
        <v>159</v>
      </c>
      <c r="C28" s="179" t="s">
        <v>127</v>
      </c>
      <c r="D28" s="153" t="s">
        <v>135</v>
      </c>
      <c r="E28" s="153" t="s">
        <v>137</v>
      </c>
      <c r="F28" s="186" t="s">
        <v>172</v>
      </c>
      <c r="G28" s="187" t="s">
        <v>436</v>
      </c>
      <c r="H28" s="188">
        <v>1</v>
      </c>
      <c r="I28" s="188">
        <v>1</v>
      </c>
      <c r="J28" s="189">
        <v>15841</v>
      </c>
      <c r="K28" s="189">
        <f t="shared" ref="K28:K42" si="14">IF(F28&lt;&gt;"",H28*I28*J28,"")</f>
        <v>15841</v>
      </c>
      <c r="L28" s="189">
        <f t="shared" ref="L28:L42" si="15">IF(K28&lt;&gt;"",IF(D28="INTERNO",0,K28*$L$14),"")</f>
        <v>1188.075</v>
      </c>
      <c r="M28" s="189">
        <f t="shared" ref="M28:M42" si="16">IF(K28&lt;&gt;"",IF(E28="FAT.OGGI",SUM(K28:L28)*(1/(1-$M$14)-1),L28*(1/(1-$M$14)-1)),0)</f>
        <v>4132.9419007083397</v>
      </c>
      <c r="N28" s="190">
        <f t="shared" ref="N28:N42" si="17">SUM(K28:M28)</f>
        <v>21162.016900708339</v>
      </c>
      <c r="O28" s="128" t="s">
        <v>399</v>
      </c>
      <c r="Q28" s="191">
        <f t="shared" ref="Q28:Q42" si="18">IF(H28&lt;&gt;"",H28,"")</f>
        <v>1</v>
      </c>
      <c r="R28" s="192">
        <f t="shared" ref="R28:R42" si="19">IF(I28&lt;&gt;"",I28,"")</f>
        <v>1</v>
      </c>
      <c r="S28" s="204">
        <f>14486.4+43.98</f>
        <v>14530.38</v>
      </c>
      <c r="T28" s="193">
        <v>0</v>
      </c>
      <c r="U28" s="194">
        <f t="shared" ref="U28:U42" si="20">IF(Q28&lt;&gt;"",K28-T28,"")</f>
        <v>15841</v>
      </c>
      <c r="V28" s="195">
        <f t="shared" ref="V28:V42" si="21">IF(Q28&lt;&gt;"",0%,"")</f>
        <v>0</v>
      </c>
      <c r="W28" s="196">
        <f t="shared" ref="W28:W42" si="22">IF(Q28&lt;&gt;"",V28*U28,"")</f>
        <v>0</v>
      </c>
      <c r="X28" s="196">
        <f t="shared" ref="X28:X42" si="23">IF(Q28&lt;&gt;"",W28+T28,"")</f>
        <v>0</v>
      </c>
      <c r="Y28" s="197">
        <f t="shared" ref="Y28:Y43" si="24">IF(Q28&lt;&gt;"",X28+M28,"")</f>
        <v>4132.9419007083397</v>
      </c>
      <c r="Z28" s="198">
        <f t="shared" ref="Z28:Z42" si="25">IF(Q28&lt;&gt;"", IFERROR(U28/K28, 0), 0)</f>
        <v>1</v>
      </c>
      <c r="AA28" s="199">
        <f t="shared" ref="AA28:AA42" si="26">IFERROR(T28/$T$43, "")</f>
        <v>0</v>
      </c>
      <c r="AK28" s="200">
        <f t="shared" si="13"/>
        <v>0</v>
      </c>
      <c r="AL28" s="201">
        <v>0</v>
      </c>
    </row>
    <row r="29" spans="1:39" ht="120" customHeight="1" x14ac:dyDescent="0.4">
      <c r="A29" s="153">
        <v>15</v>
      </c>
      <c r="B29" s="178" t="s">
        <v>160</v>
      </c>
      <c r="C29" s="179" t="s">
        <v>127</v>
      </c>
      <c r="D29" s="153" t="s">
        <v>135</v>
      </c>
      <c r="E29" s="153" t="s">
        <v>137</v>
      </c>
      <c r="F29" s="186" t="s">
        <v>173</v>
      </c>
      <c r="G29" s="187" t="s">
        <v>428</v>
      </c>
      <c r="H29" s="188">
        <v>1</v>
      </c>
      <c r="I29" s="188">
        <v>1</v>
      </c>
      <c r="J29" s="189">
        <v>6325</v>
      </c>
      <c r="K29" s="189">
        <f t="shared" si="14"/>
        <v>6325</v>
      </c>
      <c r="L29" s="189">
        <f t="shared" si="15"/>
        <v>474.375</v>
      </c>
      <c r="M29" s="189">
        <f t="shared" si="16"/>
        <v>1650.2024822915378</v>
      </c>
      <c r="N29" s="190">
        <f t="shared" si="17"/>
        <v>8449.5774822915373</v>
      </c>
      <c r="O29" s="128" t="s">
        <v>399</v>
      </c>
      <c r="Q29" s="191">
        <f t="shared" si="18"/>
        <v>1</v>
      </c>
      <c r="R29" s="192">
        <f t="shared" si="19"/>
        <v>1</v>
      </c>
      <c r="S29" s="204">
        <v>6211.4</v>
      </c>
      <c r="T29" s="193">
        <v>0</v>
      </c>
      <c r="U29" s="194">
        <f t="shared" si="20"/>
        <v>6325</v>
      </c>
      <c r="V29" s="195">
        <f t="shared" si="21"/>
        <v>0</v>
      </c>
      <c r="W29" s="196">
        <f t="shared" si="22"/>
        <v>0</v>
      </c>
      <c r="X29" s="196">
        <f t="shared" si="23"/>
        <v>0</v>
      </c>
      <c r="Y29" s="197">
        <f t="shared" si="24"/>
        <v>1650.2024822915378</v>
      </c>
      <c r="Z29" s="198">
        <f t="shared" si="25"/>
        <v>1</v>
      </c>
      <c r="AA29" s="199">
        <f t="shared" si="26"/>
        <v>0</v>
      </c>
      <c r="AK29" s="200">
        <f t="shared" si="13"/>
        <v>0</v>
      </c>
      <c r="AL29" s="201"/>
    </row>
    <row r="30" spans="1:39" ht="120" customHeight="1" x14ac:dyDescent="0.4">
      <c r="A30" s="153">
        <v>16</v>
      </c>
      <c r="B30" s="178" t="s">
        <v>161</v>
      </c>
      <c r="C30" s="179" t="s">
        <v>127</v>
      </c>
      <c r="D30" s="153" t="s">
        <v>135</v>
      </c>
      <c r="E30" s="153" t="s">
        <v>137</v>
      </c>
      <c r="F30" s="186" t="s">
        <v>174</v>
      </c>
      <c r="G30" s="187" t="s">
        <v>184</v>
      </c>
      <c r="H30" s="188">
        <v>1</v>
      </c>
      <c r="I30" s="188">
        <v>1</v>
      </c>
      <c r="J30" s="189">
        <v>2242.5</v>
      </c>
      <c r="K30" s="189">
        <f t="shared" si="14"/>
        <v>2242.5</v>
      </c>
      <c r="L30" s="189">
        <f t="shared" si="15"/>
        <v>168.1875</v>
      </c>
      <c r="M30" s="189">
        <f t="shared" si="16"/>
        <v>585.07178917609065</v>
      </c>
      <c r="N30" s="190">
        <f t="shared" si="17"/>
        <v>2995.7592891760905</v>
      </c>
      <c r="O30" s="128" t="s">
        <v>399</v>
      </c>
      <c r="Q30" s="191">
        <f t="shared" si="18"/>
        <v>1</v>
      </c>
      <c r="R30" s="192">
        <f t="shared" si="19"/>
        <v>1</v>
      </c>
      <c r="S30" s="204">
        <v>2661.4</v>
      </c>
      <c r="T30" s="193">
        <v>0</v>
      </c>
      <c r="U30" s="194">
        <f t="shared" si="20"/>
        <v>2242.5</v>
      </c>
      <c r="V30" s="195">
        <f t="shared" si="21"/>
        <v>0</v>
      </c>
      <c r="W30" s="196">
        <f t="shared" si="22"/>
        <v>0</v>
      </c>
      <c r="X30" s="196">
        <f t="shared" si="23"/>
        <v>0</v>
      </c>
      <c r="Y30" s="197">
        <f t="shared" si="24"/>
        <v>585.07178917609065</v>
      </c>
      <c r="Z30" s="198">
        <f t="shared" si="25"/>
        <v>1</v>
      </c>
      <c r="AA30" s="199">
        <f t="shared" si="26"/>
        <v>0</v>
      </c>
      <c r="AK30" s="200">
        <f t="shared" si="13"/>
        <v>0</v>
      </c>
      <c r="AL30" s="201"/>
    </row>
    <row r="31" spans="1:39" ht="120" customHeight="1" x14ac:dyDescent="0.4">
      <c r="A31" s="153">
        <v>17</v>
      </c>
      <c r="B31" s="178" t="s">
        <v>162</v>
      </c>
      <c r="C31" s="179" t="s">
        <v>127</v>
      </c>
      <c r="D31" s="153" t="s">
        <v>135</v>
      </c>
      <c r="E31" s="153" t="s">
        <v>137</v>
      </c>
      <c r="F31" s="186" t="s">
        <v>175</v>
      </c>
      <c r="G31" s="187" t="s">
        <v>185</v>
      </c>
      <c r="H31" s="188">
        <v>1</v>
      </c>
      <c r="I31" s="188">
        <v>1</v>
      </c>
      <c r="J31" s="189">
        <v>1437.5</v>
      </c>
      <c r="K31" s="189">
        <f t="shared" si="14"/>
        <v>1437.5</v>
      </c>
      <c r="L31" s="189">
        <f t="shared" si="15"/>
        <v>107.8125</v>
      </c>
      <c r="M31" s="189">
        <f t="shared" si="16"/>
        <v>375.04601870262223</v>
      </c>
      <c r="N31" s="190">
        <f t="shared" si="17"/>
        <v>1920.3585187026222</v>
      </c>
      <c r="O31" s="128" t="s">
        <v>399</v>
      </c>
      <c r="Q31" s="191">
        <f t="shared" si="18"/>
        <v>1</v>
      </c>
      <c r="R31" s="192">
        <f t="shared" si="19"/>
        <v>1</v>
      </c>
      <c r="S31" s="204">
        <v>1961.4</v>
      </c>
      <c r="T31" s="193">
        <v>0</v>
      </c>
      <c r="U31" s="194">
        <f t="shared" si="20"/>
        <v>1437.5</v>
      </c>
      <c r="V31" s="195">
        <f t="shared" si="21"/>
        <v>0</v>
      </c>
      <c r="W31" s="196">
        <f t="shared" si="22"/>
        <v>0</v>
      </c>
      <c r="X31" s="196">
        <f t="shared" si="23"/>
        <v>0</v>
      </c>
      <c r="Y31" s="197">
        <f t="shared" si="24"/>
        <v>375.04601870262223</v>
      </c>
      <c r="Z31" s="198">
        <f t="shared" si="25"/>
        <v>1</v>
      </c>
      <c r="AA31" s="199">
        <f t="shared" si="26"/>
        <v>0</v>
      </c>
      <c r="AK31" s="200">
        <f t="shared" si="13"/>
        <v>0</v>
      </c>
      <c r="AL31" s="201"/>
    </row>
    <row r="32" spans="1:39" ht="120" customHeight="1" x14ac:dyDescent="0.4">
      <c r="A32" s="153">
        <v>18</v>
      </c>
      <c r="B32" s="178" t="s">
        <v>163</v>
      </c>
      <c r="C32" s="179" t="s">
        <v>127</v>
      </c>
      <c r="D32" s="153" t="s">
        <v>135</v>
      </c>
      <c r="E32" s="153" t="s">
        <v>137</v>
      </c>
      <c r="F32" s="186" t="s">
        <v>176</v>
      </c>
      <c r="G32" s="187" t="s">
        <v>186</v>
      </c>
      <c r="H32" s="188">
        <v>1</v>
      </c>
      <c r="I32" s="188">
        <v>1</v>
      </c>
      <c r="J32" s="189">
        <v>2472.5</v>
      </c>
      <c r="K32" s="189">
        <f t="shared" si="14"/>
        <v>2472.5</v>
      </c>
      <c r="L32" s="189">
        <f t="shared" si="15"/>
        <v>185.4375</v>
      </c>
      <c r="M32" s="189">
        <f t="shared" si="16"/>
        <v>645.07915216851018</v>
      </c>
      <c r="N32" s="190">
        <f t="shared" si="17"/>
        <v>3303.0166521685101</v>
      </c>
      <c r="O32" s="128" t="s">
        <v>399</v>
      </c>
      <c r="Q32" s="191">
        <f t="shared" si="18"/>
        <v>1</v>
      </c>
      <c r="R32" s="192">
        <f t="shared" si="19"/>
        <v>1</v>
      </c>
      <c r="S32" s="204">
        <v>2861.4</v>
      </c>
      <c r="T32" s="193">
        <v>0</v>
      </c>
      <c r="U32" s="194">
        <f t="shared" si="20"/>
        <v>2472.5</v>
      </c>
      <c r="V32" s="195">
        <f t="shared" si="21"/>
        <v>0</v>
      </c>
      <c r="W32" s="196">
        <f t="shared" si="22"/>
        <v>0</v>
      </c>
      <c r="X32" s="196">
        <f t="shared" si="23"/>
        <v>0</v>
      </c>
      <c r="Y32" s="197">
        <f t="shared" si="24"/>
        <v>645.07915216851018</v>
      </c>
      <c r="Z32" s="198">
        <f t="shared" si="25"/>
        <v>1</v>
      </c>
      <c r="AA32" s="199">
        <f t="shared" si="26"/>
        <v>0</v>
      </c>
      <c r="AK32" s="200">
        <f t="shared" si="13"/>
        <v>0</v>
      </c>
      <c r="AL32" s="201"/>
    </row>
    <row r="33" spans="1:39" ht="120" customHeight="1" x14ac:dyDescent="0.4">
      <c r="A33" s="153">
        <v>19</v>
      </c>
      <c r="B33" s="227" t="s">
        <v>164</v>
      </c>
      <c r="C33" s="179" t="s">
        <v>127</v>
      </c>
      <c r="D33" s="153" t="s">
        <v>135</v>
      </c>
      <c r="E33" s="153" t="s">
        <v>137</v>
      </c>
      <c r="F33" s="186" t="s">
        <v>177</v>
      </c>
      <c r="G33" s="187" t="s">
        <v>187</v>
      </c>
      <c r="H33" s="188">
        <v>1</v>
      </c>
      <c r="I33" s="188">
        <v>1</v>
      </c>
      <c r="J33" s="189">
        <v>2185</v>
      </c>
      <c r="K33" s="189">
        <f t="shared" si="14"/>
        <v>2185</v>
      </c>
      <c r="L33" s="189">
        <f t="shared" si="15"/>
        <v>163.875</v>
      </c>
      <c r="M33" s="189">
        <f t="shared" si="16"/>
        <v>570.06994842798576</v>
      </c>
      <c r="N33" s="190">
        <f t="shared" si="17"/>
        <v>2918.9449484279858</v>
      </c>
      <c r="O33" s="128" t="s">
        <v>399</v>
      </c>
      <c r="Q33" s="191">
        <f t="shared" si="18"/>
        <v>1</v>
      </c>
      <c r="R33" s="192">
        <f t="shared" si="19"/>
        <v>1</v>
      </c>
      <c r="S33" s="204">
        <v>2611.4</v>
      </c>
      <c r="T33" s="193">
        <v>0</v>
      </c>
      <c r="U33" s="194">
        <f t="shared" si="20"/>
        <v>2185</v>
      </c>
      <c r="V33" s="195">
        <f t="shared" si="21"/>
        <v>0</v>
      </c>
      <c r="W33" s="196">
        <f t="shared" si="22"/>
        <v>0</v>
      </c>
      <c r="X33" s="196">
        <f t="shared" si="23"/>
        <v>0</v>
      </c>
      <c r="Y33" s="197">
        <f t="shared" si="24"/>
        <v>570.06994842798576</v>
      </c>
      <c r="Z33" s="198">
        <f t="shared" si="25"/>
        <v>1</v>
      </c>
      <c r="AA33" s="199">
        <f t="shared" si="26"/>
        <v>0</v>
      </c>
      <c r="AK33" s="200">
        <f t="shared" si="13"/>
        <v>0</v>
      </c>
      <c r="AL33" s="201"/>
    </row>
    <row r="34" spans="1:39" ht="39.9" customHeight="1" x14ac:dyDescent="0.45">
      <c r="A34" s="228">
        <v>20</v>
      </c>
      <c r="B34" s="229" t="s">
        <v>165</v>
      </c>
      <c r="C34" s="230" t="s">
        <v>490</v>
      </c>
      <c r="D34" s="230" t="s">
        <v>135</v>
      </c>
      <c r="E34" s="228" t="s">
        <v>137</v>
      </c>
      <c r="F34" s="231" t="s">
        <v>384</v>
      </c>
      <c r="G34" s="232" t="s">
        <v>385</v>
      </c>
      <c r="H34" s="233">
        <v>1</v>
      </c>
      <c r="I34" s="233">
        <v>0</v>
      </c>
      <c r="J34" s="234">
        <v>3450</v>
      </c>
      <c r="K34" s="234">
        <f t="shared" si="14"/>
        <v>0</v>
      </c>
      <c r="L34" s="234">
        <f t="shared" si="15"/>
        <v>0</v>
      </c>
      <c r="M34" s="234">
        <f t="shared" si="16"/>
        <v>0</v>
      </c>
      <c r="N34" s="235">
        <f t="shared" si="17"/>
        <v>0</v>
      </c>
      <c r="O34" s="128" t="s">
        <v>399</v>
      </c>
      <c r="Q34" s="191">
        <f t="shared" si="18"/>
        <v>1</v>
      </c>
      <c r="R34" s="192">
        <f t="shared" si="19"/>
        <v>0</v>
      </c>
      <c r="S34" s="204">
        <v>0</v>
      </c>
      <c r="T34" s="193">
        <f t="shared" ref="T34:T36" si="27">IF(Q34&lt;&gt;"",Q34*R34*S34,"")</f>
        <v>0</v>
      </c>
      <c r="U34" s="194">
        <f t="shared" si="20"/>
        <v>0</v>
      </c>
      <c r="V34" s="195">
        <f t="shared" si="21"/>
        <v>0</v>
      </c>
      <c r="W34" s="196">
        <f t="shared" si="22"/>
        <v>0</v>
      </c>
      <c r="X34" s="196">
        <f t="shared" si="23"/>
        <v>0</v>
      </c>
      <c r="Y34" s="197">
        <f t="shared" si="24"/>
        <v>0</v>
      </c>
      <c r="Z34" s="198">
        <f t="shared" si="25"/>
        <v>0</v>
      </c>
      <c r="AA34" s="199">
        <f t="shared" si="26"/>
        <v>0</v>
      </c>
      <c r="AK34" s="200">
        <f t="shared" si="13"/>
        <v>0</v>
      </c>
      <c r="AL34" s="201"/>
    </row>
    <row r="35" spans="1:39" ht="120" customHeight="1" x14ac:dyDescent="0.4">
      <c r="A35" s="236">
        <v>20</v>
      </c>
      <c r="B35" s="227" t="s">
        <v>166</v>
      </c>
      <c r="C35" s="237" t="s">
        <v>127</v>
      </c>
      <c r="D35" s="236" t="s">
        <v>135</v>
      </c>
      <c r="E35" s="236" t="s">
        <v>137</v>
      </c>
      <c r="F35" s="186" t="s">
        <v>178</v>
      </c>
      <c r="G35" s="187" t="s">
        <v>188</v>
      </c>
      <c r="H35" s="188">
        <v>3</v>
      </c>
      <c r="I35" s="188">
        <v>1</v>
      </c>
      <c r="J35" s="189">
        <v>1725</v>
      </c>
      <c r="K35" s="189">
        <f t="shared" si="14"/>
        <v>5175</v>
      </c>
      <c r="L35" s="189">
        <f t="shared" si="15"/>
        <v>388.125</v>
      </c>
      <c r="M35" s="189">
        <f t="shared" si="16"/>
        <v>1350.1656673294399</v>
      </c>
      <c r="N35" s="190">
        <f t="shared" si="17"/>
        <v>6913.2906673294401</v>
      </c>
      <c r="O35" s="128" t="s">
        <v>399</v>
      </c>
      <c r="Q35" s="191">
        <f t="shared" si="18"/>
        <v>3</v>
      </c>
      <c r="R35" s="192">
        <f t="shared" si="19"/>
        <v>1</v>
      </c>
      <c r="S35" s="204">
        <v>1437.14</v>
      </c>
      <c r="T35" s="193">
        <v>0</v>
      </c>
      <c r="U35" s="194">
        <f t="shared" si="20"/>
        <v>5175</v>
      </c>
      <c r="V35" s="195">
        <f t="shared" si="21"/>
        <v>0</v>
      </c>
      <c r="W35" s="196">
        <f t="shared" si="22"/>
        <v>0</v>
      </c>
      <c r="X35" s="196">
        <f t="shared" si="23"/>
        <v>0</v>
      </c>
      <c r="Y35" s="197">
        <f t="shared" si="24"/>
        <v>1350.1656673294399</v>
      </c>
      <c r="Z35" s="198">
        <f t="shared" si="25"/>
        <v>1</v>
      </c>
      <c r="AA35" s="199">
        <f t="shared" si="26"/>
        <v>0</v>
      </c>
      <c r="AK35" s="200">
        <f t="shared" si="13"/>
        <v>0</v>
      </c>
      <c r="AL35" s="201"/>
    </row>
    <row r="36" spans="1:39" ht="120" customHeight="1" x14ac:dyDescent="0.4">
      <c r="A36" s="153"/>
      <c r="B36" s="227" t="s">
        <v>167</v>
      </c>
      <c r="C36" s="179" t="s">
        <v>127</v>
      </c>
      <c r="D36" s="153" t="s">
        <v>135</v>
      </c>
      <c r="E36" s="153" t="s">
        <v>137</v>
      </c>
      <c r="F36" s="238" t="s">
        <v>386</v>
      </c>
      <c r="G36" s="203" t="s">
        <v>557</v>
      </c>
      <c r="H36" s="188">
        <v>1</v>
      </c>
      <c r="I36" s="188">
        <v>0</v>
      </c>
      <c r="J36" s="189">
        <v>920</v>
      </c>
      <c r="K36" s="189">
        <f t="shared" si="14"/>
        <v>0</v>
      </c>
      <c r="L36" s="189">
        <f t="shared" si="15"/>
        <v>0</v>
      </c>
      <c r="M36" s="189">
        <f t="shared" si="16"/>
        <v>0</v>
      </c>
      <c r="N36" s="190">
        <f t="shared" si="17"/>
        <v>0</v>
      </c>
      <c r="O36" s="128" t="s">
        <v>399</v>
      </c>
      <c r="Q36" s="191">
        <f t="shared" si="18"/>
        <v>1</v>
      </c>
      <c r="R36" s="192">
        <f t="shared" si="19"/>
        <v>0</v>
      </c>
      <c r="S36" s="204">
        <v>800</v>
      </c>
      <c r="T36" s="193">
        <f t="shared" si="27"/>
        <v>0</v>
      </c>
      <c r="U36" s="194">
        <f t="shared" si="20"/>
        <v>0</v>
      </c>
      <c r="V36" s="195">
        <f t="shared" si="21"/>
        <v>0</v>
      </c>
      <c r="W36" s="196">
        <f t="shared" si="22"/>
        <v>0</v>
      </c>
      <c r="X36" s="196">
        <f t="shared" si="23"/>
        <v>0</v>
      </c>
      <c r="Y36" s="197">
        <f t="shared" si="24"/>
        <v>0</v>
      </c>
      <c r="Z36" s="198">
        <f t="shared" si="25"/>
        <v>0</v>
      </c>
      <c r="AA36" s="199">
        <f t="shared" si="26"/>
        <v>0</v>
      </c>
      <c r="AK36" s="200">
        <f t="shared" si="13"/>
        <v>0</v>
      </c>
      <c r="AL36" s="201"/>
    </row>
    <row r="37" spans="1:39" ht="120" customHeight="1" x14ac:dyDescent="0.4">
      <c r="A37" s="153">
        <v>21</v>
      </c>
      <c r="B37" s="227" t="s">
        <v>168</v>
      </c>
      <c r="C37" s="179" t="s">
        <v>127</v>
      </c>
      <c r="D37" s="153" t="s">
        <v>135</v>
      </c>
      <c r="E37" s="153" t="s">
        <v>137</v>
      </c>
      <c r="F37" s="186" t="s">
        <v>179</v>
      </c>
      <c r="G37" s="187" t="s">
        <v>189</v>
      </c>
      <c r="H37" s="188">
        <v>1</v>
      </c>
      <c r="I37" s="188">
        <v>1</v>
      </c>
      <c r="J37" s="189">
        <v>1725</v>
      </c>
      <c r="K37" s="189">
        <f t="shared" si="14"/>
        <v>1725</v>
      </c>
      <c r="L37" s="189">
        <f t="shared" si="15"/>
        <v>129.375</v>
      </c>
      <c r="M37" s="189">
        <f t="shared" si="16"/>
        <v>450.05522244314665</v>
      </c>
      <c r="N37" s="190">
        <f t="shared" si="17"/>
        <v>2304.4302224431467</v>
      </c>
      <c r="O37" s="128" t="s">
        <v>399</v>
      </c>
      <c r="Q37" s="191">
        <f t="shared" si="18"/>
        <v>1</v>
      </c>
      <c r="R37" s="192">
        <f t="shared" si="19"/>
        <v>1</v>
      </c>
      <c r="S37" s="204">
        <v>2211.4</v>
      </c>
      <c r="T37" s="193">
        <v>0</v>
      </c>
      <c r="U37" s="194">
        <f t="shared" si="20"/>
        <v>1725</v>
      </c>
      <c r="V37" s="195">
        <f t="shared" si="21"/>
        <v>0</v>
      </c>
      <c r="W37" s="196">
        <f t="shared" si="22"/>
        <v>0</v>
      </c>
      <c r="X37" s="196">
        <f t="shared" si="23"/>
        <v>0</v>
      </c>
      <c r="Y37" s="197">
        <f t="shared" si="24"/>
        <v>450.05522244314665</v>
      </c>
      <c r="Z37" s="198">
        <f t="shared" si="25"/>
        <v>1</v>
      </c>
      <c r="AA37" s="199">
        <f t="shared" si="26"/>
        <v>0</v>
      </c>
      <c r="AK37" s="200">
        <f t="shared" si="13"/>
        <v>0</v>
      </c>
      <c r="AL37" s="201"/>
    </row>
    <row r="38" spans="1:39" ht="120" customHeight="1" x14ac:dyDescent="0.4">
      <c r="A38" s="153">
        <v>22</v>
      </c>
      <c r="B38" s="227" t="s">
        <v>169</v>
      </c>
      <c r="C38" s="179" t="s">
        <v>127</v>
      </c>
      <c r="D38" s="153" t="s">
        <v>135</v>
      </c>
      <c r="E38" s="153" t="s">
        <v>137</v>
      </c>
      <c r="F38" s="186" t="s">
        <v>180</v>
      </c>
      <c r="G38" s="187" t="s">
        <v>190</v>
      </c>
      <c r="H38" s="188">
        <v>1</v>
      </c>
      <c r="I38" s="188">
        <v>1</v>
      </c>
      <c r="J38" s="189">
        <v>8050</v>
      </c>
      <c r="K38" s="189">
        <f t="shared" si="14"/>
        <v>8050</v>
      </c>
      <c r="L38" s="189">
        <f t="shared" si="15"/>
        <v>603.75</v>
      </c>
      <c r="M38" s="189">
        <f t="shared" si="16"/>
        <v>2100.2577047346845</v>
      </c>
      <c r="N38" s="190">
        <f t="shared" si="17"/>
        <v>10754.007704734684</v>
      </c>
      <c r="O38" s="128" t="s">
        <v>399</v>
      </c>
      <c r="Q38" s="191">
        <f t="shared" si="18"/>
        <v>1</v>
      </c>
      <c r="R38" s="192">
        <f t="shared" si="19"/>
        <v>1</v>
      </c>
      <c r="S38" s="204">
        <v>7711.4</v>
      </c>
      <c r="T38" s="193">
        <v>0</v>
      </c>
      <c r="U38" s="194">
        <f t="shared" si="20"/>
        <v>8050</v>
      </c>
      <c r="V38" s="195">
        <f t="shared" si="21"/>
        <v>0</v>
      </c>
      <c r="W38" s="196">
        <f t="shared" si="22"/>
        <v>0</v>
      </c>
      <c r="X38" s="196">
        <f t="shared" si="23"/>
        <v>0</v>
      </c>
      <c r="Y38" s="197">
        <f t="shared" si="24"/>
        <v>2100.2577047346845</v>
      </c>
      <c r="Z38" s="198">
        <f t="shared" si="25"/>
        <v>1</v>
      </c>
      <c r="AA38" s="199">
        <f t="shared" si="26"/>
        <v>0</v>
      </c>
      <c r="AK38" s="200">
        <f t="shared" si="13"/>
        <v>0</v>
      </c>
      <c r="AL38" s="201"/>
    </row>
    <row r="39" spans="1:39" ht="120" customHeight="1" x14ac:dyDescent="0.4">
      <c r="A39" s="153">
        <v>23</v>
      </c>
      <c r="B39" s="227" t="s">
        <v>170</v>
      </c>
      <c r="C39" s="179" t="s">
        <v>127</v>
      </c>
      <c r="D39" s="153" t="s">
        <v>135</v>
      </c>
      <c r="E39" s="153" t="s">
        <v>137</v>
      </c>
      <c r="F39" s="186" t="s">
        <v>181</v>
      </c>
      <c r="G39" s="239" t="s">
        <v>191</v>
      </c>
      <c r="H39" s="188">
        <v>1</v>
      </c>
      <c r="I39" s="188">
        <v>1</v>
      </c>
      <c r="J39" s="189">
        <v>11800</v>
      </c>
      <c r="K39" s="189">
        <f t="shared" si="14"/>
        <v>11800</v>
      </c>
      <c r="L39" s="189">
        <f t="shared" si="15"/>
        <v>885</v>
      </c>
      <c r="M39" s="189">
        <f t="shared" si="16"/>
        <v>3078.6386230893509</v>
      </c>
      <c r="N39" s="190">
        <f t="shared" si="17"/>
        <v>15763.638623089351</v>
      </c>
      <c r="O39" s="128" t="s">
        <v>399</v>
      </c>
      <c r="Q39" s="191">
        <f t="shared" si="18"/>
        <v>1</v>
      </c>
      <c r="R39" s="192">
        <f t="shared" si="19"/>
        <v>1</v>
      </c>
      <c r="S39" s="204">
        <v>11571.4</v>
      </c>
      <c r="T39" s="193">
        <v>0</v>
      </c>
      <c r="U39" s="194">
        <f t="shared" si="20"/>
        <v>11800</v>
      </c>
      <c r="V39" s="195">
        <f t="shared" si="21"/>
        <v>0</v>
      </c>
      <c r="W39" s="196">
        <f t="shared" si="22"/>
        <v>0</v>
      </c>
      <c r="X39" s="196">
        <f t="shared" si="23"/>
        <v>0</v>
      </c>
      <c r="Y39" s="197">
        <f t="shared" si="24"/>
        <v>3078.6386230893509</v>
      </c>
      <c r="Z39" s="198">
        <f t="shared" si="25"/>
        <v>1</v>
      </c>
      <c r="AA39" s="199">
        <f t="shared" si="26"/>
        <v>0</v>
      </c>
      <c r="AK39" s="200">
        <f t="shared" si="13"/>
        <v>0</v>
      </c>
      <c r="AL39" s="201"/>
    </row>
    <row r="40" spans="1:39" ht="120" customHeight="1" x14ac:dyDescent="0.4">
      <c r="A40" s="153">
        <v>24</v>
      </c>
      <c r="B40" s="227" t="s">
        <v>171</v>
      </c>
      <c r="C40" s="179" t="s">
        <v>127</v>
      </c>
      <c r="D40" s="153" t="s">
        <v>135</v>
      </c>
      <c r="E40" s="153" t="s">
        <v>137</v>
      </c>
      <c r="F40" s="186" t="s">
        <v>182</v>
      </c>
      <c r="G40" s="187" t="s">
        <v>192</v>
      </c>
      <c r="H40" s="188">
        <v>1</v>
      </c>
      <c r="I40" s="188">
        <v>1</v>
      </c>
      <c r="J40" s="189">
        <v>58000</v>
      </c>
      <c r="K40" s="189">
        <f t="shared" si="14"/>
        <v>58000</v>
      </c>
      <c r="L40" s="189">
        <f t="shared" si="15"/>
        <v>4350</v>
      </c>
      <c r="M40" s="189">
        <f t="shared" si="16"/>
        <v>15132.291537218844</v>
      </c>
      <c r="N40" s="190">
        <f t="shared" si="17"/>
        <v>77482.291537218844</v>
      </c>
      <c r="O40" s="128" t="s">
        <v>400</v>
      </c>
      <c r="Q40" s="191">
        <f t="shared" si="18"/>
        <v>1</v>
      </c>
      <c r="R40" s="192">
        <f t="shared" si="19"/>
        <v>1</v>
      </c>
      <c r="S40" s="204">
        <v>38738.5</v>
      </c>
      <c r="T40" s="204">
        <v>215827</v>
      </c>
      <c r="U40" s="194">
        <f t="shared" si="20"/>
        <v>-157827</v>
      </c>
      <c r="V40" s="195">
        <f t="shared" si="21"/>
        <v>0</v>
      </c>
      <c r="W40" s="196">
        <f t="shared" si="22"/>
        <v>0</v>
      </c>
      <c r="X40" s="196">
        <f t="shared" si="23"/>
        <v>215827</v>
      </c>
      <c r="Y40" s="197">
        <f t="shared" si="24"/>
        <v>230959.29153721884</v>
      </c>
      <c r="Z40" s="198">
        <f t="shared" si="25"/>
        <v>-2.721155172413793</v>
      </c>
      <c r="AA40" s="199">
        <f t="shared" si="26"/>
        <v>1</v>
      </c>
      <c r="AK40" s="200">
        <f t="shared" si="13"/>
        <v>0</v>
      </c>
      <c r="AL40" s="201">
        <f>210077+5750</f>
        <v>215827</v>
      </c>
      <c r="AM40" s="454" t="s">
        <v>633</v>
      </c>
    </row>
    <row r="41" spans="1:39" ht="120" customHeight="1" x14ac:dyDescent="0.4">
      <c r="A41" s="153">
        <v>25</v>
      </c>
      <c r="B41" s="227" t="s">
        <v>439</v>
      </c>
      <c r="C41" s="179" t="s">
        <v>127</v>
      </c>
      <c r="D41" s="153" t="s">
        <v>135</v>
      </c>
      <c r="E41" s="153" t="s">
        <v>137</v>
      </c>
      <c r="F41" s="186" t="s">
        <v>183</v>
      </c>
      <c r="G41" s="187" t="s">
        <v>193</v>
      </c>
      <c r="H41" s="188">
        <v>1</v>
      </c>
      <c r="I41" s="188">
        <v>1</v>
      </c>
      <c r="J41" s="189">
        <v>41850</v>
      </c>
      <c r="K41" s="189">
        <f t="shared" si="14"/>
        <v>41850</v>
      </c>
      <c r="L41" s="189">
        <f t="shared" si="15"/>
        <v>3138.75</v>
      </c>
      <c r="M41" s="189">
        <f t="shared" si="16"/>
        <v>10918.731048838079</v>
      </c>
      <c r="N41" s="190">
        <f t="shared" si="17"/>
        <v>55907.481048838075</v>
      </c>
      <c r="O41" s="128" t="s">
        <v>401</v>
      </c>
      <c r="Q41" s="191">
        <f t="shared" si="18"/>
        <v>1</v>
      </c>
      <c r="R41" s="192">
        <f t="shared" si="19"/>
        <v>1</v>
      </c>
      <c r="S41" s="204">
        <v>24850</v>
      </c>
      <c r="T41" s="204">
        <v>0</v>
      </c>
      <c r="U41" s="194">
        <f t="shared" si="20"/>
        <v>41850</v>
      </c>
      <c r="V41" s="195">
        <f t="shared" si="21"/>
        <v>0</v>
      </c>
      <c r="W41" s="196">
        <f t="shared" si="22"/>
        <v>0</v>
      </c>
      <c r="X41" s="196">
        <f t="shared" si="23"/>
        <v>0</v>
      </c>
      <c r="Y41" s="197">
        <f t="shared" si="24"/>
        <v>10918.731048838079</v>
      </c>
      <c r="Z41" s="198">
        <f t="shared" si="25"/>
        <v>1</v>
      </c>
      <c r="AA41" s="199">
        <f t="shared" si="26"/>
        <v>0</v>
      </c>
      <c r="AK41" s="200">
        <f t="shared" si="13"/>
        <v>0</v>
      </c>
      <c r="AL41" s="201"/>
    </row>
    <row r="42" spans="1:39" ht="120" customHeight="1" x14ac:dyDescent="0.4">
      <c r="A42" s="153">
        <v>26</v>
      </c>
      <c r="B42" s="227" t="s">
        <v>440</v>
      </c>
      <c r="C42" s="179" t="s">
        <v>127</v>
      </c>
      <c r="D42" s="153" t="s">
        <v>135</v>
      </c>
      <c r="E42" s="153" t="s">
        <v>137</v>
      </c>
      <c r="F42" s="202" t="s">
        <v>558</v>
      </c>
      <c r="G42" s="203" t="s">
        <v>194</v>
      </c>
      <c r="H42" s="209">
        <v>1</v>
      </c>
      <c r="I42" s="209">
        <v>1</v>
      </c>
      <c r="J42" s="210">
        <v>16927.2</v>
      </c>
      <c r="K42" s="210">
        <f t="shared" si="14"/>
        <v>16927.2</v>
      </c>
      <c r="L42" s="210">
        <f t="shared" si="15"/>
        <v>1269.54</v>
      </c>
      <c r="M42" s="210">
        <f t="shared" si="16"/>
        <v>4416.3331949794974</v>
      </c>
      <c r="N42" s="211">
        <f t="shared" si="17"/>
        <v>22613.073194979501</v>
      </c>
      <c r="O42" s="206"/>
      <c r="Q42" s="212">
        <f t="shared" si="18"/>
        <v>1</v>
      </c>
      <c r="R42" s="213">
        <f t="shared" si="19"/>
        <v>1</v>
      </c>
      <c r="S42" s="240">
        <v>8790</v>
      </c>
      <c r="T42" s="240">
        <v>0</v>
      </c>
      <c r="U42" s="215">
        <f t="shared" si="20"/>
        <v>16927.2</v>
      </c>
      <c r="V42" s="216">
        <f t="shared" si="21"/>
        <v>0</v>
      </c>
      <c r="W42" s="217">
        <f t="shared" si="22"/>
        <v>0</v>
      </c>
      <c r="X42" s="217">
        <f t="shared" si="23"/>
        <v>0</v>
      </c>
      <c r="Y42" s="218">
        <f t="shared" si="24"/>
        <v>4416.3331949794974</v>
      </c>
      <c r="Z42" s="198">
        <f t="shared" si="25"/>
        <v>1</v>
      </c>
      <c r="AA42" s="199">
        <f t="shared" si="26"/>
        <v>0</v>
      </c>
      <c r="AK42" s="200">
        <f t="shared" si="13"/>
        <v>0</v>
      </c>
      <c r="AL42" s="201"/>
    </row>
    <row r="43" spans="1:39" ht="39.9" customHeight="1" thickBot="1" x14ac:dyDescent="0.5">
      <c r="A43" s="153">
        <v>27</v>
      </c>
      <c r="B43" s="178"/>
      <c r="C43" s="179" t="s">
        <v>155</v>
      </c>
      <c r="D43" s="153"/>
      <c r="E43" s="153"/>
      <c r="F43" s="484" t="s">
        <v>195</v>
      </c>
      <c r="G43" s="485"/>
      <c r="H43" s="485"/>
      <c r="I43" s="485"/>
      <c r="J43" s="485"/>
      <c r="K43" s="219">
        <f>SUM(K28:K42)</f>
        <v>174030.7</v>
      </c>
      <c r="L43" s="220">
        <f>SUM(L28:L42)</f>
        <v>13052.302500000002</v>
      </c>
      <c r="M43" s="220">
        <f>SUM(M28:M42)</f>
        <v>45404.884290108123</v>
      </c>
      <c r="N43" s="221">
        <f>SUM(N28:N42)</f>
        <v>232487.88679010811</v>
      </c>
      <c r="Q43" s="484" t="s">
        <v>195</v>
      </c>
      <c r="R43" s="485"/>
      <c r="S43" s="485"/>
      <c r="T43" s="222">
        <f>SUM(T28:T42)</f>
        <v>215827</v>
      </c>
      <c r="U43" s="223">
        <f>SUM(U28:U42)</f>
        <v>-41796.300000000003</v>
      </c>
      <c r="V43" s="224"/>
      <c r="W43" s="224"/>
      <c r="X43" s="225">
        <f>SUM(X28:X42)</f>
        <v>215827</v>
      </c>
      <c r="Y43" s="226">
        <f t="shared" si="24"/>
        <v>261231.88429010811</v>
      </c>
      <c r="AK43" s="200"/>
      <c r="AL43" s="201"/>
    </row>
    <row r="44" spans="1:39" ht="39.9" customHeight="1" thickBot="1" x14ac:dyDescent="0.5">
      <c r="A44" s="153">
        <v>28</v>
      </c>
      <c r="B44" s="178">
        <v>3</v>
      </c>
      <c r="C44" s="179" t="s">
        <v>121</v>
      </c>
      <c r="D44" s="153"/>
      <c r="E44" s="180"/>
      <c r="F44" s="480" t="s">
        <v>197</v>
      </c>
      <c r="G44" s="477"/>
      <c r="H44" s="477"/>
      <c r="I44" s="477"/>
      <c r="J44" s="477"/>
      <c r="K44" s="477"/>
      <c r="L44" s="477"/>
      <c r="M44" s="477"/>
      <c r="N44" s="477"/>
      <c r="Q44" s="481" t="str">
        <f>IF(F44&lt;&gt;"",F44,"")</f>
        <v>MATERIAL GRAFICO</v>
      </c>
      <c r="R44" s="481"/>
      <c r="S44" s="481"/>
      <c r="T44" s="481"/>
      <c r="U44" s="481"/>
      <c r="V44" s="481"/>
      <c r="W44" s="481"/>
      <c r="X44" s="481"/>
      <c r="Y44" s="481"/>
      <c r="AK44" s="200">
        <f t="shared" si="13"/>
        <v>0</v>
      </c>
      <c r="AL44" s="201"/>
    </row>
    <row r="45" spans="1:39" ht="39.9" customHeight="1" x14ac:dyDescent="0.45">
      <c r="A45" s="153">
        <v>29</v>
      </c>
      <c r="B45" s="178" t="s">
        <v>196</v>
      </c>
      <c r="C45" s="179" t="s">
        <v>122</v>
      </c>
      <c r="D45" s="153"/>
      <c r="E45" s="153"/>
      <c r="F45" s="478" t="s">
        <v>197</v>
      </c>
      <c r="G45" s="479"/>
      <c r="H45" s="479"/>
      <c r="I45" s="479"/>
      <c r="J45" s="479"/>
      <c r="K45" s="482"/>
      <c r="L45" s="181" t="s">
        <v>124</v>
      </c>
      <c r="M45" s="182" t="s">
        <v>125</v>
      </c>
      <c r="N45" s="183" t="s">
        <v>82</v>
      </c>
      <c r="Q45" s="478" t="str">
        <f>IF(F45&lt;&gt;"",F45,"")</f>
        <v>MATERIAL GRAFICO</v>
      </c>
      <c r="R45" s="479"/>
      <c r="S45" s="479"/>
      <c r="T45" s="479"/>
      <c r="U45" s="479"/>
      <c r="V45" s="479"/>
      <c r="W45" s="479"/>
      <c r="X45" s="479"/>
      <c r="Y45" s="483"/>
      <c r="Z45" s="184" t="s">
        <v>126</v>
      </c>
      <c r="AA45" s="185" t="s">
        <v>83</v>
      </c>
      <c r="AK45" s="200">
        <f t="shared" si="13"/>
        <v>0</v>
      </c>
      <c r="AL45" s="201"/>
    </row>
    <row r="46" spans="1:39" ht="120" customHeight="1" x14ac:dyDescent="0.4">
      <c r="A46" s="153">
        <v>30</v>
      </c>
      <c r="B46" s="178" t="s">
        <v>198</v>
      </c>
      <c r="C46" s="179" t="s">
        <v>127</v>
      </c>
      <c r="D46" s="153" t="s">
        <v>135</v>
      </c>
      <c r="E46" s="153" t="s">
        <v>137</v>
      </c>
      <c r="F46" s="241" t="s">
        <v>202</v>
      </c>
      <c r="G46" s="242" t="s">
        <v>465</v>
      </c>
      <c r="H46" s="188">
        <v>220</v>
      </c>
      <c r="I46" s="188">
        <v>1</v>
      </c>
      <c r="J46" s="189">
        <v>4.8</v>
      </c>
      <c r="K46" s="189">
        <f>IF(F46&lt;&gt;"",H46*I46*J46,"")</f>
        <v>1056</v>
      </c>
      <c r="L46" s="189">
        <f>IF(K46&lt;&gt;"",IF(D46="INTERNO",0,K46*$L$14),"")</f>
        <v>79.2</v>
      </c>
      <c r="M46" s="189">
        <f>IF(K46&lt;&gt;"",IF(E46="FAT.OGGI",SUM(K46:L46)*(1/(1-$M$14)-1),L46*(1/(1-$M$14)-1)),0)</f>
        <v>275.51206660867416</v>
      </c>
      <c r="N46" s="190">
        <f>SUM(K46:M46)</f>
        <v>1410.7120666086741</v>
      </c>
      <c r="O46" s="243" t="s">
        <v>547</v>
      </c>
      <c r="Q46" s="191">
        <v>1</v>
      </c>
      <c r="R46" s="192">
        <f t="shared" ref="Q46:R50" si="28">IF(I46&lt;&gt;"",I46,"")</f>
        <v>1</v>
      </c>
      <c r="S46" s="193">
        <v>8009.35</v>
      </c>
      <c r="T46" s="193">
        <f>IF(Q46&lt;&gt;"",Q46*R46*S46,"")</f>
        <v>8009.35</v>
      </c>
      <c r="U46" s="194">
        <f>IF(Q46&lt;&gt;"",K46-T46,"")</f>
        <v>-6953.35</v>
      </c>
      <c r="V46" s="195">
        <f>IF(Q46&lt;&gt;"",0%,"")</f>
        <v>0</v>
      </c>
      <c r="W46" s="196">
        <f>IF(Q46&lt;&gt;"",V46*U46,"")</f>
        <v>0</v>
      </c>
      <c r="X46" s="196">
        <f>IF(Q46&lt;&gt;"",W46+T46,"")</f>
        <v>8009.35</v>
      </c>
      <c r="Y46" s="197">
        <f t="shared" ref="Y46:Y51" si="29">IF(Q46&lt;&gt;"",X46+M46,"")</f>
        <v>8284.8620666086754</v>
      </c>
      <c r="Z46" s="198">
        <f>IF(Q46&lt;&gt;"", IFERROR(U46/K46, 0), 0)</f>
        <v>-6.5846117424242427</v>
      </c>
      <c r="AA46" s="199">
        <f>IFERROR(T46/$T$51, "")</f>
        <v>0.61530395101752344</v>
      </c>
      <c r="AK46" s="200">
        <f t="shared" si="13"/>
        <v>0</v>
      </c>
      <c r="AL46" s="201">
        <f>131.25+7878.1</f>
        <v>8009.35</v>
      </c>
      <c r="AM46" s="454" t="s">
        <v>547</v>
      </c>
    </row>
    <row r="47" spans="1:39" ht="120" customHeight="1" x14ac:dyDescent="0.4">
      <c r="A47" s="153">
        <v>31</v>
      </c>
      <c r="B47" s="178" t="s">
        <v>199</v>
      </c>
      <c r="C47" s="179" t="s">
        <v>127</v>
      </c>
      <c r="D47" s="153" t="s">
        <v>135</v>
      </c>
      <c r="E47" s="153" t="s">
        <v>137</v>
      </c>
      <c r="F47" s="241" t="s">
        <v>203</v>
      </c>
      <c r="G47" s="242" t="s">
        <v>468</v>
      </c>
      <c r="H47" s="188">
        <v>220</v>
      </c>
      <c r="I47" s="188">
        <v>1</v>
      </c>
      <c r="J47" s="189">
        <v>5.12</v>
      </c>
      <c r="K47" s="189">
        <f>IF(F47&lt;&gt;"",H47*I47*J47,"")</f>
        <v>1126.4000000000001</v>
      </c>
      <c r="L47" s="189">
        <f>IF(K47&lt;&gt;"",IF(D47="INTERNO",0,K47*$L$14),"")</f>
        <v>84.48</v>
      </c>
      <c r="M47" s="189">
        <f>IF(K47&lt;&gt;"",IF(E47="FAT.OGGI",SUM(K47:L47)*(1/(1-$M$14)-1),L47*(1/(1-$M$14)-1)),0)</f>
        <v>293.87953771591907</v>
      </c>
      <c r="N47" s="190">
        <f>SUM(K47:M47)</f>
        <v>1504.7595377159191</v>
      </c>
      <c r="O47" s="243" t="s">
        <v>403</v>
      </c>
      <c r="Q47" s="191">
        <v>1</v>
      </c>
      <c r="R47" s="192">
        <f t="shared" si="28"/>
        <v>1</v>
      </c>
      <c r="S47" s="193">
        <v>1773.55</v>
      </c>
      <c r="T47" s="193">
        <f>IF(Q47&lt;&gt;"",Q47*R47*S47,"")</f>
        <v>1773.55</v>
      </c>
      <c r="U47" s="194">
        <f>IF(Q47&lt;&gt;"",K47-T47,"")</f>
        <v>-647.14999999999986</v>
      </c>
      <c r="V47" s="195">
        <f>IF(Q47&lt;&gt;"",0%,"")</f>
        <v>0</v>
      </c>
      <c r="W47" s="196">
        <f>IF(Q47&lt;&gt;"",V47*U47,"")</f>
        <v>0</v>
      </c>
      <c r="X47" s="196">
        <f>IF(Q47&lt;&gt;"",W47+T47,"")</f>
        <v>1773.55</v>
      </c>
      <c r="Y47" s="197">
        <f t="shared" si="29"/>
        <v>2067.4295377159192</v>
      </c>
      <c r="Z47" s="198">
        <f>IF(Q47&lt;&gt;"", IFERROR(U47/K47, 0), 0)</f>
        <v>-0.57452947443181801</v>
      </c>
      <c r="AA47" s="199">
        <f>IFERROR(T47/$T$51, "")</f>
        <v>0.13624979833908227</v>
      </c>
      <c r="AK47" s="200">
        <f t="shared" si="13"/>
        <v>0</v>
      </c>
      <c r="AL47" s="201">
        <v>1773.55</v>
      </c>
      <c r="AM47" s="454" t="s">
        <v>624</v>
      </c>
    </row>
    <row r="48" spans="1:39" ht="120" customHeight="1" x14ac:dyDescent="0.4">
      <c r="A48" s="153">
        <v>32</v>
      </c>
      <c r="B48" s="178" t="s">
        <v>200</v>
      </c>
      <c r="C48" s="179" t="s">
        <v>127</v>
      </c>
      <c r="D48" s="153" t="s">
        <v>135</v>
      </c>
      <c r="E48" s="153" t="s">
        <v>137</v>
      </c>
      <c r="F48" s="244" t="s">
        <v>204</v>
      </c>
      <c r="G48" s="242" t="s">
        <v>206</v>
      </c>
      <c r="H48" s="188">
        <v>220</v>
      </c>
      <c r="I48" s="188">
        <v>1</v>
      </c>
      <c r="J48" s="189">
        <v>6.27</v>
      </c>
      <c r="K48" s="189">
        <f>IF(F48&lt;&gt;"",H48*I48*J48,"")</f>
        <v>1379.3999999999999</v>
      </c>
      <c r="L48" s="189">
        <f>IF(K48&lt;&gt;"",IF(D48="INTERNO",0,K48*$L$14),"")</f>
        <v>103.45499999999998</v>
      </c>
      <c r="M48" s="189">
        <f>IF(K48&lt;&gt;"",IF(E48="FAT.OGGI",SUM(K48:L48)*(1/(1-$M$14)-1),L48*(1/(1-$M$14)-1)),0)</f>
        <v>359.88763700758051</v>
      </c>
      <c r="N48" s="190">
        <f>SUM(K48:M48)</f>
        <v>1842.7426370075802</v>
      </c>
      <c r="O48" s="243" t="s">
        <v>403</v>
      </c>
      <c r="Q48" s="191">
        <f t="shared" si="28"/>
        <v>220</v>
      </c>
      <c r="R48" s="192">
        <f t="shared" si="28"/>
        <v>1</v>
      </c>
      <c r="S48" s="193">
        <v>3.89</v>
      </c>
      <c r="T48" s="193">
        <f>IF(Q48&lt;&gt;"",Q48*R48*S48,"")</f>
        <v>855.80000000000007</v>
      </c>
      <c r="U48" s="194">
        <f>IF(Q48&lt;&gt;"",K48-T48,"")</f>
        <v>523.5999999999998</v>
      </c>
      <c r="V48" s="195">
        <f>IF(Q48&lt;&gt;"",0%,"")</f>
        <v>0</v>
      </c>
      <c r="W48" s="196">
        <f>IF(Q48&lt;&gt;"",V48*U48,"")</f>
        <v>0</v>
      </c>
      <c r="X48" s="196">
        <f>IF(Q48&lt;&gt;"",W48+T48,"")</f>
        <v>855.80000000000007</v>
      </c>
      <c r="Y48" s="197">
        <f t="shared" si="29"/>
        <v>1215.6876370075806</v>
      </c>
      <c r="Z48" s="198">
        <f>IF(Q48&lt;&gt;"", IFERROR(U48/K48, 0), 0)</f>
        <v>0.37958532695374791</v>
      </c>
      <c r="AA48" s="199">
        <f>IFERROR(T48/$T$51, "")</f>
        <v>6.5745300340326815E-2</v>
      </c>
      <c r="AK48" s="200">
        <f t="shared" si="13"/>
        <v>0</v>
      </c>
      <c r="AL48" s="201">
        <v>855.8</v>
      </c>
      <c r="AM48" s="454" t="s">
        <v>624</v>
      </c>
    </row>
    <row r="49" spans="1:39" ht="120" customHeight="1" x14ac:dyDescent="0.4">
      <c r="A49" s="153">
        <v>33</v>
      </c>
      <c r="B49" s="178" t="s">
        <v>201</v>
      </c>
      <c r="C49" s="179" t="s">
        <v>127</v>
      </c>
      <c r="D49" s="153" t="s">
        <v>135</v>
      </c>
      <c r="E49" s="153" t="s">
        <v>137</v>
      </c>
      <c r="F49" s="245" t="s">
        <v>205</v>
      </c>
      <c r="G49" s="246" t="s">
        <v>207</v>
      </c>
      <c r="H49" s="188">
        <v>40</v>
      </c>
      <c r="I49" s="188">
        <v>1</v>
      </c>
      <c r="J49" s="189">
        <v>8.4</v>
      </c>
      <c r="K49" s="189">
        <f>IF(F49&lt;&gt;"",H49*I49*J49,"")</f>
        <v>336</v>
      </c>
      <c r="L49" s="189">
        <f>IF(K49&lt;&gt;"",IF(D49="INTERNO",0,K49*$L$14),"")</f>
        <v>25.2</v>
      </c>
      <c r="M49" s="189">
        <f>IF(K49&lt;&gt;"",IF(E49="FAT.OGGI",SUM(K49:L49)*(1/(1-$M$14)-1),L49*(1/(1-$M$14)-1)),0)</f>
        <v>87.662930284578124</v>
      </c>
      <c r="N49" s="190">
        <f>SUM(K49:M49)</f>
        <v>448.86293028457811</v>
      </c>
      <c r="O49" s="128" t="s">
        <v>402</v>
      </c>
      <c r="Q49" s="191">
        <f t="shared" si="28"/>
        <v>40</v>
      </c>
      <c r="R49" s="192">
        <f t="shared" si="28"/>
        <v>1</v>
      </c>
      <c r="S49" s="204">
        <v>5.8</v>
      </c>
      <c r="T49" s="204">
        <v>0</v>
      </c>
      <c r="U49" s="194">
        <f>IF(Q49&lt;&gt;"",K49-T49,"")</f>
        <v>336</v>
      </c>
      <c r="V49" s="195">
        <f>IF(Q49&lt;&gt;"",0%,"")</f>
        <v>0</v>
      </c>
      <c r="W49" s="196">
        <f>IF(Q49&lt;&gt;"",V49*U49,"")</f>
        <v>0</v>
      </c>
      <c r="X49" s="196">
        <f>IF(Q49&lt;&gt;"",W49+T49,"")</f>
        <v>0</v>
      </c>
      <c r="Y49" s="197">
        <f t="shared" si="29"/>
        <v>87.662930284578124</v>
      </c>
      <c r="Z49" s="198">
        <f>IF(Q49&lt;&gt;"", IFERROR(U49/K49, 0), 0)</f>
        <v>1</v>
      </c>
      <c r="AA49" s="199">
        <f>IFERROR(T49/$T$51, "")</f>
        <v>0</v>
      </c>
      <c r="AK49" s="200">
        <f t="shared" si="13"/>
        <v>0</v>
      </c>
      <c r="AL49" s="201"/>
    </row>
    <row r="50" spans="1:39" ht="120" customHeight="1" x14ac:dyDescent="0.4">
      <c r="A50" s="153">
        <v>34</v>
      </c>
      <c r="B50" s="178" t="s">
        <v>208</v>
      </c>
      <c r="C50" s="179" t="s">
        <v>127</v>
      </c>
      <c r="D50" s="153" t="s">
        <v>135</v>
      </c>
      <c r="E50" s="153" t="s">
        <v>137</v>
      </c>
      <c r="F50" s="202" t="s">
        <v>209</v>
      </c>
      <c r="G50" s="203" t="s">
        <v>210</v>
      </c>
      <c r="H50" s="209">
        <v>220</v>
      </c>
      <c r="I50" s="209">
        <v>1</v>
      </c>
      <c r="J50" s="210">
        <v>12.96</v>
      </c>
      <c r="K50" s="210">
        <f>IF(F50&lt;&gt;"",H50*I50*J50,"")</f>
        <v>2851.2000000000003</v>
      </c>
      <c r="L50" s="210">
        <f>IF(K50&lt;&gt;"",IF(D50="INTERNO",0,K50*$L$14),"")</f>
        <v>213.84</v>
      </c>
      <c r="M50" s="210">
        <f>IF(K50&lt;&gt;"",IF(E50="FAT.OGGI",SUM(K50:L50)*(1/(1-$M$14)-1),L50*(1/(1-$M$14)-1)),0)</f>
        <v>743.88257984342022</v>
      </c>
      <c r="N50" s="211">
        <f>SUM(K50:M50)</f>
        <v>3808.9225798434209</v>
      </c>
      <c r="O50" s="128" t="s">
        <v>404</v>
      </c>
      <c r="Q50" s="212">
        <f t="shared" si="28"/>
        <v>220</v>
      </c>
      <c r="R50" s="213">
        <f t="shared" si="28"/>
        <v>1</v>
      </c>
      <c r="S50" s="240">
        <v>10.81</v>
      </c>
      <c r="T50" s="240">
        <f>IF(Q50&lt;&gt;"",Q50*R50*S50,"")</f>
        <v>2378.2000000000003</v>
      </c>
      <c r="U50" s="215">
        <f>IF(Q50&lt;&gt;"",K50-T50,"")</f>
        <v>473</v>
      </c>
      <c r="V50" s="216">
        <f>IF(Q50&lt;&gt;"",0%,"")</f>
        <v>0</v>
      </c>
      <c r="W50" s="217">
        <f>IF(Q50&lt;&gt;"",V50*U50,"")</f>
        <v>0</v>
      </c>
      <c r="X50" s="217">
        <f>IF(Q50&lt;&gt;"",W50+T50,"")</f>
        <v>2378.2000000000003</v>
      </c>
      <c r="Y50" s="218">
        <f t="shared" si="29"/>
        <v>3122.0825798434207</v>
      </c>
      <c r="Z50" s="198">
        <f>IF(Q50&lt;&gt;"", IFERROR(U50/K50, 0), 0)</f>
        <v>0.16589506172839505</v>
      </c>
      <c r="AA50" s="199">
        <f>IFERROR(T50/$T$51, "")</f>
        <v>0.18270095030306757</v>
      </c>
      <c r="AK50" s="200">
        <f t="shared" si="13"/>
        <v>0</v>
      </c>
      <c r="AL50" s="201">
        <v>2378.1999999999998</v>
      </c>
      <c r="AM50" s="454" t="s">
        <v>622</v>
      </c>
    </row>
    <row r="51" spans="1:39" ht="39.9" customHeight="1" thickBot="1" x14ac:dyDescent="0.5">
      <c r="A51" s="153">
        <v>35</v>
      </c>
      <c r="B51" s="178"/>
      <c r="C51" s="179" t="s">
        <v>155</v>
      </c>
      <c r="D51" s="153"/>
      <c r="E51" s="153"/>
      <c r="F51" s="484" t="s">
        <v>211</v>
      </c>
      <c r="G51" s="485"/>
      <c r="H51" s="485"/>
      <c r="I51" s="485"/>
      <c r="J51" s="485"/>
      <c r="K51" s="219">
        <f>SUM(K46:K50)</f>
        <v>6749</v>
      </c>
      <c r="L51" s="220">
        <f>SUM(L46:L50)</f>
        <v>506.17499999999995</v>
      </c>
      <c r="M51" s="220">
        <f>SUM(M46:M50)</f>
        <v>1760.8247514601721</v>
      </c>
      <c r="N51" s="221">
        <f>SUM(N46:N50)</f>
        <v>9015.9997514601728</v>
      </c>
      <c r="Q51" s="484" t="s">
        <v>211</v>
      </c>
      <c r="R51" s="485"/>
      <c r="S51" s="485"/>
      <c r="T51" s="222">
        <f>SUM(T46:T50)</f>
        <v>13016.9</v>
      </c>
      <c r="U51" s="223">
        <f>SUM(U46:U50)</f>
        <v>-6267.9000000000005</v>
      </c>
      <c r="V51" s="224"/>
      <c r="W51" s="224"/>
      <c r="X51" s="225">
        <f>SUM(X46:X50)</f>
        <v>13016.9</v>
      </c>
      <c r="Y51" s="226">
        <f t="shared" si="29"/>
        <v>14777.724751460171</v>
      </c>
      <c r="AK51" s="200"/>
      <c r="AL51" s="201"/>
    </row>
    <row r="52" spans="1:39" ht="39.9" customHeight="1" thickBot="1" x14ac:dyDescent="0.5">
      <c r="A52" s="153">
        <v>36</v>
      </c>
      <c r="B52" s="178">
        <v>4</v>
      </c>
      <c r="C52" s="179" t="s">
        <v>121</v>
      </c>
      <c r="D52" s="153"/>
      <c r="E52" s="180"/>
      <c r="F52" s="480" t="s">
        <v>213</v>
      </c>
      <c r="G52" s="477"/>
      <c r="H52" s="477"/>
      <c r="I52" s="477"/>
      <c r="J52" s="477"/>
      <c r="K52" s="477"/>
      <c r="L52" s="477"/>
      <c r="M52" s="477"/>
      <c r="N52" s="477"/>
      <c r="Q52" s="481" t="str">
        <f>IF(F52&lt;&gt;"",F52,"")</f>
        <v>TAXAS</v>
      </c>
      <c r="R52" s="481"/>
      <c r="S52" s="481"/>
      <c r="T52" s="481"/>
      <c r="U52" s="481"/>
      <c r="V52" s="481"/>
      <c r="W52" s="481"/>
      <c r="X52" s="481"/>
      <c r="Y52" s="481"/>
      <c r="AK52" s="200"/>
      <c r="AL52" s="201"/>
    </row>
    <row r="53" spans="1:39" ht="39.9" customHeight="1" x14ac:dyDescent="0.45">
      <c r="A53" s="153">
        <v>37</v>
      </c>
      <c r="B53" s="178" t="s">
        <v>212</v>
      </c>
      <c r="C53" s="179" t="s">
        <v>122</v>
      </c>
      <c r="D53" s="153"/>
      <c r="E53" s="153"/>
      <c r="F53" s="478" t="s">
        <v>213</v>
      </c>
      <c r="G53" s="479"/>
      <c r="H53" s="479"/>
      <c r="I53" s="479"/>
      <c r="J53" s="479"/>
      <c r="K53" s="482"/>
      <c r="L53" s="181" t="s">
        <v>124</v>
      </c>
      <c r="M53" s="182" t="s">
        <v>125</v>
      </c>
      <c r="N53" s="183" t="s">
        <v>82</v>
      </c>
      <c r="Q53" s="478" t="str">
        <f>IF(F53&lt;&gt;"",F53,"")</f>
        <v>TAXAS</v>
      </c>
      <c r="R53" s="479"/>
      <c r="S53" s="479"/>
      <c r="T53" s="479"/>
      <c r="U53" s="479"/>
      <c r="V53" s="479"/>
      <c r="W53" s="479"/>
      <c r="X53" s="479"/>
      <c r="Y53" s="483"/>
      <c r="Z53" s="184" t="s">
        <v>126</v>
      </c>
      <c r="AA53" s="185" t="s">
        <v>83</v>
      </c>
      <c r="AK53" s="200"/>
      <c r="AL53" s="201"/>
    </row>
    <row r="54" spans="1:39" ht="120" customHeight="1" x14ac:dyDescent="0.4">
      <c r="A54" s="153">
        <v>38</v>
      </c>
      <c r="B54" s="178" t="s">
        <v>214</v>
      </c>
      <c r="C54" s="179" t="s">
        <v>127</v>
      </c>
      <c r="D54" s="153" t="s">
        <v>135</v>
      </c>
      <c r="E54" s="153" t="s">
        <v>137</v>
      </c>
      <c r="F54" s="247" t="s">
        <v>216</v>
      </c>
      <c r="G54" s="248" t="s">
        <v>218</v>
      </c>
      <c r="H54" s="188">
        <v>1</v>
      </c>
      <c r="I54" s="188">
        <v>1</v>
      </c>
      <c r="J54" s="189">
        <v>1076.03</v>
      </c>
      <c r="K54" s="189">
        <f>IF(F54&lt;&gt;"",H54*I54*J54,"")</f>
        <v>1076.03</v>
      </c>
      <c r="L54" s="189">
        <f>IF(K54&lt;&gt;"",IF(D54="INTERNO",0,K54*$L$14),"")</f>
        <v>80.702249999999992</v>
      </c>
      <c r="M54" s="189">
        <f>IF(K54&lt;&gt;"",IF(E54="FAT.OGGI",SUM(K54:L54)*(1/(1-$M$14)-1),L54*(1/(1-$M$14)-1)),0)</f>
        <v>280.7379252205792</v>
      </c>
      <c r="N54" s="190">
        <f>SUM(K54:M54)</f>
        <v>1437.4701752205792</v>
      </c>
      <c r="O54" s="128" t="s">
        <v>405</v>
      </c>
      <c r="Q54" s="191">
        <f>IF(H54&lt;&gt;"",H54,"")</f>
        <v>1</v>
      </c>
      <c r="R54" s="192">
        <f>IF(I54&lt;&gt;"",I54,"")</f>
        <v>1</v>
      </c>
      <c r="S54" s="204">
        <v>814.28</v>
      </c>
      <c r="T54" s="204">
        <v>1629.07</v>
      </c>
      <c r="U54" s="194">
        <f>IF(Q54&lt;&gt;"",K54-T54,"")</f>
        <v>-553.04</v>
      </c>
      <c r="V54" s="195">
        <f>IF(Q54&lt;&gt;"",0%,"")</f>
        <v>0</v>
      </c>
      <c r="W54" s="196">
        <f>IF(Q54&lt;&gt;"",V54*U54,"")</f>
        <v>0</v>
      </c>
      <c r="X54" s="196">
        <f>IF(Q54&lt;&gt;"",W54+T54,"")</f>
        <v>1629.07</v>
      </c>
      <c r="Y54" s="197">
        <f>IF(Q54&lt;&gt;"",X54+M54,"")</f>
        <v>1909.8079252205791</v>
      </c>
      <c r="Z54" s="198">
        <f>IF(Q54&lt;&gt;"", IFERROR(U54/K54, 0), 0)</f>
        <v>-0.51396336533368026</v>
      </c>
      <c r="AA54" s="199">
        <f>IFERROR(T54/$T$56, "")</f>
        <v>0.19331186307130754</v>
      </c>
      <c r="AK54" s="200">
        <f t="shared" si="13"/>
        <v>0</v>
      </c>
      <c r="AL54" s="201">
        <v>1629.07</v>
      </c>
      <c r="AM54" s="454" t="s">
        <v>405</v>
      </c>
    </row>
    <row r="55" spans="1:39" ht="120" customHeight="1" x14ac:dyDescent="0.4">
      <c r="A55" s="153">
        <v>39</v>
      </c>
      <c r="B55" s="178" t="s">
        <v>215</v>
      </c>
      <c r="C55" s="179" t="s">
        <v>127</v>
      </c>
      <c r="D55" s="153" t="s">
        <v>135</v>
      </c>
      <c r="E55" s="153" t="s">
        <v>137</v>
      </c>
      <c r="F55" s="247" t="s">
        <v>217</v>
      </c>
      <c r="G55" s="249" t="s">
        <v>219</v>
      </c>
      <c r="H55" s="209">
        <v>1</v>
      </c>
      <c r="I55" s="209">
        <v>1</v>
      </c>
      <c r="J55" s="210">
        <v>4500</v>
      </c>
      <c r="K55" s="210">
        <f>IF(F55&lt;&gt;"",H55*I55*J55,"")</f>
        <v>4500</v>
      </c>
      <c r="L55" s="210">
        <f>IF(K55&lt;&gt;"",IF(D55="INTERNO",0,K55*$L$14),"")</f>
        <v>337.5</v>
      </c>
      <c r="M55" s="210">
        <f>IF(K55&lt;&gt;"",IF(E55="FAT.OGGI",SUM(K55:L55)*(1/(1-$M$14)-1),L55*(1/(1-$M$14)-1)),0)</f>
        <v>1174.0571020256</v>
      </c>
      <c r="N55" s="211">
        <f>SUM(K55:M55)</f>
        <v>6011.5571020256002</v>
      </c>
      <c r="O55" s="128" t="s">
        <v>217</v>
      </c>
      <c r="Q55" s="212">
        <f>IF(H55&lt;&gt;"",H55,"")</f>
        <v>1</v>
      </c>
      <c r="R55" s="213">
        <f>IF(I55&lt;&gt;"",I55,"")</f>
        <v>1</v>
      </c>
      <c r="S55" s="240">
        <v>6798.09</v>
      </c>
      <c r="T55" s="240">
        <f>IF(Q55&lt;&gt;"",Q55*R55*S55,"")</f>
        <v>6798.09</v>
      </c>
      <c r="U55" s="215">
        <f>IF(Q55&lt;&gt;"",K55-T55,"")</f>
        <v>-2298.09</v>
      </c>
      <c r="V55" s="216">
        <f>IF(Q55&lt;&gt;"",0%,"")</f>
        <v>0</v>
      </c>
      <c r="W55" s="217">
        <f>IF(Q55&lt;&gt;"",V55*U55,"")</f>
        <v>0</v>
      </c>
      <c r="X55" s="217">
        <f>IF(Q55&lt;&gt;"",W55+T55,"")</f>
        <v>6798.09</v>
      </c>
      <c r="Y55" s="218">
        <f>IF(Q55&lt;&gt;"",X55+M55,"")</f>
        <v>7972.1471020256004</v>
      </c>
      <c r="Z55" s="198">
        <f>IF(Q55&lt;&gt;"", IFERROR(U55/K55, 0), 0)</f>
        <v>-0.51068666666666673</v>
      </c>
      <c r="AA55" s="199">
        <f>IFERROR(T55/$T$56, "")</f>
        <v>0.80668813692869246</v>
      </c>
      <c r="AK55" s="200">
        <f t="shared" si="13"/>
        <v>0</v>
      </c>
      <c r="AL55" s="201">
        <v>6798.09</v>
      </c>
      <c r="AM55" s="454" t="s">
        <v>217</v>
      </c>
    </row>
    <row r="56" spans="1:39" ht="39.9" customHeight="1" thickBot="1" x14ac:dyDescent="0.5">
      <c r="A56" s="153">
        <v>40</v>
      </c>
      <c r="B56" s="178"/>
      <c r="C56" s="179" t="s">
        <v>155</v>
      </c>
      <c r="D56" s="153"/>
      <c r="E56" s="153"/>
      <c r="F56" s="484" t="s">
        <v>220</v>
      </c>
      <c r="G56" s="485"/>
      <c r="H56" s="485"/>
      <c r="I56" s="485"/>
      <c r="J56" s="485"/>
      <c r="K56" s="219">
        <f>SUM(K54:K55)</f>
        <v>5576.03</v>
      </c>
      <c r="L56" s="220">
        <f>SUM(L54:L55)</f>
        <v>418.20224999999999</v>
      </c>
      <c r="M56" s="220">
        <f>SUM(M54:M55)</f>
        <v>1454.7950272461792</v>
      </c>
      <c r="N56" s="221">
        <f>SUM(N54:N55)</f>
        <v>7449.0272772461794</v>
      </c>
      <c r="Q56" s="484" t="s">
        <v>220</v>
      </c>
      <c r="R56" s="485"/>
      <c r="S56" s="485"/>
      <c r="T56" s="222">
        <f>SUM(T54:T55)</f>
        <v>8427.16</v>
      </c>
      <c r="U56" s="223">
        <f>SUM(U54:U55)</f>
        <v>-2851.13</v>
      </c>
      <c r="V56" s="224"/>
      <c r="W56" s="224"/>
      <c r="X56" s="225">
        <f>SUM(X54:X55)</f>
        <v>8427.16</v>
      </c>
      <c r="Y56" s="226">
        <f>IF(Q56&lt;&gt;"",X56+M56,"")</f>
        <v>9881.9550272461784</v>
      </c>
      <c r="AK56" s="200"/>
      <c r="AL56" s="201"/>
    </row>
    <row r="57" spans="1:39" ht="39.9" customHeight="1" thickBot="1" x14ac:dyDescent="0.5">
      <c r="A57" s="153">
        <v>41</v>
      </c>
      <c r="B57" s="178">
        <v>5</v>
      </c>
      <c r="C57" s="179" t="s">
        <v>121</v>
      </c>
      <c r="D57" s="153"/>
      <c r="E57" s="180"/>
      <c r="F57" s="480" t="s">
        <v>222</v>
      </c>
      <c r="G57" s="477"/>
      <c r="H57" s="477"/>
      <c r="I57" s="477"/>
      <c r="J57" s="477"/>
      <c r="K57" s="477"/>
      <c r="L57" s="477"/>
      <c r="M57" s="477"/>
      <c r="N57" s="477"/>
      <c r="Q57" s="481" t="str">
        <f>IF(F57&lt;&gt;"",F57,"")</f>
        <v>FESTA</v>
      </c>
      <c r="R57" s="481"/>
      <c r="S57" s="481"/>
      <c r="T57" s="481"/>
      <c r="U57" s="481"/>
      <c r="V57" s="481"/>
      <c r="W57" s="481"/>
      <c r="X57" s="481"/>
      <c r="Y57" s="481"/>
      <c r="AK57" s="200"/>
      <c r="AL57" s="201"/>
    </row>
    <row r="58" spans="1:39" ht="39.9" customHeight="1" x14ac:dyDescent="0.45">
      <c r="A58" s="153">
        <v>42</v>
      </c>
      <c r="B58" s="178" t="s">
        <v>221</v>
      </c>
      <c r="C58" s="179" t="s">
        <v>122</v>
      </c>
      <c r="D58" s="153"/>
      <c r="E58" s="153"/>
      <c r="F58" s="478" t="s">
        <v>222</v>
      </c>
      <c r="G58" s="479"/>
      <c r="H58" s="479"/>
      <c r="I58" s="479"/>
      <c r="J58" s="479"/>
      <c r="K58" s="482"/>
      <c r="L58" s="181" t="s">
        <v>124</v>
      </c>
      <c r="M58" s="182" t="s">
        <v>125</v>
      </c>
      <c r="N58" s="183" t="s">
        <v>82</v>
      </c>
      <c r="Q58" s="478" t="str">
        <f>IF(F58&lt;&gt;"",F58,"")</f>
        <v>FESTA</v>
      </c>
      <c r="R58" s="479"/>
      <c r="S58" s="479"/>
      <c r="T58" s="479"/>
      <c r="U58" s="479"/>
      <c r="V58" s="479"/>
      <c r="W58" s="479"/>
      <c r="X58" s="479"/>
      <c r="Y58" s="483"/>
      <c r="Z58" s="184" t="s">
        <v>126</v>
      </c>
      <c r="AA58" s="185" t="s">
        <v>83</v>
      </c>
      <c r="AK58" s="200"/>
      <c r="AL58" s="201"/>
    </row>
    <row r="59" spans="1:39" ht="120" customHeight="1" x14ac:dyDescent="0.4">
      <c r="A59" s="153">
        <v>44</v>
      </c>
      <c r="B59" s="178" t="s">
        <v>223</v>
      </c>
      <c r="C59" s="179" t="s">
        <v>127</v>
      </c>
      <c r="D59" s="153" t="s">
        <v>135</v>
      </c>
      <c r="E59" s="153" t="s">
        <v>137</v>
      </c>
      <c r="F59" s="250" t="s">
        <v>232</v>
      </c>
      <c r="G59" s="251" t="s">
        <v>240</v>
      </c>
      <c r="H59" s="188">
        <v>1</v>
      </c>
      <c r="I59" s="188">
        <v>1</v>
      </c>
      <c r="J59" s="189">
        <v>3300</v>
      </c>
      <c r="K59" s="189">
        <f t="shared" ref="K59:K68" si="30">IF(F59&lt;&gt;"",H59*I59*J59,"")</f>
        <v>3300</v>
      </c>
      <c r="L59" s="189">
        <f t="shared" ref="L59:L68" si="31">IF(K59&lt;&gt;"",IF(D59="INTERNO",0,K59*$L$14),"")</f>
        <v>247.5</v>
      </c>
      <c r="M59" s="189">
        <f t="shared" ref="M59:M68" si="32">IF(K59&lt;&gt;"",IF(E59="FAT.OGGI",SUM(K59:L59)*(1/(1-$M$14)-1),L59*(1/(1-$M$14)-1)),0)</f>
        <v>860.97520815210669</v>
      </c>
      <c r="N59" s="190">
        <f t="shared" ref="N59:N68" si="33">SUM(K59:M59)</f>
        <v>4408.4752081521065</v>
      </c>
      <c r="O59" s="128" t="s">
        <v>407</v>
      </c>
      <c r="Q59" s="191">
        <f t="shared" ref="Q59:Q68" si="34">IF(H59&lt;&gt;"",H59,"")</f>
        <v>1</v>
      </c>
      <c r="R59" s="192">
        <f t="shared" ref="R59:R68" si="35">IF(I59&lt;&gt;"",I59,"")</f>
        <v>1</v>
      </c>
      <c r="S59" s="204">
        <v>1200</v>
      </c>
      <c r="T59" s="204">
        <v>1163.3800000000001</v>
      </c>
      <c r="U59" s="194">
        <f t="shared" ref="U59:U68" si="36">IF(Q59&lt;&gt;"",K59-T59,"")</f>
        <v>2136.62</v>
      </c>
      <c r="V59" s="195">
        <f t="shared" ref="V59:V68" si="37">IF(Q59&lt;&gt;"",0%,"")</f>
        <v>0</v>
      </c>
      <c r="W59" s="196">
        <f t="shared" ref="W59:W68" si="38">IF(Q59&lt;&gt;"",V59*U59,"")</f>
        <v>0</v>
      </c>
      <c r="X59" s="196">
        <f t="shared" ref="X59:X68" si="39">IF(Q59&lt;&gt;"",W59+T59,"")</f>
        <v>1163.3800000000001</v>
      </c>
      <c r="Y59" s="197">
        <f t="shared" ref="Y59:Y69" si="40">IF(Q59&lt;&gt;"",X59+M59,"")</f>
        <v>2024.3552081521068</v>
      </c>
      <c r="Z59" s="198">
        <f t="shared" ref="Z59:Z68" si="41">IF(Q59&lt;&gt;"", IFERROR(U59/K59, 0), 0)</f>
        <v>0.64746060606060607</v>
      </c>
      <c r="AA59" s="199">
        <f t="shared" ref="AA59:AA68" si="42">IFERROR(T59/$T$69, "")</f>
        <v>3.7960623904053317E-2</v>
      </c>
      <c r="AK59" s="200">
        <f t="shared" si="13"/>
        <v>0</v>
      </c>
      <c r="AL59" s="201">
        <v>1163.3800000000001</v>
      </c>
      <c r="AM59" s="454" t="s">
        <v>614</v>
      </c>
    </row>
    <row r="60" spans="1:39" ht="120" customHeight="1" x14ac:dyDescent="0.4">
      <c r="A60" s="153">
        <v>45</v>
      </c>
      <c r="B60" s="178" t="s">
        <v>224</v>
      </c>
      <c r="C60" s="179" t="s">
        <v>127</v>
      </c>
      <c r="D60" s="153" t="s">
        <v>135</v>
      </c>
      <c r="E60" s="153" t="s">
        <v>137</v>
      </c>
      <c r="F60" s="250" t="s">
        <v>233</v>
      </c>
      <c r="G60" s="203" t="s">
        <v>241</v>
      </c>
      <c r="H60" s="188">
        <v>1</v>
      </c>
      <c r="I60" s="188">
        <v>1</v>
      </c>
      <c r="J60" s="189">
        <v>6612</v>
      </c>
      <c r="K60" s="189">
        <f t="shared" si="30"/>
        <v>6612</v>
      </c>
      <c r="L60" s="189">
        <f t="shared" si="31"/>
        <v>495.9</v>
      </c>
      <c r="M60" s="189">
        <f t="shared" si="32"/>
        <v>1725.0812352429482</v>
      </c>
      <c r="N60" s="190">
        <f t="shared" si="33"/>
        <v>8832.9812352429472</v>
      </c>
      <c r="O60" s="128" t="s">
        <v>408</v>
      </c>
      <c r="Q60" s="191">
        <f t="shared" si="34"/>
        <v>1</v>
      </c>
      <c r="R60" s="192">
        <f t="shared" si="35"/>
        <v>1</v>
      </c>
      <c r="S60" s="204">
        <v>2875</v>
      </c>
      <c r="T60" s="204">
        <v>0</v>
      </c>
      <c r="U60" s="194">
        <f t="shared" si="36"/>
        <v>6612</v>
      </c>
      <c r="V60" s="195">
        <f t="shared" si="37"/>
        <v>0</v>
      </c>
      <c r="W60" s="196">
        <f t="shared" si="38"/>
        <v>0</v>
      </c>
      <c r="X60" s="196">
        <f t="shared" si="39"/>
        <v>0</v>
      </c>
      <c r="Y60" s="197">
        <f t="shared" si="40"/>
        <v>1725.0812352429482</v>
      </c>
      <c r="Z60" s="198">
        <f t="shared" si="41"/>
        <v>1</v>
      </c>
      <c r="AA60" s="199">
        <f t="shared" si="42"/>
        <v>0</v>
      </c>
      <c r="AK60" s="200">
        <f t="shared" si="13"/>
        <v>0</v>
      </c>
      <c r="AL60" s="201"/>
    </row>
    <row r="61" spans="1:39" ht="120" customHeight="1" x14ac:dyDescent="0.4">
      <c r="A61" s="153">
        <v>46</v>
      </c>
      <c r="B61" s="178" t="s">
        <v>225</v>
      </c>
      <c r="C61" s="179" t="s">
        <v>127</v>
      </c>
      <c r="D61" s="153" t="s">
        <v>135</v>
      </c>
      <c r="E61" s="153" t="s">
        <v>137</v>
      </c>
      <c r="F61" s="252" t="s">
        <v>234</v>
      </c>
      <c r="G61" s="208" t="s">
        <v>242</v>
      </c>
      <c r="H61" s="188">
        <v>1</v>
      </c>
      <c r="I61" s="188">
        <v>1</v>
      </c>
      <c r="J61" s="189">
        <v>22380</v>
      </c>
      <c r="K61" s="189">
        <f t="shared" si="30"/>
        <v>22380</v>
      </c>
      <c r="L61" s="189">
        <f t="shared" si="31"/>
        <v>1678.5</v>
      </c>
      <c r="M61" s="189">
        <f t="shared" si="32"/>
        <v>5838.9773207406506</v>
      </c>
      <c r="N61" s="190">
        <f t="shared" si="33"/>
        <v>29897.477320740651</v>
      </c>
      <c r="O61" s="128" t="s">
        <v>409</v>
      </c>
      <c r="Q61" s="191">
        <f t="shared" si="34"/>
        <v>1</v>
      </c>
      <c r="R61" s="192">
        <f t="shared" si="35"/>
        <v>1</v>
      </c>
      <c r="S61" s="204">
        <v>14650</v>
      </c>
      <c r="T61" s="204">
        <v>0</v>
      </c>
      <c r="U61" s="194">
        <f t="shared" si="36"/>
        <v>22380</v>
      </c>
      <c r="V61" s="195">
        <f t="shared" si="37"/>
        <v>0</v>
      </c>
      <c r="W61" s="196">
        <f t="shared" si="38"/>
        <v>0</v>
      </c>
      <c r="X61" s="196">
        <f t="shared" si="39"/>
        <v>0</v>
      </c>
      <c r="Y61" s="197">
        <f t="shared" si="40"/>
        <v>5838.9773207406506</v>
      </c>
      <c r="Z61" s="198">
        <f t="shared" si="41"/>
        <v>1</v>
      </c>
      <c r="AA61" s="199">
        <f t="shared" si="42"/>
        <v>0</v>
      </c>
      <c r="AK61" s="200">
        <f t="shared" si="13"/>
        <v>0</v>
      </c>
      <c r="AL61" s="201"/>
    </row>
    <row r="62" spans="1:39" ht="120" customHeight="1" x14ac:dyDescent="0.4">
      <c r="A62" s="153">
        <v>47</v>
      </c>
      <c r="B62" s="178" t="s">
        <v>226</v>
      </c>
      <c r="C62" s="179" t="s">
        <v>127</v>
      </c>
      <c r="D62" s="153" t="s">
        <v>135</v>
      </c>
      <c r="E62" s="153" t="s">
        <v>137</v>
      </c>
      <c r="F62" s="202" t="s">
        <v>235</v>
      </c>
      <c r="G62" s="253" t="s">
        <v>243</v>
      </c>
      <c r="H62" s="188">
        <v>1</v>
      </c>
      <c r="I62" s="188">
        <v>1</v>
      </c>
      <c r="J62" s="189">
        <v>5346</v>
      </c>
      <c r="K62" s="189">
        <f t="shared" si="30"/>
        <v>5346</v>
      </c>
      <c r="L62" s="189">
        <f t="shared" si="31"/>
        <v>400.95</v>
      </c>
      <c r="M62" s="189">
        <f t="shared" si="32"/>
        <v>1394.7798372064128</v>
      </c>
      <c r="N62" s="190">
        <f t="shared" si="33"/>
        <v>7141.7298372064124</v>
      </c>
      <c r="Q62" s="191">
        <f t="shared" si="34"/>
        <v>1</v>
      </c>
      <c r="R62" s="192">
        <f t="shared" si="35"/>
        <v>1</v>
      </c>
      <c r="S62" s="204">
        <v>5346</v>
      </c>
      <c r="T62" s="204">
        <v>0</v>
      </c>
      <c r="U62" s="194">
        <f t="shared" si="36"/>
        <v>5346</v>
      </c>
      <c r="V62" s="195">
        <f t="shared" si="37"/>
        <v>0</v>
      </c>
      <c r="W62" s="196">
        <f t="shared" si="38"/>
        <v>0</v>
      </c>
      <c r="X62" s="196">
        <f t="shared" si="39"/>
        <v>0</v>
      </c>
      <c r="Y62" s="197">
        <f t="shared" si="40"/>
        <v>1394.7798372064128</v>
      </c>
      <c r="Z62" s="198">
        <f t="shared" si="41"/>
        <v>1</v>
      </c>
      <c r="AA62" s="199">
        <f t="shared" si="42"/>
        <v>0</v>
      </c>
      <c r="AK62" s="200">
        <f t="shared" si="13"/>
        <v>0</v>
      </c>
      <c r="AL62" s="201"/>
    </row>
    <row r="63" spans="1:39" ht="120" customHeight="1" x14ac:dyDescent="0.4">
      <c r="A63" s="153">
        <v>48</v>
      </c>
      <c r="B63" s="178" t="s">
        <v>227</v>
      </c>
      <c r="C63" s="179" t="s">
        <v>127</v>
      </c>
      <c r="D63" s="153" t="s">
        <v>135</v>
      </c>
      <c r="E63" s="153" t="s">
        <v>137</v>
      </c>
      <c r="F63" s="250" t="s">
        <v>236</v>
      </c>
      <c r="G63" s="254" t="s">
        <v>244</v>
      </c>
      <c r="H63" s="188">
        <v>1</v>
      </c>
      <c r="I63" s="188">
        <v>1</v>
      </c>
      <c r="J63" s="189">
        <v>6200</v>
      </c>
      <c r="K63" s="189">
        <f t="shared" si="30"/>
        <v>6200</v>
      </c>
      <c r="L63" s="189">
        <f t="shared" si="31"/>
        <v>465</v>
      </c>
      <c r="M63" s="189">
        <f t="shared" si="32"/>
        <v>1617.5897850130489</v>
      </c>
      <c r="N63" s="190">
        <f t="shared" si="33"/>
        <v>8282.5897850130495</v>
      </c>
      <c r="Q63" s="191">
        <f t="shared" si="34"/>
        <v>1</v>
      </c>
      <c r="R63" s="192">
        <f t="shared" si="35"/>
        <v>1</v>
      </c>
      <c r="S63" s="204">
        <v>4000</v>
      </c>
      <c r="T63" s="204">
        <v>0</v>
      </c>
      <c r="U63" s="194">
        <f t="shared" si="36"/>
        <v>6200</v>
      </c>
      <c r="V63" s="195">
        <f t="shared" si="37"/>
        <v>0</v>
      </c>
      <c r="W63" s="196">
        <f t="shared" si="38"/>
        <v>0</v>
      </c>
      <c r="X63" s="196">
        <f t="shared" si="39"/>
        <v>0</v>
      </c>
      <c r="Y63" s="197">
        <f t="shared" si="40"/>
        <v>1617.5897850130489</v>
      </c>
      <c r="Z63" s="198">
        <f t="shared" si="41"/>
        <v>1</v>
      </c>
      <c r="AA63" s="199">
        <f t="shared" si="42"/>
        <v>0</v>
      </c>
      <c r="AK63" s="200">
        <f t="shared" si="13"/>
        <v>0</v>
      </c>
      <c r="AL63" s="201"/>
    </row>
    <row r="64" spans="1:39" ht="120" customHeight="1" x14ac:dyDescent="0.4">
      <c r="A64" s="153">
        <v>49</v>
      </c>
      <c r="B64" s="178" t="s">
        <v>228</v>
      </c>
      <c r="C64" s="179" t="s">
        <v>127</v>
      </c>
      <c r="D64" s="153" t="s">
        <v>135</v>
      </c>
      <c r="E64" s="153" t="s">
        <v>137</v>
      </c>
      <c r="F64" s="250" t="s">
        <v>237</v>
      </c>
      <c r="G64" s="255" t="s">
        <v>437</v>
      </c>
      <c r="H64" s="188">
        <v>1</v>
      </c>
      <c r="I64" s="188">
        <v>1</v>
      </c>
      <c r="J64" s="189">
        <v>3495</v>
      </c>
      <c r="K64" s="189">
        <f t="shared" si="30"/>
        <v>3495</v>
      </c>
      <c r="L64" s="189">
        <f t="shared" si="31"/>
        <v>262.125</v>
      </c>
      <c r="M64" s="189">
        <f t="shared" si="32"/>
        <v>911.85101590654926</v>
      </c>
      <c r="N64" s="190">
        <f t="shared" si="33"/>
        <v>4668.976015906549</v>
      </c>
      <c r="Q64" s="191">
        <f t="shared" si="34"/>
        <v>1</v>
      </c>
      <c r="R64" s="192">
        <f t="shared" si="35"/>
        <v>1</v>
      </c>
      <c r="S64" s="193">
        <v>3550</v>
      </c>
      <c r="T64" s="193">
        <v>7100</v>
      </c>
      <c r="U64" s="194">
        <f t="shared" si="36"/>
        <v>-3605</v>
      </c>
      <c r="V64" s="195">
        <f t="shared" si="37"/>
        <v>0</v>
      </c>
      <c r="W64" s="196">
        <f t="shared" si="38"/>
        <v>0</v>
      </c>
      <c r="X64" s="196">
        <f t="shared" si="39"/>
        <v>7100</v>
      </c>
      <c r="Y64" s="197">
        <f t="shared" si="40"/>
        <v>8011.851015906549</v>
      </c>
      <c r="Z64" s="198">
        <f t="shared" si="41"/>
        <v>-1.0314735336194563</v>
      </c>
      <c r="AA64" s="199">
        <f t="shared" si="42"/>
        <v>0.23167015912150676</v>
      </c>
      <c r="AK64" s="200">
        <f t="shared" si="13"/>
        <v>0</v>
      </c>
      <c r="AL64" s="201">
        <f>3550+3550</f>
        <v>7100</v>
      </c>
      <c r="AM64" s="454" t="s">
        <v>617</v>
      </c>
    </row>
    <row r="65" spans="1:39" ht="120" customHeight="1" x14ac:dyDescent="0.4">
      <c r="A65" s="153">
        <v>50</v>
      </c>
      <c r="B65" s="178" t="s">
        <v>229</v>
      </c>
      <c r="C65" s="179" t="s">
        <v>127</v>
      </c>
      <c r="D65" s="153" t="s">
        <v>135</v>
      </c>
      <c r="E65" s="153" t="s">
        <v>137</v>
      </c>
      <c r="F65" s="250" t="s">
        <v>237</v>
      </c>
      <c r="G65" s="255" t="s">
        <v>245</v>
      </c>
      <c r="H65" s="188">
        <v>1</v>
      </c>
      <c r="I65" s="188">
        <v>0</v>
      </c>
      <c r="J65" s="256">
        <v>12741.94</v>
      </c>
      <c r="K65" s="189">
        <f t="shared" si="30"/>
        <v>0</v>
      </c>
      <c r="L65" s="189">
        <f t="shared" si="31"/>
        <v>0</v>
      </c>
      <c r="M65" s="189">
        <f t="shared" si="32"/>
        <v>0</v>
      </c>
      <c r="N65" s="190">
        <v>17021.98</v>
      </c>
      <c r="Q65" s="191">
        <f t="shared" si="34"/>
        <v>1</v>
      </c>
      <c r="R65" s="192">
        <f t="shared" si="35"/>
        <v>0</v>
      </c>
      <c r="S65" s="204">
        <v>9369</v>
      </c>
      <c r="T65" s="204">
        <f t="shared" ref="T65:T68" si="43">IF(Q65&lt;&gt;"",Q65*R65*S65,"")</f>
        <v>0</v>
      </c>
      <c r="U65" s="194">
        <f t="shared" si="36"/>
        <v>0</v>
      </c>
      <c r="V65" s="195">
        <f t="shared" si="37"/>
        <v>0</v>
      </c>
      <c r="W65" s="196">
        <f t="shared" si="38"/>
        <v>0</v>
      </c>
      <c r="X65" s="196">
        <f t="shared" si="39"/>
        <v>0</v>
      </c>
      <c r="Y65" s="197">
        <f t="shared" si="40"/>
        <v>0</v>
      </c>
      <c r="Z65" s="198">
        <f t="shared" si="41"/>
        <v>0</v>
      </c>
      <c r="AA65" s="199">
        <f t="shared" si="42"/>
        <v>0</v>
      </c>
      <c r="AK65" s="200">
        <f t="shared" si="13"/>
        <v>0</v>
      </c>
      <c r="AL65" s="201"/>
    </row>
    <row r="66" spans="1:39" ht="120" customHeight="1" x14ac:dyDescent="0.4">
      <c r="A66" s="153">
        <v>51</v>
      </c>
      <c r="B66" s="178" t="s">
        <v>230</v>
      </c>
      <c r="C66" s="179" t="s">
        <v>127</v>
      </c>
      <c r="D66" s="153" t="s">
        <v>135</v>
      </c>
      <c r="E66" s="153" t="s">
        <v>137</v>
      </c>
      <c r="F66" s="250" t="s">
        <v>237</v>
      </c>
      <c r="G66" s="255" t="s">
        <v>431</v>
      </c>
      <c r="H66" s="188">
        <v>1</v>
      </c>
      <c r="I66" s="188">
        <v>1</v>
      </c>
      <c r="J66" s="189">
        <v>2865</v>
      </c>
      <c r="K66" s="189">
        <f t="shared" si="30"/>
        <v>2865</v>
      </c>
      <c r="L66" s="189">
        <f t="shared" si="31"/>
        <v>214.875</v>
      </c>
      <c r="M66" s="189">
        <f t="shared" si="32"/>
        <v>747.48302162296534</v>
      </c>
      <c r="N66" s="190">
        <f t="shared" si="33"/>
        <v>3827.3580216229652</v>
      </c>
      <c r="Q66" s="191">
        <f t="shared" si="34"/>
        <v>1</v>
      </c>
      <c r="R66" s="192">
        <f t="shared" si="35"/>
        <v>1</v>
      </c>
      <c r="S66" s="204">
        <v>2386.8000000000002</v>
      </c>
      <c r="T66" s="204">
        <v>0</v>
      </c>
      <c r="U66" s="194">
        <f t="shared" si="36"/>
        <v>2865</v>
      </c>
      <c r="V66" s="195">
        <f t="shared" si="37"/>
        <v>0</v>
      </c>
      <c r="W66" s="196">
        <f t="shared" si="38"/>
        <v>0</v>
      </c>
      <c r="X66" s="196">
        <f t="shared" si="39"/>
        <v>0</v>
      </c>
      <c r="Y66" s="197">
        <f t="shared" si="40"/>
        <v>747.48302162296534</v>
      </c>
      <c r="Z66" s="198">
        <f t="shared" si="41"/>
        <v>1</v>
      </c>
      <c r="AA66" s="199">
        <f t="shared" si="42"/>
        <v>0</v>
      </c>
      <c r="AK66" s="200">
        <f t="shared" si="13"/>
        <v>0</v>
      </c>
      <c r="AL66" s="201"/>
    </row>
    <row r="67" spans="1:39" ht="120" customHeight="1" x14ac:dyDescent="0.4">
      <c r="A67" s="153">
        <v>52</v>
      </c>
      <c r="B67" s="178" t="s">
        <v>231</v>
      </c>
      <c r="C67" s="179" t="s">
        <v>127</v>
      </c>
      <c r="D67" s="153" t="s">
        <v>135</v>
      </c>
      <c r="E67" s="153" t="s">
        <v>137</v>
      </c>
      <c r="F67" s="257" t="s">
        <v>238</v>
      </c>
      <c r="G67" s="258" t="s">
        <v>246</v>
      </c>
      <c r="H67" s="188">
        <v>1</v>
      </c>
      <c r="I67" s="188">
        <v>1</v>
      </c>
      <c r="J67" s="189">
        <v>7250</v>
      </c>
      <c r="K67" s="189">
        <f t="shared" si="30"/>
        <v>7250</v>
      </c>
      <c r="L67" s="189">
        <f t="shared" si="31"/>
        <v>543.75</v>
      </c>
      <c r="M67" s="189">
        <f t="shared" si="32"/>
        <v>1891.5364421523554</v>
      </c>
      <c r="N67" s="190">
        <f t="shared" si="33"/>
        <v>9685.2864421523554</v>
      </c>
      <c r="O67" s="128" t="s">
        <v>410</v>
      </c>
      <c r="Q67" s="191">
        <f t="shared" si="34"/>
        <v>1</v>
      </c>
      <c r="R67" s="192">
        <f t="shared" si="35"/>
        <v>1</v>
      </c>
      <c r="S67" s="259">
        <v>9566.82</v>
      </c>
      <c r="T67" s="259">
        <v>16883.64</v>
      </c>
      <c r="U67" s="194">
        <f t="shared" si="36"/>
        <v>-9633.64</v>
      </c>
      <c r="V67" s="195">
        <f t="shared" si="37"/>
        <v>0</v>
      </c>
      <c r="W67" s="196">
        <f t="shared" si="38"/>
        <v>0</v>
      </c>
      <c r="X67" s="196">
        <f t="shared" si="39"/>
        <v>16883.64</v>
      </c>
      <c r="Y67" s="197">
        <f t="shared" si="40"/>
        <v>18775.176442152355</v>
      </c>
      <c r="Z67" s="198">
        <f t="shared" si="41"/>
        <v>-1.3287779310344827</v>
      </c>
      <c r="AA67" s="199">
        <f t="shared" si="42"/>
        <v>0.55090641765496284</v>
      </c>
      <c r="AK67" s="200">
        <f t="shared" si="13"/>
        <v>0</v>
      </c>
      <c r="AL67" s="201">
        <f>9566.82+7316.82</f>
        <v>16883.64</v>
      </c>
      <c r="AM67" s="454" t="s">
        <v>615</v>
      </c>
    </row>
    <row r="68" spans="1:39" ht="120" customHeight="1" x14ac:dyDescent="0.4">
      <c r="A68" s="153">
        <v>53</v>
      </c>
      <c r="B68" s="178" t="s">
        <v>248</v>
      </c>
      <c r="C68" s="179" t="s">
        <v>127</v>
      </c>
      <c r="D68" s="153" t="s">
        <v>135</v>
      </c>
      <c r="E68" s="153" t="s">
        <v>137</v>
      </c>
      <c r="F68" s="250" t="s">
        <v>239</v>
      </c>
      <c r="G68" s="255" t="s">
        <v>247</v>
      </c>
      <c r="H68" s="209">
        <v>1</v>
      </c>
      <c r="I68" s="209">
        <v>1</v>
      </c>
      <c r="J68" s="210">
        <v>6000</v>
      </c>
      <c r="K68" s="210">
        <f t="shared" si="30"/>
        <v>6000</v>
      </c>
      <c r="L68" s="210">
        <f t="shared" si="31"/>
        <v>450</v>
      </c>
      <c r="M68" s="210">
        <f t="shared" si="32"/>
        <v>1565.4094693674667</v>
      </c>
      <c r="N68" s="211">
        <f t="shared" si="33"/>
        <v>8015.409469367467</v>
      </c>
      <c r="O68" s="128" t="s">
        <v>411</v>
      </c>
      <c r="Q68" s="212">
        <f t="shared" si="34"/>
        <v>1</v>
      </c>
      <c r="R68" s="213">
        <f t="shared" si="35"/>
        <v>1</v>
      </c>
      <c r="S68" s="214">
        <v>5500</v>
      </c>
      <c r="T68" s="214">
        <f t="shared" si="43"/>
        <v>5500</v>
      </c>
      <c r="U68" s="215">
        <f t="shared" si="36"/>
        <v>500</v>
      </c>
      <c r="V68" s="216">
        <f t="shared" si="37"/>
        <v>0</v>
      </c>
      <c r="W68" s="217">
        <f t="shared" si="38"/>
        <v>0</v>
      </c>
      <c r="X68" s="217">
        <f t="shared" si="39"/>
        <v>5500</v>
      </c>
      <c r="Y68" s="218">
        <f t="shared" si="40"/>
        <v>7065.409469367467</v>
      </c>
      <c r="Z68" s="198">
        <f t="shared" si="41"/>
        <v>8.3333333333333329E-2</v>
      </c>
      <c r="AA68" s="199">
        <f t="shared" si="42"/>
        <v>0.17946279931947706</v>
      </c>
      <c r="AK68" s="200">
        <f t="shared" si="13"/>
        <v>0</v>
      </c>
      <c r="AL68" s="201">
        <v>5500</v>
      </c>
      <c r="AM68" s="454" t="s">
        <v>627</v>
      </c>
    </row>
    <row r="69" spans="1:39" ht="39.9" customHeight="1" thickBot="1" x14ac:dyDescent="0.5">
      <c r="A69" s="153">
        <v>54</v>
      </c>
      <c r="B69" s="178"/>
      <c r="C69" s="179" t="s">
        <v>155</v>
      </c>
      <c r="D69" s="153"/>
      <c r="E69" s="153"/>
      <c r="F69" s="484" t="s">
        <v>249</v>
      </c>
      <c r="G69" s="485"/>
      <c r="H69" s="485"/>
      <c r="I69" s="485"/>
      <c r="J69" s="485"/>
      <c r="K69" s="219">
        <f>SUM(K59:K68)</f>
        <v>63448</v>
      </c>
      <c r="L69" s="220">
        <f>SUM(L59:L68)</f>
        <v>4758.6000000000004</v>
      </c>
      <c r="M69" s="220">
        <f>SUM(M59:M68)</f>
        <v>16553.683335404505</v>
      </c>
      <c r="N69" s="221">
        <f>SUM(N59:N68)</f>
        <v>101782.2633354045</v>
      </c>
      <c r="Q69" s="484" t="s">
        <v>249</v>
      </c>
      <c r="R69" s="485"/>
      <c r="S69" s="485"/>
      <c r="T69" s="222">
        <f>SUM(T59:T68)</f>
        <v>30647.02</v>
      </c>
      <c r="U69" s="223">
        <f>SUM(U59:U68)</f>
        <v>32800.979999999996</v>
      </c>
      <c r="V69" s="224"/>
      <c r="W69" s="224"/>
      <c r="X69" s="225">
        <f>SUM(X59:X68)</f>
        <v>30647.02</v>
      </c>
      <c r="Y69" s="226">
        <f t="shared" si="40"/>
        <v>47200.703335404505</v>
      </c>
      <c r="AK69" s="200"/>
      <c r="AL69" s="201"/>
    </row>
    <row r="70" spans="1:39" ht="39.9" customHeight="1" thickBot="1" x14ac:dyDescent="0.5">
      <c r="A70" s="153">
        <v>55</v>
      </c>
      <c r="B70" s="178">
        <v>6</v>
      </c>
      <c r="C70" s="179" t="s">
        <v>121</v>
      </c>
      <c r="D70" s="153"/>
      <c r="E70" s="180"/>
      <c r="F70" s="480" t="s">
        <v>251</v>
      </c>
      <c r="G70" s="477"/>
      <c r="H70" s="477"/>
      <c r="I70" s="477"/>
      <c r="J70" s="477"/>
      <c r="K70" s="477"/>
      <c r="L70" s="477"/>
      <c r="M70" s="477"/>
      <c r="N70" s="477"/>
      <c r="Q70" s="481" t="str">
        <f>IF(F70&lt;&gt;"",F70,"")</f>
        <v>SERVIÇOS</v>
      </c>
      <c r="R70" s="481"/>
      <c r="S70" s="481"/>
      <c r="T70" s="481"/>
      <c r="U70" s="481"/>
      <c r="V70" s="481"/>
      <c r="W70" s="481"/>
      <c r="X70" s="481"/>
      <c r="Y70" s="481"/>
      <c r="AK70" s="200"/>
      <c r="AL70" s="201"/>
    </row>
    <row r="71" spans="1:39" ht="39.9" customHeight="1" x14ac:dyDescent="0.45">
      <c r="A71" s="153">
        <v>56</v>
      </c>
      <c r="B71" s="178" t="s">
        <v>250</v>
      </c>
      <c r="C71" s="179" t="s">
        <v>122</v>
      </c>
      <c r="D71" s="153"/>
      <c r="E71" s="153"/>
      <c r="F71" s="478" t="s">
        <v>251</v>
      </c>
      <c r="G71" s="479"/>
      <c r="H71" s="479"/>
      <c r="I71" s="479"/>
      <c r="J71" s="479"/>
      <c r="K71" s="482"/>
      <c r="L71" s="181" t="s">
        <v>124</v>
      </c>
      <c r="M71" s="182" t="s">
        <v>125</v>
      </c>
      <c r="N71" s="183" t="s">
        <v>82</v>
      </c>
      <c r="Q71" s="478" t="str">
        <f>IF(F71&lt;&gt;"",F71,"")</f>
        <v>SERVIÇOS</v>
      </c>
      <c r="R71" s="479"/>
      <c r="S71" s="479"/>
      <c r="T71" s="479"/>
      <c r="U71" s="479"/>
      <c r="V71" s="479"/>
      <c r="W71" s="479"/>
      <c r="X71" s="479"/>
      <c r="Y71" s="483"/>
      <c r="Z71" s="184" t="s">
        <v>126</v>
      </c>
      <c r="AA71" s="185" t="s">
        <v>83</v>
      </c>
      <c r="AK71" s="200"/>
      <c r="AL71" s="201"/>
    </row>
    <row r="72" spans="1:39" ht="120" customHeight="1" x14ac:dyDescent="0.4">
      <c r="A72" s="153">
        <v>57</v>
      </c>
      <c r="B72" s="178" t="s">
        <v>252</v>
      </c>
      <c r="C72" s="179" t="s">
        <v>127</v>
      </c>
      <c r="D72" s="153" t="s">
        <v>135</v>
      </c>
      <c r="E72" s="153" t="s">
        <v>137</v>
      </c>
      <c r="F72" s="247" t="s">
        <v>262</v>
      </c>
      <c r="G72" s="253" t="s">
        <v>272</v>
      </c>
      <c r="H72" s="188">
        <v>3</v>
      </c>
      <c r="I72" s="188">
        <v>2</v>
      </c>
      <c r="J72" s="189">
        <v>850</v>
      </c>
      <c r="K72" s="189">
        <f t="shared" ref="K72:K82" si="44">IF(F72&lt;&gt;"",H72*I72*J72,"")</f>
        <v>5100</v>
      </c>
      <c r="L72" s="189">
        <f t="shared" ref="L72:L80" si="45">IF(K72&lt;&gt;"",IF(D72="INTERNO",0,K72*$L$14),"")</f>
        <v>382.5</v>
      </c>
      <c r="M72" s="189">
        <f t="shared" ref="M72:M82" si="46">IF(K72&lt;&gt;"",IF(E72="FAT.OGGI",SUM(K72:L72)*(1/(1-$M$14)-1),L72*(1/(1-$M$14)-1)),0)</f>
        <v>1330.5980489623466</v>
      </c>
      <c r="N72" s="190">
        <f t="shared" ref="N72:N82" si="47">SUM(K72:M72)</f>
        <v>6813.0980489623471</v>
      </c>
      <c r="O72" s="128" t="s">
        <v>412</v>
      </c>
      <c r="Q72" s="191">
        <f t="shared" ref="Q72:Q82" si="48">IF(H72&lt;&gt;"",H72,"")</f>
        <v>3</v>
      </c>
      <c r="R72" s="192">
        <f t="shared" ref="R72:R82" si="49">IF(I72&lt;&gt;"",I72,"")</f>
        <v>2</v>
      </c>
      <c r="S72" s="193">
        <v>500</v>
      </c>
      <c r="T72" s="193">
        <v>3000</v>
      </c>
      <c r="U72" s="194">
        <f t="shared" ref="U72:U82" si="50">IF(Q72&lt;&gt;"",K72-T72,"")</f>
        <v>2100</v>
      </c>
      <c r="V72" s="195">
        <f t="shared" ref="V72:V82" si="51">IF(Q72&lt;&gt;"",0%,"")</f>
        <v>0</v>
      </c>
      <c r="W72" s="196">
        <f t="shared" ref="W72:W82" si="52">IF(Q72&lt;&gt;"",V72*U72,"")</f>
        <v>0</v>
      </c>
      <c r="X72" s="196">
        <f t="shared" ref="X72:X82" si="53">IF(Q72&lt;&gt;"",W72+T72,"")</f>
        <v>3000</v>
      </c>
      <c r="Y72" s="197">
        <f t="shared" ref="Y72:Y83" si="54">IF(Q72&lt;&gt;"",X72+M72,"")</f>
        <v>4330.5980489623471</v>
      </c>
      <c r="Z72" s="198">
        <f t="shared" ref="Z72:Z82" si="55">IF(Q72&lt;&gt;"", IFERROR(U72/K72, 0), 0)</f>
        <v>0.41176470588235292</v>
      </c>
      <c r="AA72" s="199">
        <f t="shared" ref="AA72:AA82" si="56">IFERROR(T72/$T$83, "")</f>
        <v>3.900399400898652E-2</v>
      </c>
      <c r="AK72" s="200">
        <f t="shared" si="13"/>
        <v>0</v>
      </c>
      <c r="AL72" s="201">
        <v>3000</v>
      </c>
      <c r="AM72" s="454" t="s">
        <v>581</v>
      </c>
    </row>
    <row r="73" spans="1:39" ht="120" customHeight="1" x14ac:dyDescent="0.4">
      <c r="A73" s="153">
        <v>58</v>
      </c>
      <c r="B73" s="178" t="s">
        <v>253</v>
      </c>
      <c r="C73" s="179" t="s">
        <v>127</v>
      </c>
      <c r="D73" s="153" t="s">
        <v>135</v>
      </c>
      <c r="E73" s="153" t="s">
        <v>137</v>
      </c>
      <c r="F73" s="247" t="s">
        <v>263</v>
      </c>
      <c r="G73" s="253" t="s">
        <v>469</v>
      </c>
      <c r="H73" s="188">
        <v>3</v>
      </c>
      <c r="I73" s="188">
        <v>2</v>
      </c>
      <c r="J73" s="189">
        <v>75</v>
      </c>
      <c r="K73" s="189">
        <f t="shared" si="44"/>
        <v>450</v>
      </c>
      <c r="L73" s="189">
        <f t="shared" si="45"/>
        <v>33.75</v>
      </c>
      <c r="M73" s="189">
        <f t="shared" si="46"/>
        <v>117.40571020256</v>
      </c>
      <c r="N73" s="190">
        <f t="shared" si="47"/>
        <v>601.15571020256004</v>
      </c>
      <c r="O73" s="128" t="s">
        <v>413</v>
      </c>
      <c r="Q73" s="191">
        <v>1</v>
      </c>
      <c r="R73" s="192">
        <v>1</v>
      </c>
      <c r="S73" s="193">
        <v>630</v>
      </c>
      <c r="T73" s="193">
        <f>IF(Q73&lt;&gt;"",Q73*R73*S73,"")</f>
        <v>630</v>
      </c>
      <c r="U73" s="194">
        <f t="shared" si="50"/>
        <v>-180</v>
      </c>
      <c r="V73" s="195">
        <f t="shared" si="51"/>
        <v>0</v>
      </c>
      <c r="W73" s="196">
        <f t="shared" si="52"/>
        <v>0</v>
      </c>
      <c r="X73" s="196">
        <f t="shared" si="53"/>
        <v>630</v>
      </c>
      <c r="Y73" s="197">
        <f t="shared" si="54"/>
        <v>747.40571020256004</v>
      </c>
      <c r="Z73" s="198">
        <f t="shared" si="55"/>
        <v>-0.4</v>
      </c>
      <c r="AA73" s="199">
        <f t="shared" si="56"/>
        <v>8.1908387418871704E-3</v>
      </c>
      <c r="AK73" s="200">
        <f t="shared" si="13"/>
        <v>0</v>
      </c>
      <c r="AL73" s="201">
        <v>630</v>
      </c>
      <c r="AM73" s="454" t="s">
        <v>623</v>
      </c>
    </row>
    <row r="74" spans="1:39" ht="120" customHeight="1" x14ac:dyDescent="0.4">
      <c r="A74" s="153">
        <v>59</v>
      </c>
      <c r="B74" s="178" t="s">
        <v>254</v>
      </c>
      <c r="C74" s="179" t="s">
        <v>127</v>
      </c>
      <c r="D74" s="153" t="s">
        <v>135</v>
      </c>
      <c r="E74" s="153" t="s">
        <v>137</v>
      </c>
      <c r="F74" s="247" t="s">
        <v>264</v>
      </c>
      <c r="G74" s="253" t="s">
        <v>273</v>
      </c>
      <c r="H74" s="188">
        <v>1</v>
      </c>
      <c r="I74" s="188">
        <v>2</v>
      </c>
      <c r="J74" s="189">
        <v>1850</v>
      </c>
      <c r="K74" s="189">
        <f t="shared" si="44"/>
        <v>3700</v>
      </c>
      <c r="L74" s="189">
        <f t="shared" si="45"/>
        <v>277.5</v>
      </c>
      <c r="M74" s="189">
        <f t="shared" si="46"/>
        <v>965.33583944327108</v>
      </c>
      <c r="N74" s="190">
        <f t="shared" si="47"/>
        <v>4942.8358394432707</v>
      </c>
      <c r="O74" s="128" t="s">
        <v>430</v>
      </c>
      <c r="Q74" s="191">
        <f t="shared" si="48"/>
        <v>1</v>
      </c>
      <c r="R74" s="192">
        <v>1</v>
      </c>
      <c r="S74" s="259">
        <v>15100</v>
      </c>
      <c r="T74" s="259">
        <f t="shared" ref="T74:T80" si="57">IF(Q74&lt;&gt;"",Q74*R74*S74,"")</f>
        <v>15100</v>
      </c>
      <c r="U74" s="194">
        <f t="shared" si="50"/>
        <v>-11400</v>
      </c>
      <c r="V74" s="195">
        <f t="shared" si="51"/>
        <v>0</v>
      </c>
      <c r="W74" s="196">
        <f t="shared" si="52"/>
        <v>0</v>
      </c>
      <c r="X74" s="196">
        <f t="shared" si="53"/>
        <v>15100</v>
      </c>
      <c r="Y74" s="197">
        <f t="shared" si="54"/>
        <v>16065.335839443271</v>
      </c>
      <c r="Z74" s="198">
        <f t="shared" si="55"/>
        <v>-3.0810810810810811</v>
      </c>
      <c r="AA74" s="199">
        <f t="shared" si="56"/>
        <v>0.19632010317856549</v>
      </c>
      <c r="AK74" s="200">
        <f t="shared" si="13"/>
        <v>0</v>
      </c>
      <c r="AL74" s="201">
        <f>14600+500</f>
        <v>15100</v>
      </c>
      <c r="AM74" s="454" t="s">
        <v>616</v>
      </c>
    </row>
    <row r="75" spans="1:39" ht="120" customHeight="1" x14ac:dyDescent="0.4">
      <c r="A75" s="153">
        <v>60</v>
      </c>
      <c r="B75" s="178" t="s">
        <v>255</v>
      </c>
      <c r="C75" s="179" t="s">
        <v>127</v>
      </c>
      <c r="D75" s="153" t="s">
        <v>135</v>
      </c>
      <c r="E75" s="153" t="s">
        <v>137</v>
      </c>
      <c r="F75" s="247" t="s">
        <v>265</v>
      </c>
      <c r="G75" s="253" t="s">
        <v>398</v>
      </c>
      <c r="H75" s="188">
        <v>1</v>
      </c>
      <c r="I75" s="188">
        <v>1</v>
      </c>
      <c r="J75" s="189">
        <v>1550</v>
      </c>
      <c r="K75" s="189">
        <f t="shared" si="44"/>
        <v>1550</v>
      </c>
      <c r="L75" s="189">
        <f t="shared" si="45"/>
        <v>116.25</v>
      </c>
      <c r="M75" s="189">
        <f t="shared" si="46"/>
        <v>404.39744625326222</v>
      </c>
      <c r="N75" s="190">
        <f t="shared" si="47"/>
        <v>2070.6474462532624</v>
      </c>
      <c r="O75" s="128" t="s">
        <v>430</v>
      </c>
      <c r="Q75" s="191">
        <f t="shared" si="48"/>
        <v>1</v>
      </c>
      <c r="R75" s="192">
        <v>0</v>
      </c>
      <c r="S75" s="204">
        <v>1333</v>
      </c>
      <c r="T75" s="204">
        <f t="shared" si="57"/>
        <v>0</v>
      </c>
      <c r="U75" s="194">
        <f t="shared" si="50"/>
        <v>1550</v>
      </c>
      <c r="V75" s="195">
        <f t="shared" si="51"/>
        <v>0</v>
      </c>
      <c r="W75" s="196">
        <f t="shared" si="52"/>
        <v>0</v>
      </c>
      <c r="X75" s="196">
        <f t="shared" si="53"/>
        <v>0</v>
      </c>
      <c r="Y75" s="197">
        <f t="shared" si="54"/>
        <v>404.39744625326222</v>
      </c>
      <c r="Z75" s="198">
        <f t="shared" si="55"/>
        <v>1</v>
      </c>
      <c r="AA75" s="199">
        <f t="shared" si="56"/>
        <v>0</v>
      </c>
      <c r="AK75" s="200">
        <f t="shared" si="13"/>
        <v>0</v>
      </c>
      <c r="AL75" s="201"/>
    </row>
    <row r="76" spans="1:39" ht="120" customHeight="1" x14ac:dyDescent="0.4">
      <c r="A76" s="153">
        <v>61</v>
      </c>
      <c r="B76" s="178" t="s">
        <v>256</v>
      </c>
      <c r="C76" s="179" t="s">
        <v>127</v>
      </c>
      <c r="D76" s="153" t="s">
        <v>135</v>
      </c>
      <c r="E76" s="153" t="s">
        <v>137</v>
      </c>
      <c r="F76" s="247" t="s">
        <v>265</v>
      </c>
      <c r="G76" s="253" t="s">
        <v>274</v>
      </c>
      <c r="H76" s="188">
        <v>1</v>
      </c>
      <c r="I76" s="188">
        <v>1</v>
      </c>
      <c r="J76" s="189">
        <v>1550</v>
      </c>
      <c r="K76" s="189">
        <f t="shared" si="44"/>
        <v>1550</v>
      </c>
      <c r="L76" s="189">
        <f t="shared" si="45"/>
        <v>116.25</v>
      </c>
      <c r="M76" s="189">
        <f t="shared" si="46"/>
        <v>404.39744625326222</v>
      </c>
      <c r="N76" s="190">
        <f t="shared" si="47"/>
        <v>2070.6474462532624</v>
      </c>
      <c r="O76" s="128" t="s">
        <v>430</v>
      </c>
      <c r="Q76" s="191">
        <f t="shared" si="48"/>
        <v>1</v>
      </c>
      <c r="R76" s="192">
        <v>0</v>
      </c>
      <c r="S76" s="204">
        <v>1333</v>
      </c>
      <c r="T76" s="204">
        <f t="shared" si="57"/>
        <v>0</v>
      </c>
      <c r="U76" s="194">
        <f t="shared" si="50"/>
        <v>1550</v>
      </c>
      <c r="V76" s="195">
        <f t="shared" si="51"/>
        <v>0</v>
      </c>
      <c r="W76" s="196">
        <f t="shared" si="52"/>
        <v>0</v>
      </c>
      <c r="X76" s="196">
        <f t="shared" si="53"/>
        <v>0</v>
      </c>
      <c r="Y76" s="197">
        <f t="shared" si="54"/>
        <v>404.39744625326222</v>
      </c>
      <c r="Z76" s="198">
        <f t="shared" si="55"/>
        <v>1</v>
      </c>
      <c r="AA76" s="199">
        <f t="shared" si="56"/>
        <v>0</v>
      </c>
      <c r="AK76" s="200">
        <f t="shared" si="13"/>
        <v>0</v>
      </c>
      <c r="AL76" s="201"/>
    </row>
    <row r="77" spans="1:39" ht="120" customHeight="1" x14ac:dyDescent="0.4">
      <c r="A77" s="153">
        <v>62</v>
      </c>
      <c r="B77" s="178" t="s">
        <v>257</v>
      </c>
      <c r="C77" s="179" t="s">
        <v>127</v>
      </c>
      <c r="D77" s="153" t="s">
        <v>135</v>
      </c>
      <c r="E77" s="153" t="s">
        <v>137</v>
      </c>
      <c r="F77" s="202" t="s">
        <v>266</v>
      </c>
      <c r="G77" s="253" t="s">
        <v>275</v>
      </c>
      <c r="H77" s="188">
        <v>1</v>
      </c>
      <c r="I77" s="188">
        <v>1</v>
      </c>
      <c r="J77" s="189">
        <v>2750</v>
      </c>
      <c r="K77" s="189">
        <f t="shared" si="44"/>
        <v>2750</v>
      </c>
      <c r="L77" s="189">
        <f t="shared" si="45"/>
        <v>206.25</v>
      </c>
      <c r="M77" s="189">
        <f t="shared" si="46"/>
        <v>717.47934012675557</v>
      </c>
      <c r="N77" s="190">
        <f t="shared" si="47"/>
        <v>3673.7293401267557</v>
      </c>
      <c r="O77" s="128" t="s">
        <v>414</v>
      </c>
      <c r="Q77" s="191">
        <f t="shared" si="48"/>
        <v>1</v>
      </c>
      <c r="R77" s="192">
        <v>2</v>
      </c>
      <c r="S77" s="193">
        <v>1200</v>
      </c>
      <c r="T77" s="193">
        <f t="shared" si="57"/>
        <v>2400</v>
      </c>
      <c r="U77" s="194">
        <f t="shared" si="50"/>
        <v>350</v>
      </c>
      <c r="V77" s="195">
        <f t="shared" si="51"/>
        <v>0</v>
      </c>
      <c r="W77" s="196">
        <f t="shared" si="52"/>
        <v>0</v>
      </c>
      <c r="X77" s="196">
        <f t="shared" si="53"/>
        <v>2400</v>
      </c>
      <c r="Y77" s="197">
        <f t="shared" si="54"/>
        <v>3117.4793401267557</v>
      </c>
      <c r="Z77" s="198">
        <f t="shared" si="55"/>
        <v>0.12727272727272726</v>
      </c>
      <c r="AA77" s="199">
        <f t="shared" si="56"/>
        <v>3.1203195207189217E-2</v>
      </c>
      <c r="AK77" s="200">
        <f t="shared" si="13"/>
        <v>0</v>
      </c>
      <c r="AL77" s="201">
        <v>2400</v>
      </c>
      <c r="AM77" s="454" t="s">
        <v>618</v>
      </c>
    </row>
    <row r="78" spans="1:39" ht="120" customHeight="1" x14ac:dyDescent="0.4">
      <c r="A78" s="153">
        <v>63</v>
      </c>
      <c r="B78" s="178" t="s">
        <v>258</v>
      </c>
      <c r="C78" s="179" t="s">
        <v>127</v>
      </c>
      <c r="D78" s="153" t="s">
        <v>135</v>
      </c>
      <c r="E78" s="153" t="s">
        <v>137</v>
      </c>
      <c r="F78" s="247" t="s">
        <v>267</v>
      </c>
      <c r="G78" s="260" t="s">
        <v>276</v>
      </c>
      <c r="H78" s="188">
        <v>6</v>
      </c>
      <c r="I78" s="188">
        <v>3</v>
      </c>
      <c r="J78" s="189">
        <v>340</v>
      </c>
      <c r="K78" s="189">
        <f t="shared" si="44"/>
        <v>6120</v>
      </c>
      <c r="L78" s="189">
        <f t="shared" si="45"/>
        <v>459</v>
      </c>
      <c r="M78" s="189">
        <f t="shared" si="46"/>
        <v>1596.7176587548161</v>
      </c>
      <c r="N78" s="190">
        <f t="shared" si="47"/>
        <v>8175.7176587548165</v>
      </c>
      <c r="O78" s="128" t="s">
        <v>415</v>
      </c>
      <c r="Q78" s="191">
        <v>1</v>
      </c>
      <c r="R78" s="192">
        <v>1</v>
      </c>
      <c r="S78" s="193">
        <v>5252.9</v>
      </c>
      <c r="T78" s="193">
        <v>10627.2</v>
      </c>
      <c r="U78" s="194">
        <f t="shared" si="50"/>
        <v>-4507.2000000000007</v>
      </c>
      <c r="V78" s="195">
        <f t="shared" si="51"/>
        <v>0</v>
      </c>
      <c r="W78" s="196">
        <f t="shared" si="52"/>
        <v>0</v>
      </c>
      <c r="X78" s="196">
        <f t="shared" si="53"/>
        <v>10627.2</v>
      </c>
      <c r="Y78" s="197">
        <f t="shared" si="54"/>
        <v>12223.917658754817</v>
      </c>
      <c r="Z78" s="198">
        <f t="shared" si="55"/>
        <v>-0.73647058823529421</v>
      </c>
      <c r="AA78" s="199">
        <f t="shared" si="56"/>
        <v>0.13816774837743387</v>
      </c>
      <c r="AK78" s="200">
        <f t="shared" si="13"/>
        <v>0</v>
      </c>
      <c r="AL78" s="201">
        <v>10627.2</v>
      </c>
      <c r="AM78" s="454" t="s">
        <v>415</v>
      </c>
    </row>
    <row r="79" spans="1:39" ht="120" customHeight="1" x14ac:dyDescent="0.4">
      <c r="A79" s="153">
        <v>64</v>
      </c>
      <c r="B79" s="178" t="s">
        <v>259</v>
      </c>
      <c r="C79" s="179" t="s">
        <v>127</v>
      </c>
      <c r="D79" s="153" t="s">
        <v>135</v>
      </c>
      <c r="E79" s="153" t="s">
        <v>137</v>
      </c>
      <c r="F79" s="202" t="s">
        <v>268</v>
      </c>
      <c r="G79" s="253" t="s">
        <v>277</v>
      </c>
      <c r="H79" s="188">
        <v>1</v>
      </c>
      <c r="I79" s="188">
        <v>1</v>
      </c>
      <c r="J79" s="189">
        <v>1145</v>
      </c>
      <c r="K79" s="189">
        <f t="shared" si="44"/>
        <v>1145</v>
      </c>
      <c r="L79" s="189">
        <f t="shared" si="45"/>
        <v>85.875</v>
      </c>
      <c r="M79" s="189">
        <f t="shared" si="46"/>
        <v>298.7323070709582</v>
      </c>
      <c r="N79" s="190">
        <f t="shared" si="47"/>
        <v>1529.6073070709581</v>
      </c>
      <c r="Q79" s="191">
        <f t="shared" si="48"/>
        <v>1</v>
      </c>
      <c r="R79" s="192">
        <f t="shared" si="49"/>
        <v>1</v>
      </c>
      <c r="S79" s="204">
        <v>600</v>
      </c>
      <c r="T79" s="204">
        <v>0</v>
      </c>
      <c r="U79" s="194">
        <f t="shared" si="50"/>
        <v>1145</v>
      </c>
      <c r="V79" s="195">
        <f t="shared" si="51"/>
        <v>0</v>
      </c>
      <c r="W79" s="196">
        <f t="shared" si="52"/>
        <v>0</v>
      </c>
      <c r="X79" s="196">
        <f t="shared" si="53"/>
        <v>0</v>
      </c>
      <c r="Y79" s="197">
        <f t="shared" si="54"/>
        <v>298.7323070709582</v>
      </c>
      <c r="Z79" s="198">
        <f t="shared" si="55"/>
        <v>1</v>
      </c>
      <c r="AA79" s="199">
        <f t="shared" si="56"/>
        <v>0</v>
      </c>
      <c r="AK79" s="200">
        <f t="shared" si="13"/>
        <v>0</v>
      </c>
      <c r="AL79" s="201"/>
    </row>
    <row r="80" spans="1:39" ht="120" customHeight="1" x14ac:dyDescent="0.4">
      <c r="A80" s="153">
        <v>65</v>
      </c>
      <c r="B80" s="178" t="s">
        <v>260</v>
      </c>
      <c r="C80" s="179" t="s">
        <v>127</v>
      </c>
      <c r="D80" s="153" t="s">
        <v>135</v>
      </c>
      <c r="E80" s="153" t="s">
        <v>137</v>
      </c>
      <c r="F80" s="202" t="s">
        <v>395</v>
      </c>
      <c r="G80" s="253" t="s">
        <v>396</v>
      </c>
      <c r="H80" s="188">
        <v>1</v>
      </c>
      <c r="I80" s="188">
        <v>0</v>
      </c>
      <c r="J80" s="189">
        <v>10116</v>
      </c>
      <c r="K80" s="189">
        <f t="shared" si="44"/>
        <v>0</v>
      </c>
      <c r="L80" s="189">
        <f t="shared" si="45"/>
        <v>0</v>
      </c>
      <c r="M80" s="189">
        <f t="shared" si="46"/>
        <v>0</v>
      </c>
      <c r="N80" s="190">
        <f t="shared" si="47"/>
        <v>0</v>
      </c>
      <c r="O80" s="128" t="s">
        <v>416</v>
      </c>
      <c r="Q80" s="191">
        <f t="shared" si="48"/>
        <v>1</v>
      </c>
      <c r="R80" s="192">
        <f t="shared" si="49"/>
        <v>0</v>
      </c>
      <c r="S80" s="204">
        <v>0</v>
      </c>
      <c r="T80" s="204">
        <f t="shared" si="57"/>
        <v>0</v>
      </c>
      <c r="U80" s="194">
        <f t="shared" si="50"/>
        <v>0</v>
      </c>
      <c r="V80" s="195">
        <f t="shared" si="51"/>
        <v>0</v>
      </c>
      <c r="W80" s="196">
        <f t="shared" si="52"/>
        <v>0</v>
      </c>
      <c r="X80" s="196">
        <f t="shared" si="53"/>
        <v>0</v>
      </c>
      <c r="Y80" s="197">
        <f t="shared" si="54"/>
        <v>0</v>
      </c>
      <c r="Z80" s="198">
        <f t="shared" si="55"/>
        <v>0</v>
      </c>
      <c r="AA80" s="199">
        <f t="shared" si="56"/>
        <v>0</v>
      </c>
      <c r="AK80" s="200">
        <f t="shared" si="13"/>
        <v>0</v>
      </c>
      <c r="AL80" s="201"/>
    </row>
    <row r="81" spans="1:39" ht="120" customHeight="1" x14ac:dyDescent="0.4">
      <c r="A81" s="153">
        <v>66</v>
      </c>
      <c r="B81" s="178" t="s">
        <v>261</v>
      </c>
      <c r="C81" s="179" t="s">
        <v>127</v>
      </c>
      <c r="D81" s="153" t="s">
        <v>135</v>
      </c>
      <c r="E81" s="153" t="s">
        <v>137</v>
      </c>
      <c r="F81" s="261" t="s">
        <v>269</v>
      </c>
      <c r="G81" s="203" t="s">
        <v>278</v>
      </c>
      <c r="H81" s="188">
        <v>1</v>
      </c>
      <c r="I81" s="188">
        <v>1</v>
      </c>
      <c r="J81" s="189">
        <v>2000</v>
      </c>
      <c r="K81" s="189">
        <f t="shared" si="44"/>
        <v>2000</v>
      </c>
      <c r="L81" s="189">
        <f>IF(K81&lt;&gt;"",IF(D82="INTERNO",0,K81*$L$14),"")</f>
        <v>150</v>
      </c>
      <c r="M81" s="189">
        <f t="shared" si="46"/>
        <v>521.8031564558222</v>
      </c>
      <c r="N81" s="190">
        <f t="shared" si="47"/>
        <v>2671.8031564558223</v>
      </c>
      <c r="O81" s="128" t="s">
        <v>417</v>
      </c>
      <c r="Q81" s="191">
        <f t="shared" si="48"/>
        <v>1</v>
      </c>
      <c r="R81" s="192">
        <f t="shared" si="49"/>
        <v>1</v>
      </c>
      <c r="S81" s="259">
        <v>2500</v>
      </c>
      <c r="T81" s="259">
        <v>5000</v>
      </c>
      <c r="U81" s="194">
        <f t="shared" si="50"/>
        <v>-3000</v>
      </c>
      <c r="V81" s="195">
        <f t="shared" si="51"/>
        <v>0</v>
      </c>
      <c r="W81" s="196">
        <f t="shared" si="52"/>
        <v>0</v>
      </c>
      <c r="X81" s="196">
        <f t="shared" si="53"/>
        <v>5000</v>
      </c>
      <c r="Y81" s="197">
        <f t="shared" si="54"/>
        <v>5521.8031564558223</v>
      </c>
      <c r="Z81" s="198">
        <f t="shared" si="55"/>
        <v>-1.5</v>
      </c>
      <c r="AA81" s="199">
        <f t="shared" si="56"/>
        <v>6.5006656681644209E-2</v>
      </c>
      <c r="AK81" s="200">
        <f t="shared" si="13"/>
        <v>0</v>
      </c>
      <c r="AL81" s="201">
        <f>2500+2500</f>
        <v>5000</v>
      </c>
      <c r="AM81" s="454" t="s">
        <v>626</v>
      </c>
    </row>
    <row r="82" spans="1:39" ht="120" customHeight="1" x14ac:dyDescent="0.4">
      <c r="A82" s="153">
        <v>67</v>
      </c>
      <c r="B82" s="178" t="s">
        <v>271</v>
      </c>
      <c r="C82" s="179" t="s">
        <v>127</v>
      </c>
      <c r="D82" s="153" t="s">
        <v>135</v>
      </c>
      <c r="E82" s="153" t="s">
        <v>137</v>
      </c>
      <c r="F82" s="247" t="s">
        <v>270</v>
      </c>
      <c r="G82" s="203" t="s">
        <v>279</v>
      </c>
      <c r="H82" s="209">
        <v>1</v>
      </c>
      <c r="I82" s="209">
        <v>1</v>
      </c>
      <c r="J82" s="210">
        <v>14200</v>
      </c>
      <c r="K82" s="210">
        <f t="shared" si="44"/>
        <v>14200</v>
      </c>
      <c r="L82" s="189">
        <f>IF(K82&lt;&gt;"",IF(D83="INTERNO",0,K82*$L$14),"")</f>
        <v>1065</v>
      </c>
      <c r="M82" s="210">
        <f t="shared" si="46"/>
        <v>3704.8024108363379</v>
      </c>
      <c r="N82" s="211">
        <f t="shared" si="47"/>
        <v>18969.802410836339</v>
      </c>
      <c r="O82" s="128" t="s">
        <v>418</v>
      </c>
      <c r="Q82" s="212">
        <f t="shared" si="48"/>
        <v>1</v>
      </c>
      <c r="R82" s="213">
        <f t="shared" si="49"/>
        <v>1</v>
      </c>
      <c r="S82" s="214">
        <v>10500</v>
      </c>
      <c r="T82" s="214">
        <v>40158</v>
      </c>
      <c r="U82" s="215">
        <f t="shared" si="50"/>
        <v>-25958</v>
      </c>
      <c r="V82" s="216">
        <f t="shared" si="51"/>
        <v>0</v>
      </c>
      <c r="W82" s="217">
        <f t="shared" si="52"/>
        <v>0</v>
      </c>
      <c r="X82" s="217">
        <f t="shared" si="53"/>
        <v>40158</v>
      </c>
      <c r="Y82" s="218">
        <f t="shared" si="54"/>
        <v>43862.802410836339</v>
      </c>
      <c r="Z82" s="198">
        <f t="shared" si="55"/>
        <v>-1.8280281690140845</v>
      </c>
      <c r="AA82" s="199">
        <f t="shared" si="56"/>
        <v>0.52210746380429363</v>
      </c>
      <c r="AK82" s="200">
        <f t="shared" ref="AK82:AK92" si="58">X82-AL82</f>
        <v>0</v>
      </c>
      <c r="AL82" s="201">
        <f>1158+39000</f>
        <v>40158</v>
      </c>
      <c r="AM82" s="454" t="s">
        <v>634</v>
      </c>
    </row>
    <row r="83" spans="1:39" ht="39.9" customHeight="1" thickBot="1" x14ac:dyDescent="0.5">
      <c r="A83" s="153">
        <v>68</v>
      </c>
      <c r="B83" s="178"/>
      <c r="C83" s="179" t="s">
        <v>155</v>
      </c>
      <c r="D83" s="153"/>
      <c r="E83" s="153"/>
      <c r="F83" s="484" t="s">
        <v>280</v>
      </c>
      <c r="G83" s="485"/>
      <c r="H83" s="485"/>
      <c r="I83" s="485"/>
      <c r="J83" s="485"/>
      <c r="K83" s="219">
        <f>SUM(K72:K82)</f>
        <v>38565</v>
      </c>
      <c r="L83" s="220">
        <f>SUM(L72:L82)</f>
        <v>2892.375</v>
      </c>
      <c r="M83" s="220">
        <f>SUM(M72:M82)</f>
        <v>10061.669364359394</v>
      </c>
      <c r="N83" s="221">
        <f>SUM(N72:N82)</f>
        <v>51519.04436435939</v>
      </c>
      <c r="Q83" s="484" t="s">
        <v>280</v>
      </c>
      <c r="R83" s="485"/>
      <c r="S83" s="485"/>
      <c r="T83" s="222">
        <f>SUM(T72:T82)</f>
        <v>76915.199999999997</v>
      </c>
      <c r="U83" s="223">
        <f>SUM(U72:U82)</f>
        <v>-38350.199999999997</v>
      </c>
      <c r="V83" s="224"/>
      <c r="W83" s="224"/>
      <c r="X83" s="225">
        <f>SUM(X72:X82)</f>
        <v>76915.199999999997</v>
      </c>
      <c r="Y83" s="226">
        <f t="shared" si="54"/>
        <v>86976.869364359387</v>
      </c>
      <c r="AK83" s="200"/>
      <c r="AL83" s="201"/>
    </row>
    <row r="84" spans="1:39" ht="39.9" customHeight="1" thickBot="1" x14ac:dyDescent="0.5">
      <c r="A84" s="153">
        <v>69</v>
      </c>
      <c r="B84" s="178">
        <v>7</v>
      </c>
      <c r="C84" s="179" t="s">
        <v>121</v>
      </c>
      <c r="D84" s="153"/>
      <c r="E84" s="180"/>
      <c r="F84" s="480" t="s">
        <v>135</v>
      </c>
      <c r="G84" s="477"/>
      <c r="H84" s="477"/>
      <c r="I84" s="477"/>
      <c r="J84" s="477"/>
      <c r="K84" s="477"/>
      <c r="L84" s="477"/>
      <c r="M84" s="477"/>
      <c r="N84" s="477"/>
      <c r="Q84" s="481" t="str">
        <f>IF(F84&lt;&gt;"",F84,"")</f>
        <v>OPERACIONAL</v>
      </c>
      <c r="R84" s="481"/>
      <c r="S84" s="481"/>
      <c r="T84" s="481"/>
      <c r="U84" s="481"/>
      <c r="V84" s="481"/>
      <c r="W84" s="481"/>
      <c r="X84" s="481"/>
      <c r="Y84" s="481"/>
      <c r="AK84" s="200"/>
      <c r="AL84" s="201"/>
    </row>
    <row r="85" spans="1:39" ht="39.9" customHeight="1" x14ac:dyDescent="0.45">
      <c r="A85" s="153">
        <v>70</v>
      </c>
      <c r="B85" s="178" t="s">
        <v>281</v>
      </c>
      <c r="C85" s="179" t="s">
        <v>122</v>
      </c>
      <c r="D85" s="153"/>
      <c r="E85" s="153"/>
      <c r="F85" s="478" t="s">
        <v>135</v>
      </c>
      <c r="G85" s="479"/>
      <c r="H85" s="479"/>
      <c r="I85" s="479"/>
      <c r="J85" s="479"/>
      <c r="K85" s="482"/>
      <c r="L85" s="181" t="s">
        <v>124</v>
      </c>
      <c r="M85" s="182" t="s">
        <v>125</v>
      </c>
      <c r="N85" s="183" t="s">
        <v>82</v>
      </c>
      <c r="Q85" s="478" t="str">
        <f>IF(F85&lt;&gt;"",F85,"")</f>
        <v>OPERACIONAL</v>
      </c>
      <c r="R85" s="479"/>
      <c r="S85" s="479"/>
      <c r="T85" s="479"/>
      <c r="U85" s="479"/>
      <c r="V85" s="479"/>
      <c r="W85" s="479"/>
      <c r="X85" s="479"/>
      <c r="Y85" s="483"/>
      <c r="Z85" s="184" t="s">
        <v>126</v>
      </c>
      <c r="AA85" s="185" t="s">
        <v>83</v>
      </c>
      <c r="AK85" s="200"/>
      <c r="AL85" s="201"/>
    </row>
    <row r="86" spans="1:39" ht="120" customHeight="1" x14ac:dyDescent="0.4">
      <c r="A86" s="153">
        <v>71</v>
      </c>
      <c r="B86" s="178" t="s">
        <v>282</v>
      </c>
      <c r="C86" s="179" t="s">
        <v>127</v>
      </c>
      <c r="D86" s="153" t="s">
        <v>135</v>
      </c>
      <c r="E86" s="153" t="s">
        <v>137</v>
      </c>
      <c r="F86" s="247" t="s">
        <v>289</v>
      </c>
      <c r="G86" s="203" t="s">
        <v>296</v>
      </c>
      <c r="H86" s="188">
        <v>2</v>
      </c>
      <c r="I86" s="188">
        <v>2</v>
      </c>
      <c r="J86" s="189">
        <v>950</v>
      </c>
      <c r="K86" s="189">
        <f t="shared" ref="K86:K92" si="59">IF(F86&lt;&gt;"",H86*I86*J86,"")</f>
        <v>3800</v>
      </c>
      <c r="L86" s="189">
        <f t="shared" ref="L86:L92" si="60">IF(K86&lt;&gt;"",IF(D86="INTERNO",0,K86*$L$14),"")</f>
        <v>285</v>
      </c>
      <c r="M86" s="189">
        <f t="shared" ref="M86:M92" si="61">IF(K86&lt;&gt;"",IF(E86="FAT.OGGI",SUM(K86:L86)*(1/(1-$M$14)-1),L86*(1/(1-$M$14)-1)),0)</f>
        <v>991.42599726606215</v>
      </c>
      <c r="N86" s="190">
        <f t="shared" ref="N86:N92" si="62">SUM(K86:M86)</f>
        <v>5076.425997266062</v>
      </c>
      <c r="O86" s="128" t="s">
        <v>419</v>
      </c>
      <c r="Q86" s="191">
        <f t="shared" ref="Q86:R92" si="63">IF(H86&lt;&gt;"",H86,"")</f>
        <v>2</v>
      </c>
      <c r="R86" s="192">
        <f t="shared" si="63"/>
        <v>2</v>
      </c>
      <c r="S86" s="262">
        <v>885</v>
      </c>
      <c r="T86" s="204">
        <v>10650</v>
      </c>
      <c r="U86" s="194">
        <f t="shared" ref="U86:U92" si="64">IF(Q86&lt;&gt;"",K86-T86,"")</f>
        <v>-6850</v>
      </c>
      <c r="V86" s="195">
        <f t="shared" ref="V86:V92" si="65">IF(Q86&lt;&gt;"",0%,"")</f>
        <v>0</v>
      </c>
      <c r="W86" s="196">
        <f t="shared" ref="W86:W92" si="66">IF(Q86&lt;&gt;"",V86*U86,"")</f>
        <v>0</v>
      </c>
      <c r="X86" s="196">
        <f t="shared" ref="X86:X92" si="67">IF(Q86&lt;&gt;"",W86+T86,"")</f>
        <v>10650</v>
      </c>
      <c r="Y86" s="197">
        <f t="shared" ref="Y86:Y93" si="68">IF(Q86&lt;&gt;"",X86+M86,"")</f>
        <v>11641.425997266062</v>
      </c>
      <c r="Z86" s="198">
        <f t="shared" ref="Z86:Z92" si="69">IF(Q86&lt;&gt;"", IFERROR(U86/K86, 0), 0)</f>
        <v>-1.8026315789473684</v>
      </c>
      <c r="AA86" s="199">
        <f t="shared" ref="AA86:AA92" si="70">IFERROR(T86/$T$93, "")</f>
        <v>0.19434306569343066</v>
      </c>
      <c r="AK86" s="200">
        <f t="shared" si="58"/>
        <v>0</v>
      </c>
      <c r="AL86" s="201">
        <f>3750+3150+3750</f>
        <v>10650</v>
      </c>
      <c r="AM86" s="454" t="s">
        <v>636</v>
      </c>
    </row>
    <row r="87" spans="1:39" ht="120" customHeight="1" x14ac:dyDescent="0.4">
      <c r="A87" s="153">
        <v>72</v>
      </c>
      <c r="B87" s="178" t="s">
        <v>283</v>
      </c>
      <c r="C87" s="179" t="s">
        <v>127</v>
      </c>
      <c r="D87" s="153" t="s">
        <v>135</v>
      </c>
      <c r="E87" s="153" t="s">
        <v>137</v>
      </c>
      <c r="F87" s="247" t="s">
        <v>290</v>
      </c>
      <c r="G87" s="253" t="s">
        <v>297</v>
      </c>
      <c r="H87" s="188">
        <v>1</v>
      </c>
      <c r="I87" s="188">
        <v>3</v>
      </c>
      <c r="J87" s="189">
        <v>850</v>
      </c>
      <c r="K87" s="189">
        <f t="shared" si="59"/>
        <v>2550</v>
      </c>
      <c r="L87" s="189">
        <f t="shared" si="60"/>
        <v>191.25</v>
      </c>
      <c r="M87" s="189">
        <f t="shared" si="61"/>
        <v>665.29902448117332</v>
      </c>
      <c r="N87" s="190">
        <f t="shared" si="62"/>
        <v>3406.5490244811735</v>
      </c>
      <c r="O87" s="128" t="s">
        <v>420</v>
      </c>
      <c r="Q87" s="191">
        <f t="shared" si="63"/>
        <v>1</v>
      </c>
      <c r="R87" s="192">
        <v>2</v>
      </c>
      <c r="S87" s="193">
        <v>937.5</v>
      </c>
      <c r="T87" s="193">
        <v>0</v>
      </c>
      <c r="U87" s="194">
        <f t="shared" si="64"/>
        <v>2550</v>
      </c>
      <c r="V87" s="195">
        <f t="shared" si="65"/>
        <v>0</v>
      </c>
      <c r="W87" s="196">
        <f t="shared" si="66"/>
        <v>0</v>
      </c>
      <c r="X87" s="196">
        <f t="shared" si="67"/>
        <v>0</v>
      </c>
      <c r="Y87" s="197">
        <f t="shared" si="68"/>
        <v>665.29902448117332</v>
      </c>
      <c r="Z87" s="198">
        <f t="shared" si="69"/>
        <v>1</v>
      </c>
      <c r="AA87" s="199">
        <f t="shared" si="70"/>
        <v>0</v>
      </c>
      <c r="AK87" s="200">
        <f t="shared" si="58"/>
        <v>0</v>
      </c>
      <c r="AL87" s="201"/>
    </row>
    <row r="88" spans="1:39" ht="120" customHeight="1" x14ac:dyDescent="0.4">
      <c r="A88" s="153">
        <v>73</v>
      </c>
      <c r="B88" s="178" t="s">
        <v>284</v>
      </c>
      <c r="C88" s="179" t="s">
        <v>127</v>
      </c>
      <c r="D88" s="153" t="s">
        <v>135</v>
      </c>
      <c r="E88" s="153" t="s">
        <v>137</v>
      </c>
      <c r="F88" s="247" t="s">
        <v>291</v>
      </c>
      <c r="G88" s="253" t="s">
        <v>298</v>
      </c>
      <c r="H88" s="188">
        <v>3</v>
      </c>
      <c r="I88" s="188">
        <v>2</v>
      </c>
      <c r="J88" s="189">
        <v>850</v>
      </c>
      <c r="K88" s="189">
        <f t="shared" si="59"/>
        <v>5100</v>
      </c>
      <c r="L88" s="189">
        <f t="shared" si="60"/>
        <v>382.5</v>
      </c>
      <c r="M88" s="189">
        <f t="shared" si="61"/>
        <v>1330.5980489623466</v>
      </c>
      <c r="N88" s="190">
        <f t="shared" si="62"/>
        <v>6813.0980489623471</v>
      </c>
      <c r="Q88" s="191">
        <f t="shared" si="63"/>
        <v>3</v>
      </c>
      <c r="R88" s="192">
        <f t="shared" si="63"/>
        <v>2</v>
      </c>
      <c r="S88" s="262">
        <v>758.34</v>
      </c>
      <c r="T88" s="204">
        <v>3250</v>
      </c>
      <c r="U88" s="194">
        <f t="shared" si="64"/>
        <v>1850</v>
      </c>
      <c r="V88" s="195">
        <f t="shared" si="65"/>
        <v>0</v>
      </c>
      <c r="W88" s="196">
        <f t="shared" si="66"/>
        <v>0</v>
      </c>
      <c r="X88" s="196">
        <f t="shared" si="67"/>
        <v>3250</v>
      </c>
      <c r="Y88" s="197">
        <f t="shared" si="68"/>
        <v>4580.5980489623471</v>
      </c>
      <c r="Z88" s="198">
        <f t="shared" si="69"/>
        <v>0.36274509803921567</v>
      </c>
      <c r="AA88" s="199">
        <f t="shared" si="70"/>
        <v>5.930656934306569E-2</v>
      </c>
      <c r="AK88" s="200">
        <f t="shared" si="58"/>
        <v>0</v>
      </c>
      <c r="AL88" s="201">
        <v>3250</v>
      </c>
      <c r="AM88" s="454" t="s">
        <v>635</v>
      </c>
    </row>
    <row r="89" spans="1:39" ht="120" customHeight="1" x14ac:dyDescent="0.4">
      <c r="A89" s="153">
        <v>74</v>
      </c>
      <c r="B89" s="178" t="s">
        <v>285</v>
      </c>
      <c r="C89" s="179" t="s">
        <v>127</v>
      </c>
      <c r="D89" s="153" t="s">
        <v>135</v>
      </c>
      <c r="E89" s="153" t="s">
        <v>137</v>
      </c>
      <c r="F89" s="247" t="s">
        <v>292</v>
      </c>
      <c r="G89" s="253" t="s">
        <v>299</v>
      </c>
      <c r="H89" s="188">
        <v>1</v>
      </c>
      <c r="I89" s="188">
        <v>2</v>
      </c>
      <c r="J89" s="189">
        <v>750</v>
      </c>
      <c r="K89" s="189">
        <f t="shared" si="59"/>
        <v>1500</v>
      </c>
      <c r="L89" s="189">
        <f t="shared" si="60"/>
        <v>112.5</v>
      </c>
      <c r="M89" s="189">
        <f t="shared" si="61"/>
        <v>391.35236734186668</v>
      </c>
      <c r="N89" s="190">
        <f t="shared" si="62"/>
        <v>2003.8523673418667</v>
      </c>
      <c r="O89" s="128" t="s">
        <v>421</v>
      </c>
      <c r="Q89" s="191">
        <f t="shared" si="63"/>
        <v>1</v>
      </c>
      <c r="R89" s="192">
        <f t="shared" si="63"/>
        <v>2</v>
      </c>
      <c r="S89" s="262">
        <v>812.5</v>
      </c>
      <c r="T89" s="204">
        <v>0</v>
      </c>
      <c r="U89" s="194">
        <f t="shared" si="64"/>
        <v>1500</v>
      </c>
      <c r="V89" s="195">
        <f t="shared" si="65"/>
        <v>0</v>
      </c>
      <c r="W89" s="196">
        <f t="shared" si="66"/>
        <v>0</v>
      </c>
      <c r="X89" s="196">
        <f t="shared" si="67"/>
        <v>0</v>
      </c>
      <c r="Y89" s="197">
        <f t="shared" si="68"/>
        <v>391.35236734186668</v>
      </c>
      <c r="Z89" s="198">
        <f t="shared" si="69"/>
        <v>1</v>
      </c>
      <c r="AA89" s="199">
        <f t="shared" si="70"/>
        <v>0</v>
      </c>
      <c r="AK89" s="200">
        <f t="shared" si="58"/>
        <v>0</v>
      </c>
      <c r="AL89" s="201"/>
    </row>
    <row r="90" spans="1:39" ht="120" customHeight="1" x14ac:dyDescent="0.4">
      <c r="A90" s="153">
        <v>75</v>
      </c>
      <c r="B90" s="178" t="s">
        <v>286</v>
      </c>
      <c r="C90" s="179" t="s">
        <v>127</v>
      </c>
      <c r="D90" s="153" t="s">
        <v>135</v>
      </c>
      <c r="E90" s="153" t="s">
        <v>137</v>
      </c>
      <c r="F90" s="261" t="s">
        <v>293</v>
      </c>
      <c r="G90" s="263" t="s">
        <v>300</v>
      </c>
      <c r="H90" s="188">
        <v>1</v>
      </c>
      <c r="I90" s="188">
        <v>2.5</v>
      </c>
      <c r="J90" s="189">
        <v>7000</v>
      </c>
      <c r="K90" s="189">
        <f t="shared" si="59"/>
        <v>17500</v>
      </c>
      <c r="L90" s="189">
        <f t="shared" si="60"/>
        <v>1312.5</v>
      </c>
      <c r="M90" s="189">
        <f t="shared" si="61"/>
        <v>4565.7776189884444</v>
      </c>
      <c r="N90" s="190">
        <f t="shared" si="62"/>
        <v>23378.277618988446</v>
      </c>
      <c r="O90" s="128" t="s">
        <v>422</v>
      </c>
      <c r="Q90" s="191">
        <f t="shared" si="63"/>
        <v>1</v>
      </c>
      <c r="R90" s="192">
        <f t="shared" si="63"/>
        <v>2.5</v>
      </c>
      <c r="S90" s="193">
        <v>6000</v>
      </c>
      <c r="T90" s="193">
        <v>30000</v>
      </c>
      <c r="U90" s="194">
        <f t="shared" si="64"/>
        <v>-12500</v>
      </c>
      <c r="V90" s="195">
        <f t="shared" si="65"/>
        <v>0</v>
      </c>
      <c r="W90" s="196">
        <f t="shared" si="66"/>
        <v>0</v>
      </c>
      <c r="X90" s="196">
        <f t="shared" si="67"/>
        <v>30000</v>
      </c>
      <c r="Y90" s="197">
        <f t="shared" si="68"/>
        <v>34565.777618988446</v>
      </c>
      <c r="Z90" s="198">
        <f t="shared" si="69"/>
        <v>-0.7142857142857143</v>
      </c>
      <c r="AA90" s="199">
        <f t="shared" si="70"/>
        <v>0.54744525547445255</v>
      </c>
      <c r="AK90" s="200">
        <f t="shared" si="58"/>
        <v>0</v>
      </c>
      <c r="AL90" s="201">
        <f>15000+15000</f>
        <v>30000</v>
      </c>
      <c r="AM90" s="454" t="s">
        <v>629</v>
      </c>
    </row>
    <row r="91" spans="1:39" ht="120" customHeight="1" x14ac:dyDescent="0.4">
      <c r="A91" s="153">
        <v>76</v>
      </c>
      <c r="B91" s="178" t="s">
        <v>287</v>
      </c>
      <c r="C91" s="179" t="s">
        <v>127</v>
      </c>
      <c r="D91" s="153" t="s">
        <v>135</v>
      </c>
      <c r="E91" s="153" t="s">
        <v>137</v>
      </c>
      <c r="F91" s="247" t="s">
        <v>294</v>
      </c>
      <c r="G91" s="203" t="s">
        <v>301</v>
      </c>
      <c r="H91" s="188">
        <v>1</v>
      </c>
      <c r="I91" s="188">
        <v>2.5</v>
      </c>
      <c r="J91" s="189">
        <v>2500</v>
      </c>
      <c r="K91" s="189">
        <f t="shared" si="59"/>
        <v>6250</v>
      </c>
      <c r="L91" s="189">
        <f t="shared" si="60"/>
        <v>468.75</v>
      </c>
      <c r="M91" s="189">
        <f t="shared" si="61"/>
        <v>1630.6348639244445</v>
      </c>
      <c r="N91" s="190">
        <f t="shared" si="62"/>
        <v>8349.3848639244443</v>
      </c>
      <c r="O91" s="128" t="s">
        <v>423</v>
      </c>
      <c r="Q91" s="191">
        <f t="shared" si="63"/>
        <v>1</v>
      </c>
      <c r="R91" s="192">
        <v>2.5</v>
      </c>
      <c r="S91" s="193">
        <v>2000</v>
      </c>
      <c r="T91" s="193">
        <v>10000</v>
      </c>
      <c r="U91" s="194">
        <f t="shared" si="64"/>
        <v>-3750</v>
      </c>
      <c r="V91" s="195">
        <f t="shared" si="65"/>
        <v>0</v>
      </c>
      <c r="W91" s="196">
        <f t="shared" si="66"/>
        <v>0</v>
      </c>
      <c r="X91" s="196">
        <f t="shared" si="67"/>
        <v>10000</v>
      </c>
      <c r="Y91" s="197">
        <f t="shared" si="68"/>
        <v>11630.634863924444</v>
      </c>
      <c r="Z91" s="198">
        <f t="shared" si="69"/>
        <v>-0.6</v>
      </c>
      <c r="AA91" s="199">
        <f t="shared" si="70"/>
        <v>0.18248175182481752</v>
      </c>
      <c r="AK91" s="200">
        <f t="shared" si="58"/>
        <v>0</v>
      </c>
      <c r="AL91" s="201">
        <f>5000+5000</f>
        <v>10000</v>
      </c>
      <c r="AM91" s="454" t="s">
        <v>612</v>
      </c>
    </row>
    <row r="92" spans="1:39" ht="120" customHeight="1" x14ac:dyDescent="0.4">
      <c r="A92" s="153">
        <v>77</v>
      </c>
      <c r="B92" s="178" t="s">
        <v>288</v>
      </c>
      <c r="C92" s="179" t="s">
        <v>127</v>
      </c>
      <c r="D92" s="153" t="s">
        <v>135</v>
      </c>
      <c r="E92" s="153" t="s">
        <v>137</v>
      </c>
      <c r="F92" s="202" t="s">
        <v>295</v>
      </c>
      <c r="G92" s="253" t="s">
        <v>302</v>
      </c>
      <c r="H92" s="188">
        <v>1</v>
      </c>
      <c r="I92" s="188">
        <v>1</v>
      </c>
      <c r="J92" s="189">
        <v>2500</v>
      </c>
      <c r="K92" s="189">
        <f t="shared" si="59"/>
        <v>2500</v>
      </c>
      <c r="L92" s="189">
        <f t="shared" si="60"/>
        <v>187.5</v>
      </c>
      <c r="M92" s="189">
        <f t="shared" si="61"/>
        <v>652.25394556977778</v>
      </c>
      <c r="N92" s="190">
        <f t="shared" si="62"/>
        <v>3339.7539455697779</v>
      </c>
      <c r="Q92" s="191">
        <f t="shared" si="63"/>
        <v>1</v>
      </c>
      <c r="R92" s="213">
        <f t="shared" si="63"/>
        <v>1</v>
      </c>
      <c r="S92" s="214">
        <v>2500</v>
      </c>
      <c r="T92" s="214">
        <v>900</v>
      </c>
      <c r="U92" s="215">
        <f t="shared" si="64"/>
        <v>1600</v>
      </c>
      <c r="V92" s="216">
        <f t="shared" si="65"/>
        <v>0</v>
      </c>
      <c r="W92" s="217">
        <f t="shared" si="66"/>
        <v>0</v>
      </c>
      <c r="X92" s="217">
        <f t="shared" si="67"/>
        <v>900</v>
      </c>
      <c r="Y92" s="218">
        <f t="shared" si="68"/>
        <v>1552.2539455697779</v>
      </c>
      <c r="Z92" s="198">
        <f t="shared" si="69"/>
        <v>0.64</v>
      </c>
      <c r="AA92" s="199">
        <f t="shared" si="70"/>
        <v>1.6423357664233577E-2</v>
      </c>
      <c r="AB92" s="264" t="s">
        <v>491</v>
      </c>
      <c r="AK92" s="200">
        <f t="shared" si="58"/>
        <v>0</v>
      </c>
      <c r="AL92" s="201">
        <f>900</f>
        <v>900</v>
      </c>
      <c r="AM92" s="454" t="s">
        <v>632</v>
      </c>
    </row>
    <row r="93" spans="1:39" ht="39.9" customHeight="1" thickBot="1" x14ac:dyDescent="0.5">
      <c r="A93" s="153">
        <v>79</v>
      </c>
      <c r="B93" s="230"/>
      <c r="C93" s="153" t="s">
        <v>155</v>
      </c>
      <c r="D93" s="153"/>
      <c r="E93" s="153"/>
      <c r="F93" s="486" t="s">
        <v>303</v>
      </c>
      <c r="G93" s="487"/>
      <c r="H93" s="487"/>
      <c r="I93" s="487"/>
      <c r="J93" s="487"/>
      <c r="K93" s="220">
        <f>SUM(K86:K92)</f>
        <v>39200</v>
      </c>
      <c r="L93" s="220">
        <f>SUM(L86:L92)</f>
        <v>2940</v>
      </c>
      <c r="M93" s="220">
        <f>SUM(M86:M92)</f>
        <v>10227.341866534114</v>
      </c>
      <c r="N93" s="265">
        <f>SUM(N86:N92)</f>
        <v>52367.341866534116</v>
      </c>
      <c r="Q93" s="488" t="s">
        <v>303</v>
      </c>
      <c r="R93" s="487"/>
      <c r="S93" s="487"/>
      <c r="T93" s="266">
        <f>SUM(T86:T92)</f>
        <v>54800</v>
      </c>
      <c r="U93" s="267">
        <f>SUM(U86:U92)</f>
        <v>-15600</v>
      </c>
      <c r="V93" s="268"/>
      <c r="W93" s="268"/>
      <c r="X93" s="269">
        <f>SUM(X86:X92)</f>
        <v>54800</v>
      </c>
      <c r="Y93" s="270">
        <f t="shared" si="68"/>
        <v>65027.341866534116</v>
      </c>
      <c r="Z93" s="271" t="s">
        <v>306</v>
      </c>
      <c r="AA93" s="272" t="s">
        <v>307</v>
      </c>
      <c r="AK93" s="200"/>
      <c r="AL93" s="201"/>
    </row>
    <row r="94" spans="1:39" ht="39.9" customHeight="1" thickBot="1" x14ac:dyDescent="0.5">
      <c r="A94" s="228">
        <v>80</v>
      </c>
      <c r="C94" s="230" t="s">
        <v>304</v>
      </c>
      <c r="D94" s="230"/>
      <c r="E94" s="230"/>
      <c r="F94" s="34" t="s">
        <v>305</v>
      </c>
      <c r="G94" s="35"/>
      <c r="H94" s="36"/>
      <c r="I94" s="36"/>
      <c r="J94" s="35"/>
      <c r="K94" s="37">
        <f>SUM(K17:K24)+SUM(K28:K42)+SUM(K46:K50)+SUM(K54:K55)+SUM(K59:K68)+SUM(K72:K82)+SUM(K86:K92)</f>
        <v>389768.73</v>
      </c>
      <c r="L94" s="37">
        <f>SUM(L17:L24)+SUM(L28:L42)+SUM(L46:L50)+SUM(L54:L55)+SUM(L59:L68)+SUM(L72:L82)+SUM(L86:L92)</f>
        <v>24567.654750000002</v>
      </c>
      <c r="M94" s="37">
        <f>SUM(M17:M24)+SUM(M28:M42)+SUM(M46:M50)+SUM(M54:M55)+SUM(M59:M68)+SUM(M72:M82)+SUM(M86:M92)</f>
        <v>100559.0853009507</v>
      </c>
      <c r="N94" s="39">
        <f>SUM(N17:N24)+SUM(N28:N42)+SUM(N46:N50)+SUM(N54:N55)+SUM(N59:N68)+SUM(N72:N82)+SUM(N86:N92)</f>
        <v>531917.45005095075</v>
      </c>
      <c r="Q94" s="38" t="s">
        <v>43</v>
      </c>
      <c r="R94" s="36"/>
      <c r="S94" s="35"/>
      <c r="T94" s="37">
        <f>SUM(T17:T24)+SUM(T28:T42)+SUM(T46:T50)+SUM(T54:T55)+SUM(T59:T68)+SUM(T72:T82)+SUM(T86:T92)</f>
        <v>484516.61000000004</v>
      </c>
      <c r="U94" s="37">
        <f>SUM(U17:U24)+SUM(U28:U42)+SUM(U46:U50)+SUM(U54:U55)+SUM(U59:U68)+SUM(U72:U82)+SUM(U86:U92)</f>
        <v>-94747.88</v>
      </c>
      <c r="V94" s="35"/>
      <c r="W94" s="35"/>
      <c r="X94" s="37">
        <f>SUM(X17:X24)+SUM(X28:X42)+SUM(X46:X50)+SUM(X54:X55)+SUM(X59:X68)+SUM(X72:X82)+SUM(X86:X92)</f>
        <v>484516.61000000004</v>
      </c>
      <c r="Y94" s="39">
        <f>SUM(Y17:Y24)+SUM(Y28:Y42)+SUM(Y46:Y50)+SUM(Y54:Y55)+SUM(Y59:Y68)+SUM(Y72:Y82)+SUM(Y86:Y92)</f>
        <v>585075.69530095079</v>
      </c>
      <c r="Z94" s="40">
        <f>IF(Q94&lt;&gt;"",(N94-Y94)/N94,"")</f>
        <v>-9.9937020763105566E-2</v>
      </c>
      <c r="AA94" s="41">
        <f>IF(Z94&lt;&gt;"",(N94-Y94),"")</f>
        <v>-53158.245250000036</v>
      </c>
      <c r="AK94" s="200">
        <f>SUM(AK17:AK92)</f>
        <v>0</v>
      </c>
      <c r="AL94" s="201">
        <f>SUM(AL17:AL92)</f>
        <v>484516.61000000004</v>
      </c>
    </row>
    <row r="95" spans="1:39" ht="30.6" x14ac:dyDescent="0.55000000000000004">
      <c r="AL95" s="455"/>
      <c r="AM95" s="456" t="s">
        <v>600</v>
      </c>
    </row>
    <row r="96" spans="1:39" ht="30.6" x14ac:dyDescent="0.55000000000000004">
      <c r="AL96" s="455">
        <f>X94</f>
        <v>484516.61000000004</v>
      </c>
      <c r="AM96" s="456" t="s">
        <v>601</v>
      </c>
    </row>
    <row r="97" spans="38:39" ht="30.6" x14ac:dyDescent="0.55000000000000004">
      <c r="AL97" s="455">
        <f>N94-X94</f>
        <v>47400.840050950705</v>
      </c>
      <c r="AM97" s="457" t="s">
        <v>594</v>
      </c>
    </row>
    <row r="98" spans="38:39" ht="31.2" x14ac:dyDescent="0.6">
      <c r="AL98" s="458">
        <f>AL97*100%/N94</f>
        <v>8.9113151009447653E-2</v>
      </c>
      <c r="AM98" s="459"/>
    </row>
  </sheetData>
  <autoFilter ref="A1:AL94" xr:uid="{107B9E09-8154-459A-AE62-6A4242823A27}">
    <filterColumn colId="5" showButton="0"/>
  </autoFilter>
  <mergeCells count="51">
    <mergeCell ref="AK12:AL12"/>
    <mergeCell ref="F1:G1"/>
    <mergeCell ref="F2:G2"/>
    <mergeCell ref="Q12:T12"/>
    <mergeCell ref="U12:X12"/>
    <mergeCell ref="AC12:AE12"/>
    <mergeCell ref="AG12:AH12"/>
    <mergeCell ref="F15:N15"/>
    <mergeCell ref="Q15:Y15"/>
    <mergeCell ref="F16:K16"/>
    <mergeCell ref="Q16:Y16"/>
    <mergeCell ref="F25:J25"/>
    <mergeCell ref="Q25:S25"/>
    <mergeCell ref="F26:N26"/>
    <mergeCell ref="Q26:Y26"/>
    <mergeCell ref="F27:K27"/>
    <mergeCell ref="Q27:Y27"/>
    <mergeCell ref="F43:J43"/>
    <mergeCell ref="Q43:S43"/>
    <mergeCell ref="F56:J56"/>
    <mergeCell ref="Q56:S56"/>
    <mergeCell ref="F44:N44"/>
    <mergeCell ref="Q44:Y44"/>
    <mergeCell ref="F45:K45"/>
    <mergeCell ref="Q45:Y45"/>
    <mergeCell ref="F51:J51"/>
    <mergeCell ref="Q51:S51"/>
    <mergeCell ref="F93:J93"/>
    <mergeCell ref="Q93:S93"/>
    <mergeCell ref="F70:N70"/>
    <mergeCell ref="Q70:Y70"/>
    <mergeCell ref="F71:K71"/>
    <mergeCell ref="Q71:Y71"/>
    <mergeCell ref="F83:J83"/>
    <mergeCell ref="Q83:S83"/>
    <mergeCell ref="AK15:AL15"/>
    <mergeCell ref="AK16:AL16"/>
    <mergeCell ref="F84:N84"/>
    <mergeCell ref="Q84:Y84"/>
    <mergeCell ref="F85:K85"/>
    <mergeCell ref="Q85:Y85"/>
    <mergeCell ref="F57:N57"/>
    <mergeCell ref="Q57:Y57"/>
    <mergeCell ref="F58:K58"/>
    <mergeCell ref="Q58:Y58"/>
    <mergeCell ref="F69:J69"/>
    <mergeCell ref="Q69:S69"/>
    <mergeCell ref="F52:N52"/>
    <mergeCell ref="Q52:Y52"/>
    <mergeCell ref="F53:K53"/>
    <mergeCell ref="Q53:Y53"/>
  </mergeCells>
  <phoneticPr fontId="29" type="noConversion"/>
  <dataValidations count="3">
    <dataValidation type="list" allowBlank="1" showInputMessage="1" showErrorMessage="1" sqref="D17:D24 D94 D46:D50 D54:D55 D72:D82 D86:D92 D28:D42 D59:D68" xr:uid="{3C456324-FA5B-441A-8DCD-612E811744B9}">
      <formula1>"INTERNO,OPERACIONAL"</formula1>
    </dataValidation>
    <dataValidation type="list" allowBlank="1" showInputMessage="1" showErrorMessage="1" sqref="E17:E24 E86:E92 E46:E50 E54:E55 E72:E82 E28:E42 E59:E68" xr:uid="{B1DE0345-57BE-4C30-B1FF-A27C31CE68DC}">
      <formula1>"FAT.OGGI,FAT.CLIENTE"</formula1>
    </dataValidation>
    <dataValidation type="list" allowBlank="1" showInputMessage="1" showErrorMessage="1" sqref="E94" xr:uid="{AD425B89-9AEE-4B2A-9B1F-477E5A00DBA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93F93-0039-4860-BE47-5440B967BF0F}">
  <sheetPr codeName="Planilha12">
    <pageSetUpPr autoPageBreaks="0"/>
  </sheetPr>
  <dimension ref="A1:AM94"/>
  <sheetViews>
    <sheetView showGridLines="0" topLeftCell="B1" zoomScale="50" zoomScaleNormal="50" workbookViewId="0">
      <pane ySplit="1" topLeftCell="A2" activePane="bottomLeft" state="frozen"/>
      <selection activeCell="T28" sqref="Q28:Y39"/>
      <selection pane="bottomLeft" activeCell="F11" sqref="F11"/>
    </sheetView>
  </sheetViews>
  <sheetFormatPr defaultColWidth="8.88671875" defaultRowHeight="21" x14ac:dyDescent="0.4"/>
  <cols>
    <col min="1" max="1" width="4.5546875" style="128" hidden="1" customWidth="1"/>
    <col min="2" max="2" width="11.88671875" style="128" customWidth="1"/>
    <col min="3" max="3" width="11.44140625" style="128" hidden="1" customWidth="1"/>
    <col min="4" max="4" width="9.109375" style="128" hidden="1" customWidth="1"/>
    <col min="5" max="5" width="10.6640625" style="128" hidden="1" customWidth="1"/>
    <col min="6" max="6" width="41.88671875" style="128" customWidth="1"/>
    <col min="7" max="7" width="33.6640625" style="128" customWidth="1"/>
    <col min="8" max="8" width="5.6640625" style="131" hidden="1" customWidth="1"/>
    <col min="9" max="9" width="5.88671875" style="131" hidden="1" customWidth="1"/>
    <col min="10" max="10" width="16.44140625" style="128" hidden="1" customWidth="1"/>
    <col min="11" max="11" width="30.109375" style="128" customWidth="1"/>
    <col min="12" max="12" width="22.88671875" style="128" customWidth="1"/>
    <col min="13" max="13" width="25.109375" style="128" customWidth="1"/>
    <col min="14" max="14" width="26.44140625" style="128" bestFit="1" customWidth="1"/>
    <col min="15" max="15" width="3.33203125" style="128" hidden="1" customWidth="1"/>
    <col min="16" max="16" width="1.88671875" style="128" hidden="1" customWidth="1"/>
    <col min="17" max="17" width="5.88671875" style="131" customWidth="1"/>
    <col min="18" max="18" width="5.109375" style="131" hidden="1" customWidth="1"/>
    <col min="19" max="19" width="16.44140625" style="128" hidden="1" customWidth="1"/>
    <col min="20" max="20" width="26.5546875" style="128" customWidth="1"/>
    <col min="21" max="21" width="24.6640625" style="128" hidden="1" customWidth="1"/>
    <col min="22" max="22" width="9.6640625" style="128" hidden="1" customWidth="1"/>
    <col min="23" max="23" width="16.109375" style="128" hidden="1" customWidth="1"/>
    <col min="24" max="24" width="27.109375" style="128" bestFit="1" customWidth="1"/>
    <col min="25" max="25" width="26.6640625" style="128" hidden="1" customWidth="1"/>
    <col min="26" max="26" width="14.6640625" style="128" hidden="1" customWidth="1"/>
    <col min="27" max="27" width="24.6640625" style="128" hidden="1" customWidth="1"/>
    <col min="28" max="28" width="38.10937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1.109375" style="128" bestFit="1" customWidth="1"/>
    <col min="38" max="38" width="24.33203125" style="128" customWidth="1"/>
    <col min="39" max="39" width="8.88671875" style="128"/>
    <col min="40" max="40" width="21.33203125" style="128" customWidth="1"/>
    <col min="41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559</v>
      </c>
      <c r="G10" s="138"/>
    </row>
    <row r="11" spans="1:38" ht="22.2" x14ac:dyDescent="0.4">
      <c r="F11" s="140" t="s">
        <v>556</v>
      </c>
      <c r="G11" s="141"/>
    </row>
    <row r="12" spans="1:38" ht="67.2" hidden="1" thickBot="1" x14ac:dyDescent="0.45">
      <c r="B12" s="142"/>
      <c r="M12" s="143"/>
      <c r="Q12" s="493" t="s">
        <v>1</v>
      </c>
      <c r="R12" s="494"/>
      <c r="S12" s="494"/>
      <c r="T12" s="495"/>
      <c r="U12" s="496" t="s">
        <v>2</v>
      </c>
      <c r="V12" s="497"/>
      <c r="W12" s="497"/>
      <c r="X12" s="498"/>
      <c r="Y12" s="144" t="s">
        <v>56</v>
      </c>
      <c r="Z12" s="145">
        <f>(1/(1-M14))-1</f>
        <v>0.24269914253759173</v>
      </c>
      <c r="AC12" s="499" t="s">
        <v>3</v>
      </c>
      <c r="AD12" s="500"/>
      <c r="AE12" s="501"/>
      <c r="AG12" s="502" t="s">
        <v>58</v>
      </c>
      <c r="AH12" s="503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9.9" customHeight="1" thickBot="1" x14ac:dyDescent="0.45">
      <c r="A14" s="150">
        <v>0</v>
      </c>
      <c r="B14" s="151"/>
      <c r="C14" s="152"/>
      <c r="D14" s="153"/>
      <c r="E14" s="153"/>
      <c r="F14" s="154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0.05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9.9" customHeight="1" thickBot="1" x14ac:dyDescent="0.5">
      <c r="A15" s="153">
        <v>1</v>
      </c>
      <c r="B15" s="178">
        <v>1</v>
      </c>
      <c r="C15" s="179" t="s">
        <v>121</v>
      </c>
      <c r="D15" s="153"/>
      <c r="E15" s="180"/>
      <c r="F15" s="480" t="s">
        <v>308</v>
      </c>
      <c r="G15" s="477"/>
      <c r="H15" s="477"/>
      <c r="I15" s="477"/>
      <c r="J15" s="477"/>
      <c r="K15" s="477"/>
      <c r="L15" s="477"/>
      <c r="M15" s="477"/>
      <c r="N15" s="477"/>
      <c r="Q15" s="477" t="str">
        <f>IF(F15&lt;&gt;"",F15,"")</f>
        <v>ATRAÇÃO</v>
      </c>
      <c r="R15" s="477"/>
      <c r="S15" s="477"/>
      <c r="T15" s="477"/>
      <c r="U15" s="477"/>
      <c r="V15" s="477"/>
      <c r="W15" s="477"/>
      <c r="X15" s="477"/>
      <c r="Y15" s="477"/>
      <c r="AK15" s="477"/>
      <c r="AL15" s="477"/>
    </row>
    <row r="16" spans="1:38" ht="39.9" customHeight="1" x14ac:dyDescent="0.45">
      <c r="A16" s="153">
        <v>2</v>
      </c>
      <c r="B16" s="178" t="s">
        <v>123</v>
      </c>
      <c r="C16" s="179" t="s">
        <v>122</v>
      </c>
      <c r="D16" s="153"/>
      <c r="E16" s="153"/>
      <c r="F16" s="478" t="s">
        <v>308</v>
      </c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183" t="s">
        <v>82</v>
      </c>
      <c r="Q16" s="478" t="str">
        <f>IF(F16&lt;&gt;"",F16,"")</f>
        <v>ATRAÇÃO</v>
      </c>
      <c r="R16" s="479"/>
      <c r="S16" s="479"/>
      <c r="T16" s="479"/>
      <c r="U16" s="479"/>
      <c r="V16" s="479"/>
      <c r="W16" s="479"/>
      <c r="X16" s="479"/>
      <c r="Y16" s="483"/>
      <c r="Z16" s="184" t="s">
        <v>126</v>
      </c>
      <c r="AA16" s="185" t="s">
        <v>83</v>
      </c>
      <c r="AK16" s="478"/>
      <c r="AL16" s="479"/>
    </row>
    <row r="17" spans="1:39" ht="129.9" customHeight="1" thickBot="1" x14ac:dyDescent="0.45">
      <c r="A17" s="153">
        <v>3</v>
      </c>
      <c r="B17" s="178" t="s">
        <v>128</v>
      </c>
      <c r="C17" s="179" t="s">
        <v>127</v>
      </c>
      <c r="D17" s="153" t="s">
        <v>136</v>
      </c>
      <c r="E17" s="153" t="s">
        <v>137</v>
      </c>
      <c r="F17" s="252" t="s">
        <v>309</v>
      </c>
      <c r="G17" s="208" t="s">
        <v>310</v>
      </c>
      <c r="H17" s="209">
        <v>1</v>
      </c>
      <c r="I17" s="209">
        <v>1</v>
      </c>
      <c r="J17" s="210">
        <v>95000</v>
      </c>
      <c r="K17" s="210">
        <f>IF(F17&lt;&gt;"",H17*I17*J17,"")</f>
        <v>95000</v>
      </c>
      <c r="L17" s="210">
        <v>4750</v>
      </c>
      <c r="M17" s="210">
        <v>1152.82</v>
      </c>
      <c r="N17" s="211">
        <f>SUM(K17:M17)</f>
        <v>100902.82</v>
      </c>
      <c r="Q17" s="191">
        <f>IF(H17&lt;&gt;"",H17,"")</f>
        <v>1</v>
      </c>
      <c r="R17" s="192">
        <f>IF(I17&lt;&gt;"",I17,"")</f>
        <v>1</v>
      </c>
      <c r="S17" s="204">
        <v>89000</v>
      </c>
      <c r="T17" s="204">
        <v>0</v>
      </c>
      <c r="U17" s="194">
        <f>IF(Q17&lt;&gt;"",K17-T17,"")</f>
        <v>95000</v>
      </c>
      <c r="V17" s="195">
        <f>IF(Q17&lt;&gt;"",0%,"")</f>
        <v>0</v>
      </c>
      <c r="W17" s="196">
        <f>IF(Q17&lt;&gt;"",V17*U17,"")</f>
        <v>0</v>
      </c>
      <c r="X17" s="196">
        <f>IF(Q17&lt;&gt;"",W17+T17,"")</f>
        <v>0</v>
      </c>
      <c r="Y17" s="197">
        <f>IF(Q17&lt;&gt;"",X17+M17,"")</f>
        <v>1152.82</v>
      </c>
      <c r="Z17" s="273">
        <f>IF(Q17&lt;&gt;"", IFERROR(U17/K17, 0), 0)</f>
        <v>1</v>
      </c>
      <c r="AA17" s="274" t="str">
        <f>IFERROR(T17/$T$18, "")</f>
        <v/>
      </c>
      <c r="AK17" s="200">
        <f>X17-AL17</f>
        <v>0</v>
      </c>
      <c r="AL17" s="201"/>
    </row>
    <row r="18" spans="1:39" ht="39.9" customHeight="1" thickBot="1" x14ac:dyDescent="0.5">
      <c r="A18" s="153">
        <v>4</v>
      </c>
      <c r="B18" s="230"/>
      <c r="C18" s="153" t="s">
        <v>155</v>
      </c>
      <c r="D18" s="153"/>
      <c r="E18" s="153"/>
      <c r="F18" s="486" t="s">
        <v>311</v>
      </c>
      <c r="G18" s="487"/>
      <c r="H18" s="487"/>
      <c r="I18" s="487"/>
      <c r="J18" s="487"/>
      <c r="K18" s="220">
        <f>SUM(K17:K17)</f>
        <v>95000</v>
      </c>
      <c r="L18" s="220">
        <f>SUM(L17:L17)</f>
        <v>4750</v>
      </c>
      <c r="M18" s="220">
        <f>SUM(M17:M17)</f>
        <v>1152.82</v>
      </c>
      <c r="N18" s="265">
        <f>SUM(N17:N17)</f>
        <v>100902.82</v>
      </c>
      <c r="Q18" s="486" t="s">
        <v>311</v>
      </c>
      <c r="R18" s="487"/>
      <c r="S18" s="487"/>
      <c r="T18" s="266">
        <f>SUM(T17:T17)</f>
        <v>0</v>
      </c>
      <c r="U18" s="267">
        <f>SUM(U17:U17)</f>
        <v>95000</v>
      </c>
      <c r="V18" s="268"/>
      <c r="W18" s="268"/>
      <c r="X18" s="269">
        <f>SUM(X17:X17)</f>
        <v>0</v>
      </c>
      <c r="Y18" s="270">
        <f>IF(Q18&lt;&gt;"",X18+M18,"")</f>
        <v>1152.82</v>
      </c>
      <c r="Z18" s="275" t="s">
        <v>306</v>
      </c>
      <c r="AA18" s="276" t="s">
        <v>307</v>
      </c>
      <c r="AK18" s="200">
        <f t="shared" ref="AK18" si="0">X18-AL18</f>
        <v>0</v>
      </c>
      <c r="AL18" s="201"/>
    </row>
    <row r="19" spans="1:39" ht="39.9" customHeight="1" thickBot="1" x14ac:dyDescent="0.5">
      <c r="A19" s="228">
        <v>5</v>
      </c>
      <c r="C19" s="230" t="s">
        <v>304</v>
      </c>
      <c r="D19" s="230"/>
      <c r="E19" s="230"/>
      <c r="F19" s="34" t="s">
        <v>305</v>
      </c>
      <c r="G19" s="35"/>
      <c r="H19" s="35"/>
      <c r="I19" s="35"/>
      <c r="J19" s="35"/>
      <c r="K19" s="37">
        <f>SUM(K17:K17)</f>
        <v>95000</v>
      </c>
      <c r="L19" s="37">
        <f>SUM(L17:L17)</f>
        <v>4750</v>
      </c>
      <c r="M19" s="37">
        <f>SUM(M17:M17)</f>
        <v>1152.82</v>
      </c>
      <c r="N19" s="39">
        <f>SUM(N17:N17)</f>
        <v>100902.82</v>
      </c>
      <c r="Q19" s="34" t="s">
        <v>43</v>
      </c>
      <c r="R19" s="35"/>
      <c r="S19" s="35"/>
      <c r="T19" s="37">
        <f>SUM(T17:T17)</f>
        <v>0</v>
      </c>
      <c r="U19" s="37">
        <f>SUM(U17:U17)</f>
        <v>95000</v>
      </c>
      <c r="V19" s="35"/>
      <c r="W19" s="35"/>
      <c r="X19" s="37">
        <f>SUM(X17:X17)</f>
        <v>0</v>
      </c>
      <c r="Y19" s="39">
        <f>SUM(Y17:Y17)</f>
        <v>1152.82</v>
      </c>
      <c r="Z19" s="40">
        <f>IF(Q19&lt;&gt;"",(N19-Y19)/N19,"")</f>
        <v>0.98857494765755793</v>
      </c>
      <c r="AA19" s="41">
        <f>IF(Z19&lt;&gt;"",(N19-Y19),"")</f>
        <v>99750</v>
      </c>
      <c r="AK19" s="200"/>
      <c r="AL19" s="201"/>
    </row>
    <row r="20" spans="1:39" ht="30.6" x14ac:dyDescent="0.55000000000000004">
      <c r="H20" s="128"/>
      <c r="I20" s="128"/>
      <c r="Q20" s="128"/>
      <c r="R20" s="128"/>
      <c r="AL20" s="455"/>
      <c r="AM20" s="456" t="s">
        <v>600</v>
      </c>
    </row>
    <row r="21" spans="1:39" ht="30.6" x14ac:dyDescent="0.55000000000000004">
      <c r="H21" s="128"/>
      <c r="I21" s="128"/>
      <c r="Q21" s="128"/>
      <c r="R21" s="128"/>
      <c r="AL21" s="455">
        <f>X19</f>
        <v>0</v>
      </c>
      <c r="AM21" s="456" t="s">
        <v>601</v>
      </c>
    </row>
    <row r="22" spans="1:39" ht="30.6" x14ac:dyDescent="0.55000000000000004">
      <c r="H22" s="128"/>
      <c r="I22" s="128"/>
      <c r="Q22" s="128"/>
      <c r="R22" s="128"/>
      <c r="AL22" s="455">
        <f>N19-X19</f>
        <v>100902.82</v>
      </c>
      <c r="AM22" s="457" t="s">
        <v>594</v>
      </c>
    </row>
    <row r="23" spans="1:39" ht="31.2" x14ac:dyDescent="0.6">
      <c r="H23" s="128"/>
      <c r="I23" s="128"/>
      <c r="Q23" s="128"/>
      <c r="R23" s="128"/>
      <c r="AL23" s="458">
        <f>AL22*100%/N19</f>
        <v>1</v>
      </c>
      <c r="AM23" s="459"/>
    </row>
    <row r="24" spans="1:39" x14ac:dyDescent="0.4">
      <c r="H24" s="128"/>
      <c r="I24" s="128"/>
      <c r="Q24" s="128"/>
      <c r="R24" s="128"/>
    </row>
    <row r="25" spans="1:39" x14ac:dyDescent="0.4">
      <c r="H25" s="128"/>
      <c r="I25" s="128"/>
      <c r="Q25" s="128"/>
      <c r="R25" s="128"/>
    </row>
    <row r="26" spans="1:39" x14ac:dyDescent="0.4">
      <c r="H26" s="128"/>
      <c r="I26" s="128"/>
      <c r="Q26" s="128"/>
      <c r="R26" s="128"/>
    </row>
    <row r="27" spans="1:39" x14ac:dyDescent="0.4">
      <c r="H27" s="128"/>
      <c r="I27" s="128"/>
      <c r="Q27" s="128"/>
      <c r="R27" s="128"/>
    </row>
    <row r="28" spans="1:39" x14ac:dyDescent="0.4">
      <c r="H28" s="128"/>
      <c r="I28" s="128"/>
      <c r="Q28" s="128"/>
      <c r="R28" s="128"/>
    </row>
    <row r="29" spans="1:39" x14ac:dyDescent="0.4">
      <c r="H29" s="128"/>
      <c r="I29" s="128"/>
      <c r="Q29" s="128"/>
      <c r="R29" s="128"/>
    </row>
    <row r="30" spans="1:39" x14ac:dyDescent="0.4">
      <c r="H30" s="128"/>
      <c r="I30" s="128"/>
      <c r="Q30" s="128"/>
      <c r="R30" s="128"/>
    </row>
    <row r="31" spans="1:39" x14ac:dyDescent="0.4">
      <c r="H31" s="128"/>
      <c r="I31" s="128"/>
      <c r="Q31" s="128"/>
      <c r="R31" s="128"/>
    </row>
    <row r="32" spans="1:39" x14ac:dyDescent="0.4">
      <c r="H32" s="128"/>
      <c r="I32" s="128"/>
      <c r="Q32" s="128"/>
      <c r="R32" s="128"/>
    </row>
    <row r="33" s="128" customFormat="1" x14ac:dyDescent="0.4"/>
    <row r="34" s="128" customFormat="1" x14ac:dyDescent="0.4"/>
    <row r="35" s="128" customFormat="1" x14ac:dyDescent="0.4"/>
    <row r="36" s="128" customFormat="1" x14ac:dyDescent="0.4"/>
    <row r="37" s="128" customFormat="1" x14ac:dyDescent="0.4"/>
    <row r="38" s="128" customFormat="1" x14ac:dyDescent="0.4"/>
    <row r="39" s="128" customFormat="1" x14ac:dyDescent="0.4"/>
    <row r="40" s="128" customFormat="1" x14ac:dyDescent="0.4"/>
    <row r="41" s="128" customFormat="1" x14ac:dyDescent="0.4"/>
    <row r="42" s="128" customFormat="1" x14ac:dyDescent="0.4"/>
    <row r="43" s="128" customFormat="1" x14ac:dyDescent="0.4"/>
    <row r="44" s="128" customFormat="1" x14ac:dyDescent="0.4"/>
    <row r="45" s="128" customFormat="1" x14ac:dyDescent="0.4"/>
    <row r="46" s="128" customFormat="1" x14ac:dyDescent="0.4"/>
    <row r="47" s="128" customFormat="1" x14ac:dyDescent="0.4"/>
    <row r="48" s="128" customFormat="1" x14ac:dyDescent="0.4"/>
    <row r="49" s="128" customFormat="1" x14ac:dyDescent="0.4"/>
    <row r="50" s="128" customFormat="1" x14ac:dyDescent="0.4"/>
    <row r="51" s="128" customFormat="1" x14ac:dyDescent="0.4"/>
    <row r="52" s="128" customFormat="1" x14ac:dyDescent="0.4"/>
    <row r="53" s="128" customFormat="1" x14ac:dyDescent="0.4"/>
    <row r="54" s="128" customFormat="1" x14ac:dyDescent="0.4"/>
    <row r="55" s="128" customFormat="1" x14ac:dyDescent="0.4"/>
    <row r="56" s="128" customFormat="1" x14ac:dyDescent="0.4"/>
    <row r="57" s="128" customFormat="1" x14ac:dyDescent="0.4"/>
    <row r="58" s="128" customFormat="1" x14ac:dyDescent="0.4"/>
    <row r="59" s="128" customFormat="1" x14ac:dyDescent="0.4"/>
    <row r="60" s="128" customFormat="1" x14ac:dyDescent="0.4"/>
    <row r="61" s="128" customFormat="1" x14ac:dyDescent="0.4"/>
    <row r="62" s="128" customFormat="1" x14ac:dyDescent="0.4"/>
    <row r="63" s="128" customFormat="1" x14ac:dyDescent="0.4"/>
    <row r="64" s="128" customFormat="1" x14ac:dyDescent="0.4"/>
    <row r="65" s="128" customFormat="1" x14ac:dyDescent="0.4"/>
    <row r="66" s="128" customFormat="1" x14ac:dyDescent="0.4"/>
    <row r="67" s="128" customFormat="1" x14ac:dyDescent="0.4"/>
    <row r="68" s="128" customFormat="1" x14ac:dyDescent="0.4"/>
    <row r="69" s="128" customFormat="1" x14ac:dyDescent="0.4"/>
    <row r="70" s="128" customFormat="1" x14ac:dyDescent="0.4"/>
    <row r="71" s="128" customFormat="1" x14ac:dyDescent="0.4"/>
    <row r="72" s="128" customFormat="1" x14ac:dyDescent="0.4"/>
    <row r="73" s="128" customFormat="1" x14ac:dyDescent="0.4"/>
    <row r="74" s="128" customFormat="1" x14ac:dyDescent="0.4"/>
    <row r="75" s="128" customFormat="1" x14ac:dyDescent="0.4"/>
    <row r="76" s="128" customFormat="1" x14ac:dyDescent="0.4"/>
    <row r="77" s="128" customFormat="1" x14ac:dyDescent="0.4"/>
    <row r="78" s="128" customFormat="1" x14ac:dyDescent="0.4"/>
    <row r="79" s="128" customFormat="1" x14ac:dyDescent="0.4"/>
    <row r="80" s="128" customFormat="1" x14ac:dyDescent="0.4"/>
    <row r="81" s="128" customFormat="1" x14ac:dyDescent="0.4"/>
    <row r="82" s="128" customFormat="1" x14ac:dyDescent="0.4"/>
    <row r="83" s="128" customFormat="1" x14ac:dyDescent="0.4"/>
    <row r="84" s="128" customFormat="1" x14ac:dyDescent="0.4"/>
    <row r="85" s="128" customFormat="1" x14ac:dyDescent="0.4"/>
    <row r="86" s="128" customFormat="1" x14ac:dyDescent="0.4"/>
    <row r="87" s="128" customFormat="1" x14ac:dyDescent="0.4"/>
    <row r="88" s="128" customFormat="1" x14ac:dyDescent="0.4"/>
    <row r="89" s="128" customFormat="1" x14ac:dyDescent="0.4"/>
    <row r="90" s="128" customFormat="1" x14ac:dyDescent="0.4"/>
    <row r="91" s="128" customFormat="1" x14ac:dyDescent="0.4"/>
    <row r="92" s="128" customFormat="1" x14ac:dyDescent="0.4"/>
    <row r="93" s="128" customFormat="1" x14ac:dyDescent="0.4"/>
    <row r="94" s="128" customFormat="1" x14ac:dyDescent="0.4"/>
  </sheetData>
  <autoFilter ref="A1:AL14" xr:uid="{107B9E09-8154-459A-AE62-6A4242823A27}">
    <filterColumn colId="5" showButton="0"/>
  </autoFilter>
  <mergeCells count="15">
    <mergeCell ref="F18:J18"/>
    <mergeCell ref="Q18:S18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AK15:AL15"/>
    <mergeCell ref="AK16:AL16"/>
  </mergeCells>
  <dataValidations count="3">
    <dataValidation type="list" allowBlank="1" showInputMessage="1" showErrorMessage="1" sqref="E19" xr:uid="{0E2361A1-934F-4AF7-ADFD-80961787829F}">
      <formula1>"FAT.OGGI,FAT.CLIENTE "</formula1>
    </dataValidation>
    <dataValidation type="list" allowBlank="1" showInputMessage="1" showErrorMessage="1" sqref="E17" xr:uid="{B39CAB91-F5DD-4A64-99B6-38BAD2925E05}">
      <formula1>"FAT.OGGI,FAT.CLIENTE"</formula1>
    </dataValidation>
    <dataValidation type="list" allowBlank="1" showInputMessage="1" showErrorMessage="1" sqref="D17 D19" xr:uid="{00FC3004-5142-4A05-9310-02D4C563F914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6759E-FF81-44A8-A86B-0AA75ACBE6A3}">
  <sheetPr codeName="Planilha13">
    <pageSetUpPr autoPageBreaks="0"/>
  </sheetPr>
  <dimension ref="A1:AM82"/>
  <sheetViews>
    <sheetView showGridLines="0" topLeftCell="B1" zoomScale="50" zoomScaleNormal="50" workbookViewId="0">
      <pane ySplit="1" topLeftCell="A40" activePane="bottomLeft" state="frozen"/>
      <selection activeCell="T28" sqref="Q28:Y39"/>
      <selection pane="bottomLeft" activeCell="T35" sqref="T35"/>
    </sheetView>
  </sheetViews>
  <sheetFormatPr defaultColWidth="8.88671875" defaultRowHeight="21" x14ac:dyDescent="0.4"/>
  <cols>
    <col min="1" max="1" width="4.5546875" style="128" hidden="1" customWidth="1"/>
    <col min="2" max="2" width="12.6640625" style="128" customWidth="1"/>
    <col min="3" max="3" width="11.44140625" style="128" hidden="1" customWidth="1"/>
    <col min="4" max="4" width="9.109375" style="128" hidden="1" customWidth="1"/>
    <col min="5" max="5" width="10.6640625" style="128" hidden="1" customWidth="1"/>
    <col min="6" max="6" width="28.88671875" style="128" customWidth="1"/>
    <col min="7" max="7" width="56.88671875" style="128" customWidth="1"/>
    <col min="8" max="8" width="5.6640625" style="131" hidden="1" customWidth="1"/>
    <col min="9" max="9" width="5.88671875" style="131" hidden="1" customWidth="1"/>
    <col min="10" max="10" width="16.44140625" style="128" hidden="1" customWidth="1"/>
    <col min="11" max="11" width="30.109375" style="128" customWidth="1"/>
    <col min="12" max="12" width="22.88671875" style="128" customWidth="1"/>
    <col min="13" max="13" width="25.109375" style="128" customWidth="1"/>
    <col min="14" max="14" width="23.88671875" style="128" customWidth="1"/>
    <col min="15" max="15" width="7.5546875" style="128" hidden="1" customWidth="1"/>
    <col min="16" max="16" width="1.88671875" style="128" hidden="1" customWidth="1"/>
    <col min="17" max="17" width="5.88671875" style="131" customWidth="1"/>
    <col min="18" max="18" width="5.109375" style="131" hidden="1" customWidth="1"/>
    <col min="19" max="19" width="16.44140625" style="128" hidden="1" customWidth="1"/>
    <col min="20" max="20" width="26.5546875" style="128" customWidth="1"/>
    <col min="21" max="21" width="24.6640625" style="128" hidden="1" customWidth="1"/>
    <col min="22" max="22" width="9.6640625" style="128" hidden="1" customWidth="1"/>
    <col min="23" max="23" width="16.109375" style="128" hidden="1" customWidth="1"/>
    <col min="24" max="24" width="27.44140625" style="128" bestFit="1" customWidth="1"/>
    <col min="25" max="25" width="26.6640625" style="128" hidden="1" customWidth="1"/>
    <col min="26" max="26" width="14.6640625" style="128" hidden="1" customWidth="1"/>
    <col min="27" max="27" width="24.6640625" style="128" hidden="1" customWidth="1"/>
    <col min="28" max="28" width="44.4414062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0.6640625" style="128" bestFit="1" customWidth="1"/>
    <col min="38" max="38" width="25.5546875" style="128" bestFit="1" customWidth="1"/>
    <col min="39" max="39" width="25.5546875" style="454" bestFit="1" customWidth="1"/>
    <col min="40" max="40" width="21.33203125" style="128" customWidth="1"/>
    <col min="41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555</v>
      </c>
      <c r="G10" s="138"/>
    </row>
    <row r="11" spans="1:38" ht="22.8" thickBot="1" x14ac:dyDescent="0.45">
      <c r="F11" s="140" t="s">
        <v>556</v>
      </c>
      <c r="G11" s="141"/>
    </row>
    <row r="12" spans="1:38" ht="67.2" thickBot="1" x14ac:dyDescent="0.45">
      <c r="B12" s="142"/>
      <c r="M12" s="143"/>
      <c r="Q12" s="493" t="s">
        <v>1</v>
      </c>
      <c r="R12" s="494"/>
      <c r="S12" s="494"/>
      <c r="T12" s="495"/>
      <c r="U12" s="496" t="s">
        <v>2</v>
      </c>
      <c r="V12" s="497"/>
      <c r="W12" s="497"/>
      <c r="X12" s="498"/>
      <c r="Y12" s="144" t="s">
        <v>56</v>
      </c>
      <c r="Z12" s="145">
        <f>(1/(1-M14))-1</f>
        <v>0.24269914253759173</v>
      </c>
      <c r="AC12" s="499" t="s">
        <v>3</v>
      </c>
      <c r="AD12" s="500"/>
      <c r="AE12" s="501"/>
      <c r="AG12" s="502" t="s">
        <v>58</v>
      </c>
      <c r="AH12" s="503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5.1" customHeight="1" thickBot="1" x14ac:dyDescent="0.45">
      <c r="A14" s="150">
        <v>0</v>
      </c>
      <c r="B14" s="151"/>
      <c r="C14" s="152"/>
      <c r="D14" s="153"/>
      <c r="E14" s="153"/>
      <c r="F14" s="277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7.4999999999999997E-2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5.1" customHeight="1" thickBot="1" x14ac:dyDescent="0.5">
      <c r="A15" s="153">
        <v>1</v>
      </c>
      <c r="B15" s="178">
        <v>1</v>
      </c>
      <c r="C15" s="179" t="s">
        <v>121</v>
      </c>
      <c r="D15" s="153"/>
      <c r="E15" s="153"/>
      <c r="F15" s="505" t="s">
        <v>382</v>
      </c>
      <c r="G15" s="481"/>
      <c r="H15" s="481"/>
      <c r="I15" s="481"/>
      <c r="J15" s="481"/>
      <c r="K15" s="481"/>
      <c r="L15" s="481"/>
      <c r="M15" s="481"/>
      <c r="N15" s="506"/>
      <c r="Q15" s="507" t="str">
        <f>IF(F15&lt;&gt;"",F15,"")</f>
        <v>OPCIONAIS</v>
      </c>
      <c r="R15" s="508"/>
      <c r="S15" s="508"/>
      <c r="T15" s="508"/>
      <c r="U15" s="508"/>
      <c r="V15" s="508"/>
      <c r="W15" s="508"/>
      <c r="X15" s="508"/>
      <c r="Y15" s="509"/>
      <c r="AK15" s="477"/>
      <c r="AL15" s="477"/>
    </row>
    <row r="16" spans="1:38" ht="35.1" customHeight="1" x14ac:dyDescent="0.45">
      <c r="A16" s="153">
        <v>2</v>
      </c>
      <c r="B16" s="178" t="s">
        <v>123</v>
      </c>
      <c r="C16" s="179" t="s">
        <v>122</v>
      </c>
      <c r="D16" s="153"/>
      <c r="E16" s="153"/>
      <c r="F16" s="478" t="s">
        <v>382</v>
      </c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278" t="s">
        <v>82</v>
      </c>
      <c r="Q16" s="510" t="str">
        <f>IF(F16&lt;&gt;"",F16,"")</f>
        <v>OPCIONAIS</v>
      </c>
      <c r="R16" s="511"/>
      <c r="S16" s="511"/>
      <c r="T16" s="511"/>
      <c r="U16" s="511"/>
      <c r="V16" s="511"/>
      <c r="W16" s="511"/>
      <c r="X16" s="511"/>
      <c r="Y16" s="512"/>
      <c r="Z16" s="279" t="s">
        <v>126</v>
      </c>
      <c r="AA16" s="280" t="s">
        <v>83</v>
      </c>
      <c r="AK16" s="478"/>
      <c r="AL16" s="479"/>
    </row>
    <row r="17" spans="1:39" ht="120" customHeight="1" x14ac:dyDescent="0.4">
      <c r="A17" s="281">
        <v>3</v>
      </c>
      <c r="B17" s="178" t="s">
        <v>128</v>
      </c>
      <c r="C17" s="282" t="s">
        <v>127</v>
      </c>
      <c r="D17" s="203" t="s">
        <v>135</v>
      </c>
      <c r="E17" s="203" t="s">
        <v>137</v>
      </c>
      <c r="F17" s="283" t="s">
        <v>390</v>
      </c>
      <c r="G17" s="203" t="s">
        <v>438</v>
      </c>
      <c r="H17" s="209">
        <v>5</v>
      </c>
      <c r="I17" s="209">
        <v>1</v>
      </c>
      <c r="J17" s="210">
        <v>15</v>
      </c>
      <c r="K17" s="210">
        <f>IF(F17&lt;&gt;"",H17*I17*J17,"")</f>
        <v>75</v>
      </c>
      <c r="L17" s="210">
        <f>IF(K17&lt;&gt;"",IF(D17="INTERNO",0,K17*$L$14),"")</f>
        <v>5.625</v>
      </c>
      <c r="M17" s="210">
        <f>IF(K17&lt;&gt;"",IF(E17="FAT.OGGI",SUM(K17:L17)*(1/(1-$M$14)-1),L17*(1/(1-$M$14)-1)),0)</f>
        <v>19.567618367093335</v>
      </c>
      <c r="N17" s="210">
        <f>SUM(K17:M17)</f>
        <v>100.19261836709333</v>
      </c>
      <c r="O17" s="284" t="s">
        <v>402</v>
      </c>
      <c r="P17" s="284"/>
      <c r="Q17" s="285">
        <v>5</v>
      </c>
      <c r="R17" s="285">
        <v>1</v>
      </c>
      <c r="S17" s="286">
        <v>18</v>
      </c>
      <c r="T17" s="286">
        <v>0</v>
      </c>
      <c r="U17" s="287">
        <f t="shared" ref="U17:U29" si="0">IF(Q17&lt;&gt;"",K17-T17,"")</f>
        <v>75</v>
      </c>
      <c r="V17" s="288">
        <f t="shared" ref="V17:V29" si="1">IF(Q17&lt;&gt;"",0%,"")</f>
        <v>0</v>
      </c>
      <c r="W17" s="289">
        <f t="shared" ref="W17:W29" si="2">IF(Q17&lt;&gt;"",V17*U17,"")</f>
        <v>0</v>
      </c>
      <c r="X17" s="289">
        <f t="shared" ref="X17:X29" si="3">IF(Q17&lt;&gt;"",W17+T17,"")</f>
        <v>0</v>
      </c>
      <c r="Y17" s="289">
        <f t="shared" ref="Y17:Y29" si="4">IF(Q17&lt;&gt;"",X17+M17,"")</f>
        <v>19.567618367093335</v>
      </c>
      <c r="Z17" s="199">
        <f t="shared" ref="Z17:Z29" si="5">IF(Q17&lt;&gt;"", IFERROR(U17/K17, 0), 0)</f>
        <v>1</v>
      </c>
      <c r="AA17" s="199">
        <f t="shared" ref="AA17:AA36" si="6">IFERROR(T17/$T$41, "")</f>
        <v>0</v>
      </c>
      <c r="AB17" s="284"/>
      <c r="AC17" s="284"/>
      <c r="AD17" s="284"/>
      <c r="AE17" s="284"/>
      <c r="AF17" s="284"/>
      <c r="AG17" s="284"/>
      <c r="AH17" s="284"/>
      <c r="AI17" s="284"/>
      <c r="AJ17" s="290"/>
      <c r="AK17" s="200">
        <f>X17-AL17</f>
        <v>0</v>
      </c>
      <c r="AL17" s="201"/>
    </row>
    <row r="18" spans="1:39" ht="120" customHeight="1" x14ac:dyDescent="0.4">
      <c r="A18" s="281">
        <v>4</v>
      </c>
      <c r="B18" s="178" t="s">
        <v>105</v>
      </c>
      <c r="C18" s="282" t="s">
        <v>127</v>
      </c>
      <c r="D18" s="203" t="s">
        <v>135</v>
      </c>
      <c r="E18" s="203" t="s">
        <v>137</v>
      </c>
      <c r="F18" s="283" t="s">
        <v>373</v>
      </c>
      <c r="G18" s="203" t="s">
        <v>394</v>
      </c>
      <c r="H18" s="209">
        <v>240</v>
      </c>
      <c r="I18" s="209">
        <v>1</v>
      </c>
      <c r="J18" s="210">
        <v>7.7</v>
      </c>
      <c r="K18" s="210">
        <f t="shared" ref="K18:K29" si="7">IF(F18&lt;&gt;"",H18*I18*J18,"")</f>
        <v>1848</v>
      </c>
      <c r="L18" s="210">
        <f t="shared" ref="L18:L29" si="8">IF(K18&lt;&gt;"",IF(D18="INTERNO",0,K18*$L$14),"")</f>
        <v>138.6</v>
      </c>
      <c r="M18" s="210">
        <f t="shared" ref="M18:M29" si="9">IF(K18&lt;&gt;"",IF(E18="FAT.OGGI",SUM(K18:L18)*(1/(1-$M$14)-1),L18*(1/(1-$M$14)-1)),0)</f>
        <v>482.14611656517968</v>
      </c>
      <c r="N18" s="210">
        <f t="shared" ref="N18:N29" si="10">SUM(K18:M18)</f>
        <v>2468.7461165651794</v>
      </c>
      <c r="O18" s="284" t="s">
        <v>424</v>
      </c>
      <c r="P18" s="284"/>
      <c r="Q18" s="285">
        <f t="shared" ref="Q18:Q21" si="11">IF(H18&lt;&gt;"",H18,"")</f>
        <v>240</v>
      </c>
      <c r="R18" s="285">
        <f t="shared" ref="R18:R22" si="12">IF(I18&lt;&gt;"",I18,"")</f>
        <v>1</v>
      </c>
      <c r="S18" s="286">
        <v>6.5</v>
      </c>
      <c r="T18" s="286">
        <v>0</v>
      </c>
      <c r="U18" s="287">
        <f t="shared" si="0"/>
        <v>1848</v>
      </c>
      <c r="V18" s="288">
        <f t="shared" si="1"/>
        <v>0</v>
      </c>
      <c r="W18" s="289">
        <f t="shared" si="2"/>
        <v>0</v>
      </c>
      <c r="X18" s="289">
        <f t="shared" si="3"/>
        <v>0</v>
      </c>
      <c r="Y18" s="289">
        <f t="shared" si="4"/>
        <v>482.14611656517968</v>
      </c>
      <c r="Z18" s="199">
        <f t="shared" si="5"/>
        <v>1</v>
      </c>
      <c r="AA18" s="199">
        <f t="shared" si="6"/>
        <v>0</v>
      </c>
      <c r="AB18" s="284"/>
      <c r="AC18" s="284"/>
      <c r="AD18" s="284"/>
      <c r="AE18" s="284"/>
      <c r="AF18" s="284"/>
      <c r="AG18" s="284"/>
      <c r="AH18" s="284"/>
      <c r="AI18" s="284"/>
      <c r="AJ18" s="290"/>
      <c r="AK18" s="200">
        <f t="shared" ref="AK18:AK40" si="13">X18-AL18</f>
        <v>0</v>
      </c>
      <c r="AL18" s="201"/>
    </row>
    <row r="19" spans="1:39" ht="120" customHeight="1" x14ac:dyDescent="0.4">
      <c r="A19" s="281">
        <v>5</v>
      </c>
      <c r="B19" s="178" t="s">
        <v>129</v>
      </c>
      <c r="C19" s="282" t="s">
        <v>127</v>
      </c>
      <c r="D19" s="203" t="s">
        <v>135</v>
      </c>
      <c r="E19" s="203" t="s">
        <v>137</v>
      </c>
      <c r="F19" s="283" t="s">
        <v>442</v>
      </c>
      <c r="G19" s="253" t="s">
        <v>443</v>
      </c>
      <c r="H19" s="291">
        <v>660</v>
      </c>
      <c r="I19" s="291">
        <v>1</v>
      </c>
      <c r="J19" s="210">
        <v>2.5</v>
      </c>
      <c r="K19" s="210">
        <f t="shared" si="7"/>
        <v>1650</v>
      </c>
      <c r="L19" s="210">
        <f t="shared" si="8"/>
        <v>123.75</v>
      </c>
      <c r="M19" s="210">
        <f t="shared" si="9"/>
        <v>430.48760407605334</v>
      </c>
      <c r="N19" s="210">
        <f t="shared" si="10"/>
        <v>2204.2376040760532</v>
      </c>
      <c r="O19" s="284" t="s">
        <v>425</v>
      </c>
      <c r="P19" s="284"/>
      <c r="Q19" s="285">
        <f t="shared" si="11"/>
        <v>660</v>
      </c>
      <c r="R19" s="285">
        <f t="shared" si="12"/>
        <v>1</v>
      </c>
      <c r="S19" s="292">
        <v>1.7424299999999999</v>
      </c>
      <c r="T19" s="292">
        <v>1150</v>
      </c>
      <c r="U19" s="287">
        <f t="shared" si="0"/>
        <v>500</v>
      </c>
      <c r="V19" s="288">
        <f t="shared" si="1"/>
        <v>0</v>
      </c>
      <c r="W19" s="289">
        <f t="shared" si="2"/>
        <v>0</v>
      </c>
      <c r="X19" s="289">
        <f t="shared" si="3"/>
        <v>1150</v>
      </c>
      <c r="Y19" s="289">
        <f t="shared" si="4"/>
        <v>1580.4876040760532</v>
      </c>
      <c r="Z19" s="199">
        <f t="shared" si="5"/>
        <v>0.30303030303030304</v>
      </c>
      <c r="AA19" s="199">
        <f t="shared" si="6"/>
        <v>1.1689685819790635E-2</v>
      </c>
      <c r="AB19" s="284"/>
      <c r="AC19" s="284"/>
      <c r="AD19" s="284"/>
      <c r="AE19" s="284"/>
      <c r="AF19" s="284"/>
      <c r="AG19" s="284"/>
      <c r="AH19" s="284"/>
      <c r="AI19" s="284"/>
      <c r="AJ19" s="290"/>
      <c r="AK19" s="200">
        <v>0</v>
      </c>
      <c r="AL19" s="201">
        <v>1150</v>
      </c>
      <c r="AM19" s="454" t="s">
        <v>608</v>
      </c>
    </row>
    <row r="20" spans="1:39" ht="120" customHeight="1" x14ac:dyDescent="0.4">
      <c r="A20" s="281">
        <v>6</v>
      </c>
      <c r="B20" s="178" t="s">
        <v>130</v>
      </c>
      <c r="C20" s="282" t="s">
        <v>127</v>
      </c>
      <c r="D20" s="203" t="s">
        <v>135</v>
      </c>
      <c r="E20" s="203" t="s">
        <v>137</v>
      </c>
      <c r="F20" s="283" t="s">
        <v>374</v>
      </c>
      <c r="G20" s="203" t="s">
        <v>434</v>
      </c>
      <c r="H20" s="291">
        <v>1</v>
      </c>
      <c r="I20" s="291">
        <v>1</v>
      </c>
      <c r="J20" s="210">
        <v>750</v>
      </c>
      <c r="K20" s="210">
        <f t="shared" si="7"/>
        <v>750</v>
      </c>
      <c r="L20" s="210">
        <f t="shared" si="8"/>
        <v>56.25</v>
      </c>
      <c r="M20" s="210">
        <f t="shared" si="9"/>
        <v>195.67618367093334</v>
      </c>
      <c r="N20" s="210">
        <f t="shared" si="10"/>
        <v>1001.9261836709334</v>
      </c>
      <c r="O20" s="284"/>
      <c r="P20" s="284"/>
      <c r="Q20" s="285">
        <f t="shared" si="11"/>
        <v>1</v>
      </c>
      <c r="R20" s="285">
        <f t="shared" si="12"/>
        <v>1</v>
      </c>
      <c r="S20" s="286">
        <v>500</v>
      </c>
      <c r="T20" s="286">
        <f t="shared" ref="T20:T27" si="14">IF(Q20&lt;&gt;"",Q20*R20*S20,"")</f>
        <v>500</v>
      </c>
      <c r="U20" s="287">
        <f t="shared" si="0"/>
        <v>250</v>
      </c>
      <c r="V20" s="288">
        <f t="shared" si="1"/>
        <v>0</v>
      </c>
      <c r="W20" s="289">
        <f t="shared" si="2"/>
        <v>0</v>
      </c>
      <c r="X20" s="289">
        <f t="shared" si="3"/>
        <v>500</v>
      </c>
      <c r="Y20" s="289">
        <f t="shared" si="4"/>
        <v>695.67618367093337</v>
      </c>
      <c r="Z20" s="199">
        <f t="shared" si="5"/>
        <v>0.33333333333333331</v>
      </c>
      <c r="AA20" s="199">
        <f t="shared" si="6"/>
        <v>5.0824720955611451E-3</v>
      </c>
      <c r="AB20" s="284"/>
      <c r="AC20" s="284"/>
      <c r="AD20" s="284"/>
      <c r="AE20" s="284"/>
      <c r="AF20" s="284"/>
      <c r="AG20" s="284"/>
      <c r="AH20" s="284"/>
      <c r="AI20" s="284"/>
      <c r="AJ20" s="290"/>
      <c r="AK20" s="200">
        <f t="shared" si="13"/>
        <v>0</v>
      </c>
      <c r="AL20" s="201">
        <v>500</v>
      </c>
      <c r="AM20" s="454" t="s">
        <v>621</v>
      </c>
    </row>
    <row r="21" spans="1:39" ht="120" customHeight="1" x14ac:dyDescent="0.4">
      <c r="A21" s="281">
        <v>7</v>
      </c>
      <c r="B21" s="178" t="s">
        <v>131</v>
      </c>
      <c r="C21" s="282" t="s">
        <v>127</v>
      </c>
      <c r="D21" s="203" t="s">
        <v>135</v>
      </c>
      <c r="E21" s="203" t="s">
        <v>137</v>
      </c>
      <c r="F21" s="283" t="s">
        <v>392</v>
      </c>
      <c r="G21" s="203" t="s">
        <v>391</v>
      </c>
      <c r="H21" s="291">
        <v>1</v>
      </c>
      <c r="I21" s="291">
        <v>1</v>
      </c>
      <c r="J21" s="210">
        <v>1500</v>
      </c>
      <c r="K21" s="210">
        <f t="shared" si="7"/>
        <v>1500</v>
      </c>
      <c r="L21" s="210">
        <f t="shared" si="8"/>
        <v>112.5</v>
      </c>
      <c r="M21" s="210">
        <f t="shared" si="9"/>
        <v>391.35236734186668</v>
      </c>
      <c r="N21" s="210">
        <f t="shared" si="10"/>
        <v>2003.8523673418667</v>
      </c>
      <c r="O21" s="284" t="s">
        <v>426</v>
      </c>
      <c r="P21" s="284"/>
      <c r="Q21" s="285">
        <f t="shared" si="11"/>
        <v>1</v>
      </c>
      <c r="R21" s="285">
        <f t="shared" si="12"/>
        <v>1</v>
      </c>
      <c r="S21" s="292">
        <v>1189</v>
      </c>
      <c r="T21" s="292">
        <v>2378</v>
      </c>
      <c r="U21" s="287">
        <f t="shared" si="0"/>
        <v>-878</v>
      </c>
      <c r="V21" s="288">
        <f t="shared" si="1"/>
        <v>0</v>
      </c>
      <c r="W21" s="289">
        <f t="shared" si="2"/>
        <v>0</v>
      </c>
      <c r="X21" s="289">
        <f t="shared" si="3"/>
        <v>2378</v>
      </c>
      <c r="Y21" s="289">
        <f t="shared" si="4"/>
        <v>2769.3523673418667</v>
      </c>
      <c r="Z21" s="199">
        <f t="shared" si="5"/>
        <v>-0.58533333333333337</v>
      </c>
      <c r="AA21" s="199">
        <f t="shared" si="6"/>
        <v>2.4172237286488808E-2</v>
      </c>
      <c r="AB21" s="284"/>
      <c r="AC21" s="284"/>
      <c r="AD21" s="284"/>
      <c r="AE21" s="284"/>
      <c r="AF21" s="284"/>
      <c r="AG21" s="284"/>
      <c r="AH21" s="284"/>
      <c r="AI21" s="284"/>
      <c r="AJ21" s="290"/>
      <c r="AK21" s="200">
        <f t="shared" si="13"/>
        <v>0</v>
      </c>
      <c r="AL21" s="201">
        <f>1189+1189</f>
        <v>2378</v>
      </c>
      <c r="AM21" s="454" t="s">
        <v>605</v>
      </c>
    </row>
    <row r="22" spans="1:39" ht="120" customHeight="1" x14ac:dyDescent="0.4">
      <c r="A22" s="281">
        <v>8</v>
      </c>
      <c r="B22" s="178" t="s">
        <v>132</v>
      </c>
      <c r="C22" s="282" t="s">
        <v>127</v>
      </c>
      <c r="D22" s="203" t="s">
        <v>135</v>
      </c>
      <c r="E22" s="203" t="s">
        <v>137</v>
      </c>
      <c r="F22" s="283" t="s">
        <v>393</v>
      </c>
      <c r="G22" s="203" t="s">
        <v>433</v>
      </c>
      <c r="H22" s="291">
        <v>220</v>
      </c>
      <c r="I22" s="291">
        <v>1</v>
      </c>
      <c r="J22" s="210">
        <v>4.2</v>
      </c>
      <c r="K22" s="210">
        <f t="shared" si="7"/>
        <v>924</v>
      </c>
      <c r="L22" s="210">
        <f t="shared" si="8"/>
        <v>69.3</v>
      </c>
      <c r="M22" s="210">
        <f t="shared" si="9"/>
        <v>241.07305828258984</v>
      </c>
      <c r="N22" s="210">
        <f t="shared" si="10"/>
        <v>1234.3730582825897</v>
      </c>
      <c r="O22" s="284"/>
      <c r="P22" s="284"/>
      <c r="Q22" s="285">
        <v>1</v>
      </c>
      <c r="R22" s="285">
        <f t="shared" si="12"/>
        <v>1</v>
      </c>
      <c r="S22" s="292">
        <v>487.9</v>
      </c>
      <c r="T22" s="292">
        <f t="shared" si="14"/>
        <v>487.9</v>
      </c>
      <c r="U22" s="287">
        <f t="shared" si="0"/>
        <v>436.1</v>
      </c>
      <c r="V22" s="288">
        <f t="shared" si="1"/>
        <v>0</v>
      </c>
      <c r="W22" s="289">
        <f t="shared" si="2"/>
        <v>0</v>
      </c>
      <c r="X22" s="289">
        <f t="shared" si="3"/>
        <v>487.9</v>
      </c>
      <c r="Y22" s="289">
        <f t="shared" si="4"/>
        <v>728.97305828258982</v>
      </c>
      <c r="Z22" s="199">
        <f t="shared" si="5"/>
        <v>0.47196969696969698</v>
      </c>
      <c r="AA22" s="199">
        <f t="shared" si="6"/>
        <v>4.9594762708485658E-3</v>
      </c>
      <c r="AB22" s="284"/>
      <c r="AC22" s="284"/>
      <c r="AD22" s="284"/>
      <c r="AE22" s="284"/>
      <c r="AF22" s="284"/>
      <c r="AG22" s="284"/>
      <c r="AH22" s="284"/>
      <c r="AI22" s="284"/>
      <c r="AJ22" s="290"/>
      <c r="AK22" s="200">
        <f t="shared" si="13"/>
        <v>0</v>
      </c>
      <c r="AL22" s="201">
        <v>487.9</v>
      </c>
      <c r="AM22" s="454" t="s">
        <v>631</v>
      </c>
    </row>
    <row r="23" spans="1:39" ht="120" customHeight="1" x14ac:dyDescent="0.4">
      <c r="A23" s="281">
        <v>9</v>
      </c>
      <c r="B23" s="178" t="s">
        <v>133</v>
      </c>
      <c r="C23" s="282" t="s">
        <v>127</v>
      </c>
      <c r="D23" s="203" t="s">
        <v>135</v>
      </c>
      <c r="E23" s="203" t="s">
        <v>137</v>
      </c>
      <c r="F23" s="283" t="s">
        <v>375</v>
      </c>
      <c r="G23" s="203" t="s">
        <v>441</v>
      </c>
      <c r="H23" s="291">
        <v>240</v>
      </c>
      <c r="I23" s="291">
        <v>1</v>
      </c>
      <c r="J23" s="210">
        <v>20</v>
      </c>
      <c r="K23" s="210">
        <f t="shared" si="7"/>
        <v>4800</v>
      </c>
      <c r="L23" s="210">
        <f t="shared" si="8"/>
        <v>360</v>
      </c>
      <c r="M23" s="210">
        <f t="shared" si="9"/>
        <v>1252.3275754939734</v>
      </c>
      <c r="N23" s="210">
        <f t="shared" si="10"/>
        <v>6412.3275754939732</v>
      </c>
      <c r="O23" s="284" t="s">
        <v>427</v>
      </c>
      <c r="P23" s="284"/>
      <c r="Q23" s="285">
        <v>240</v>
      </c>
      <c r="R23" s="285">
        <f t="shared" ref="R23:R29" si="15">IF(I23&lt;&gt;"",I23,"")</f>
        <v>1</v>
      </c>
      <c r="S23" s="292">
        <v>16.791679999999999</v>
      </c>
      <c r="T23" s="292">
        <f t="shared" si="14"/>
        <v>4030.0032000000001</v>
      </c>
      <c r="U23" s="287">
        <f t="shared" si="0"/>
        <v>769.99679999999989</v>
      </c>
      <c r="V23" s="288">
        <f t="shared" si="1"/>
        <v>0</v>
      </c>
      <c r="W23" s="289">
        <f t="shared" si="2"/>
        <v>0</v>
      </c>
      <c r="X23" s="289">
        <f t="shared" si="3"/>
        <v>4030.0032000000001</v>
      </c>
      <c r="Y23" s="289">
        <f t="shared" si="4"/>
        <v>5282.3307754939733</v>
      </c>
      <c r="Z23" s="199">
        <f t="shared" si="5"/>
        <v>0.16041599999999998</v>
      </c>
      <c r="AA23" s="199">
        <f t="shared" si="6"/>
        <v>4.0964757618044245E-2</v>
      </c>
      <c r="AB23" s="284"/>
      <c r="AC23" s="284"/>
      <c r="AD23" s="284"/>
      <c r="AE23" s="284"/>
      <c r="AF23" s="284"/>
      <c r="AG23" s="284"/>
      <c r="AH23" s="284"/>
      <c r="AI23" s="284"/>
      <c r="AJ23" s="290"/>
      <c r="AK23" s="200">
        <f t="shared" si="13"/>
        <v>3.200000000106229E-3</v>
      </c>
      <c r="AL23" s="201">
        <v>4030</v>
      </c>
      <c r="AM23" s="454" t="s">
        <v>611</v>
      </c>
    </row>
    <row r="24" spans="1:39" ht="120" customHeight="1" x14ac:dyDescent="0.4">
      <c r="A24" s="281">
        <v>10</v>
      </c>
      <c r="B24" s="178" t="s">
        <v>134</v>
      </c>
      <c r="C24" s="282" t="s">
        <v>127</v>
      </c>
      <c r="D24" s="203" t="s">
        <v>135</v>
      </c>
      <c r="E24" s="203" t="s">
        <v>137</v>
      </c>
      <c r="F24" s="283" t="s">
        <v>376</v>
      </c>
      <c r="G24" s="203" t="s">
        <v>377</v>
      </c>
      <c r="H24" s="291">
        <v>100</v>
      </c>
      <c r="I24" s="291">
        <v>1</v>
      </c>
      <c r="J24" s="210">
        <v>4.8</v>
      </c>
      <c r="K24" s="210">
        <f t="shared" si="7"/>
        <v>480</v>
      </c>
      <c r="L24" s="210">
        <f t="shared" si="8"/>
        <v>36</v>
      </c>
      <c r="M24" s="210">
        <f t="shared" si="9"/>
        <v>125.23275754939733</v>
      </c>
      <c r="N24" s="210">
        <f t="shared" si="10"/>
        <v>641.23275754939732</v>
      </c>
      <c r="O24" s="284" t="s">
        <v>402</v>
      </c>
      <c r="P24" s="284"/>
      <c r="Q24" s="285">
        <f t="shared" ref="Q24:Q29" si="16">IF(H24&lt;&gt;"",H24,"")</f>
        <v>100</v>
      </c>
      <c r="R24" s="285">
        <f t="shared" si="15"/>
        <v>1</v>
      </c>
      <c r="S24" s="286">
        <v>4.8</v>
      </c>
      <c r="T24" s="286">
        <v>0</v>
      </c>
      <c r="U24" s="287">
        <f t="shared" si="0"/>
        <v>480</v>
      </c>
      <c r="V24" s="288">
        <f t="shared" si="1"/>
        <v>0</v>
      </c>
      <c r="W24" s="289">
        <f t="shared" si="2"/>
        <v>0</v>
      </c>
      <c r="X24" s="289">
        <f t="shared" si="3"/>
        <v>0</v>
      </c>
      <c r="Y24" s="289">
        <f t="shared" si="4"/>
        <v>125.23275754939733</v>
      </c>
      <c r="Z24" s="199">
        <f t="shared" si="5"/>
        <v>1</v>
      </c>
      <c r="AA24" s="199">
        <f t="shared" si="6"/>
        <v>0</v>
      </c>
      <c r="AB24" s="284"/>
      <c r="AC24" s="284"/>
      <c r="AD24" s="284"/>
      <c r="AE24" s="284"/>
      <c r="AF24" s="284"/>
      <c r="AG24" s="284"/>
      <c r="AH24" s="284"/>
      <c r="AI24" s="284"/>
      <c r="AJ24" s="290"/>
      <c r="AK24" s="200">
        <f t="shared" si="13"/>
        <v>0</v>
      </c>
      <c r="AL24" s="201"/>
    </row>
    <row r="25" spans="1:39" ht="120" customHeight="1" x14ac:dyDescent="0.4">
      <c r="A25" s="281">
        <v>11</v>
      </c>
      <c r="B25" s="178" t="s">
        <v>320</v>
      </c>
      <c r="C25" s="282" t="s">
        <v>127</v>
      </c>
      <c r="D25" s="203" t="s">
        <v>135</v>
      </c>
      <c r="E25" s="203" t="s">
        <v>137</v>
      </c>
      <c r="F25" s="283" t="s">
        <v>378</v>
      </c>
      <c r="G25" s="203" t="s">
        <v>379</v>
      </c>
      <c r="H25" s="291">
        <v>1</v>
      </c>
      <c r="I25" s="291">
        <v>1</v>
      </c>
      <c r="J25" s="210">
        <v>3500</v>
      </c>
      <c r="K25" s="210">
        <f t="shared" si="7"/>
        <v>3500</v>
      </c>
      <c r="L25" s="210">
        <f t="shared" si="8"/>
        <v>262.5</v>
      </c>
      <c r="M25" s="210">
        <f t="shared" si="9"/>
        <v>913.15552379768883</v>
      </c>
      <c r="N25" s="210">
        <f t="shared" si="10"/>
        <v>4675.6555237976891</v>
      </c>
      <c r="O25" s="284" t="s">
        <v>406</v>
      </c>
      <c r="P25" s="284"/>
      <c r="Q25" s="285">
        <f t="shared" si="16"/>
        <v>1</v>
      </c>
      <c r="R25" s="285">
        <f t="shared" si="15"/>
        <v>1</v>
      </c>
      <c r="S25" s="292">
        <v>2500</v>
      </c>
      <c r="T25" s="292">
        <v>5000</v>
      </c>
      <c r="U25" s="287">
        <f t="shared" si="0"/>
        <v>-1500</v>
      </c>
      <c r="V25" s="288">
        <f t="shared" si="1"/>
        <v>0</v>
      </c>
      <c r="W25" s="289">
        <f t="shared" si="2"/>
        <v>0</v>
      </c>
      <c r="X25" s="289">
        <f t="shared" si="3"/>
        <v>5000</v>
      </c>
      <c r="Y25" s="289">
        <f t="shared" si="4"/>
        <v>5913.1555237976891</v>
      </c>
      <c r="Z25" s="199">
        <f t="shared" si="5"/>
        <v>-0.42857142857142855</v>
      </c>
      <c r="AA25" s="199">
        <f t="shared" si="6"/>
        <v>5.0824720955611455E-2</v>
      </c>
      <c r="AB25" s="293" t="s">
        <v>488</v>
      </c>
      <c r="AC25" s="284"/>
      <c r="AD25" s="284"/>
      <c r="AE25" s="284"/>
      <c r="AF25" s="284"/>
      <c r="AG25" s="284"/>
      <c r="AH25" s="284"/>
      <c r="AI25" s="284"/>
      <c r="AJ25" s="290"/>
      <c r="AK25" s="200">
        <f t="shared" si="13"/>
        <v>0</v>
      </c>
      <c r="AL25" s="201">
        <f>2500+2500</f>
        <v>5000</v>
      </c>
      <c r="AM25" s="454" t="s">
        <v>596</v>
      </c>
    </row>
    <row r="26" spans="1:39" ht="120" customHeight="1" x14ac:dyDescent="0.4">
      <c r="A26" s="281">
        <v>12</v>
      </c>
      <c r="B26" s="178" t="s">
        <v>321</v>
      </c>
      <c r="C26" s="282" t="s">
        <v>127</v>
      </c>
      <c r="D26" s="203" t="s">
        <v>135</v>
      </c>
      <c r="E26" s="203" t="s">
        <v>137</v>
      </c>
      <c r="F26" s="283" t="s">
        <v>380</v>
      </c>
      <c r="G26" s="203" t="s">
        <v>381</v>
      </c>
      <c r="H26" s="291">
        <v>1</v>
      </c>
      <c r="I26" s="291">
        <v>1</v>
      </c>
      <c r="J26" s="210">
        <v>1900</v>
      </c>
      <c r="K26" s="210">
        <f t="shared" si="7"/>
        <v>1900</v>
      </c>
      <c r="L26" s="210">
        <f t="shared" si="8"/>
        <v>142.5</v>
      </c>
      <c r="M26" s="210">
        <f t="shared" si="9"/>
        <v>495.71299863303108</v>
      </c>
      <c r="N26" s="210">
        <f t="shared" si="10"/>
        <v>2538.212998633031</v>
      </c>
      <c r="O26" s="284" t="s">
        <v>429</v>
      </c>
      <c r="P26" s="284"/>
      <c r="Q26" s="285">
        <f t="shared" si="16"/>
        <v>1</v>
      </c>
      <c r="R26" s="285">
        <f t="shared" si="15"/>
        <v>1</v>
      </c>
      <c r="S26" s="286">
        <v>1200</v>
      </c>
      <c r="T26" s="286">
        <v>0</v>
      </c>
      <c r="U26" s="287">
        <f t="shared" si="0"/>
        <v>1900</v>
      </c>
      <c r="V26" s="288">
        <f t="shared" si="1"/>
        <v>0</v>
      </c>
      <c r="W26" s="289">
        <f t="shared" si="2"/>
        <v>0</v>
      </c>
      <c r="X26" s="289">
        <f t="shared" si="3"/>
        <v>0</v>
      </c>
      <c r="Y26" s="289">
        <f t="shared" si="4"/>
        <v>495.71299863303108</v>
      </c>
      <c r="Z26" s="199">
        <f t="shared" si="5"/>
        <v>1</v>
      </c>
      <c r="AA26" s="199">
        <f t="shared" si="6"/>
        <v>0</v>
      </c>
      <c r="AB26" s="293" t="s">
        <v>489</v>
      </c>
      <c r="AC26" s="284"/>
      <c r="AD26" s="284"/>
      <c r="AE26" s="284"/>
      <c r="AF26" s="284"/>
      <c r="AG26" s="284"/>
      <c r="AH26" s="284"/>
      <c r="AI26" s="284"/>
      <c r="AJ26" s="290"/>
      <c r="AK26" s="200">
        <f t="shared" si="13"/>
        <v>0</v>
      </c>
      <c r="AL26" s="201"/>
    </row>
    <row r="27" spans="1:39" ht="120" customHeight="1" x14ac:dyDescent="0.4">
      <c r="A27" s="281">
        <v>13</v>
      </c>
      <c r="B27" s="178" t="s">
        <v>322</v>
      </c>
      <c r="C27" s="282" t="s">
        <v>127</v>
      </c>
      <c r="D27" s="203" t="s">
        <v>135</v>
      </c>
      <c r="E27" s="203" t="s">
        <v>137</v>
      </c>
      <c r="F27" s="283" t="s">
        <v>387</v>
      </c>
      <c r="G27" s="253" t="s">
        <v>463</v>
      </c>
      <c r="H27" s="291">
        <v>1</v>
      </c>
      <c r="I27" s="291">
        <v>1</v>
      </c>
      <c r="J27" s="210">
        <v>6300</v>
      </c>
      <c r="K27" s="210">
        <f t="shared" si="7"/>
        <v>6300</v>
      </c>
      <c r="L27" s="210">
        <f t="shared" si="8"/>
        <v>472.5</v>
      </c>
      <c r="M27" s="210">
        <f t="shared" si="9"/>
        <v>1643.6799428358399</v>
      </c>
      <c r="N27" s="210">
        <f t="shared" si="10"/>
        <v>8416.179942835839</v>
      </c>
      <c r="O27" s="284"/>
      <c r="P27" s="284"/>
      <c r="Q27" s="285">
        <f t="shared" si="16"/>
        <v>1</v>
      </c>
      <c r="R27" s="285">
        <f t="shared" si="15"/>
        <v>1</v>
      </c>
      <c r="S27" s="292">
        <v>5000</v>
      </c>
      <c r="T27" s="286">
        <f t="shared" si="14"/>
        <v>5000</v>
      </c>
      <c r="U27" s="287">
        <f t="shared" si="0"/>
        <v>1300</v>
      </c>
      <c r="V27" s="288">
        <f t="shared" si="1"/>
        <v>0</v>
      </c>
      <c r="W27" s="289">
        <f t="shared" si="2"/>
        <v>0</v>
      </c>
      <c r="X27" s="289">
        <f t="shared" si="3"/>
        <v>5000</v>
      </c>
      <c r="Y27" s="289">
        <f t="shared" si="4"/>
        <v>6643.6799428358399</v>
      </c>
      <c r="Z27" s="199">
        <f t="shared" si="5"/>
        <v>0.20634920634920634</v>
      </c>
      <c r="AA27" s="199">
        <f t="shared" si="6"/>
        <v>5.0824720955611455E-2</v>
      </c>
      <c r="AB27" s="284"/>
      <c r="AC27" s="284"/>
      <c r="AD27" s="284"/>
      <c r="AE27" s="284"/>
      <c r="AF27" s="284"/>
      <c r="AG27" s="284"/>
      <c r="AH27" s="284"/>
      <c r="AI27" s="284"/>
      <c r="AJ27" s="290"/>
      <c r="AK27" s="200">
        <f t="shared" si="13"/>
        <v>0</v>
      </c>
      <c r="AL27" s="201">
        <v>5000</v>
      </c>
      <c r="AM27" s="454" t="s">
        <v>610</v>
      </c>
    </row>
    <row r="28" spans="1:39" ht="120" customHeight="1" x14ac:dyDescent="0.4">
      <c r="A28" s="281">
        <v>14</v>
      </c>
      <c r="B28" s="178" t="s">
        <v>323</v>
      </c>
      <c r="C28" s="282" t="s">
        <v>127</v>
      </c>
      <c r="D28" s="203" t="s">
        <v>135</v>
      </c>
      <c r="E28" s="203" t="s">
        <v>137</v>
      </c>
      <c r="F28" s="283" t="s">
        <v>432</v>
      </c>
      <c r="G28" s="203" t="s">
        <v>435</v>
      </c>
      <c r="H28" s="291">
        <v>220</v>
      </c>
      <c r="I28" s="291">
        <v>1</v>
      </c>
      <c r="J28" s="210">
        <v>11.4</v>
      </c>
      <c r="K28" s="210">
        <f>IF(F28&lt;&gt;"",H28*I28*J28,"")</f>
        <v>2508</v>
      </c>
      <c r="L28" s="210">
        <f>IF(K28&lt;&gt;"",IF(D28="INTERNO",0,K28*$L$14),"")</f>
        <v>188.1</v>
      </c>
      <c r="M28" s="210">
        <f>IF(K28&lt;&gt;"",IF(E28="FAT.OGGI",SUM(K28:L28)*(1/(1-$M$14)-1),L28*(1/(1-$M$14)-1)),0)</f>
        <v>654.341158195601</v>
      </c>
      <c r="N28" s="210">
        <f>SUM(K28:M28)</f>
        <v>3350.441158195601</v>
      </c>
      <c r="O28" s="284"/>
      <c r="P28" s="284"/>
      <c r="Q28" s="285">
        <f>IF(H28&lt;&gt;"",H28,"")</f>
        <v>220</v>
      </c>
      <c r="R28" s="285">
        <f>IF(I28&lt;&gt;"",I28,"")</f>
        <v>1</v>
      </c>
      <c r="S28" s="286">
        <v>9.5</v>
      </c>
      <c r="T28" s="286">
        <v>0</v>
      </c>
      <c r="U28" s="287">
        <f>IF(Q28&lt;&gt;"",K28-T28,"")</f>
        <v>2508</v>
      </c>
      <c r="V28" s="288">
        <f>IF(Q28&lt;&gt;"",0%,"")</f>
        <v>0</v>
      </c>
      <c r="W28" s="289">
        <f>IF(Q28&lt;&gt;"",V28*U28,"")</f>
        <v>0</v>
      </c>
      <c r="X28" s="289">
        <f>IF(Q28&lt;&gt;"",W28+T28,"")</f>
        <v>0</v>
      </c>
      <c r="Y28" s="289">
        <f>IF(Q28&lt;&gt;"",X28+M28,"")</f>
        <v>654.341158195601</v>
      </c>
      <c r="Z28" s="199">
        <f>IF(Q28&lt;&gt;"", IFERROR(U28/K28, 0), 0)</f>
        <v>1</v>
      </c>
      <c r="AA28" s="199">
        <f t="shared" si="6"/>
        <v>0</v>
      </c>
      <c r="AB28" s="284"/>
      <c r="AC28" s="284"/>
      <c r="AD28" s="284"/>
      <c r="AE28" s="284"/>
      <c r="AF28" s="284"/>
      <c r="AG28" s="284"/>
      <c r="AH28" s="284"/>
      <c r="AI28" s="284"/>
      <c r="AJ28" s="290"/>
      <c r="AK28" s="200">
        <f t="shared" si="13"/>
        <v>0</v>
      </c>
      <c r="AL28" s="201"/>
    </row>
    <row r="29" spans="1:39" ht="120" customHeight="1" x14ac:dyDescent="0.4">
      <c r="A29" s="281">
        <v>15</v>
      </c>
      <c r="B29" s="178" t="s">
        <v>324</v>
      </c>
      <c r="C29" s="282" t="s">
        <v>127</v>
      </c>
      <c r="D29" s="203" t="s">
        <v>135</v>
      </c>
      <c r="E29" s="203" t="s">
        <v>137</v>
      </c>
      <c r="F29" s="283" t="s">
        <v>388</v>
      </c>
      <c r="G29" s="253" t="s">
        <v>389</v>
      </c>
      <c r="H29" s="291">
        <v>16</v>
      </c>
      <c r="I29" s="291">
        <v>1</v>
      </c>
      <c r="J29" s="210">
        <v>180</v>
      </c>
      <c r="K29" s="210">
        <f t="shared" si="7"/>
        <v>2880</v>
      </c>
      <c r="L29" s="210">
        <f t="shared" si="8"/>
        <v>216</v>
      </c>
      <c r="M29" s="210">
        <f t="shared" si="9"/>
        <v>751.39654529638403</v>
      </c>
      <c r="N29" s="210">
        <f t="shared" si="10"/>
        <v>3847.3965452963839</v>
      </c>
      <c r="O29" s="284" t="s">
        <v>410</v>
      </c>
      <c r="P29" s="284"/>
      <c r="Q29" s="285">
        <f t="shared" si="16"/>
        <v>16</v>
      </c>
      <c r="R29" s="285">
        <f t="shared" si="15"/>
        <v>1</v>
      </c>
      <c r="S29" s="286">
        <v>150</v>
      </c>
      <c r="T29" s="286">
        <v>0</v>
      </c>
      <c r="U29" s="287">
        <f t="shared" si="0"/>
        <v>2880</v>
      </c>
      <c r="V29" s="288">
        <f t="shared" si="1"/>
        <v>0</v>
      </c>
      <c r="W29" s="289">
        <f t="shared" si="2"/>
        <v>0</v>
      </c>
      <c r="X29" s="289">
        <f t="shared" si="3"/>
        <v>0</v>
      </c>
      <c r="Y29" s="289">
        <f t="shared" si="4"/>
        <v>751.39654529638403</v>
      </c>
      <c r="Z29" s="199">
        <f t="shared" si="5"/>
        <v>1</v>
      </c>
      <c r="AA29" s="199">
        <f t="shared" si="6"/>
        <v>0</v>
      </c>
      <c r="AB29" s="284"/>
      <c r="AC29" s="284"/>
      <c r="AD29" s="284"/>
      <c r="AE29" s="284"/>
      <c r="AF29" s="284"/>
      <c r="AG29" s="284"/>
      <c r="AH29" s="284"/>
      <c r="AI29" s="284"/>
      <c r="AJ29" s="290"/>
      <c r="AK29" s="200">
        <f t="shared" si="13"/>
        <v>0</v>
      </c>
      <c r="AL29" s="201"/>
    </row>
    <row r="30" spans="1:39" ht="120" customHeight="1" x14ac:dyDescent="0.4">
      <c r="A30" s="281">
        <v>16</v>
      </c>
      <c r="B30" s="178" t="s">
        <v>325</v>
      </c>
      <c r="C30" s="282" t="s">
        <v>127</v>
      </c>
      <c r="D30" s="203" t="s">
        <v>135</v>
      </c>
      <c r="E30" s="203" t="s">
        <v>137</v>
      </c>
      <c r="F30" s="283" t="s">
        <v>444</v>
      </c>
      <c r="G30" s="203" t="s">
        <v>560</v>
      </c>
      <c r="H30" s="291">
        <v>1</v>
      </c>
      <c r="I30" s="291">
        <v>1</v>
      </c>
      <c r="J30" s="210">
        <v>4000</v>
      </c>
      <c r="K30" s="210">
        <f t="shared" ref="K30:K33" si="17">IF(F30&lt;&gt;"",H30*I30*J30,"")</f>
        <v>4000</v>
      </c>
      <c r="L30" s="210">
        <f t="shared" ref="L30:L33" si="18">IF(K30&lt;&gt;"",IF(D30="INTERNO",0,K30*$L$14),"")</f>
        <v>300</v>
      </c>
      <c r="M30" s="210">
        <f t="shared" ref="M30:M33" si="19">IF(K30&lt;&gt;"",IF(E30="FAT.OGGI",SUM(K30:L30)*(1/(1-$M$14)-1),L30*(1/(1-$M$14)-1)),0)</f>
        <v>1043.6063129116444</v>
      </c>
      <c r="N30" s="210">
        <f t="shared" ref="N30:N33" si="20">SUM(K30:M30)</f>
        <v>5343.6063129116446</v>
      </c>
      <c r="O30" s="284"/>
      <c r="P30" s="284"/>
      <c r="Q30" s="285">
        <f t="shared" ref="Q30:R33" si="21">IF(H30&lt;&gt;"",H30,"")</f>
        <v>1</v>
      </c>
      <c r="R30" s="285">
        <f t="shared" si="21"/>
        <v>1</v>
      </c>
      <c r="S30" s="286">
        <v>1274.0899999999999</v>
      </c>
      <c r="T30" s="286">
        <v>0</v>
      </c>
      <c r="U30" s="287">
        <f t="shared" ref="U30:U33" si="22">IF(Q30&lt;&gt;"",K30-T30,"")</f>
        <v>4000</v>
      </c>
      <c r="V30" s="288">
        <f t="shared" ref="V30:V33" si="23">IF(Q30&lt;&gt;"",0%,"")</f>
        <v>0</v>
      </c>
      <c r="W30" s="289">
        <f t="shared" ref="W30:W33" si="24">IF(Q30&lt;&gt;"",V30*U30,"")</f>
        <v>0</v>
      </c>
      <c r="X30" s="289">
        <f t="shared" ref="X30:X33" si="25">IF(Q30&lt;&gt;"",W30+T30,"")</f>
        <v>0</v>
      </c>
      <c r="Y30" s="289">
        <f t="shared" ref="Y30:Y33" si="26">IF(Q30&lt;&gt;"",X30+M30,"")</f>
        <v>1043.6063129116444</v>
      </c>
      <c r="Z30" s="199">
        <f t="shared" ref="Z30:Z33" si="27">IF(Q30&lt;&gt;"", IFERROR(U30/K30, 0), 0)</f>
        <v>1</v>
      </c>
      <c r="AA30" s="199">
        <f t="shared" si="6"/>
        <v>0</v>
      </c>
      <c r="AB30" s="284"/>
      <c r="AC30" s="284"/>
      <c r="AD30" s="284"/>
      <c r="AE30" s="284"/>
      <c r="AF30" s="284"/>
      <c r="AG30" s="284"/>
      <c r="AH30" s="284"/>
      <c r="AI30" s="284"/>
      <c r="AJ30" s="290"/>
      <c r="AK30" s="200">
        <f t="shared" si="13"/>
        <v>0</v>
      </c>
      <c r="AL30" s="201"/>
    </row>
    <row r="31" spans="1:39" ht="120" customHeight="1" x14ac:dyDescent="0.4">
      <c r="A31" s="281">
        <v>17</v>
      </c>
      <c r="B31" s="178" t="s">
        <v>326</v>
      </c>
      <c r="C31" s="282" t="s">
        <v>127</v>
      </c>
      <c r="D31" s="203" t="s">
        <v>135</v>
      </c>
      <c r="E31" s="203" t="s">
        <v>137</v>
      </c>
      <c r="F31" s="283" t="s">
        <v>447</v>
      </c>
      <c r="G31" s="203" t="s">
        <v>446</v>
      </c>
      <c r="H31" s="291">
        <v>5</v>
      </c>
      <c r="I31" s="291">
        <v>1</v>
      </c>
      <c r="J31" s="210">
        <v>590</v>
      </c>
      <c r="K31" s="210">
        <f t="shared" si="17"/>
        <v>2950</v>
      </c>
      <c r="L31" s="210">
        <f t="shared" si="18"/>
        <v>221.25</v>
      </c>
      <c r="M31" s="210">
        <f t="shared" si="19"/>
        <v>769.65965577233771</v>
      </c>
      <c r="N31" s="210">
        <f t="shared" si="20"/>
        <v>3940.9096557723378</v>
      </c>
      <c r="O31" s="284"/>
      <c r="P31" s="284"/>
      <c r="Q31" s="285">
        <f t="shared" si="21"/>
        <v>5</v>
      </c>
      <c r="R31" s="285">
        <f t="shared" si="21"/>
        <v>1</v>
      </c>
      <c r="S31" s="286">
        <v>450</v>
      </c>
      <c r="T31" s="286">
        <v>0</v>
      </c>
      <c r="U31" s="287">
        <f t="shared" si="22"/>
        <v>2950</v>
      </c>
      <c r="V31" s="288">
        <f t="shared" si="23"/>
        <v>0</v>
      </c>
      <c r="W31" s="289">
        <f t="shared" si="24"/>
        <v>0</v>
      </c>
      <c r="X31" s="289">
        <f t="shared" si="25"/>
        <v>0</v>
      </c>
      <c r="Y31" s="289">
        <f t="shared" si="26"/>
        <v>769.65965577233771</v>
      </c>
      <c r="Z31" s="199">
        <f t="shared" si="27"/>
        <v>1</v>
      </c>
      <c r="AA31" s="199">
        <f t="shared" si="6"/>
        <v>0</v>
      </c>
      <c r="AB31" s="284"/>
      <c r="AC31" s="284"/>
      <c r="AD31" s="284"/>
      <c r="AE31" s="284"/>
      <c r="AF31" s="284"/>
      <c r="AG31" s="284"/>
      <c r="AH31" s="284"/>
      <c r="AI31" s="284"/>
      <c r="AJ31" s="290"/>
      <c r="AK31" s="200">
        <f t="shared" si="13"/>
        <v>0</v>
      </c>
      <c r="AL31" s="201"/>
    </row>
    <row r="32" spans="1:39" ht="120" customHeight="1" x14ac:dyDescent="0.4">
      <c r="A32" s="281">
        <v>18</v>
      </c>
      <c r="B32" s="178" t="s">
        <v>327</v>
      </c>
      <c r="C32" s="282" t="s">
        <v>127</v>
      </c>
      <c r="D32" s="203" t="s">
        <v>135</v>
      </c>
      <c r="E32" s="203" t="s">
        <v>137</v>
      </c>
      <c r="F32" s="283" t="s">
        <v>445</v>
      </c>
      <c r="G32" s="294" t="s">
        <v>457</v>
      </c>
      <c r="H32" s="291">
        <v>1</v>
      </c>
      <c r="I32" s="291">
        <v>1</v>
      </c>
      <c r="J32" s="210">
        <v>5900</v>
      </c>
      <c r="K32" s="210">
        <f t="shared" si="17"/>
        <v>5900</v>
      </c>
      <c r="L32" s="210">
        <f t="shared" si="18"/>
        <v>442.5</v>
      </c>
      <c r="M32" s="210">
        <f t="shared" si="19"/>
        <v>1539.3193115446754</v>
      </c>
      <c r="N32" s="210">
        <f t="shared" si="20"/>
        <v>7881.8193115446757</v>
      </c>
      <c r="O32" s="284"/>
      <c r="P32" s="284"/>
      <c r="Q32" s="285">
        <f t="shared" si="21"/>
        <v>1</v>
      </c>
      <c r="R32" s="285">
        <f t="shared" si="21"/>
        <v>1</v>
      </c>
      <c r="S32" s="292">
        <v>4900</v>
      </c>
      <c r="T32" s="292">
        <v>61543</v>
      </c>
      <c r="U32" s="287">
        <f t="shared" si="22"/>
        <v>-55643</v>
      </c>
      <c r="V32" s="288">
        <f t="shared" si="23"/>
        <v>0</v>
      </c>
      <c r="W32" s="289">
        <f t="shared" si="24"/>
        <v>0</v>
      </c>
      <c r="X32" s="289">
        <f t="shared" si="25"/>
        <v>61543</v>
      </c>
      <c r="Y32" s="289">
        <f t="shared" si="26"/>
        <v>63082.319311544677</v>
      </c>
      <c r="Z32" s="199">
        <f t="shared" si="27"/>
        <v>-9.4310169491525428</v>
      </c>
      <c r="AA32" s="199">
        <f t="shared" si="6"/>
        <v>0.62558116035423916</v>
      </c>
      <c r="AB32" s="284"/>
      <c r="AC32" s="284"/>
      <c r="AD32" s="284"/>
      <c r="AE32" s="284"/>
      <c r="AF32" s="284"/>
      <c r="AG32" s="284"/>
      <c r="AH32" s="284"/>
      <c r="AI32" s="284"/>
      <c r="AJ32" s="290"/>
      <c r="AK32" s="200">
        <f t="shared" si="13"/>
        <v>0</v>
      </c>
      <c r="AL32" s="201">
        <f>4900+56643</f>
        <v>61543</v>
      </c>
      <c r="AM32" s="454" t="s">
        <v>619</v>
      </c>
    </row>
    <row r="33" spans="1:39" ht="120" customHeight="1" x14ac:dyDescent="0.4">
      <c r="A33" s="281">
        <v>19</v>
      </c>
      <c r="B33" s="178" t="s">
        <v>328</v>
      </c>
      <c r="C33" s="282" t="s">
        <v>127</v>
      </c>
      <c r="D33" s="203" t="s">
        <v>135</v>
      </c>
      <c r="E33" s="203" t="s">
        <v>137</v>
      </c>
      <c r="F33" s="283" t="s">
        <v>449</v>
      </c>
      <c r="G33" s="203" t="s">
        <v>450</v>
      </c>
      <c r="H33" s="291">
        <v>1</v>
      </c>
      <c r="I33" s="291">
        <v>1</v>
      </c>
      <c r="J33" s="210">
        <v>343.08</v>
      </c>
      <c r="K33" s="210">
        <f t="shared" si="17"/>
        <v>343.08</v>
      </c>
      <c r="L33" s="210">
        <f t="shared" si="18"/>
        <v>25.730999999999998</v>
      </c>
      <c r="M33" s="210">
        <f t="shared" si="19"/>
        <v>89.510113458431732</v>
      </c>
      <c r="N33" s="210">
        <f t="shared" si="20"/>
        <v>458.32111345843168</v>
      </c>
      <c r="O33" s="284"/>
      <c r="P33" s="284"/>
      <c r="Q33" s="285">
        <f t="shared" si="21"/>
        <v>1</v>
      </c>
      <c r="R33" s="285">
        <f t="shared" si="21"/>
        <v>1</v>
      </c>
      <c r="S33" s="292">
        <v>285.89999999999998</v>
      </c>
      <c r="T33" s="292">
        <f t="shared" ref="T33" si="28">IF(Q33&lt;&gt;"",Q33*R33*S33,"")</f>
        <v>285.89999999999998</v>
      </c>
      <c r="U33" s="287">
        <f t="shared" si="22"/>
        <v>57.180000000000007</v>
      </c>
      <c r="V33" s="288">
        <f t="shared" si="23"/>
        <v>0</v>
      </c>
      <c r="W33" s="289">
        <f t="shared" si="24"/>
        <v>0</v>
      </c>
      <c r="X33" s="289">
        <f t="shared" si="25"/>
        <v>285.89999999999998</v>
      </c>
      <c r="Y33" s="289">
        <f t="shared" si="26"/>
        <v>375.41011345843174</v>
      </c>
      <c r="Z33" s="199">
        <f t="shared" si="27"/>
        <v>0.16666666666666669</v>
      </c>
      <c r="AA33" s="199">
        <f t="shared" si="6"/>
        <v>2.9061575442418629E-3</v>
      </c>
      <c r="AB33" s="284"/>
      <c r="AC33" s="284"/>
      <c r="AD33" s="284"/>
      <c r="AE33" s="284"/>
      <c r="AF33" s="284"/>
      <c r="AG33" s="284"/>
      <c r="AH33" s="284"/>
      <c r="AI33" s="284"/>
      <c r="AJ33" s="290"/>
      <c r="AK33" s="200">
        <f t="shared" si="13"/>
        <v>0</v>
      </c>
      <c r="AL33" s="201">
        <v>285.89999999999998</v>
      </c>
      <c r="AM33" s="454" t="s">
        <v>607</v>
      </c>
    </row>
    <row r="34" spans="1:39" ht="120" customHeight="1" x14ac:dyDescent="0.4">
      <c r="A34" s="281">
        <v>20</v>
      </c>
      <c r="B34" s="178" t="s">
        <v>329</v>
      </c>
      <c r="C34" s="282" t="s">
        <v>127</v>
      </c>
      <c r="D34" s="203" t="s">
        <v>135</v>
      </c>
      <c r="E34" s="203" t="s">
        <v>137</v>
      </c>
      <c r="F34" s="283" t="s">
        <v>452</v>
      </c>
      <c r="G34" s="203" t="s">
        <v>464</v>
      </c>
      <c r="H34" s="291">
        <v>1</v>
      </c>
      <c r="I34" s="291">
        <v>1</v>
      </c>
      <c r="J34" s="210">
        <v>2950</v>
      </c>
      <c r="K34" s="210">
        <f t="shared" ref="K34:K38" si="29">IF(F34&lt;&gt;"",H34*I34*J34,"")</f>
        <v>2950</v>
      </c>
      <c r="L34" s="210">
        <f t="shared" ref="L34:L38" si="30">IF(K34&lt;&gt;"",IF(D34="INTERNO",0,K34*$L$14),"")</f>
        <v>221.25</v>
      </c>
      <c r="M34" s="210">
        <f t="shared" ref="M34:M38" si="31">IF(K34&lt;&gt;"",IF(E34="FAT.OGGI",SUM(K34:L34)*(1/(1-$M$14)-1),L34*(1/(1-$M$14)-1)),0)</f>
        <v>769.65965577233771</v>
      </c>
      <c r="N34" s="210">
        <f t="shared" ref="N34:N38" si="32">SUM(K34:M34)</f>
        <v>3940.9096557723378</v>
      </c>
      <c r="O34" s="284"/>
      <c r="P34" s="284"/>
      <c r="Q34" s="285">
        <f t="shared" ref="Q34:R38" si="33">IF(H34&lt;&gt;"",H34,"")</f>
        <v>1</v>
      </c>
      <c r="R34" s="285">
        <f t="shared" si="33"/>
        <v>1</v>
      </c>
      <c r="S34" s="292">
        <f>2400+480</f>
        <v>2880</v>
      </c>
      <c r="T34" s="292">
        <v>2880</v>
      </c>
      <c r="U34" s="287">
        <f t="shared" ref="U34:U38" si="34">IF(Q34&lt;&gt;"",K34-T34,"")</f>
        <v>70</v>
      </c>
      <c r="V34" s="288">
        <f t="shared" ref="V34:V38" si="35">IF(Q34&lt;&gt;"",0%,"")</f>
        <v>0</v>
      </c>
      <c r="W34" s="289">
        <f t="shared" ref="W34:W38" si="36">IF(Q34&lt;&gt;"",V34*U34,"")</f>
        <v>0</v>
      </c>
      <c r="X34" s="289">
        <f t="shared" ref="X34:X38" si="37">IF(Q34&lt;&gt;"",W34+T34,"")</f>
        <v>2880</v>
      </c>
      <c r="Y34" s="289">
        <f t="shared" ref="Y34:Y41" si="38">IF(Q34&lt;&gt;"",X34+M34,"")</f>
        <v>3649.6596557723378</v>
      </c>
      <c r="Z34" s="199">
        <f t="shared" ref="Z34:Z38" si="39">IF(Q34&lt;&gt;"", IFERROR(U34/K34, 0), 0)</f>
        <v>2.3728813559322035E-2</v>
      </c>
      <c r="AA34" s="199">
        <f t="shared" si="6"/>
        <v>2.9275039270432197E-2</v>
      </c>
      <c r="AB34" s="284"/>
      <c r="AC34" s="284"/>
      <c r="AD34" s="284"/>
      <c r="AE34" s="284"/>
      <c r="AF34" s="284"/>
      <c r="AG34" s="284"/>
      <c r="AH34" s="284"/>
      <c r="AI34" s="284"/>
      <c r="AJ34" s="290"/>
      <c r="AK34" s="200">
        <f t="shared" si="13"/>
        <v>0</v>
      </c>
      <c r="AL34" s="201">
        <f>480+2400</f>
        <v>2880</v>
      </c>
      <c r="AM34" s="454" t="s">
        <v>604</v>
      </c>
    </row>
    <row r="35" spans="1:39" ht="120" customHeight="1" x14ac:dyDescent="0.4">
      <c r="A35" s="281">
        <v>21</v>
      </c>
      <c r="B35" s="178" t="s">
        <v>470</v>
      </c>
      <c r="C35" s="282" t="s">
        <v>127</v>
      </c>
      <c r="D35" s="203" t="s">
        <v>135</v>
      </c>
      <c r="E35" s="203" t="s">
        <v>137</v>
      </c>
      <c r="F35" s="283" t="s">
        <v>453</v>
      </c>
      <c r="G35" s="294" t="s">
        <v>456</v>
      </c>
      <c r="H35" s="291">
        <v>1</v>
      </c>
      <c r="I35" s="291">
        <v>1</v>
      </c>
      <c r="J35" s="210">
        <v>3100</v>
      </c>
      <c r="K35" s="210">
        <f t="shared" si="29"/>
        <v>3100</v>
      </c>
      <c r="L35" s="210">
        <f t="shared" si="30"/>
        <v>232.5</v>
      </c>
      <c r="M35" s="210">
        <f t="shared" si="31"/>
        <v>808.79489250652443</v>
      </c>
      <c r="N35" s="210">
        <f t="shared" si="32"/>
        <v>4141.2948925065248</v>
      </c>
      <c r="O35" s="284"/>
      <c r="P35" s="284"/>
      <c r="Q35" s="285">
        <f t="shared" si="33"/>
        <v>1</v>
      </c>
      <c r="R35" s="285">
        <f t="shared" si="33"/>
        <v>1</v>
      </c>
      <c r="S35" s="292">
        <v>2300</v>
      </c>
      <c r="T35" s="292">
        <f t="shared" ref="T35:T36" si="40">IF(Q35&lt;&gt;"",Q35*R35*S35,"")</f>
        <v>2300</v>
      </c>
      <c r="U35" s="287">
        <f t="shared" si="34"/>
        <v>800</v>
      </c>
      <c r="V35" s="288">
        <f t="shared" si="35"/>
        <v>0</v>
      </c>
      <c r="W35" s="289">
        <f t="shared" si="36"/>
        <v>0</v>
      </c>
      <c r="X35" s="289">
        <f t="shared" si="37"/>
        <v>2300</v>
      </c>
      <c r="Y35" s="289">
        <f t="shared" si="38"/>
        <v>3108.7948925065243</v>
      </c>
      <c r="Z35" s="199">
        <f t="shared" si="39"/>
        <v>0.25806451612903225</v>
      </c>
      <c r="AA35" s="199">
        <f t="shared" si="6"/>
        <v>2.3379371639581269E-2</v>
      </c>
      <c r="AB35" s="284"/>
      <c r="AC35" s="284"/>
      <c r="AD35" s="284"/>
      <c r="AE35" s="284"/>
      <c r="AF35" s="284"/>
      <c r="AG35" s="284"/>
      <c r="AH35" s="284"/>
      <c r="AI35" s="284"/>
      <c r="AJ35" s="290"/>
      <c r="AK35" s="200">
        <f t="shared" si="13"/>
        <v>0</v>
      </c>
      <c r="AL35" s="201">
        <v>2300</v>
      </c>
      <c r="AM35" s="454" t="s">
        <v>609</v>
      </c>
    </row>
    <row r="36" spans="1:39" ht="120" customHeight="1" x14ac:dyDescent="0.4">
      <c r="A36" s="281">
        <v>22</v>
      </c>
      <c r="B36" s="178" t="s">
        <v>471</v>
      </c>
      <c r="C36" s="282" t="s">
        <v>127</v>
      </c>
      <c r="D36" s="203" t="s">
        <v>135</v>
      </c>
      <c r="E36" s="203" t="s">
        <v>137</v>
      </c>
      <c r="F36" s="283" t="s">
        <v>458</v>
      </c>
      <c r="G36" s="203" t="s">
        <v>459</v>
      </c>
      <c r="H36" s="291">
        <v>1</v>
      </c>
      <c r="I36" s="291">
        <v>1</v>
      </c>
      <c r="J36" s="210">
        <v>6090</v>
      </c>
      <c r="K36" s="210">
        <f t="shared" si="29"/>
        <v>6090</v>
      </c>
      <c r="L36" s="210">
        <f t="shared" si="30"/>
        <v>456.75</v>
      </c>
      <c r="M36" s="210">
        <f t="shared" si="31"/>
        <v>1588.8906114079787</v>
      </c>
      <c r="N36" s="210">
        <f t="shared" si="32"/>
        <v>8135.6406114079782</v>
      </c>
      <c r="O36" s="284"/>
      <c r="P36" s="284"/>
      <c r="Q36" s="285">
        <v>1</v>
      </c>
      <c r="R36" s="285">
        <f t="shared" si="33"/>
        <v>1</v>
      </c>
      <c r="S36" s="286">
        <v>5252.9</v>
      </c>
      <c r="T36" s="286">
        <f t="shared" si="40"/>
        <v>5252.9</v>
      </c>
      <c r="U36" s="287">
        <f t="shared" si="34"/>
        <v>837.10000000000036</v>
      </c>
      <c r="V36" s="288">
        <f t="shared" si="35"/>
        <v>0</v>
      </c>
      <c r="W36" s="289">
        <f t="shared" si="36"/>
        <v>0</v>
      </c>
      <c r="X36" s="289">
        <f>IF(Q36&lt;&gt;"",W36+T36,"")</f>
        <v>5252.9</v>
      </c>
      <c r="Y36" s="289">
        <f t="shared" si="38"/>
        <v>6841.7906114079778</v>
      </c>
      <c r="Z36" s="199">
        <f t="shared" si="39"/>
        <v>0.13745484400656821</v>
      </c>
      <c r="AA36" s="199">
        <f t="shared" si="6"/>
        <v>5.3395435341546275E-2</v>
      </c>
      <c r="AB36" s="284"/>
      <c r="AC36" s="284"/>
      <c r="AD36" s="284"/>
      <c r="AE36" s="284"/>
      <c r="AF36" s="284"/>
      <c r="AG36" s="284"/>
      <c r="AH36" s="284"/>
      <c r="AI36" s="284"/>
      <c r="AJ36" s="290"/>
      <c r="AK36" s="200">
        <f t="shared" si="13"/>
        <v>0</v>
      </c>
      <c r="AL36" s="201">
        <v>5252.9</v>
      </c>
      <c r="AM36" s="454" t="s">
        <v>606</v>
      </c>
    </row>
    <row r="37" spans="1:39" ht="120" customHeight="1" x14ac:dyDescent="0.4">
      <c r="A37" s="281">
        <v>23</v>
      </c>
      <c r="B37" s="178" t="s">
        <v>448</v>
      </c>
      <c r="C37" s="282" t="s">
        <v>127</v>
      </c>
      <c r="D37" s="203" t="s">
        <v>135</v>
      </c>
      <c r="E37" s="203" t="s">
        <v>137</v>
      </c>
      <c r="F37" s="283" t="s">
        <v>461</v>
      </c>
      <c r="G37" s="203" t="s">
        <v>462</v>
      </c>
      <c r="H37" s="291">
        <v>220</v>
      </c>
      <c r="I37" s="291">
        <v>1</v>
      </c>
      <c r="J37" s="295">
        <v>20.36</v>
      </c>
      <c r="K37" s="210">
        <f>IF(F37&lt;&gt;"",H37*I37*J37,"")</f>
        <v>4479.2</v>
      </c>
      <c r="L37" s="210">
        <f>IF(K37&lt;&gt;"",IF(D37="INTERNO",0,K37*$L$14),"")</f>
        <v>335.94</v>
      </c>
      <c r="M37" s="210">
        <f>IF(K37&lt;&gt;"",IF(E37="FAT.OGGI",SUM(K37:L37)*(1/(1-$M$14)-1),L37*(1/(1-$M$14)-1)),0)</f>
        <v>1168.6303491984593</v>
      </c>
      <c r="N37" s="210">
        <f>SUM(K37:M37)</f>
        <v>5983.7703491984585</v>
      </c>
      <c r="O37" s="284"/>
      <c r="P37" s="284"/>
      <c r="Q37" s="285">
        <f>IF(H37&lt;&gt;"",H37,"")</f>
        <v>220</v>
      </c>
      <c r="R37" s="285">
        <f>IF(I37&lt;&gt;"",I37,"")</f>
        <v>1</v>
      </c>
      <c r="S37" s="292">
        <v>14.54735</v>
      </c>
      <c r="T37" s="292">
        <v>3200.42</v>
      </c>
      <c r="U37" s="287">
        <f>IF(Q37&lt;&gt;"",K37-T37,"")</f>
        <v>1278.7799999999997</v>
      </c>
      <c r="V37" s="288">
        <f>IF(Q37&lt;&gt;"",0%,"")</f>
        <v>0</v>
      </c>
      <c r="W37" s="289">
        <f>IF(Q37&lt;&gt;"",V37*U37,"")</f>
        <v>0</v>
      </c>
      <c r="X37" s="289">
        <f>IF(Q37&lt;&gt;"",W37+T37,"")</f>
        <v>3200.42</v>
      </c>
      <c r="Y37" s="289">
        <f>IF(Q37&lt;&gt;"",X37+M37,"")</f>
        <v>4369.0503491984591</v>
      </c>
      <c r="Z37" s="199">
        <f>IF(Q37&lt;&gt;"", IFERROR(U37/K37, 0), 0)</f>
        <v>0.2854929451687801</v>
      </c>
      <c r="AA37" s="199"/>
      <c r="AB37" s="284"/>
      <c r="AC37" s="284"/>
      <c r="AD37" s="284"/>
      <c r="AE37" s="284"/>
      <c r="AF37" s="284"/>
      <c r="AG37" s="284"/>
      <c r="AH37" s="284"/>
      <c r="AI37" s="284"/>
      <c r="AJ37" s="290"/>
      <c r="AK37" s="200">
        <f t="shared" si="13"/>
        <v>0</v>
      </c>
      <c r="AL37" s="201">
        <v>3200.42</v>
      </c>
      <c r="AM37" s="454" t="s">
        <v>602</v>
      </c>
    </row>
    <row r="38" spans="1:39" ht="120" customHeight="1" x14ac:dyDescent="0.4">
      <c r="A38" s="281">
        <v>24</v>
      </c>
      <c r="B38" s="178" t="s">
        <v>451</v>
      </c>
      <c r="C38" s="282" t="s">
        <v>127</v>
      </c>
      <c r="D38" s="203" t="s">
        <v>135</v>
      </c>
      <c r="E38" s="203" t="s">
        <v>137</v>
      </c>
      <c r="F38" s="283" t="s">
        <v>397</v>
      </c>
      <c r="G38" s="203" t="s">
        <v>460</v>
      </c>
      <c r="H38" s="291">
        <v>1</v>
      </c>
      <c r="I38" s="291">
        <v>1</v>
      </c>
      <c r="J38" s="210">
        <v>1700</v>
      </c>
      <c r="K38" s="210">
        <f t="shared" si="29"/>
        <v>1700</v>
      </c>
      <c r="L38" s="210">
        <f t="shared" si="30"/>
        <v>127.5</v>
      </c>
      <c r="M38" s="210">
        <f t="shared" si="31"/>
        <v>443.53268298744888</v>
      </c>
      <c r="N38" s="210">
        <f t="shared" si="32"/>
        <v>2271.0326829874489</v>
      </c>
      <c r="O38" s="284"/>
      <c r="P38" s="284"/>
      <c r="Q38" s="285">
        <f t="shared" si="33"/>
        <v>1</v>
      </c>
      <c r="R38" s="285">
        <f t="shared" si="33"/>
        <v>1</v>
      </c>
      <c r="S38" s="292">
        <v>1163.3800000000001</v>
      </c>
      <c r="T38" s="292">
        <v>0</v>
      </c>
      <c r="U38" s="287">
        <f t="shared" si="34"/>
        <v>1700</v>
      </c>
      <c r="V38" s="288">
        <f t="shared" si="35"/>
        <v>0</v>
      </c>
      <c r="W38" s="289">
        <f t="shared" si="36"/>
        <v>0</v>
      </c>
      <c r="X38" s="289">
        <f t="shared" si="37"/>
        <v>0</v>
      </c>
      <c r="Y38" s="289">
        <f t="shared" si="38"/>
        <v>443.53268298744888</v>
      </c>
      <c r="Z38" s="199">
        <f t="shared" si="39"/>
        <v>1</v>
      </c>
      <c r="AA38" s="199">
        <f>IFERROR(T38/$T$41, "")</f>
        <v>0</v>
      </c>
      <c r="AB38" s="293" t="s">
        <v>495</v>
      </c>
      <c r="AC38" s="284"/>
      <c r="AD38" s="284"/>
      <c r="AE38" s="284"/>
      <c r="AF38" s="284"/>
      <c r="AG38" s="284"/>
      <c r="AH38" s="284"/>
      <c r="AI38" s="284"/>
      <c r="AJ38" s="290"/>
      <c r="AK38" s="200">
        <f t="shared" si="13"/>
        <v>0</v>
      </c>
      <c r="AL38" s="201"/>
    </row>
    <row r="39" spans="1:39" ht="120" customHeight="1" x14ac:dyDescent="0.4">
      <c r="A39" s="296">
        <v>25</v>
      </c>
      <c r="B39" s="178" t="s">
        <v>454</v>
      </c>
      <c r="C39" s="297" t="s">
        <v>127</v>
      </c>
      <c r="D39" s="187" t="s">
        <v>135</v>
      </c>
      <c r="E39" s="187" t="s">
        <v>137</v>
      </c>
      <c r="F39" s="298" t="s">
        <v>466</v>
      </c>
      <c r="G39" s="187" t="s">
        <v>467</v>
      </c>
      <c r="H39" s="299">
        <v>8</v>
      </c>
      <c r="I39" s="299">
        <v>1</v>
      </c>
      <c r="J39" s="189">
        <v>112.5</v>
      </c>
      <c r="K39" s="189">
        <f>IF(F39&lt;&gt;"",H39*I39*J39,"")</f>
        <v>900</v>
      </c>
      <c r="L39" s="189">
        <f>IF(K39&lt;&gt;"",IF(D39="INTERNO",0,K39*$L$14),"")</f>
        <v>67.5</v>
      </c>
      <c r="M39" s="189">
        <f>IF(K39&lt;&gt;"",IF(E39="FAT.OGGI",SUM(K39:L39)*(1/(1-$M$14)-1),L39*(1/(1-$M$14)-1)),0)</f>
        <v>234.81142040512</v>
      </c>
      <c r="N39" s="189">
        <f>SUM(K39:M39)</f>
        <v>1202.3114204051201</v>
      </c>
      <c r="O39" s="128" t="s">
        <v>546</v>
      </c>
      <c r="P39" s="284"/>
      <c r="Q39" s="300">
        <v>1</v>
      </c>
      <c r="R39" s="300">
        <f t="shared" ref="Q39:R40" si="41">IF(I39&lt;&gt;"",I39,"")</f>
        <v>1</v>
      </c>
      <c r="S39" s="301">
        <v>4369.2</v>
      </c>
      <c r="T39" s="301">
        <f>IF(Q39&lt;&gt;"",Q39*R39*S39,"")</f>
        <v>4369.2</v>
      </c>
      <c r="U39" s="302">
        <f>IF(Q39&lt;&gt;"",K39-T39,"")</f>
        <v>-3469.2</v>
      </c>
      <c r="V39" s="303">
        <f>IF(Q39&lt;&gt;"",0%,"")</f>
        <v>0</v>
      </c>
      <c r="W39" s="304">
        <f>IF(Q39&lt;&gt;"",V39*U39,"")</f>
        <v>0</v>
      </c>
      <c r="X39" s="304">
        <f>IF(Q39&lt;&gt;"",W39+T39,"")</f>
        <v>4369.2</v>
      </c>
      <c r="Y39" s="304">
        <f>IF(Q39&lt;&gt;"",X39+M39,"")</f>
        <v>4604.0114204051197</v>
      </c>
      <c r="Z39" s="199">
        <f>IF(Q39&lt;&gt;"", IFERROR(U39/K39, 0), 0)</f>
        <v>-3.8546666666666667</v>
      </c>
      <c r="AA39" s="199"/>
      <c r="AB39" s="284"/>
      <c r="AC39" s="284"/>
      <c r="AD39" s="284"/>
      <c r="AE39" s="284"/>
      <c r="AF39" s="284"/>
      <c r="AG39" s="284"/>
      <c r="AH39" s="284"/>
      <c r="AI39" s="284"/>
      <c r="AJ39" s="290"/>
      <c r="AK39" s="200">
        <f t="shared" si="13"/>
        <v>0</v>
      </c>
      <c r="AL39" s="201">
        <v>4369.2</v>
      </c>
      <c r="AM39" s="454" t="s">
        <v>603</v>
      </c>
    </row>
    <row r="40" spans="1:39" ht="120" customHeight="1" x14ac:dyDescent="0.4">
      <c r="A40" s="153">
        <v>26</v>
      </c>
      <c r="B40" s="178" t="s">
        <v>455</v>
      </c>
      <c r="C40" s="179" t="s">
        <v>127</v>
      </c>
      <c r="D40" s="187" t="s">
        <v>135</v>
      </c>
      <c r="E40" s="187" t="s">
        <v>137</v>
      </c>
      <c r="F40" s="298" t="s">
        <v>472</v>
      </c>
      <c r="G40" s="187" t="s">
        <v>473</v>
      </c>
      <c r="H40" s="299">
        <v>230</v>
      </c>
      <c r="I40" s="299">
        <v>1</v>
      </c>
      <c r="J40" s="189">
        <v>1.6</v>
      </c>
      <c r="K40" s="189">
        <f>IF(F40&lt;&gt;"",H40*I40*J40,"")</f>
        <v>368</v>
      </c>
      <c r="L40" s="189">
        <f>IF(K40&lt;&gt;"",IF(D40="INTERNO",0,K40*$L$14),"")</f>
        <v>27.599999999999998</v>
      </c>
      <c r="M40" s="189">
        <f>IF(K40&lt;&gt;"",IF(E40="FAT.OGGI",SUM(K40:L40)*(1/(1-$M$14)-1),L40*(1/(1-$M$14)-1)),0)</f>
        <v>96.011780787871288</v>
      </c>
      <c r="N40" s="189">
        <f>SUM(K40:M40)</f>
        <v>491.61178078787134</v>
      </c>
      <c r="O40" s="305"/>
      <c r="P40" s="290"/>
      <c r="Q40" s="192">
        <f t="shared" si="41"/>
        <v>230</v>
      </c>
      <c r="R40" s="192">
        <f t="shared" si="41"/>
        <v>1</v>
      </c>
      <c r="S40" s="204">
        <v>1.3</v>
      </c>
      <c r="T40" s="204">
        <v>0</v>
      </c>
      <c r="U40" s="194">
        <f>IF(Q40&lt;&gt;"",K40-T40,"")</f>
        <v>368</v>
      </c>
      <c r="V40" s="195">
        <f>IF(Q40&lt;&gt;"",0%,"")</f>
        <v>0</v>
      </c>
      <c r="W40" s="196">
        <f>IF(Q40&lt;&gt;"",V40*U40,"")</f>
        <v>0</v>
      </c>
      <c r="X40" s="196">
        <f>IF(Q40&lt;&gt;"",W40+T40,"")</f>
        <v>0</v>
      </c>
      <c r="Y40" s="304">
        <f>IF(Q40&lt;&gt;"",X40+M40,"")</f>
        <v>96.011780787871288</v>
      </c>
      <c r="Z40" s="199">
        <f>IF(Q40&lt;&gt;"", IFERROR(U40/K40, 0), 0)</f>
        <v>1</v>
      </c>
      <c r="AA40" s="199"/>
      <c r="AB40" s="284"/>
      <c r="AC40" s="284"/>
      <c r="AD40" s="284"/>
      <c r="AE40" s="284"/>
      <c r="AF40" s="284"/>
      <c r="AG40" s="284"/>
      <c r="AH40" s="284"/>
      <c r="AI40" s="284"/>
      <c r="AJ40" s="290"/>
      <c r="AK40" s="200">
        <f t="shared" si="13"/>
        <v>0</v>
      </c>
      <c r="AL40" s="201"/>
    </row>
    <row r="41" spans="1:39" ht="35.1" customHeight="1" x14ac:dyDescent="0.45">
      <c r="A41" s="306">
        <v>27</v>
      </c>
      <c r="B41" s="178"/>
      <c r="C41" s="307" t="s">
        <v>155</v>
      </c>
      <c r="D41" s="308"/>
      <c r="E41" s="308"/>
      <c r="F41" s="504" t="s">
        <v>383</v>
      </c>
      <c r="G41" s="504"/>
      <c r="H41" s="504"/>
      <c r="I41" s="504"/>
      <c r="J41" s="504"/>
      <c r="K41" s="309">
        <f>SUM(K17:K40)</f>
        <v>61895.28</v>
      </c>
      <c r="L41" s="309">
        <f>SUM(L17:L40)</f>
        <v>4642.1460000000006</v>
      </c>
      <c r="M41" s="309">
        <f>SUM(M17:M40)</f>
        <v>16148.576236858458</v>
      </c>
      <c r="N41" s="309">
        <f>SUM(N17:N40)</f>
        <v>82686.002236858461</v>
      </c>
      <c r="O41" s="284"/>
      <c r="P41" s="284"/>
      <c r="Q41" s="504" t="s">
        <v>383</v>
      </c>
      <c r="R41" s="504"/>
      <c r="S41" s="504"/>
      <c r="T41" s="310">
        <f>SUM(T17:T40)</f>
        <v>98377.323199999984</v>
      </c>
      <c r="U41" s="311">
        <f>SUM(U17:U40)</f>
        <v>-36482.0432</v>
      </c>
      <c r="V41" s="312"/>
      <c r="W41" s="312"/>
      <c r="X41" s="313">
        <f>SUM(X17:X40)</f>
        <v>98377.323199999984</v>
      </c>
      <c r="Y41" s="314">
        <f t="shared" si="38"/>
        <v>114525.89943685844</v>
      </c>
      <c r="Z41" s="315" t="s">
        <v>306</v>
      </c>
      <c r="AA41" s="315" t="s">
        <v>307</v>
      </c>
      <c r="AB41" s="284"/>
      <c r="AC41" s="284"/>
      <c r="AD41" s="284"/>
      <c r="AE41" s="284"/>
      <c r="AF41" s="284"/>
      <c r="AG41" s="284"/>
      <c r="AH41" s="284"/>
      <c r="AI41" s="284"/>
      <c r="AJ41" s="290"/>
      <c r="AK41" s="200"/>
      <c r="AL41" s="201"/>
    </row>
    <row r="42" spans="1:39" ht="35.1" customHeight="1" x14ac:dyDescent="0.45">
      <c r="A42" s="281">
        <v>28</v>
      </c>
      <c r="B42" s="227"/>
      <c r="C42" s="282" t="s">
        <v>304</v>
      </c>
      <c r="D42" s="203"/>
      <c r="E42" s="203"/>
      <c r="F42" s="107" t="s">
        <v>305</v>
      </c>
      <c r="G42" s="107"/>
      <c r="H42" s="107"/>
      <c r="I42" s="107"/>
      <c r="J42" s="107"/>
      <c r="K42" s="108">
        <f>SUM(K17:K40)</f>
        <v>61895.28</v>
      </c>
      <c r="L42" s="108">
        <f>SUM(L17:L40)</f>
        <v>4642.1460000000006</v>
      </c>
      <c r="M42" s="108">
        <f>SUM(M17:M40)</f>
        <v>16148.576236858458</v>
      </c>
      <c r="N42" s="108">
        <f>SUM(N17:N40)</f>
        <v>82686.002236858461</v>
      </c>
      <c r="O42" s="284"/>
      <c r="P42" s="284"/>
      <c r="Q42" s="127" t="s">
        <v>43</v>
      </c>
      <c r="R42" s="127"/>
      <c r="S42" s="107"/>
      <c r="T42" s="108">
        <f>SUM(T17:T40)</f>
        <v>98377.323199999984</v>
      </c>
      <c r="U42" s="108">
        <f>SUM(U17:U40)</f>
        <v>-36482.0432</v>
      </c>
      <c r="V42" s="107"/>
      <c r="W42" s="107"/>
      <c r="X42" s="108">
        <f>SUM(X17:X40)</f>
        <v>98377.323199999984</v>
      </c>
      <c r="Y42" s="108">
        <f>SUM(Y17:Y40)</f>
        <v>114525.89943685848</v>
      </c>
      <c r="Z42" s="109">
        <f>IF(Q42&lt;&gt;"",(N42-Y42)/N42,"")</f>
        <v>-0.3850699796658803</v>
      </c>
      <c r="AA42" s="110">
        <f>IF(Z42&lt;&gt;"",(N42-Y42),"")</f>
        <v>-31839.897200000021</v>
      </c>
      <c r="AB42" s="284"/>
      <c r="AC42" s="284"/>
      <c r="AD42" s="284"/>
      <c r="AE42" s="284"/>
      <c r="AF42" s="284"/>
      <c r="AG42" s="284"/>
      <c r="AH42" s="284"/>
      <c r="AI42" s="284"/>
      <c r="AJ42" s="290"/>
      <c r="AK42" s="200">
        <f>SUM(AK17:AK40)</f>
        <v>3.200000000106229E-3</v>
      </c>
      <c r="AL42" s="201">
        <f>SUM(AL17:AL40)</f>
        <v>98377.319999999978</v>
      </c>
    </row>
    <row r="43" spans="1:39" ht="30.6" x14ac:dyDescent="0.55000000000000004">
      <c r="H43" s="128"/>
      <c r="I43" s="128"/>
      <c r="AL43" s="455"/>
      <c r="AM43" s="456" t="s">
        <v>600</v>
      </c>
    </row>
    <row r="44" spans="1:39" ht="30.6" x14ac:dyDescent="0.55000000000000004">
      <c r="H44" s="128"/>
      <c r="I44" s="128"/>
      <c r="AL44" s="455">
        <f>X42</f>
        <v>98377.323199999984</v>
      </c>
      <c r="AM44" s="456" t="s">
        <v>601</v>
      </c>
    </row>
    <row r="45" spans="1:39" ht="30.6" x14ac:dyDescent="0.55000000000000004">
      <c r="H45" s="128"/>
      <c r="I45" s="128"/>
      <c r="AL45" s="455">
        <f>N42-X42</f>
        <v>-15691.320963141523</v>
      </c>
      <c r="AM45" s="457" t="s">
        <v>594</v>
      </c>
    </row>
    <row r="46" spans="1:39" ht="31.2" x14ac:dyDescent="0.6">
      <c r="H46" s="128"/>
      <c r="I46" s="128"/>
      <c r="AL46" s="458">
        <f>AL45*100%/N42</f>
        <v>-0.1897699796658798</v>
      </c>
      <c r="AM46" s="459"/>
    </row>
    <row r="47" spans="1:39" x14ac:dyDescent="0.4">
      <c r="H47" s="128"/>
      <c r="I47" s="128"/>
    </row>
    <row r="48" spans="1:39" x14ac:dyDescent="0.4">
      <c r="H48" s="128"/>
      <c r="I48" s="128"/>
    </row>
    <row r="49" spans="17:39" s="128" customFormat="1" x14ac:dyDescent="0.4">
      <c r="Q49" s="131"/>
      <c r="R49" s="131"/>
      <c r="AM49" s="454"/>
    </row>
    <row r="50" spans="17:39" s="128" customFormat="1" x14ac:dyDescent="0.4">
      <c r="Q50" s="131"/>
      <c r="R50" s="131"/>
      <c r="AM50" s="454"/>
    </row>
    <row r="51" spans="17:39" s="128" customFormat="1" x14ac:dyDescent="0.4">
      <c r="Q51" s="131"/>
      <c r="R51" s="131"/>
      <c r="AM51" s="454"/>
    </row>
    <row r="52" spans="17:39" s="128" customFormat="1" x14ac:dyDescent="0.4">
      <c r="Q52" s="131"/>
      <c r="R52" s="131"/>
      <c r="AM52" s="454"/>
    </row>
    <row r="53" spans="17:39" s="128" customFormat="1" x14ac:dyDescent="0.4">
      <c r="Q53" s="131"/>
      <c r="R53" s="131"/>
      <c r="AM53" s="454"/>
    </row>
    <row r="54" spans="17:39" s="128" customFormat="1" x14ac:dyDescent="0.4">
      <c r="Q54" s="131"/>
      <c r="R54" s="131"/>
      <c r="AM54" s="454"/>
    </row>
    <row r="55" spans="17:39" s="128" customFormat="1" x14ac:dyDescent="0.4">
      <c r="Q55" s="131"/>
      <c r="R55" s="131"/>
      <c r="AM55" s="454"/>
    </row>
    <row r="56" spans="17:39" s="128" customFormat="1" x14ac:dyDescent="0.4">
      <c r="Q56" s="131"/>
      <c r="R56" s="131"/>
      <c r="AM56" s="454"/>
    </row>
    <row r="57" spans="17:39" s="128" customFormat="1" x14ac:dyDescent="0.4">
      <c r="Q57" s="131"/>
      <c r="R57" s="131"/>
      <c r="AM57" s="454"/>
    </row>
    <row r="58" spans="17:39" s="128" customFormat="1" x14ac:dyDescent="0.4">
      <c r="Q58" s="131"/>
      <c r="R58" s="131"/>
      <c r="AM58" s="454"/>
    </row>
    <row r="59" spans="17:39" s="128" customFormat="1" x14ac:dyDescent="0.4">
      <c r="Q59" s="131"/>
      <c r="R59" s="131"/>
      <c r="AM59" s="454"/>
    </row>
    <row r="60" spans="17:39" s="128" customFormat="1" x14ac:dyDescent="0.4">
      <c r="Q60" s="131"/>
      <c r="R60" s="131"/>
      <c r="AM60" s="454"/>
    </row>
    <row r="61" spans="17:39" s="128" customFormat="1" x14ac:dyDescent="0.4">
      <c r="Q61" s="131"/>
      <c r="R61" s="131"/>
      <c r="AM61" s="454"/>
    </row>
    <row r="62" spans="17:39" s="128" customFormat="1" x14ac:dyDescent="0.4">
      <c r="Q62" s="131"/>
      <c r="R62" s="131"/>
      <c r="AM62" s="454"/>
    </row>
    <row r="63" spans="17:39" s="128" customFormat="1" x14ac:dyDescent="0.4">
      <c r="Q63" s="131"/>
      <c r="R63" s="131"/>
      <c r="AM63" s="454"/>
    </row>
    <row r="64" spans="17:39" s="128" customFormat="1" x14ac:dyDescent="0.4">
      <c r="Q64" s="131"/>
      <c r="R64" s="131"/>
      <c r="AM64" s="454"/>
    </row>
    <row r="65" spans="17:39" s="128" customFormat="1" x14ac:dyDescent="0.4">
      <c r="Q65" s="131"/>
      <c r="R65" s="131"/>
      <c r="AM65" s="454"/>
    </row>
    <row r="66" spans="17:39" s="128" customFormat="1" x14ac:dyDescent="0.4">
      <c r="Q66" s="131"/>
      <c r="R66" s="131"/>
      <c r="AM66" s="454"/>
    </row>
    <row r="67" spans="17:39" s="128" customFormat="1" x14ac:dyDescent="0.4">
      <c r="Q67" s="131"/>
      <c r="R67" s="131"/>
      <c r="AM67" s="454"/>
    </row>
    <row r="68" spans="17:39" s="128" customFormat="1" x14ac:dyDescent="0.4">
      <c r="Q68" s="131"/>
      <c r="R68" s="131"/>
      <c r="AM68" s="454"/>
    </row>
    <row r="69" spans="17:39" s="128" customFormat="1" x14ac:dyDescent="0.4">
      <c r="Q69" s="131"/>
      <c r="R69" s="131"/>
      <c r="AM69" s="454"/>
    </row>
    <row r="70" spans="17:39" s="128" customFormat="1" x14ac:dyDescent="0.4">
      <c r="Q70" s="131"/>
      <c r="R70" s="131"/>
      <c r="AM70" s="454"/>
    </row>
    <row r="71" spans="17:39" s="128" customFormat="1" x14ac:dyDescent="0.4">
      <c r="Q71" s="131"/>
      <c r="R71" s="131"/>
      <c r="AM71" s="454"/>
    </row>
    <row r="72" spans="17:39" s="128" customFormat="1" x14ac:dyDescent="0.4">
      <c r="Q72" s="131"/>
      <c r="R72" s="131"/>
      <c r="AM72" s="454"/>
    </row>
    <row r="73" spans="17:39" s="128" customFormat="1" x14ac:dyDescent="0.4">
      <c r="Q73" s="131"/>
      <c r="R73" s="131"/>
      <c r="AM73" s="454"/>
    </row>
    <row r="74" spans="17:39" s="128" customFormat="1" x14ac:dyDescent="0.4">
      <c r="Q74" s="131"/>
      <c r="R74" s="131"/>
      <c r="AM74" s="454"/>
    </row>
    <row r="75" spans="17:39" s="128" customFormat="1" x14ac:dyDescent="0.4">
      <c r="Q75" s="131"/>
      <c r="R75" s="131"/>
      <c r="AM75" s="454"/>
    </row>
    <row r="76" spans="17:39" s="128" customFormat="1" x14ac:dyDescent="0.4">
      <c r="Q76" s="131"/>
      <c r="R76" s="131"/>
      <c r="AM76" s="454"/>
    </row>
    <row r="77" spans="17:39" s="128" customFormat="1" x14ac:dyDescent="0.4">
      <c r="Q77" s="131"/>
      <c r="R77" s="131"/>
      <c r="AM77" s="454"/>
    </row>
    <row r="78" spans="17:39" s="128" customFormat="1" x14ac:dyDescent="0.4">
      <c r="Q78" s="131"/>
      <c r="R78" s="131"/>
      <c r="AM78" s="454"/>
    </row>
    <row r="79" spans="17:39" s="128" customFormat="1" x14ac:dyDescent="0.4">
      <c r="Q79" s="131"/>
      <c r="R79" s="131"/>
      <c r="AM79" s="454"/>
    </row>
    <row r="80" spans="17:39" s="128" customFormat="1" x14ac:dyDescent="0.4">
      <c r="Q80" s="131"/>
      <c r="R80" s="131"/>
      <c r="AM80" s="454"/>
    </row>
    <row r="81" spans="17:39" s="128" customFormat="1" x14ac:dyDescent="0.4">
      <c r="Q81" s="131"/>
      <c r="R81" s="131"/>
      <c r="AM81" s="454"/>
    </row>
    <row r="82" spans="17:39" s="128" customFormat="1" x14ac:dyDescent="0.4">
      <c r="Q82" s="131"/>
      <c r="R82" s="131"/>
      <c r="AM82" s="454"/>
    </row>
  </sheetData>
  <autoFilter ref="A1:AL14" xr:uid="{107B9E09-8154-459A-AE62-6A4242823A27}">
    <filterColumn colId="5" showButton="0"/>
  </autoFilter>
  <mergeCells count="15">
    <mergeCell ref="F1:G1"/>
    <mergeCell ref="F2:G2"/>
    <mergeCell ref="Q12:T12"/>
    <mergeCell ref="U12:X12"/>
    <mergeCell ref="AC12:AE12"/>
    <mergeCell ref="F41:J41"/>
    <mergeCell ref="Q41:S41"/>
    <mergeCell ref="AK12:AL12"/>
    <mergeCell ref="F15:N15"/>
    <mergeCell ref="Q15:Y15"/>
    <mergeCell ref="F16:K16"/>
    <mergeCell ref="Q16:Y16"/>
    <mergeCell ref="AG12:AH12"/>
    <mergeCell ref="AK15:AL15"/>
    <mergeCell ref="AK16:AL16"/>
  </mergeCells>
  <phoneticPr fontId="29" type="noConversion"/>
  <dataValidations disablePrompts="1" count="3">
    <dataValidation type="list" allowBlank="1" showInputMessage="1" showErrorMessage="1" sqref="E42" xr:uid="{63475F2C-AFAA-433C-BE91-8B4ABEBB22BB}">
      <formula1>"FAT.OGGI,FAT.CLIENTE "</formula1>
    </dataValidation>
    <dataValidation type="list" allowBlank="1" showInputMessage="1" showErrorMessage="1" sqref="D42 D17:D40" xr:uid="{25B9591D-31E4-4642-9205-9C58373255CB}">
      <formula1>"INTERNO,OPERACIONAL"</formula1>
    </dataValidation>
    <dataValidation type="list" allowBlank="1" showInputMessage="1" showErrorMessage="1" sqref="E17:E40" xr:uid="{99D53D9D-E834-499A-93CC-014EA0B45C13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5967-CB8F-47D6-9A9A-E8E1457B702D}">
  <sheetPr codeName="Planilha14">
    <pageSetUpPr autoPageBreaks="0"/>
  </sheetPr>
  <dimension ref="A1:AO86"/>
  <sheetViews>
    <sheetView showGridLines="0" topLeftCell="B1" zoomScale="50" zoomScaleNormal="50" workbookViewId="0">
      <pane ySplit="1" topLeftCell="A18" activePane="bottomLeft" state="frozen"/>
      <selection activeCell="T28" sqref="Q28:Y39"/>
      <selection pane="bottomLeft" activeCell="G18" sqref="G18"/>
    </sheetView>
  </sheetViews>
  <sheetFormatPr defaultColWidth="8.88671875" defaultRowHeight="21" x14ac:dyDescent="0.4"/>
  <cols>
    <col min="1" max="1" width="4.5546875" style="128" hidden="1" customWidth="1"/>
    <col min="2" max="2" width="7.6640625" style="128" customWidth="1"/>
    <col min="3" max="3" width="11.44140625" style="128" hidden="1" customWidth="1"/>
    <col min="4" max="4" width="18.88671875" style="128" hidden="1" customWidth="1"/>
    <col min="5" max="5" width="10.6640625" style="128" hidden="1" customWidth="1"/>
    <col min="6" max="6" width="28.88671875" style="128" customWidth="1"/>
    <col min="7" max="7" width="56.88671875" style="128" customWidth="1"/>
    <col min="8" max="8" width="5.6640625" style="131" hidden="1" customWidth="1"/>
    <col min="9" max="9" width="5.88671875" style="131" hidden="1" customWidth="1"/>
    <col min="10" max="10" width="16.44140625" style="128" hidden="1" customWidth="1"/>
    <col min="11" max="11" width="30.109375" style="128" customWidth="1"/>
    <col min="12" max="12" width="22.88671875" style="128" customWidth="1"/>
    <col min="13" max="13" width="25.109375" style="128" customWidth="1"/>
    <col min="14" max="14" width="23.88671875" style="128" customWidth="1"/>
    <col min="15" max="15" width="3.33203125" style="128" hidden="1" customWidth="1"/>
    <col min="16" max="16" width="1.88671875" style="128" hidden="1" customWidth="1"/>
    <col min="17" max="17" width="5.88671875" style="131" customWidth="1"/>
    <col min="18" max="18" width="5.109375" style="131" hidden="1" customWidth="1"/>
    <col min="19" max="19" width="16.44140625" style="128" hidden="1" customWidth="1"/>
    <col min="20" max="20" width="26.5546875" style="128" customWidth="1"/>
    <col min="21" max="21" width="24.6640625" style="128" hidden="1" customWidth="1"/>
    <col min="22" max="22" width="9.6640625" style="128" hidden="1" customWidth="1"/>
    <col min="23" max="23" width="16.109375" style="128" hidden="1" customWidth="1"/>
    <col min="24" max="24" width="27.109375" style="128" bestFit="1" customWidth="1"/>
    <col min="25" max="25" width="26.6640625" style="128" hidden="1" customWidth="1"/>
    <col min="26" max="26" width="14.6640625" style="128" hidden="1" customWidth="1"/>
    <col min="27" max="27" width="24.6640625" style="128" hidden="1" customWidth="1"/>
    <col min="28" max="28" width="38.10937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6.88671875" style="128" customWidth="1"/>
    <col min="38" max="38" width="31.6640625" style="128" customWidth="1"/>
    <col min="39" max="39" width="8.88671875" style="128"/>
    <col min="40" max="40" width="21.33203125" style="128" customWidth="1"/>
    <col min="41" max="41" width="42.5546875" style="128" customWidth="1"/>
    <col min="42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555</v>
      </c>
      <c r="G10" s="138"/>
    </row>
    <row r="11" spans="1:38" ht="22.2" x14ac:dyDescent="0.4">
      <c r="F11" s="140" t="s">
        <v>556</v>
      </c>
      <c r="G11" s="141"/>
    </row>
    <row r="12" spans="1:38" ht="67.2" hidden="1" thickBot="1" x14ac:dyDescent="0.45">
      <c r="B12" s="142"/>
      <c r="M12" s="143"/>
      <c r="Q12" s="493" t="s">
        <v>1</v>
      </c>
      <c r="R12" s="494"/>
      <c r="S12" s="494"/>
      <c r="T12" s="495"/>
      <c r="U12" s="496" t="s">
        <v>2</v>
      </c>
      <c r="V12" s="497"/>
      <c r="W12" s="497"/>
      <c r="X12" s="498"/>
      <c r="Y12" s="144" t="s">
        <v>56</v>
      </c>
      <c r="Z12" s="145">
        <f>(1/(1-M14))-1</f>
        <v>0.24269914253759173</v>
      </c>
      <c r="AC12" s="499" t="s">
        <v>3</v>
      </c>
      <c r="AD12" s="500"/>
      <c r="AE12" s="501"/>
      <c r="AG12" s="502" t="s">
        <v>58</v>
      </c>
      <c r="AH12" s="503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5.1" customHeight="1" thickBot="1" x14ac:dyDescent="0.45">
      <c r="A14" s="150">
        <v>0</v>
      </c>
      <c r="B14" s="151"/>
      <c r="C14" s="152"/>
      <c r="D14" s="153"/>
      <c r="E14" s="153"/>
      <c r="F14" s="277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7.4999999999999997E-2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5.1" customHeight="1" thickBot="1" x14ac:dyDescent="0.5">
      <c r="A15" s="153">
        <v>1</v>
      </c>
      <c r="B15" s="178">
        <v>1</v>
      </c>
      <c r="C15" s="179" t="s">
        <v>121</v>
      </c>
      <c r="D15" s="153"/>
      <c r="E15" s="153"/>
      <c r="F15" s="505" t="s">
        <v>382</v>
      </c>
      <c r="G15" s="481"/>
      <c r="H15" s="481"/>
      <c r="I15" s="481"/>
      <c r="J15" s="481"/>
      <c r="K15" s="481"/>
      <c r="L15" s="481"/>
      <c r="M15" s="481"/>
      <c r="N15" s="506"/>
      <c r="Q15" s="507" t="str">
        <f>IF(F15&lt;&gt;"",F15,"")</f>
        <v>OPCIONAIS</v>
      </c>
      <c r="R15" s="508"/>
      <c r="S15" s="508"/>
      <c r="T15" s="508"/>
      <c r="U15" s="508"/>
      <c r="V15" s="508"/>
      <c r="W15" s="508"/>
      <c r="X15" s="508"/>
      <c r="Y15" s="509"/>
      <c r="AK15" s="477"/>
      <c r="AL15" s="477"/>
    </row>
    <row r="16" spans="1:38" ht="35.1" customHeight="1" x14ac:dyDescent="0.45">
      <c r="A16" s="153">
        <v>2</v>
      </c>
      <c r="B16" s="178" t="s">
        <v>123</v>
      </c>
      <c r="C16" s="179" t="s">
        <v>122</v>
      </c>
      <c r="D16" s="153"/>
      <c r="E16" s="153"/>
      <c r="F16" s="478" t="s">
        <v>382</v>
      </c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278" t="s">
        <v>82</v>
      </c>
      <c r="Q16" s="510" t="str">
        <f>IF(F16&lt;&gt;"",F16,"")</f>
        <v>OPCIONAIS</v>
      </c>
      <c r="R16" s="511"/>
      <c r="S16" s="511"/>
      <c r="T16" s="511"/>
      <c r="U16" s="511"/>
      <c r="V16" s="511"/>
      <c r="W16" s="511"/>
      <c r="X16" s="511"/>
      <c r="Y16" s="512"/>
      <c r="Z16" s="279" t="s">
        <v>126</v>
      </c>
      <c r="AA16" s="280" t="s">
        <v>83</v>
      </c>
      <c r="AK16" s="478"/>
      <c r="AL16" s="479"/>
    </row>
    <row r="17" spans="1:41" ht="120" customHeight="1" x14ac:dyDescent="0.4">
      <c r="A17" s="281">
        <v>3</v>
      </c>
      <c r="B17" s="178" t="s">
        <v>128</v>
      </c>
      <c r="C17" s="282" t="s">
        <v>127</v>
      </c>
      <c r="D17" s="203" t="s">
        <v>135</v>
      </c>
      <c r="E17" s="281" t="s">
        <v>137</v>
      </c>
      <c r="F17" s="247" t="s">
        <v>474</v>
      </c>
      <c r="G17" s="203" t="s">
        <v>475</v>
      </c>
      <c r="H17" s="209">
        <v>2</v>
      </c>
      <c r="I17" s="209">
        <v>1</v>
      </c>
      <c r="J17" s="210">
        <v>24</v>
      </c>
      <c r="K17" s="210">
        <f>IF(F17&lt;&gt;"",H17*I17*J17,"")</f>
        <v>48</v>
      </c>
      <c r="L17" s="210">
        <f>IF(K17&lt;&gt;"",IF(D17="INTERNO",0,K17*$L$14),"")</f>
        <v>3.5999999999999996</v>
      </c>
      <c r="M17" s="210">
        <f>IF(K17&lt;&gt;"",IF(E17="FAT.OGGI",SUM(K17:L17)*(1/(1-$M$14)-1),L17*(1/(1-$M$14)-1)),0)</f>
        <v>12.523275754939734</v>
      </c>
      <c r="N17" s="211">
        <f>SUM(K17:M17)</f>
        <v>64.123275754939741</v>
      </c>
      <c r="O17" s="305"/>
      <c r="P17" s="290"/>
      <c r="Q17" s="316">
        <v>2</v>
      </c>
      <c r="R17" s="285">
        <v>1</v>
      </c>
      <c r="S17" s="286">
        <v>19.989999999999998</v>
      </c>
      <c r="T17" s="286">
        <v>0</v>
      </c>
      <c r="U17" s="287">
        <f t="shared" ref="U17:U20" si="0">IF(Q17&lt;&gt;"",K17-T17,"")</f>
        <v>48</v>
      </c>
      <c r="V17" s="288">
        <f t="shared" ref="V17:V20" si="1">IF(Q17&lt;&gt;"",0%,"")</f>
        <v>0</v>
      </c>
      <c r="W17" s="289">
        <f t="shared" ref="W17:W20" si="2">IF(Q17&lt;&gt;"",V17*U17,"")</f>
        <v>0</v>
      </c>
      <c r="X17" s="289">
        <f t="shared" ref="X17:X20" si="3">IF(Q17&lt;&gt;"",W17+T17,"")</f>
        <v>0</v>
      </c>
      <c r="Y17" s="218">
        <f t="shared" ref="Y17:Y20" si="4">IF(Q17&lt;&gt;"",X17+M17,"")</f>
        <v>12.523275754939734</v>
      </c>
      <c r="Z17" s="198">
        <f t="shared" ref="Z17:Z20" si="5">IF(Q17&lt;&gt;"", IFERROR(U17/K17, 0), 0)</f>
        <v>1</v>
      </c>
      <c r="AA17" s="317" t="str">
        <f>IFERROR(T17/$T$24, "")</f>
        <v/>
      </c>
      <c r="AK17" s="200">
        <f>X17-AL17</f>
        <v>0</v>
      </c>
      <c r="AL17" s="201"/>
    </row>
    <row r="18" spans="1:41" ht="120" customHeight="1" x14ac:dyDescent="0.4">
      <c r="A18" s="281">
        <v>4</v>
      </c>
      <c r="B18" s="178" t="s">
        <v>105</v>
      </c>
      <c r="C18" s="282" t="s">
        <v>127</v>
      </c>
      <c r="D18" s="203" t="s">
        <v>135</v>
      </c>
      <c r="E18" s="281" t="s">
        <v>137</v>
      </c>
      <c r="F18" s="247" t="s">
        <v>476</v>
      </c>
      <c r="G18" s="203" t="s">
        <v>477</v>
      </c>
      <c r="H18" s="209">
        <v>1</v>
      </c>
      <c r="I18" s="209">
        <v>1</v>
      </c>
      <c r="J18" s="210">
        <v>316.22000000000003</v>
      </c>
      <c r="K18" s="210">
        <f t="shared" ref="K18:K20" si="6">IF(F18&lt;&gt;"",H18*I18*J18,"")</f>
        <v>316.22000000000003</v>
      </c>
      <c r="L18" s="210">
        <f t="shared" ref="L18:L20" si="7">IF(K18&lt;&gt;"",IF(D18="INTERNO",0,K18*$L$14),"")</f>
        <v>23.7165</v>
      </c>
      <c r="M18" s="210">
        <f t="shared" ref="M18:M20" si="8">IF(K18&lt;&gt;"",IF(E18="FAT.OGGI",SUM(K18:L18)*(1/(1-$M$14)-1),L18*(1/(1-$M$14)-1)),0)</f>
        <v>82.50229706723006</v>
      </c>
      <c r="N18" s="211">
        <f t="shared" ref="N18:N20" si="9">SUM(K18:M18)</f>
        <v>422.4387970672301</v>
      </c>
      <c r="O18" s="305"/>
      <c r="P18" s="290"/>
      <c r="Q18" s="316">
        <v>1</v>
      </c>
      <c r="R18" s="285">
        <f t="shared" ref="Q18:R20" si="10">IF(I18&lt;&gt;"",I18,"")</f>
        <v>1</v>
      </c>
      <c r="S18" s="286">
        <v>263.52</v>
      </c>
      <c r="T18" s="286">
        <v>0</v>
      </c>
      <c r="U18" s="287">
        <f t="shared" si="0"/>
        <v>316.22000000000003</v>
      </c>
      <c r="V18" s="288">
        <f t="shared" si="1"/>
        <v>0</v>
      </c>
      <c r="W18" s="289">
        <f t="shared" si="2"/>
        <v>0</v>
      </c>
      <c r="X18" s="289">
        <f t="shared" si="3"/>
        <v>0</v>
      </c>
      <c r="Y18" s="218">
        <f t="shared" si="4"/>
        <v>82.50229706723006</v>
      </c>
      <c r="Z18" s="198">
        <f t="shared" si="5"/>
        <v>1</v>
      </c>
      <c r="AA18" s="317" t="str">
        <f>IFERROR(T18/$T$24, "")</f>
        <v/>
      </c>
      <c r="AK18" s="200">
        <f t="shared" ref="AK18:AK22" si="11">X18-AL18</f>
        <v>0</v>
      </c>
      <c r="AL18" s="201"/>
    </row>
    <row r="19" spans="1:41" ht="120" customHeight="1" x14ac:dyDescent="0.4">
      <c r="A19" s="281">
        <v>5</v>
      </c>
      <c r="B19" s="178" t="s">
        <v>129</v>
      </c>
      <c r="C19" s="282" t="s">
        <v>127</v>
      </c>
      <c r="D19" s="203" t="s">
        <v>135</v>
      </c>
      <c r="E19" s="281" t="s">
        <v>137</v>
      </c>
      <c r="F19" s="247" t="s">
        <v>478</v>
      </c>
      <c r="G19" s="253" t="s">
        <v>479</v>
      </c>
      <c r="H19" s="291">
        <v>3</v>
      </c>
      <c r="I19" s="291">
        <v>1</v>
      </c>
      <c r="J19" s="210">
        <v>312</v>
      </c>
      <c r="K19" s="210">
        <f t="shared" si="6"/>
        <v>936</v>
      </c>
      <c r="L19" s="210">
        <f t="shared" si="7"/>
        <v>70.2</v>
      </c>
      <c r="M19" s="210">
        <f t="shared" si="8"/>
        <v>244.2038772213248</v>
      </c>
      <c r="N19" s="211">
        <f t="shared" si="9"/>
        <v>1250.4038772213248</v>
      </c>
      <c r="O19" s="305"/>
      <c r="P19" s="290"/>
      <c r="Q19" s="318">
        <f t="shared" si="10"/>
        <v>3</v>
      </c>
      <c r="R19" s="319">
        <f t="shared" si="10"/>
        <v>1</v>
      </c>
      <c r="S19" s="286">
        <v>260</v>
      </c>
      <c r="T19" s="286">
        <v>0</v>
      </c>
      <c r="U19" s="287">
        <f t="shared" si="0"/>
        <v>936</v>
      </c>
      <c r="V19" s="288">
        <f t="shared" si="1"/>
        <v>0</v>
      </c>
      <c r="W19" s="289">
        <f t="shared" si="2"/>
        <v>0</v>
      </c>
      <c r="X19" s="289">
        <f t="shared" si="3"/>
        <v>0</v>
      </c>
      <c r="Y19" s="218">
        <f t="shared" si="4"/>
        <v>244.2038772213248</v>
      </c>
      <c r="Z19" s="198">
        <f t="shared" si="5"/>
        <v>1</v>
      </c>
      <c r="AA19" s="317" t="str">
        <f>IFERROR(T19/$T$24, "")</f>
        <v/>
      </c>
      <c r="AK19" s="200">
        <f t="shared" si="11"/>
        <v>0</v>
      </c>
      <c r="AL19" s="201"/>
    </row>
    <row r="20" spans="1:41" ht="120" customHeight="1" x14ac:dyDescent="0.4">
      <c r="A20" s="296">
        <v>6</v>
      </c>
      <c r="B20" s="178" t="s">
        <v>130</v>
      </c>
      <c r="C20" s="297" t="s">
        <v>127</v>
      </c>
      <c r="D20" s="187" t="s">
        <v>135</v>
      </c>
      <c r="E20" s="296" t="s">
        <v>137</v>
      </c>
      <c r="F20" s="261" t="s">
        <v>480</v>
      </c>
      <c r="G20" s="187" t="s">
        <v>481</v>
      </c>
      <c r="H20" s="299">
        <v>1</v>
      </c>
      <c r="I20" s="299">
        <v>1</v>
      </c>
      <c r="J20" s="189">
        <v>348</v>
      </c>
      <c r="K20" s="189">
        <f t="shared" si="6"/>
        <v>348</v>
      </c>
      <c r="L20" s="189">
        <f t="shared" si="7"/>
        <v>26.099999999999998</v>
      </c>
      <c r="M20" s="189">
        <f t="shared" si="8"/>
        <v>90.793749223313071</v>
      </c>
      <c r="N20" s="190">
        <f t="shared" si="9"/>
        <v>464.89374922331308</v>
      </c>
      <c r="O20" s="305"/>
      <c r="P20" s="290"/>
      <c r="Q20" s="320">
        <f t="shared" si="10"/>
        <v>1</v>
      </c>
      <c r="R20" s="321">
        <f t="shared" si="10"/>
        <v>1</v>
      </c>
      <c r="S20" s="322">
        <v>290</v>
      </c>
      <c r="T20" s="322">
        <v>0</v>
      </c>
      <c r="U20" s="302">
        <f t="shared" si="0"/>
        <v>348</v>
      </c>
      <c r="V20" s="303">
        <f t="shared" si="1"/>
        <v>0</v>
      </c>
      <c r="W20" s="304">
        <f t="shared" si="2"/>
        <v>0</v>
      </c>
      <c r="X20" s="304">
        <f t="shared" si="3"/>
        <v>0</v>
      </c>
      <c r="Y20" s="197">
        <f t="shared" si="4"/>
        <v>90.793749223313071</v>
      </c>
      <c r="Z20" s="198">
        <f t="shared" si="5"/>
        <v>1</v>
      </c>
      <c r="AA20" s="317" t="str">
        <f>IFERROR(T20/$T$24, "")</f>
        <v/>
      </c>
      <c r="AK20" s="200">
        <f t="shared" si="11"/>
        <v>0</v>
      </c>
      <c r="AL20" s="201"/>
    </row>
    <row r="21" spans="1:41" ht="120" customHeight="1" x14ac:dyDescent="0.4">
      <c r="A21" s="153">
        <v>7</v>
      </c>
      <c r="B21" s="178" t="s">
        <v>131</v>
      </c>
      <c r="C21" s="179" t="s">
        <v>127</v>
      </c>
      <c r="D21" s="187" t="s">
        <v>135</v>
      </c>
      <c r="E21" s="296" t="s">
        <v>137</v>
      </c>
      <c r="F21" s="187" t="s">
        <v>561</v>
      </c>
      <c r="G21" s="187" t="s">
        <v>484</v>
      </c>
      <c r="H21" s="299">
        <v>1</v>
      </c>
      <c r="I21" s="299">
        <v>1</v>
      </c>
      <c r="J21" s="189">
        <v>300</v>
      </c>
      <c r="K21" s="189">
        <f>IF(F21&lt;&gt;"",H21*I21*J21,"")</f>
        <v>300</v>
      </c>
      <c r="L21" s="189">
        <f>IF(K21&lt;&gt;"",IF(D21="INTERNO",0,K21*$L$14),"")</f>
        <v>22.5</v>
      </c>
      <c r="M21" s="189">
        <f>IF(K21&lt;&gt;"",IF(E21="FAT.OGGI",SUM(K21:L21)*(1/(1-$M$14)-1),L21*(1/(1-$M$14)-1)),0)</f>
        <v>78.270473468373339</v>
      </c>
      <c r="N21" s="189">
        <f>SUM(K21:M21)</f>
        <v>400.77047346837332</v>
      </c>
      <c r="Q21" s="323">
        <f t="shared" ref="Q21:R23" si="12">IF(H21&lt;&gt;"",H21,"")</f>
        <v>1</v>
      </c>
      <c r="R21" s="323">
        <f t="shared" si="12"/>
        <v>1</v>
      </c>
      <c r="S21" s="204">
        <v>250</v>
      </c>
      <c r="T21" s="204">
        <v>0</v>
      </c>
      <c r="U21" s="194">
        <f>IF(Q21&lt;&gt;"",K21-T21,"")</f>
        <v>300</v>
      </c>
      <c r="V21" s="195">
        <f>IF(Q21&lt;&gt;"",0%,"")</f>
        <v>0</v>
      </c>
      <c r="W21" s="196">
        <f>IF(Q21&lt;&gt;"",V21*U21,"")</f>
        <v>0</v>
      </c>
      <c r="X21" s="196">
        <f>IF(Q21&lt;&gt;"",W21+T21,"")</f>
        <v>0</v>
      </c>
      <c r="Y21" s="304">
        <f>IF(Q21&lt;&gt;"",X21+M21,"")</f>
        <v>78.270473468373339</v>
      </c>
      <c r="Z21" s="199">
        <f>IF(Q21&lt;&gt;"", IFERROR(U21/K21, 0), 0)</f>
        <v>1</v>
      </c>
      <c r="AK21" s="200">
        <f t="shared" si="11"/>
        <v>0</v>
      </c>
      <c r="AL21" s="201"/>
    </row>
    <row r="22" spans="1:41" ht="120" customHeight="1" x14ac:dyDescent="0.4">
      <c r="A22" s="230">
        <v>8</v>
      </c>
      <c r="B22" s="178" t="s">
        <v>132</v>
      </c>
      <c r="C22" s="324" t="s">
        <v>127</v>
      </c>
      <c r="D22" s="187" t="s">
        <v>135</v>
      </c>
      <c r="E22" s="296" t="s">
        <v>137</v>
      </c>
      <c r="F22" s="203" t="s">
        <v>486</v>
      </c>
      <c r="G22" s="203" t="s">
        <v>487</v>
      </c>
      <c r="H22" s="291">
        <v>1</v>
      </c>
      <c r="I22" s="291">
        <v>2</v>
      </c>
      <c r="J22" s="210">
        <v>850</v>
      </c>
      <c r="K22" s="210">
        <f>IF(F22&lt;&gt;"",H22*I22*J22,"")</f>
        <v>1700</v>
      </c>
      <c r="L22" s="210">
        <f>IF(K22&lt;&gt;"",IF(D22="INTERNO",0,K22*$L$14),"")</f>
        <v>127.5</v>
      </c>
      <c r="M22" s="210">
        <f>IF(K22&lt;&gt;"",IF(E22="FAT.OGGI",SUM(K22:L22)*(1/(1-$M$14)-1),L22*(1/(1-$M$14)-1)),0)</f>
        <v>443.53268298744888</v>
      </c>
      <c r="N22" s="210">
        <f>SUM(K22:M22)</f>
        <v>2271.0326829874489</v>
      </c>
      <c r="Q22" s="325">
        <f t="shared" si="12"/>
        <v>1</v>
      </c>
      <c r="R22" s="325">
        <v>3</v>
      </c>
      <c r="S22" s="326">
        <v>650</v>
      </c>
      <c r="T22" s="326">
        <v>0</v>
      </c>
      <c r="U22" s="215">
        <f>IF(Q22&lt;&gt;"",K22-T22,"")</f>
        <v>1700</v>
      </c>
      <c r="V22" s="216">
        <f>IF(Q22&lt;&gt;"",0%,"")</f>
        <v>0</v>
      </c>
      <c r="W22" s="217">
        <f>IF(Q22&lt;&gt;"",V22*U22,"")</f>
        <v>0</v>
      </c>
      <c r="X22" s="217">
        <f>IF(Q22&lt;&gt;"",W22+T22,"")</f>
        <v>0</v>
      </c>
      <c r="Y22" s="289">
        <f>IF(Q22&lt;&gt;"",X22+M22,"")</f>
        <v>443.53268298744888</v>
      </c>
      <c r="Z22" s="199">
        <f>IF(Q22&lt;&gt;"", IFERROR(U22/K22, 0), 0)</f>
        <v>1</v>
      </c>
      <c r="AB22" s="206" t="s">
        <v>529</v>
      </c>
      <c r="AK22" s="200">
        <f t="shared" si="11"/>
        <v>0</v>
      </c>
      <c r="AL22" s="201"/>
      <c r="AO22" s="206" t="s">
        <v>529</v>
      </c>
    </row>
    <row r="23" spans="1:41" ht="120" customHeight="1" thickBot="1" x14ac:dyDescent="0.45">
      <c r="A23" s="327">
        <v>9</v>
      </c>
      <c r="B23" s="178" t="s">
        <v>133</v>
      </c>
      <c r="C23" s="328" t="s">
        <v>127</v>
      </c>
      <c r="D23" s="329" t="s">
        <v>135</v>
      </c>
      <c r="E23" s="330" t="s">
        <v>137</v>
      </c>
      <c r="F23" s="331" t="s">
        <v>485</v>
      </c>
      <c r="G23" s="308" t="s">
        <v>492</v>
      </c>
      <c r="H23" s="332">
        <v>1</v>
      </c>
      <c r="I23" s="332">
        <v>1</v>
      </c>
      <c r="J23" s="333">
        <v>2082.5500000000002</v>
      </c>
      <c r="K23" s="333">
        <f>IF(F23&lt;&gt;"",H23*I23*J23,"")</f>
        <v>2082.5500000000002</v>
      </c>
      <c r="L23" s="333">
        <f>IF(K23&lt;&gt;"",IF(D23="INTERNO",0,K23*$L$14),"")</f>
        <v>156.19125</v>
      </c>
      <c r="M23" s="333">
        <f>IF(K23&lt;&gt;"",IF(E23="FAT.OGGI",SUM(K23:L23)*(1/(1-$M$14)-1),L23*(1/(1-$M$14)-1)),0)</f>
        <v>543.34058173853623</v>
      </c>
      <c r="N23" s="333">
        <f>SUM(K23:M23)</f>
        <v>2782.0818317385365</v>
      </c>
      <c r="Q23" s="334">
        <f t="shared" si="12"/>
        <v>1</v>
      </c>
      <c r="R23" s="334">
        <f t="shared" si="12"/>
        <v>1</v>
      </c>
      <c r="S23" s="335">
        <f>780+1538.49+99.97+200+198+70.81+165.46+1124.09+3200</f>
        <v>7376.82</v>
      </c>
      <c r="T23" s="335">
        <v>7376.82</v>
      </c>
      <c r="U23" s="336">
        <f>IF(Q23&lt;&gt;"",K23-T23,"")</f>
        <v>-5294.2699999999995</v>
      </c>
      <c r="V23" s="337">
        <f>IF(Q23&lt;&gt;"",0%,"")</f>
        <v>0</v>
      </c>
      <c r="W23" s="338">
        <f>IF(Q23&lt;&gt;"",V23*U23,"")</f>
        <v>0</v>
      </c>
      <c r="X23" s="338">
        <f>IF(Q23&lt;&gt;"",W23+T23,"")</f>
        <v>7376.82</v>
      </c>
      <c r="Y23" s="339">
        <f>IF(Q23&lt;&gt;"",X23+M23,"")</f>
        <v>7920.1605817385362</v>
      </c>
      <c r="Z23" s="199">
        <f>IF(Q23&lt;&gt;"", IFERROR(U23/K23, 0), 0)</f>
        <v>-2.54220546925644</v>
      </c>
      <c r="AA23" s="340"/>
      <c r="AB23" s="264" t="s">
        <v>494</v>
      </c>
      <c r="AK23" s="200">
        <f>X23-AL23</f>
        <v>0</v>
      </c>
      <c r="AL23" s="201">
        <f>'CUSTOS OPERACIONAIS'!G21</f>
        <v>7376.82</v>
      </c>
      <c r="AO23" s="264" t="s">
        <v>494</v>
      </c>
    </row>
    <row r="24" spans="1:41" ht="35.1" customHeight="1" thickBot="1" x14ac:dyDescent="0.5">
      <c r="A24" s="236">
        <v>10</v>
      </c>
      <c r="B24" s="178"/>
      <c r="C24" s="237" t="s">
        <v>155</v>
      </c>
      <c r="D24" s="236"/>
      <c r="E24" s="236"/>
      <c r="F24" s="486" t="s">
        <v>383</v>
      </c>
      <c r="G24" s="487"/>
      <c r="H24" s="487"/>
      <c r="I24" s="487"/>
      <c r="J24" s="487"/>
      <c r="K24" s="220">
        <f>SUM(K17:K21)</f>
        <v>1948.22</v>
      </c>
      <c r="L24" s="220">
        <f>SUM(L17:L21)</f>
        <v>146.1165</v>
      </c>
      <c r="M24" s="220">
        <f>SUM(M17:M21)</f>
        <v>508.29367273518096</v>
      </c>
      <c r="N24" s="265">
        <f>SUM(N17:N21)</f>
        <v>2602.6301727351811</v>
      </c>
      <c r="Q24" s="486" t="s">
        <v>383</v>
      </c>
      <c r="R24" s="487"/>
      <c r="S24" s="487"/>
      <c r="T24" s="266">
        <f>SUM(T17:T21)</f>
        <v>0</v>
      </c>
      <c r="U24" s="267">
        <f>SUM(U17:U21)</f>
        <v>1948.22</v>
      </c>
      <c r="V24" s="268"/>
      <c r="W24" s="268"/>
      <c r="X24" s="269">
        <f>SUM(X17:X21)</f>
        <v>0</v>
      </c>
      <c r="Y24" s="270">
        <f>IF(Q24&lt;&gt;"",X24+M24,"")</f>
        <v>508.29367273518096</v>
      </c>
      <c r="Z24" s="271" t="s">
        <v>306</v>
      </c>
      <c r="AA24" s="341" t="s">
        <v>307</v>
      </c>
      <c r="AK24" s="200"/>
      <c r="AL24" s="201"/>
    </row>
    <row r="25" spans="1:41" ht="35.1" customHeight="1" thickBot="1" x14ac:dyDescent="0.5">
      <c r="A25" s="230">
        <v>11</v>
      </c>
      <c r="B25" s="227"/>
      <c r="C25" s="324" t="s">
        <v>304</v>
      </c>
      <c r="D25" s="230"/>
      <c r="E25" s="230"/>
      <c r="F25" s="34" t="s">
        <v>305</v>
      </c>
      <c r="G25" s="35"/>
      <c r="H25" s="35"/>
      <c r="I25" s="35"/>
      <c r="J25" s="35"/>
      <c r="K25" s="37">
        <f>SUM(K17:K21)</f>
        <v>1948.22</v>
      </c>
      <c r="L25" s="37">
        <f>SUM(L17:L21)</f>
        <v>146.1165</v>
      </c>
      <c r="M25" s="37">
        <f>SUM(M17:M21)</f>
        <v>508.29367273518096</v>
      </c>
      <c r="N25" s="111">
        <f>SUM(N17:N23)</f>
        <v>7655.7446874611669</v>
      </c>
      <c r="Q25" s="34" t="s">
        <v>43</v>
      </c>
      <c r="R25" s="35"/>
      <c r="S25" s="35"/>
      <c r="T25" s="37">
        <f>SUM(T17:T21)</f>
        <v>0</v>
      </c>
      <c r="U25" s="37">
        <f>SUM(U17:U21)</f>
        <v>1948.22</v>
      </c>
      <c r="V25" s="35"/>
      <c r="W25" s="35"/>
      <c r="X25" s="37">
        <f>SUM(X17:X23)</f>
        <v>7376.82</v>
      </c>
      <c r="Y25" s="111">
        <f>SUM(Y17:Y21)</f>
        <v>508.29367273518096</v>
      </c>
      <c r="Z25" s="40">
        <f>IF(Q25&lt;&gt;"",(N25-Y25)/N25,"")</f>
        <v>0.93360624034815565</v>
      </c>
      <c r="AA25" s="112">
        <f>IF(Z25&lt;&gt;"",(N25-Y25),"")</f>
        <v>7147.4510147259862</v>
      </c>
      <c r="AK25" s="200">
        <f>SUM(AK17:AK23)</f>
        <v>0</v>
      </c>
      <c r="AL25" s="201">
        <f>SUM(AL17:AL23)</f>
        <v>7376.82</v>
      </c>
    </row>
    <row r="26" spans="1:41" ht="30.6" x14ac:dyDescent="0.55000000000000004">
      <c r="H26" s="128"/>
      <c r="I26" s="128"/>
      <c r="Q26" s="128"/>
      <c r="R26" s="128"/>
      <c r="AL26" s="455"/>
      <c r="AM26" s="456" t="s">
        <v>600</v>
      </c>
    </row>
    <row r="27" spans="1:41" ht="30.6" x14ac:dyDescent="0.55000000000000004">
      <c r="H27" s="128"/>
      <c r="I27" s="128"/>
      <c r="Q27" s="128"/>
      <c r="R27" s="128"/>
      <c r="AL27" s="455">
        <f>X25</f>
        <v>7376.82</v>
      </c>
      <c r="AM27" s="456" t="s">
        <v>601</v>
      </c>
    </row>
    <row r="28" spans="1:41" ht="30.6" x14ac:dyDescent="0.55000000000000004">
      <c r="H28" s="128"/>
      <c r="I28" s="128"/>
      <c r="Q28" s="128"/>
      <c r="R28" s="128"/>
      <c r="AL28" s="455">
        <f>N25-X25</f>
        <v>278.9246874611672</v>
      </c>
      <c r="AM28" s="457" t="s">
        <v>594</v>
      </c>
    </row>
    <row r="29" spans="1:41" ht="31.2" x14ac:dyDescent="0.6">
      <c r="H29" s="128"/>
      <c r="I29" s="128"/>
      <c r="Q29" s="128"/>
      <c r="R29" s="128"/>
      <c r="AL29" s="458">
        <f>AL28*100%/N25</f>
        <v>3.6433384190306048E-2</v>
      </c>
      <c r="AM29" s="459"/>
    </row>
    <row r="30" spans="1:41" x14ac:dyDescent="0.4">
      <c r="H30" s="128"/>
      <c r="I30" s="128"/>
      <c r="Q30" s="128"/>
      <c r="R30" s="128"/>
    </row>
    <row r="31" spans="1:41" x14ac:dyDescent="0.4">
      <c r="H31" s="128"/>
      <c r="I31" s="128"/>
      <c r="Q31" s="128"/>
      <c r="R31" s="128"/>
    </row>
    <row r="32" spans="1:41" x14ac:dyDescent="0.4">
      <c r="H32" s="128"/>
      <c r="I32" s="128"/>
      <c r="Q32" s="128"/>
      <c r="R32" s="128"/>
    </row>
    <row r="33" s="128" customFormat="1" x14ac:dyDescent="0.4"/>
    <row r="34" s="128" customFormat="1" x14ac:dyDescent="0.4"/>
    <row r="35" s="128" customFormat="1" x14ac:dyDescent="0.4"/>
    <row r="36" s="128" customFormat="1" x14ac:dyDescent="0.4"/>
    <row r="37" s="128" customFormat="1" x14ac:dyDescent="0.4"/>
    <row r="38" s="128" customFormat="1" x14ac:dyDescent="0.4"/>
    <row r="39" s="128" customFormat="1" x14ac:dyDescent="0.4"/>
    <row r="40" s="128" customFormat="1" x14ac:dyDescent="0.4"/>
    <row r="41" s="128" customFormat="1" x14ac:dyDescent="0.4"/>
    <row r="42" s="128" customFormat="1" x14ac:dyDescent="0.4"/>
    <row r="43" s="128" customFormat="1" x14ac:dyDescent="0.4"/>
    <row r="44" s="128" customFormat="1" x14ac:dyDescent="0.4"/>
    <row r="45" s="128" customFormat="1" x14ac:dyDescent="0.4"/>
    <row r="46" s="128" customFormat="1" x14ac:dyDescent="0.4"/>
    <row r="47" s="128" customFormat="1" x14ac:dyDescent="0.4"/>
    <row r="48" s="128" customFormat="1" x14ac:dyDescent="0.4"/>
    <row r="49" s="128" customFormat="1" x14ac:dyDescent="0.4"/>
    <row r="50" s="128" customFormat="1" x14ac:dyDescent="0.4"/>
    <row r="51" s="128" customFormat="1" x14ac:dyDescent="0.4"/>
    <row r="52" s="128" customFormat="1" x14ac:dyDescent="0.4"/>
    <row r="53" s="128" customFormat="1" x14ac:dyDescent="0.4"/>
    <row r="54" s="128" customFormat="1" x14ac:dyDescent="0.4"/>
    <row r="55" s="128" customFormat="1" x14ac:dyDescent="0.4"/>
    <row r="56" s="128" customFormat="1" x14ac:dyDescent="0.4"/>
    <row r="57" s="128" customFormat="1" x14ac:dyDescent="0.4"/>
    <row r="58" s="128" customFormat="1" x14ac:dyDescent="0.4"/>
    <row r="59" s="128" customFormat="1" x14ac:dyDescent="0.4"/>
    <row r="60" s="128" customFormat="1" x14ac:dyDescent="0.4"/>
    <row r="61" s="128" customFormat="1" x14ac:dyDescent="0.4"/>
    <row r="62" s="128" customFormat="1" x14ac:dyDescent="0.4"/>
    <row r="63" s="128" customFormat="1" x14ac:dyDescent="0.4"/>
    <row r="64" s="128" customFormat="1" x14ac:dyDescent="0.4"/>
    <row r="65" s="128" customFormat="1" x14ac:dyDescent="0.4"/>
    <row r="66" s="128" customFormat="1" x14ac:dyDescent="0.4"/>
    <row r="67" s="128" customFormat="1" x14ac:dyDescent="0.4"/>
    <row r="68" s="128" customFormat="1" x14ac:dyDescent="0.4"/>
    <row r="69" s="128" customFormat="1" x14ac:dyDescent="0.4"/>
    <row r="70" s="128" customFormat="1" x14ac:dyDescent="0.4"/>
    <row r="71" s="128" customFormat="1" x14ac:dyDescent="0.4"/>
    <row r="72" s="128" customFormat="1" x14ac:dyDescent="0.4"/>
    <row r="73" s="128" customFormat="1" x14ac:dyDescent="0.4"/>
    <row r="74" s="128" customFormat="1" x14ac:dyDescent="0.4"/>
    <row r="75" s="128" customFormat="1" x14ac:dyDescent="0.4"/>
    <row r="76" s="128" customFormat="1" x14ac:dyDescent="0.4"/>
    <row r="77" s="128" customFormat="1" x14ac:dyDescent="0.4"/>
    <row r="78" s="128" customFormat="1" x14ac:dyDescent="0.4"/>
    <row r="79" s="128" customFormat="1" x14ac:dyDescent="0.4"/>
    <row r="80" s="128" customFormat="1" x14ac:dyDescent="0.4"/>
    <row r="81" s="128" customFormat="1" x14ac:dyDescent="0.4"/>
    <row r="82" s="128" customFormat="1" x14ac:dyDescent="0.4"/>
    <row r="83" s="128" customFormat="1" x14ac:dyDescent="0.4"/>
    <row r="84" s="128" customFormat="1" x14ac:dyDescent="0.4"/>
    <row r="85" s="128" customFormat="1" x14ac:dyDescent="0.4"/>
    <row r="86" s="128" customFormat="1" x14ac:dyDescent="0.4"/>
  </sheetData>
  <autoFilter ref="A1:AL14" xr:uid="{107B9E09-8154-459A-AE62-6A4242823A27}">
    <filterColumn colId="5" showButton="0"/>
  </autoFilter>
  <mergeCells count="15">
    <mergeCell ref="AK12:AL12"/>
    <mergeCell ref="F15:N15"/>
    <mergeCell ref="Q15:Y15"/>
    <mergeCell ref="F16:K16"/>
    <mergeCell ref="Q16:Y16"/>
    <mergeCell ref="U12:X12"/>
    <mergeCell ref="AC12:AE12"/>
    <mergeCell ref="AG12:AH12"/>
    <mergeCell ref="AK15:AL15"/>
    <mergeCell ref="AK16:AL16"/>
    <mergeCell ref="F24:J24"/>
    <mergeCell ref="Q24:S24"/>
    <mergeCell ref="F1:G1"/>
    <mergeCell ref="F2:G2"/>
    <mergeCell ref="Q12:T12"/>
  </mergeCells>
  <dataValidations count="3">
    <dataValidation type="list" allowBlank="1" showInputMessage="1" showErrorMessage="1" sqref="D25 D17:D23" xr:uid="{4785C957-F44A-454C-AE5D-E32A5196D477}">
      <formula1>"INTERNO,OPERACIONAL"</formula1>
    </dataValidation>
    <dataValidation type="list" allowBlank="1" showInputMessage="1" showErrorMessage="1" sqref="E25" xr:uid="{F6670AB5-A880-4D22-9529-2A7F4848665C}">
      <formula1>"FAT.OGGI,FAT.CLIENTE "</formula1>
    </dataValidation>
    <dataValidation type="list" allowBlank="1" showInputMessage="1" showErrorMessage="1" sqref="E17:E23" xr:uid="{FA9BE07E-3CFB-47B1-B7DA-A29EECDBBFC1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1BCB-FAD6-4BDD-8C63-CEACF834C6BC}">
  <sheetPr codeName="Planilha16">
    <pageSetUpPr autoPageBreaks="0"/>
  </sheetPr>
  <dimension ref="A1:AM44"/>
  <sheetViews>
    <sheetView showGridLines="0" topLeftCell="B1" zoomScale="50" zoomScaleNormal="50" workbookViewId="0">
      <pane ySplit="1" topLeftCell="A30" activePane="bottomLeft" state="frozen"/>
      <selection activeCell="T28" sqref="Q28:Y39"/>
      <selection pane="bottomLeft" activeCell="N21" sqref="N21"/>
    </sheetView>
  </sheetViews>
  <sheetFormatPr defaultColWidth="8.88671875" defaultRowHeight="21" x14ac:dyDescent="0.4"/>
  <cols>
    <col min="1" max="1" width="4.5546875" style="128" hidden="1" customWidth="1"/>
    <col min="2" max="2" width="10.5546875" style="128" customWidth="1"/>
    <col min="3" max="3" width="11.44140625" style="128" hidden="1" customWidth="1"/>
    <col min="4" max="4" width="12.44140625" style="128" hidden="1" customWidth="1"/>
    <col min="5" max="5" width="10.6640625" style="128" hidden="1" customWidth="1"/>
    <col min="6" max="6" width="28.88671875" style="128" customWidth="1"/>
    <col min="7" max="7" width="56.88671875" style="128" customWidth="1"/>
    <col min="8" max="8" width="5.6640625" style="131" hidden="1" customWidth="1"/>
    <col min="9" max="9" width="5.88671875" style="131" hidden="1" customWidth="1"/>
    <col min="10" max="10" width="20.5546875" style="128" hidden="1" customWidth="1"/>
    <col min="11" max="11" width="26.44140625" style="128" hidden="1" customWidth="1"/>
    <col min="12" max="12" width="24.88671875" style="128" bestFit="1" customWidth="1"/>
    <col min="13" max="13" width="25.109375" style="128" customWidth="1"/>
    <col min="14" max="14" width="26.6640625" style="128" bestFit="1" customWidth="1"/>
    <col min="15" max="15" width="3.33203125" style="128" hidden="1" customWidth="1"/>
    <col min="16" max="16" width="1.88671875" style="128" hidden="1" customWidth="1"/>
    <col min="17" max="17" width="5.88671875" style="131" customWidth="1"/>
    <col min="18" max="18" width="5.109375" style="131" hidden="1" customWidth="1"/>
    <col min="19" max="19" width="20.5546875" style="128" hidden="1" customWidth="1"/>
    <col min="20" max="20" width="26.5546875" style="128" customWidth="1"/>
    <col min="21" max="21" width="24.88671875" style="128" hidden="1" customWidth="1"/>
    <col min="22" max="22" width="9.88671875" style="128" hidden="1" customWidth="1"/>
    <col min="23" max="23" width="16.33203125" style="128" hidden="1" customWidth="1"/>
    <col min="24" max="24" width="27.5546875" style="128" bestFit="1" customWidth="1"/>
    <col min="25" max="25" width="26.88671875" style="128" hidden="1" customWidth="1"/>
    <col min="26" max="26" width="14.6640625" style="128" hidden="1" customWidth="1"/>
    <col min="27" max="27" width="24.6640625" style="128" hidden="1" customWidth="1"/>
    <col min="28" max="28" width="38.10937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3.88671875" style="128" customWidth="1"/>
    <col min="38" max="38" width="27.5546875" style="128" bestFit="1" customWidth="1"/>
    <col min="39" max="39" width="8.88671875" style="454"/>
    <col min="40" max="40" width="21.33203125" style="128" customWidth="1"/>
    <col min="41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555</v>
      </c>
      <c r="G10" s="138"/>
    </row>
    <row r="11" spans="1:38" ht="22.2" x14ac:dyDescent="0.4">
      <c r="F11" s="140" t="s">
        <v>556</v>
      </c>
      <c r="G11" s="141"/>
    </row>
    <row r="12" spans="1:38" ht="67.2" hidden="1" thickBot="1" x14ac:dyDescent="0.45">
      <c r="B12" s="142"/>
      <c r="M12" s="143"/>
      <c r="Q12" s="493" t="s">
        <v>1</v>
      </c>
      <c r="R12" s="494"/>
      <c r="S12" s="494"/>
      <c r="T12" s="517"/>
      <c r="U12" s="496" t="s">
        <v>2</v>
      </c>
      <c r="V12" s="497"/>
      <c r="W12" s="497"/>
      <c r="X12" s="518"/>
      <c r="Y12" s="144" t="s">
        <v>56</v>
      </c>
      <c r="Z12" s="342">
        <f>(1/(1-M14))-1</f>
        <v>0.24269914253759173</v>
      </c>
      <c r="AC12" s="499" t="s">
        <v>3</v>
      </c>
      <c r="AD12" s="500"/>
      <c r="AE12" s="519"/>
      <c r="AG12" s="502" t="s">
        <v>58</v>
      </c>
      <c r="AH12" s="520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5.1" customHeight="1" thickBot="1" x14ac:dyDescent="0.45">
      <c r="A14" s="150">
        <v>0</v>
      </c>
      <c r="B14" s="151"/>
      <c r="C14" s="152"/>
      <c r="D14" s="153"/>
      <c r="E14" s="153"/>
      <c r="F14" s="277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0.05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5.1" customHeight="1" thickBot="1" x14ac:dyDescent="0.5">
      <c r="A15" s="236">
        <v>1</v>
      </c>
      <c r="B15" s="178">
        <v>1</v>
      </c>
      <c r="C15" s="237" t="s">
        <v>121</v>
      </c>
      <c r="D15" s="236"/>
      <c r="E15" s="236"/>
      <c r="F15" s="505" t="s">
        <v>507</v>
      </c>
      <c r="G15" s="481"/>
      <c r="H15" s="481"/>
      <c r="I15" s="481"/>
      <c r="J15" s="481"/>
      <c r="K15" s="481"/>
      <c r="L15" s="481"/>
      <c r="M15" s="481"/>
      <c r="N15" s="513"/>
      <c r="Q15" s="514" t="str">
        <f>IF(F15&lt;&gt;"",F15,"")</f>
        <v>HOTEL</v>
      </c>
      <c r="R15" s="515"/>
      <c r="S15" s="515"/>
      <c r="T15" s="515"/>
      <c r="U15" s="515"/>
      <c r="V15" s="515"/>
      <c r="W15" s="515"/>
      <c r="X15" s="515"/>
      <c r="Y15" s="516"/>
      <c r="AK15" s="477"/>
      <c r="AL15" s="477"/>
    </row>
    <row r="16" spans="1:38" ht="35.1" customHeight="1" thickBot="1" x14ac:dyDescent="0.5">
      <c r="A16" s="153">
        <v>2</v>
      </c>
      <c r="B16" s="178" t="s">
        <v>123</v>
      </c>
      <c r="C16" s="179" t="s">
        <v>122</v>
      </c>
      <c r="D16" s="153"/>
      <c r="E16" s="153"/>
      <c r="F16" s="478" t="s">
        <v>508</v>
      </c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343" t="s">
        <v>82</v>
      </c>
      <c r="Q16" s="525" t="str">
        <f>IF(F16&lt;&gt;"",F16,"")</f>
        <v>BOURBON ATIBAIA - PERÍODO DE 14 A 15 DE JANEIRO</v>
      </c>
      <c r="R16" s="526"/>
      <c r="S16" s="526"/>
      <c r="T16" s="526"/>
      <c r="U16" s="526"/>
      <c r="V16" s="526"/>
      <c r="W16" s="526"/>
      <c r="X16" s="526"/>
      <c r="Y16" s="527"/>
      <c r="Z16" s="184" t="s">
        <v>126</v>
      </c>
      <c r="AA16" s="185" t="s">
        <v>83</v>
      </c>
      <c r="AK16" s="478"/>
      <c r="AL16" s="479"/>
    </row>
    <row r="17" spans="1:39" ht="120" customHeight="1" x14ac:dyDescent="0.4">
      <c r="A17" s="153">
        <v>3</v>
      </c>
      <c r="B17" s="178" t="s">
        <v>128</v>
      </c>
      <c r="C17" s="179" t="s">
        <v>127</v>
      </c>
      <c r="D17" s="153" t="s">
        <v>135</v>
      </c>
      <c r="E17" s="153" t="s">
        <v>496</v>
      </c>
      <c r="F17" s="344" t="s">
        <v>509</v>
      </c>
      <c r="G17" s="345" t="s">
        <v>562</v>
      </c>
      <c r="H17" s="346">
        <v>22</v>
      </c>
      <c r="I17" s="346">
        <v>2</v>
      </c>
      <c r="J17" s="347">
        <v>975</v>
      </c>
      <c r="K17" s="347">
        <f>IF(F17&lt;&gt;"",H17*I17*J17,"")</f>
        <v>42900</v>
      </c>
      <c r="L17" s="347">
        <f t="shared" ref="L17:L34" si="0">IF(K17&lt;&gt;"",IF(D17="INTERNO",0,K17*$L$14),"")</f>
        <v>2145</v>
      </c>
      <c r="M17" s="347">
        <f t="shared" ref="M17:M34" si="1">IF(K17&lt;&gt;"",IF(E17="FAT.OGGI",SUM(K17:L17)*(1/(1-$M$14)-1),L17*(1/(1-$M$14)-1)),"")</f>
        <v>520.58966074313423</v>
      </c>
      <c r="N17" s="348">
        <f t="shared" ref="N17:N34" si="2">SUM(K17:M17)</f>
        <v>45565.589660743135</v>
      </c>
      <c r="Q17" s="316">
        <f t="shared" ref="Q17:Q34" si="3">IF(H17&lt;&gt;"",H17,"")</f>
        <v>22</v>
      </c>
      <c r="R17" s="285">
        <v>2</v>
      </c>
      <c r="S17" s="349">
        <v>975</v>
      </c>
      <c r="T17" s="286">
        <v>718567.86</v>
      </c>
      <c r="U17" s="287">
        <f t="shared" ref="U17:U34" si="4">IF(Q17&lt;&gt;"",K17-T17,"")</f>
        <v>-675667.86</v>
      </c>
      <c r="V17" s="288">
        <f t="shared" ref="V17:V34" si="5">IF(Q17&lt;&gt;"",0%,"")</f>
        <v>0</v>
      </c>
      <c r="W17" s="289">
        <f t="shared" ref="W17:W34" si="6">IF(Q17&lt;&gt;"",V17*U17,"")</f>
        <v>0</v>
      </c>
      <c r="X17" s="289">
        <f t="shared" ref="X17:X34" si="7">IF(Q17&lt;&gt;"",W17+T17,"")</f>
        <v>718567.86</v>
      </c>
      <c r="Y17" s="218">
        <f t="shared" ref="Y17:Y35" si="8">IF(Q17&lt;&gt;"",X17+M17,"")</f>
        <v>719088.44966074312</v>
      </c>
      <c r="Z17" s="198">
        <f t="shared" ref="Z17:Z34" si="9">IF(Q17&lt;&gt;"",U17/K17,"")</f>
        <v>-15.749833566433566</v>
      </c>
      <c r="AA17" s="199">
        <f t="shared" ref="AA17:AA34" si="10">T17/$T$35</f>
        <v>1</v>
      </c>
      <c r="AK17" s="200">
        <f>X17-AL17</f>
        <v>0</v>
      </c>
      <c r="AL17" s="201">
        <f>119770.01+169528.18+169528.18+209983.32+49758.17</f>
        <v>718567.86</v>
      </c>
      <c r="AM17" s="454" t="s">
        <v>630</v>
      </c>
    </row>
    <row r="18" spans="1:39" ht="120" customHeight="1" x14ac:dyDescent="0.4">
      <c r="A18" s="236">
        <v>4</v>
      </c>
      <c r="B18" s="178" t="s">
        <v>105</v>
      </c>
      <c r="C18" s="179" t="s">
        <v>127</v>
      </c>
      <c r="D18" s="153" t="s">
        <v>135</v>
      </c>
      <c r="E18" s="153" t="s">
        <v>496</v>
      </c>
      <c r="F18" s="350" t="s">
        <v>509</v>
      </c>
      <c r="G18" s="187" t="s">
        <v>563</v>
      </c>
      <c r="H18" s="188">
        <v>99</v>
      </c>
      <c r="I18" s="188">
        <v>2</v>
      </c>
      <c r="J18" s="189">
        <v>1107</v>
      </c>
      <c r="K18" s="189">
        <f>IF(F18&lt;&gt;"",H18*I18*J18,"")</f>
        <v>219186</v>
      </c>
      <c r="L18" s="189">
        <f t="shared" si="0"/>
        <v>10959.300000000001</v>
      </c>
      <c r="M18" s="189">
        <f t="shared" si="1"/>
        <v>2659.8127128122292</v>
      </c>
      <c r="N18" s="190">
        <f t="shared" si="2"/>
        <v>232805.11271281223</v>
      </c>
      <c r="Q18" s="316">
        <f t="shared" si="3"/>
        <v>99</v>
      </c>
      <c r="R18" s="285">
        <v>2</v>
      </c>
      <c r="S18" s="349">
        <v>1107</v>
      </c>
      <c r="T18" s="286">
        <v>0</v>
      </c>
      <c r="U18" s="287">
        <f t="shared" si="4"/>
        <v>219186</v>
      </c>
      <c r="V18" s="288">
        <f t="shared" si="5"/>
        <v>0</v>
      </c>
      <c r="W18" s="289">
        <f t="shared" si="6"/>
        <v>0</v>
      </c>
      <c r="X18" s="289">
        <f t="shared" si="7"/>
        <v>0</v>
      </c>
      <c r="Y18" s="218">
        <f t="shared" si="8"/>
        <v>2659.8127128122292</v>
      </c>
      <c r="Z18" s="198">
        <f t="shared" si="9"/>
        <v>1</v>
      </c>
      <c r="AA18" s="199">
        <f t="shared" si="10"/>
        <v>0</v>
      </c>
      <c r="AK18" s="200">
        <f t="shared" ref="AK18:AK38" si="11">X18-AL18</f>
        <v>0</v>
      </c>
      <c r="AL18" s="201"/>
    </row>
    <row r="19" spans="1:39" ht="120" customHeight="1" x14ac:dyDescent="0.4">
      <c r="A19" s="153">
        <v>5</v>
      </c>
      <c r="B19" s="178" t="s">
        <v>129</v>
      </c>
      <c r="C19" s="179" t="s">
        <v>127</v>
      </c>
      <c r="D19" s="153" t="s">
        <v>135</v>
      </c>
      <c r="E19" s="153" t="s">
        <v>496</v>
      </c>
      <c r="F19" s="351" t="s">
        <v>509</v>
      </c>
      <c r="G19" s="253" t="s">
        <v>510</v>
      </c>
      <c r="H19" s="352">
        <v>1</v>
      </c>
      <c r="I19" s="352">
        <v>1</v>
      </c>
      <c r="J19" s="353">
        <f>SUM(K17:K18)*2%</f>
        <v>5241.72</v>
      </c>
      <c r="K19" s="353">
        <f>IF(F19&lt;&gt;"",H19*I19*J19,"")</f>
        <v>5241.72</v>
      </c>
      <c r="L19" s="353">
        <f t="shared" si="0"/>
        <v>262.08600000000001</v>
      </c>
      <c r="M19" s="353">
        <f t="shared" si="1"/>
        <v>63.60804747110727</v>
      </c>
      <c r="N19" s="354">
        <f t="shared" si="2"/>
        <v>5567.4140474711076</v>
      </c>
      <c r="Q19" s="316">
        <f t="shared" si="3"/>
        <v>1</v>
      </c>
      <c r="R19" s="285">
        <v>1</v>
      </c>
      <c r="S19" s="349">
        <v>5241.72</v>
      </c>
      <c r="T19" s="286">
        <v>0</v>
      </c>
      <c r="U19" s="287">
        <f t="shared" si="4"/>
        <v>5241.72</v>
      </c>
      <c r="V19" s="288">
        <f t="shared" si="5"/>
        <v>0</v>
      </c>
      <c r="W19" s="289">
        <f t="shared" si="6"/>
        <v>0</v>
      </c>
      <c r="X19" s="289">
        <f t="shared" si="7"/>
        <v>0</v>
      </c>
      <c r="Y19" s="218">
        <f t="shared" si="8"/>
        <v>63.60804747110727</v>
      </c>
      <c r="Z19" s="198">
        <f t="shared" si="9"/>
        <v>1</v>
      </c>
      <c r="AA19" s="199">
        <f t="shared" si="10"/>
        <v>0</v>
      </c>
      <c r="AK19" s="200">
        <f t="shared" si="11"/>
        <v>0</v>
      </c>
      <c r="AL19" s="201"/>
    </row>
    <row r="20" spans="1:39" ht="120" customHeight="1" x14ac:dyDescent="0.4">
      <c r="A20" s="153">
        <v>6</v>
      </c>
      <c r="B20" s="178" t="s">
        <v>130</v>
      </c>
      <c r="C20" s="237" t="s">
        <v>127</v>
      </c>
      <c r="D20" s="236" t="s">
        <v>135</v>
      </c>
      <c r="E20" s="153" t="s">
        <v>496</v>
      </c>
      <c r="F20" s="355" t="s">
        <v>511</v>
      </c>
      <c r="G20" s="203" t="s">
        <v>564</v>
      </c>
      <c r="H20" s="209">
        <v>121</v>
      </c>
      <c r="I20" s="209">
        <v>1</v>
      </c>
      <c r="J20" s="210">
        <v>5.51</v>
      </c>
      <c r="K20" s="210">
        <v>0</v>
      </c>
      <c r="L20" s="210">
        <f t="shared" si="0"/>
        <v>0</v>
      </c>
      <c r="M20" s="210">
        <f t="shared" si="1"/>
        <v>0</v>
      </c>
      <c r="N20" s="211">
        <v>929.37</v>
      </c>
      <c r="Q20" s="316">
        <f t="shared" si="3"/>
        <v>121</v>
      </c>
      <c r="R20" s="285">
        <v>1</v>
      </c>
      <c r="S20" s="356">
        <v>5.51</v>
      </c>
      <c r="T20" s="286">
        <v>0</v>
      </c>
      <c r="U20" s="287">
        <f t="shared" si="4"/>
        <v>0</v>
      </c>
      <c r="V20" s="288">
        <f t="shared" si="5"/>
        <v>0</v>
      </c>
      <c r="W20" s="289">
        <f t="shared" si="6"/>
        <v>0</v>
      </c>
      <c r="X20" s="289">
        <f t="shared" si="7"/>
        <v>0</v>
      </c>
      <c r="Y20" s="218">
        <f t="shared" si="8"/>
        <v>0</v>
      </c>
      <c r="Z20" s="357" t="e">
        <f t="shared" si="9"/>
        <v>#DIV/0!</v>
      </c>
      <c r="AA20" s="199">
        <f t="shared" si="10"/>
        <v>0</v>
      </c>
      <c r="AK20" s="200">
        <f t="shared" si="11"/>
        <v>0</v>
      </c>
      <c r="AL20" s="201"/>
    </row>
    <row r="21" spans="1:39" ht="120" customHeight="1" x14ac:dyDescent="0.4">
      <c r="A21" s="153">
        <v>7</v>
      </c>
      <c r="B21" s="178" t="s">
        <v>131</v>
      </c>
      <c r="C21" s="179" t="s">
        <v>127</v>
      </c>
      <c r="D21" s="153" t="s">
        <v>135</v>
      </c>
      <c r="E21" s="153" t="s">
        <v>496</v>
      </c>
      <c r="F21" s="350" t="s">
        <v>511</v>
      </c>
      <c r="G21" s="187" t="s">
        <v>565</v>
      </c>
      <c r="H21" s="188">
        <v>121</v>
      </c>
      <c r="I21" s="188">
        <v>2</v>
      </c>
      <c r="J21" s="189">
        <v>33.659999999999997</v>
      </c>
      <c r="K21" s="189">
        <v>0</v>
      </c>
      <c r="L21" s="189">
        <f t="shared" si="0"/>
        <v>0</v>
      </c>
      <c r="M21" s="189">
        <f t="shared" si="1"/>
        <v>0</v>
      </c>
      <c r="N21" s="190">
        <f t="shared" si="2"/>
        <v>0</v>
      </c>
      <c r="Q21" s="316">
        <f t="shared" si="3"/>
        <v>121</v>
      </c>
      <c r="R21" s="285">
        <v>2</v>
      </c>
      <c r="S21" s="356">
        <v>33.659999999999997</v>
      </c>
      <c r="T21" s="286">
        <v>0</v>
      </c>
      <c r="U21" s="287">
        <f t="shared" si="4"/>
        <v>0</v>
      </c>
      <c r="V21" s="288">
        <f t="shared" si="5"/>
        <v>0</v>
      </c>
      <c r="W21" s="289">
        <f t="shared" si="6"/>
        <v>0</v>
      </c>
      <c r="X21" s="289">
        <f t="shared" si="7"/>
        <v>0</v>
      </c>
      <c r="Y21" s="218">
        <f t="shared" si="8"/>
        <v>0</v>
      </c>
      <c r="Z21" s="198" t="e">
        <f t="shared" si="9"/>
        <v>#DIV/0!</v>
      </c>
      <c r="AA21" s="199">
        <f t="shared" si="10"/>
        <v>0</v>
      </c>
      <c r="AK21" s="200">
        <f t="shared" si="11"/>
        <v>0</v>
      </c>
      <c r="AL21" s="201"/>
    </row>
    <row r="22" spans="1:39" ht="120" customHeight="1" x14ac:dyDescent="0.4">
      <c r="A22" s="236">
        <v>8</v>
      </c>
      <c r="B22" s="178" t="s">
        <v>132</v>
      </c>
      <c r="C22" s="179" t="s">
        <v>127</v>
      </c>
      <c r="D22" s="153" t="s">
        <v>135</v>
      </c>
      <c r="E22" s="153" t="s">
        <v>496</v>
      </c>
      <c r="F22" s="355" t="s">
        <v>511</v>
      </c>
      <c r="G22" s="203" t="s">
        <v>566</v>
      </c>
      <c r="H22" s="209">
        <v>60</v>
      </c>
      <c r="I22" s="209">
        <v>2</v>
      </c>
      <c r="J22" s="210">
        <v>49.98</v>
      </c>
      <c r="K22" s="210">
        <v>0</v>
      </c>
      <c r="L22" s="210">
        <f t="shared" si="0"/>
        <v>0</v>
      </c>
      <c r="M22" s="210">
        <f t="shared" si="1"/>
        <v>0</v>
      </c>
      <c r="N22" s="211">
        <f t="shared" si="2"/>
        <v>0</v>
      </c>
      <c r="Q22" s="316">
        <f t="shared" si="3"/>
        <v>60</v>
      </c>
      <c r="R22" s="285">
        <v>2</v>
      </c>
      <c r="S22" s="356">
        <v>49.98</v>
      </c>
      <c r="T22" s="286">
        <v>0</v>
      </c>
      <c r="U22" s="287">
        <f t="shared" si="4"/>
        <v>0</v>
      </c>
      <c r="V22" s="288">
        <f t="shared" si="5"/>
        <v>0</v>
      </c>
      <c r="W22" s="289">
        <f t="shared" si="6"/>
        <v>0</v>
      </c>
      <c r="X22" s="289">
        <f t="shared" si="7"/>
        <v>0</v>
      </c>
      <c r="Y22" s="218">
        <f t="shared" si="8"/>
        <v>0</v>
      </c>
      <c r="Z22" s="198" t="e">
        <f t="shared" si="9"/>
        <v>#DIV/0!</v>
      </c>
      <c r="AA22" s="199">
        <f t="shared" si="10"/>
        <v>0</v>
      </c>
      <c r="AK22" s="200">
        <f t="shared" si="11"/>
        <v>0</v>
      </c>
      <c r="AL22" s="201"/>
    </row>
    <row r="23" spans="1:39" ht="120" customHeight="1" x14ac:dyDescent="0.4">
      <c r="A23" s="153">
        <v>9</v>
      </c>
      <c r="B23" s="178" t="s">
        <v>133</v>
      </c>
      <c r="C23" s="328" t="s">
        <v>127</v>
      </c>
      <c r="D23" s="327" t="s">
        <v>135</v>
      </c>
      <c r="E23" s="153" t="s">
        <v>496</v>
      </c>
      <c r="F23" s="358" t="s">
        <v>512</v>
      </c>
      <c r="G23" s="359" t="s">
        <v>567</v>
      </c>
      <c r="H23" s="360">
        <v>1</v>
      </c>
      <c r="I23" s="360">
        <v>2</v>
      </c>
      <c r="J23" s="361">
        <v>20149</v>
      </c>
      <c r="K23" s="362">
        <f t="shared" ref="K23:K34" si="12">IF(F23&lt;&gt;"",H23*I23*J23,"")</f>
        <v>40298</v>
      </c>
      <c r="L23" s="333">
        <f t="shared" si="0"/>
        <v>2014.9</v>
      </c>
      <c r="M23" s="333">
        <f t="shared" si="1"/>
        <v>489.01450229899359</v>
      </c>
      <c r="N23" s="363">
        <f t="shared" si="2"/>
        <v>42801.914502298998</v>
      </c>
      <c r="Q23" s="316">
        <f t="shared" si="3"/>
        <v>1</v>
      </c>
      <c r="R23" s="285">
        <v>2</v>
      </c>
      <c r="S23" s="349">
        <v>20149</v>
      </c>
      <c r="T23" s="364">
        <v>0</v>
      </c>
      <c r="U23" s="287">
        <f t="shared" si="4"/>
        <v>40298</v>
      </c>
      <c r="V23" s="288">
        <f t="shared" si="5"/>
        <v>0</v>
      </c>
      <c r="W23" s="289">
        <f t="shared" si="6"/>
        <v>0</v>
      </c>
      <c r="X23" s="289">
        <f t="shared" si="7"/>
        <v>0</v>
      </c>
      <c r="Y23" s="218">
        <f t="shared" si="8"/>
        <v>489.01450229899359</v>
      </c>
      <c r="Z23" s="357">
        <f t="shared" si="9"/>
        <v>1</v>
      </c>
      <c r="AA23" s="365">
        <f t="shared" si="10"/>
        <v>0</v>
      </c>
      <c r="AK23" s="200">
        <f t="shared" si="11"/>
        <v>0</v>
      </c>
      <c r="AL23" s="201"/>
    </row>
    <row r="24" spans="1:39" ht="120" customHeight="1" x14ac:dyDescent="0.4">
      <c r="A24" s="153">
        <v>10</v>
      </c>
      <c r="B24" s="178" t="s">
        <v>134</v>
      </c>
      <c r="C24" s="179" t="s">
        <v>127</v>
      </c>
      <c r="D24" s="153" t="s">
        <v>135</v>
      </c>
      <c r="E24" s="153" t="s">
        <v>496</v>
      </c>
      <c r="F24" s="350" t="s">
        <v>512</v>
      </c>
      <c r="G24" s="187" t="s">
        <v>513</v>
      </c>
      <c r="H24" s="188">
        <v>1</v>
      </c>
      <c r="I24" s="188">
        <v>2</v>
      </c>
      <c r="J24" s="189">
        <v>1892</v>
      </c>
      <c r="K24" s="366">
        <f t="shared" si="12"/>
        <v>3784</v>
      </c>
      <c r="L24" s="367">
        <f t="shared" si="0"/>
        <v>189.20000000000002</v>
      </c>
      <c r="M24" s="367">
        <f t="shared" si="1"/>
        <v>45.91867776811236</v>
      </c>
      <c r="N24" s="368">
        <f t="shared" si="2"/>
        <v>4019.1186777681123</v>
      </c>
      <c r="Q24" s="316">
        <f t="shared" si="3"/>
        <v>1</v>
      </c>
      <c r="R24" s="285">
        <v>2</v>
      </c>
      <c r="S24" s="349">
        <v>1892</v>
      </c>
      <c r="T24" s="364">
        <v>0</v>
      </c>
      <c r="U24" s="287">
        <f t="shared" si="4"/>
        <v>3784</v>
      </c>
      <c r="V24" s="288">
        <f t="shared" si="5"/>
        <v>0</v>
      </c>
      <c r="W24" s="289">
        <f t="shared" si="6"/>
        <v>0</v>
      </c>
      <c r="X24" s="369">
        <f t="shared" si="7"/>
        <v>0</v>
      </c>
      <c r="Y24" s="370">
        <f t="shared" si="8"/>
        <v>45.91867776811236</v>
      </c>
      <c r="Z24" s="198">
        <f t="shared" si="9"/>
        <v>1</v>
      </c>
      <c r="AA24" s="199">
        <f t="shared" si="10"/>
        <v>0</v>
      </c>
      <c r="AK24" s="200">
        <f t="shared" si="11"/>
        <v>0</v>
      </c>
      <c r="AL24" s="201"/>
    </row>
    <row r="25" spans="1:39" ht="120" customHeight="1" x14ac:dyDescent="0.4">
      <c r="A25" s="236">
        <v>11</v>
      </c>
      <c r="B25" s="178" t="s">
        <v>320</v>
      </c>
      <c r="C25" s="179" t="s">
        <v>127</v>
      </c>
      <c r="D25" s="153" t="s">
        <v>135</v>
      </c>
      <c r="E25" s="153" t="s">
        <v>496</v>
      </c>
      <c r="F25" s="351" t="s">
        <v>512</v>
      </c>
      <c r="G25" s="248" t="s">
        <v>514</v>
      </c>
      <c r="H25" s="352">
        <v>1</v>
      </c>
      <c r="I25" s="352">
        <v>1</v>
      </c>
      <c r="J25" s="353">
        <v>8571</v>
      </c>
      <c r="K25" s="371">
        <f t="shared" si="12"/>
        <v>8571</v>
      </c>
      <c r="L25" s="353">
        <f t="shared" si="0"/>
        <v>428.55</v>
      </c>
      <c r="M25" s="353">
        <f t="shared" si="1"/>
        <v>104.00871753448494</v>
      </c>
      <c r="N25" s="368">
        <f t="shared" si="2"/>
        <v>9103.5587175344845</v>
      </c>
      <c r="Q25" s="316">
        <f t="shared" si="3"/>
        <v>1</v>
      </c>
      <c r="R25" s="285">
        <v>1</v>
      </c>
      <c r="S25" s="349">
        <v>8571</v>
      </c>
      <c r="T25" s="364">
        <v>0</v>
      </c>
      <c r="U25" s="287">
        <f t="shared" si="4"/>
        <v>8571</v>
      </c>
      <c r="V25" s="288">
        <f t="shared" si="5"/>
        <v>0</v>
      </c>
      <c r="W25" s="289">
        <f t="shared" si="6"/>
        <v>0</v>
      </c>
      <c r="X25" s="369">
        <f t="shared" si="7"/>
        <v>0</v>
      </c>
      <c r="Y25" s="370">
        <f t="shared" si="8"/>
        <v>104.00871753448494</v>
      </c>
      <c r="Z25" s="198">
        <f t="shared" si="9"/>
        <v>1</v>
      </c>
      <c r="AA25" s="199">
        <f t="shared" si="10"/>
        <v>0</v>
      </c>
      <c r="AK25" s="200">
        <f t="shared" si="11"/>
        <v>0</v>
      </c>
      <c r="AL25" s="201"/>
    </row>
    <row r="26" spans="1:39" ht="120" customHeight="1" x14ac:dyDescent="0.4">
      <c r="A26" s="236">
        <v>12</v>
      </c>
      <c r="B26" s="178" t="s">
        <v>321</v>
      </c>
      <c r="C26" s="179" t="s">
        <v>127</v>
      </c>
      <c r="D26" s="153" t="s">
        <v>135</v>
      </c>
      <c r="E26" s="153" t="s">
        <v>496</v>
      </c>
      <c r="F26" s="351" t="s">
        <v>512</v>
      </c>
      <c r="G26" s="248" t="s">
        <v>515</v>
      </c>
      <c r="H26" s="352">
        <v>1</v>
      </c>
      <c r="I26" s="352">
        <v>1</v>
      </c>
      <c r="J26" s="353">
        <v>4133</v>
      </c>
      <c r="K26" s="371">
        <f t="shared" si="12"/>
        <v>4133</v>
      </c>
      <c r="L26" s="353">
        <f t="shared" si="0"/>
        <v>206.65</v>
      </c>
      <c r="M26" s="353">
        <f t="shared" si="1"/>
        <v>50.153777805393332</v>
      </c>
      <c r="N26" s="372">
        <f t="shared" si="2"/>
        <v>4389.8037778053931</v>
      </c>
      <c r="Q26" s="316">
        <f t="shared" si="3"/>
        <v>1</v>
      </c>
      <c r="R26" s="285">
        <v>1</v>
      </c>
      <c r="S26" s="349">
        <v>4133</v>
      </c>
      <c r="T26" s="364">
        <v>0</v>
      </c>
      <c r="U26" s="287">
        <f t="shared" si="4"/>
        <v>4133</v>
      </c>
      <c r="V26" s="288">
        <f t="shared" si="5"/>
        <v>0</v>
      </c>
      <c r="W26" s="289">
        <f t="shared" si="6"/>
        <v>0</v>
      </c>
      <c r="X26" s="369">
        <f t="shared" si="7"/>
        <v>0</v>
      </c>
      <c r="Y26" s="370">
        <f t="shared" si="8"/>
        <v>50.153777805393332</v>
      </c>
      <c r="Z26" s="198">
        <f t="shared" si="9"/>
        <v>1</v>
      </c>
      <c r="AA26" s="199">
        <f t="shared" si="10"/>
        <v>0</v>
      </c>
      <c r="AK26" s="200">
        <f t="shared" si="11"/>
        <v>0</v>
      </c>
      <c r="AL26" s="201"/>
    </row>
    <row r="27" spans="1:39" ht="120" customHeight="1" x14ac:dyDescent="0.4">
      <c r="A27" s="236">
        <v>13</v>
      </c>
      <c r="B27" s="178" t="s">
        <v>322</v>
      </c>
      <c r="C27" s="237" t="s">
        <v>127</v>
      </c>
      <c r="D27" s="236" t="s">
        <v>135</v>
      </c>
      <c r="E27" s="153" t="s">
        <v>496</v>
      </c>
      <c r="F27" s="355" t="s">
        <v>516</v>
      </c>
      <c r="G27" s="203" t="s">
        <v>568</v>
      </c>
      <c r="H27" s="209">
        <v>1</v>
      </c>
      <c r="I27" s="209">
        <v>1</v>
      </c>
      <c r="J27" s="210">
        <v>0</v>
      </c>
      <c r="K27" s="373">
        <f t="shared" si="12"/>
        <v>0</v>
      </c>
      <c r="L27" s="353">
        <f t="shared" si="0"/>
        <v>0</v>
      </c>
      <c r="M27" s="353">
        <f t="shared" si="1"/>
        <v>0</v>
      </c>
      <c r="N27" s="372">
        <f t="shared" si="2"/>
        <v>0</v>
      </c>
      <c r="Q27" s="316">
        <f t="shared" si="3"/>
        <v>1</v>
      </c>
      <c r="R27" s="285">
        <f>IF(I27&lt;&gt;"",I27,"")</f>
        <v>1</v>
      </c>
      <c r="S27" s="374">
        <f>-SUM(T17:T18)*10%-SUM(T23:T26)*5%</f>
        <v>-71856.786000000007</v>
      </c>
      <c r="T27" s="286">
        <v>0</v>
      </c>
      <c r="U27" s="287">
        <f t="shared" si="4"/>
        <v>0</v>
      </c>
      <c r="V27" s="288">
        <f t="shared" si="5"/>
        <v>0</v>
      </c>
      <c r="W27" s="289">
        <f t="shared" si="6"/>
        <v>0</v>
      </c>
      <c r="X27" s="369">
        <f t="shared" si="7"/>
        <v>0</v>
      </c>
      <c r="Y27" s="370">
        <f t="shared" si="8"/>
        <v>0</v>
      </c>
      <c r="Z27" s="198" t="e">
        <f t="shared" si="9"/>
        <v>#DIV/0!</v>
      </c>
      <c r="AA27" s="199">
        <f t="shared" si="10"/>
        <v>0</v>
      </c>
      <c r="AK27" s="200">
        <f t="shared" si="11"/>
        <v>0</v>
      </c>
      <c r="AL27" s="201"/>
    </row>
    <row r="28" spans="1:39" ht="120" customHeight="1" x14ac:dyDescent="0.4">
      <c r="A28" s="236">
        <v>14</v>
      </c>
      <c r="B28" s="178" t="s">
        <v>323</v>
      </c>
      <c r="C28" s="328" t="s">
        <v>127</v>
      </c>
      <c r="D28" s="327" t="s">
        <v>135</v>
      </c>
      <c r="E28" s="153" t="s">
        <v>496</v>
      </c>
      <c r="F28" s="375" t="s">
        <v>516</v>
      </c>
      <c r="G28" s="331" t="s">
        <v>569</v>
      </c>
      <c r="H28" s="376">
        <v>220</v>
      </c>
      <c r="I28" s="376">
        <v>3</v>
      </c>
      <c r="J28" s="333">
        <v>175</v>
      </c>
      <c r="K28" s="377">
        <f t="shared" si="12"/>
        <v>115500</v>
      </c>
      <c r="L28" s="378">
        <f t="shared" si="0"/>
        <v>5775</v>
      </c>
      <c r="M28" s="378">
        <f t="shared" si="1"/>
        <v>1401.5875481545922</v>
      </c>
      <c r="N28" s="379">
        <f t="shared" si="2"/>
        <v>122676.5875481546</v>
      </c>
      <c r="Q28" s="316">
        <f t="shared" si="3"/>
        <v>220</v>
      </c>
      <c r="R28" s="285">
        <v>3</v>
      </c>
      <c r="S28" s="349">
        <v>175</v>
      </c>
      <c r="T28" s="364">
        <v>0</v>
      </c>
      <c r="U28" s="287">
        <f t="shared" si="4"/>
        <v>115500</v>
      </c>
      <c r="V28" s="288">
        <f t="shared" si="5"/>
        <v>0</v>
      </c>
      <c r="W28" s="289">
        <f t="shared" si="6"/>
        <v>0</v>
      </c>
      <c r="X28" s="369">
        <f t="shared" si="7"/>
        <v>0</v>
      </c>
      <c r="Y28" s="370">
        <f t="shared" si="8"/>
        <v>1401.5875481545922</v>
      </c>
      <c r="Z28" s="357">
        <f t="shared" si="9"/>
        <v>1</v>
      </c>
      <c r="AA28" s="199">
        <f t="shared" si="10"/>
        <v>0</v>
      </c>
      <c r="AK28" s="200">
        <f t="shared" si="11"/>
        <v>0</v>
      </c>
      <c r="AL28" s="201"/>
    </row>
    <row r="29" spans="1:39" ht="120" customHeight="1" x14ac:dyDescent="0.4">
      <c r="A29" s="153">
        <v>15</v>
      </c>
      <c r="B29" s="178" t="s">
        <v>324</v>
      </c>
      <c r="C29" s="237" t="s">
        <v>127</v>
      </c>
      <c r="D29" s="236" t="s">
        <v>135</v>
      </c>
      <c r="E29" s="153" t="s">
        <v>496</v>
      </c>
      <c r="F29" s="358" t="s">
        <v>516</v>
      </c>
      <c r="G29" s="329" t="s">
        <v>570</v>
      </c>
      <c r="H29" s="360">
        <v>220</v>
      </c>
      <c r="I29" s="360">
        <v>3</v>
      </c>
      <c r="J29" s="361">
        <v>46</v>
      </c>
      <c r="K29" s="362">
        <f t="shared" si="12"/>
        <v>30360</v>
      </c>
      <c r="L29" s="380">
        <f t="shared" si="0"/>
        <v>1518</v>
      </c>
      <c r="M29" s="380">
        <f t="shared" si="1"/>
        <v>368.41729837206424</v>
      </c>
      <c r="N29" s="381">
        <f t="shared" si="2"/>
        <v>32246.417298372064</v>
      </c>
      <c r="Q29" s="316">
        <f t="shared" si="3"/>
        <v>220</v>
      </c>
      <c r="R29" s="285">
        <v>3</v>
      </c>
      <c r="S29" s="349">
        <v>46</v>
      </c>
      <c r="T29" s="364">
        <v>0</v>
      </c>
      <c r="U29" s="287">
        <f t="shared" si="4"/>
        <v>30360</v>
      </c>
      <c r="V29" s="288">
        <f t="shared" si="5"/>
        <v>0</v>
      </c>
      <c r="W29" s="289">
        <f t="shared" si="6"/>
        <v>0</v>
      </c>
      <c r="X29" s="369">
        <f t="shared" si="7"/>
        <v>0</v>
      </c>
      <c r="Y29" s="370">
        <f t="shared" si="8"/>
        <v>368.41729837206424</v>
      </c>
      <c r="Z29" s="198">
        <f t="shared" si="9"/>
        <v>1</v>
      </c>
      <c r="AA29" s="199">
        <f t="shared" si="10"/>
        <v>0</v>
      </c>
      <c r="AK29" s="200">
        <f t="shared" si="11"/>
        <v>0</v>
      </c>
      <c r="AL29" s="201"/>
    </row>
    <row r="30" spans="1:39" ht="120" customHeight="1" x14ac:dyDescent="0.4">
      <c r="A30" s="153">
        <v>16</v>
      </c>
      <c r="B30" s="178" t="s">
        <v>325</v>
      </c>
      <c r="C30" s="179" t="s">
        <v>127</v>
      </c>
      <c r="D30" s="153" t="s">
        <v>135</v>
      </c>
      <c r="E30" s="153" t="s">
        <v>496</v>
      </c>
      <c r="F30" s="351" t="s">
        <v>516</v>
      </c>
      <c r="G30" s="283" t="s">
        <v>571</v>
      </c>
      <c r="H30" s="352">
        <v>220</v>
      </c>
      <c r="I30" s="352">
        <v>1</v>
      </c>
      <c r="J30" s="353">
        <v>203</v>
      </c>
      <c r="K30" s="371">
        <f t="shared" si="12"/>
        <v>44660</v>
      </c>
      <c r="L30" s="353">
        <f t="shared" si="0"/>
        <v>2233</v>
      </c>
      <c r="M30" s="353">
        <f t="shared" si="1"/>
        <v>541.94718528644228</v>
      </c>
      <c r="N30" s="354">
        <f t="shared" si="2"/>
        <v>47434.947185286444</v>
      </c>
      <c r="Q30" s="316">
        <f t="shared" si="3"/>
        <v>220</v>
      </c>
      <c r="R30" s="285">
        <v>1</v>
      </c>
      <c r="S30" s="349">
        <v>203</v>
      </c>
      <c r="T30" s="364">
        <v>0</v>
      </c>
      <c r="U30" s="287">
        <f t="shared" si="4"/>
        <v>44660</v>
      </c>
      <c r="V30" s="288">
        <f t="shared" si="5"/>
        <v>0</v>
      </c>
      <c r="W30" s="289">
        <f t="shared" si="6"/>
        <v>0</v>
      </c>
      <c r="X30" s="289">
        <f t="shared" si="7"/>
        <v>0</v>
      </c>
      <c r="Y30" s="218">
        <f t="shared" si="8"/>
        <v>541.94718528644228</v>
      </c>
      <c r="Z30" s="198">
        <f t="shared" si="9"/>
        <v>1</v>
      </c>
      <c r="AA30" s="199">
        <f t="shared" si="10"/>
        <v>0</v>
      </c>
      <c r="AK30" s="200">
        <f t="shared" si="11"/>
        <v>0</v>
      </c>
      <c r="AL30" s="201"/>
    </row>
    <row r="31" spans="1:39" ht="120" customHeight="1" x14ac:dyDescent="0.4">
      <c r="A31" s="153">
        <v>17</v>
      </c>
      <c r="B31" s="178" t="s">
        <v>326</v>
      </c>
      <c r="C31" s="179" t="s">
        <v>127</v>
      </c>
      <c r="D31" s="153" t="s">
        <v>135</v>
      </c>
      <c r="E31" s="153" t="s">
        <v>496</v>
      </c>
      <c r="F31" s="358" t="s">
        <v>517</v>
      </c>
      <c r="G31" s="308" t="s">
        <v>572</v>
      </c>
      <c r="H31" s="360">
        <v>220</v>
      </c>
      <c r="I31" s="360">
        <v>1</v>
      </c>
      <c r="J31" s="361">
        <v>146</v>
      </c>
      <c r="K31" s="362">
        <f t="shared" si="12"/>
        <v>32120</v>
      </c>
      <c r="L31" s="361">
        <f t="shared" si="0"/>
        <v>1606</v>
      </c>
      <c r="M31" s="361">
        <f t="shared" si="1"/>
        <v>389.77482291537234</v>
      </c>
      <c r="N31" s="382">
        <f t="shared" si="2"/>
        <v>34115.774822915373</v>
      </c>
      <c r="Q31" s="316">
        <f t="shared" si="3"/>
        <v>220</v>
      </c>
      <c r="R31" s="285">
        <v>1</v>
      </c>
      <c r="S31" s="349">
        <v>146</v>
      </c>
      <c r="T31" s="364">
        <v>0</v>
      </c>
      <c r="U31" s="287">
        <f t="shared" si="4"/>
        <v>32120</v>
      </c>
      <c r="V31" s="288">
        <f t="shared" si="5"/>
        <v>0</v>
      </c>
      <c r="W31" s="289">
        <f t="shared" si="6"/>
        <v>0</v>
      </c>
      <c r="X31" s="289">
        <f t="shared" si="7"/>
        <v>0</v>
      </c>
      <c r="Y31" s="218">
        <f t="shared" si="8"/>
        <v>389.77482291537234</v>
      </c>
      <c r="Z31" s="198">
        <f t="shared" si="9"/>
        <v>1</v>
      </c>
      <c r="AA31" s="199">
        <f t="shared" si="10"/>
        <v>0</v>
      </c>
      <c r="AK31" s="200">
        <f t="shared" si="11"/>
        <v>0</v>
      </c>
      <c r="AL31" s="201"/>
    </row>
    <row r="32" spans="1:39" ht="120" customHeight="1" x14ac:dyDescent="0.4">
      <c r="A32" s="153">
        <v>18</v>
      </c>
      <c r="B32" s="178" t="s">
        <v>327</v>
      </c>
      <c r="C32" s="179" t="s">
        <v>127</v>
      </c>
      <c r="D32" s="153" t="s">
        <v>135</v>
      </c>
      <c r="E32" s="153" t="s">
        <v>496</v>
      </c>
      <c r="F32" s="351" t="s">
        <v>516</v>
      </c>
      <c r="G32" s="283" t="s">
        <v>573</v>
      </c>
      <c r="H32" s="352">
        <v>220</v>
      </c>
      <c r="I32" s="352">
        <v>1</v>
      </c>
      <c r="J32" s="353">
        <v>175</v>
      </c>
      <c r="K32" s="371">
        <f t="shared" si="12"/>
        <v>38500</v>
      </c>
      <c r="L32" s="383">
        <f t="shared" si="0"/>
        <v>1925</v>
      </c>
      <c r="M32" s="383">
        <f t="shared" si="1"/>
        <v>467.19584938486406</v>
      </c>
      <c r="N32" s="384">
        <f t="shared" si="2"/>
        <v>40892.195849384865</v>
      </c>
      <c r="Q32" s="316">
        <f t="shared" si="3"/>
        <v>220</v>
      </c>
      <c r="R32" s="285">
        <v>1</v>
      </c>
      <c r="S32" s="349">
        <v>175</v>
      </c>
      <c r="T32" s="364">
        <v>0</v>
      </c>
      <c r="U32" s="287">
        <f t="shared" si="4"/>
        <v>38500</v>
      </c>
      <c r="V32" s="288">
        <f t="shared" si="5"/>
        <v>0</v>
      </c>
      <c r="W32" s="289">
        <f t="shared" si="6"/>
        <v>0</v>
      </c>
      <c r="X32" s="289">
        <f t="shared" si="7"/>
        <v>0</v>
      </c>
      <c r="Y32" s="218">
        <f t="shared" si="8"/>
        <v>467.19584938486406</v>
      </c>
      <c r="Z32" s="198">
        <f t="shared" si="9"/>
        <v>1</v>
      </c>
      <c r="AA32" s="199">
        <f t="shared" si="10"/>
        <v>0</v>
      </c>
      <c r="AK32" s="200">
        <f t="shared" si="11"/>
        <v>0</v>
      </c>
      <c r="AL32" s="201"/>
    </row>
    <row r="33" spans="1:39" ht="120" customHeight="1" x14ac:dyDescent="0.4">
      <c r="A33" s="153">
        <v>19</v>
      </c>
      <c r="B33" s="178" t="s">
        <v>328</v>
      </c>
      <c r="C33" s="179" t="s">
        <v>127</v>
      </c>
      <c r="D33" s="153" t="s">
        <v>135</v>
      </c>
      <c r="E33" s="153" t="s">
        <v>496</v>
      </c>
      <c r="F33" s="351" t="s">
        <v>516</v>
      </c>
      <c r="G33" s="283" t="s">
        <v>518</v>
      </c>
      <c r="H33" s="352">
        <v>1</v>
      </c>
      <c r="I33" s="352">
        <v>1</v>
      </c>
      <c r="J33" s="353">
        <v>5465</v>
      </c>
      <c r="K33" s="371">
        <f t="shared" si="12"/>
        <v>5465</v>
      </c>
      <c r="L33" s="353">
        <f t="shared" si="0"/>
        <v>273.25</v>
      </c>
      <c r="M33" s="353">
        <f t="shared" si="1"/>
        <v>66.31754069839694</v>
      </c>
      <c r="N33" s="354">
        <f t="shared" si="2"/>
        <v>5804.5675406983974</v>
      </c>
      <c r="Q33" s="316">
        <f t="shared" si="3"/>
        <v>1</v>
      </c>
      <c r="R33" s="285">
        <v>1</v>
      </c>
      <c r="S33" s="349">
        <v>5465</v>
      </c>
      <c r="T33" s="364">
        <v>0</v>
      </c>
      <c r="U33" s="287">
        <f t="shared" si="4"/>
        <v>5465</v>
      </c>
      <c r="V33" s="288">
        <f t="shared" si="5"/>
        <v>0</v>
      </c>
      <c r="W33" s="289">
        <f t="shared" si="6"/>
        <v>0</v>
      </c>
      <c r="X33" s="289">
        <f t="shared" si="7"/>
        <v>0</v>
      </c>
      <c r="Y33" s="218">
        <f t="shared" si="8"/>
        <v>66.31754069839694</v>
      </c>
      <c r="Z33" s="198">
        <f t="shared" si="9"/>
        <v>1</v>
      </c>
      <c r="AA33" s="199">
        <f t="shared" si="10"/>
        <v>0</v>
      </c>
      <c r="AK33" s="200">
        <f t="shared" si="11"/>
        <v>0</v>
      </c>
      <c r="AL33" s="201"/>
    </row>
    <row r="34" spans="1:39" ht="120" customHeight="1" thickBot="1" x14ac:dyDescent="0.45">
      <c r="A34" s="236">
        <v>20</v>
      </c>
      <c r="B34" s="178" t="s">
        <v>329</v>
      </c>
      <c r="C34" s="179" t="s">
        <v>127</v>
      </c>
      <c r="D34" s="153" t="s">
        <v>135</v>
      </c>
      <c r="E34" s="153" t="s">
        <v>496</v>
      </c>
      <c r="F34" s="351" t="s">
        <v>517</v>
      </c>
      <c r="G34" s="253" t="s">
        <v>574</v>
      </c>
      <c r="H34" s="352">
        <v>220</v>
      </c>
      <c r="I34" s="352">
        <v>1</v>
      </c>
      <c r="J34" s="353">
        <v>289</v>
      </c>
      <c r="K34" s="371">
        <f t="shared" si="12"/>
        <v>63580</v>
      </c>
      <c r="L34" s="353">
        <f t="shared" si="0"/>
        <v>3179</v>
      </c>
      <c r="M34" s="353">
        <f t="shared" si="1"/>
        <v>771.54057412700411</v>
      </c>
      <c r="N34" s="354">
        <f t="shared" si="2"/>
        <v>67530.540574127008</v>
      </c>
      <c r="Q34" s="316">
        <f t="shared" si="3"/>
        <v>220</v>
      </c>
      <c r="R34" s="285">
        <v>1</v>
      </c>
      <c r="S34" s="349">
        <v>289</v>
      </c>
      <c r="T34" s="364">
        <v>0</v>
      </c>
      <c r="U34" s="287">
        <f t="shared" si="4"/>
        <v>63580</v>
      </c>
      <c r="V34" s="288">
        <f t="shared" si="5"/>
        <v>0</v>
      </c>
      <c r="W34" s="289">
        <f t="shared" si="6"/>
        <v>0</v>
      </c>
      <c r="X34" s="289">
        <f t="shared" si="7"/>
        <v>0</v>
      </c>
      <c r="Y34" s="218">
        <f t="shared" si="8"/>
        <v>771.54057412700411</v>
      </c>
      <c r="Z34" s="273">
        <f t="shared" si="9"/>
        <v>1</v>
      </c>
      <c r="AA34" s="274">
        <f t="shared" si="10"/>
        <v>0</v>
      </c>
      <c r="AK34" s="200">
        <f t="shared" si="11"/>
        <v>0</v>
      </c>
      <c r="AL34" s="201"/>
    </row>
    <row r="35" spans="1:39" ht="35.1" customHeight="1" thickBot="1" x14ac:dyDescent="0.5">
      <c r="A35" s="153">
        <v>21</v>
      </c>
      <c r="B35" s="178"/>
      <c r="C35" s="179" t="s">
        <v>155</v>
      </c>
      <c r="D35" s="153"/>
      <c r="E35" s="153"/>
      <c r="F35" s="488" t="s">
        <v>519</v>
      </c>
      <c r="G35" s="528"/>
      <c r="H35" s="487"/>
      <c r="I35" s="487"/>
      <c r="J35" s="487"/>
      <c r="K35" s="220">
        <f>SUM(K17:K34)</f>
        <v>654298.72</v>
      </c>
      <c r="L35" s="220">
        <f>SUM(L17:L34)</f>
        <v>32714.936000000002</v>
      </c>
      <c r="M35" s="220">
        <f>SUM(M17:M34)</f>
        <v>7939.8869153721926</v>
      </c>
      <c r="N35" s="265">
        <f>SUM(N17:N34)</f>
        <v>695882.91291537229</v>
      </c>
      <c r="Q35" s="529" t="s">
        <v>519</v>
      </c>
      <c r="R35" s="530"/>
      <c r="S35" s="530"/>
      <c r="T35" s="385">
        <f>SUM(T17:T34)</f>
        <v>718567.86</v>
      </c>
      <c r="U35" s="386">
        <f>SUM(U17:U34)</f>
        <v>-64269.140000000014</v>
      </c>
      <c r="V35" s="387"/>
      <c r="W35" s="387"/>
      <c r="X35" s="388">
        <f>SUM(X17:X34)</f>
        <v>718567.86</v>
      </c>
      <c r="Y35" s="389">
        <f t="shared" si="8"/>
        <v>726507.7469153722</v>
      </c>
      <c r="Z35" s="390" t="s">
        <v>306</v>
      </c>
      <c r="AA35" s="391" t="s">
        <v>307</v>
      </c>
      <c r="AK35" s="200"/>
      <c r="AL35" s="201"/>
    </row>
    <row r="36" spans="1:39" ht="35.1" customHeight="1" x14ac:dyDescent="0.45">
      <c r="A36" s="230">
        <v>22</v>
      </c>
      <c r="B36" s="178" t="s">
        <v>520</v>
      </c>
      <c r="C36" s="324" t="s">
        <v>122</v>
      </c>
      <c r="D36" s="230"/>
      <c r="E36" s="230"/>
      <c r="F36" s="478" t="s">
        <v>521</v>
      </c>
      <c r="G36" s="479"/>
      <c r="H36" s="479"/>
      <c r="I36" s="479"/>
      <c r="J36" s="479"/>
      <c r="K36" s="482"/>
      <c r="L36" s="392" t="s">
        <v>124</v>
      </c>
      <c r="M36" s="393" t="s">
        <v>125</v>
      </c>
      <c r="N36" s="394" t="s">
        <v>82</v>
      </c>
      <c r="Q36" s="531" t="str">
        <f>IF(F36&lt;&gt;"",F36,"")</f>
        <v>ALIMENTAÇÃO E HOSPEDAGEM EQUIPE</v>
      </c>
      <c r="R36" s="532"/>
      <c r="S36" s="532"/>
      <c r="T36" s="532"/>
      <c r="U36" s="532"/>
      <c r="V36" s="532"/>
      <c r="W36" s="532"/>
      <c r="X36" s="532"/>
      <c r="Y36" s="533"/>
      <c r="Z36" s="395" t="s">
        <v>126</v>
      </c>
      <c r="AA36" s="396" t="s">
        <v>83</v>
      </c>
      <c r="AK36" s="200"/>
      <c r="AL36" s="201"/>
    </row>
    <row r="37" spans="1:39" ht="120" customHeight="1" x14ac:dyDescent="0.4">
      <c r="A37" s="236">
        <v>23</v>
      </c>
      <c r="B37" s="178" t="s">
        <v>522</v>
      </c>
      <c r="C37" s="237" t="s">
        <v>127</v>
      </c>
      <c r="D37" s="236" t="s">
        <v>135</v>
      </c>
      <c r="E37" s="236" t="s">
        <v>496</v>
      </c>
      <c r="F37" s="202" t="s">
        <v>235</v>
      </c>
      <c r="G37" s="253" t="s">
        <v>544</v>
      </c>
      <c r="H37" s="209">
        <v>1</v>
      </c>
      <c r="I37" s="209">
        <v>1</v>
      </c>
      <c r="J37" s="210">
        <v>6125</v>
      </c>
      <c r="K37" s="210">
        <f>IF(F37&lt;&gt;"",H37*I37*J37,"")</f>
        <v>6125</v>
      </c>
      <c r="L37" s="353">
        <f t="shared" ref="L37" si="13">IF(K37&lt;&gt;"",IF(D37="INTERNO",0,K37*$L$14),"")</f>
        <v>306.25</v>
      </c>
      <c r="M37" s="353">
        <f>IF(K37&lt;&gt;"",IF(E37="FAT.OGGI",SUM(K37:L37)*(1/(1-$M$14)-1),L37*(1/(1-$M$14)-1)),"")</f>
        <v>74.326612402137471</v>
      </c>
      <c r="N37" s="354">
        <f t="shared" ref="N37" si="14">SUM(K37:M37)</f>
        <v>6505.5766124021375</v>
      </c>
      <c r="Q37" s="316">
        <f t="shared" ref="Q37:R38" si="15">IF(H37&lt;&gt;"",H37,"")</f>
        <v>1</v>
      </c>
      <c r="R37" s="285">
        <f t="shared" si="15"/>
        <v>1</v>
      </c>
      <c r="S37" s="286">
        <f>J37+525</f>
        <v>6650</v>
      </c>
      <c r="T37" s="364">
        <v>0</v>
      </c>
      <c r="U37" s="287">
        <f t="shared" ref="U37:U38" si="16">IF(Q37&lt;&gt;"",K37-T37,"")</f>
        <v>6125</v>
      </c>
      <c r="V37" s="288">
        <f t="shared" ref="V37:V38" si="17">IF(Q37&lt;&gt;"",0%,"")</f>
        <v>0</v>
      </c>
      <c r="W37" s="289">
        <f t="shared" ref="W37:W38" si="18">IF(Q37&lt;&gt;"",V37*U37,"")</f>
        <v>0</v>
      </c>
      <c r="X37" s="289">
        <f t="shared" ref="X37:X38" si="19">IF(Q37&lt;&gt;"",W37+T37,"")</f>
        <v>0</v>
      </c>
      <c r="Y37" s="218">
        <f t="shared" ref="Y37:Y39" si="20">IF(Q37&lt;&gt;"",X37+M37,"")</f>
        <v>74.326612402137471</v>
      </c>
      <c r="Z37" s="198">
        <f>IF(Q37&lt;&gt;"",U37/K37,"")</f>
        <v>1</v>
      </c>
      <c r="AA37" s="199" t="str">
        <f>IFERROR(T37/#REF!, "")</f>
        <v/>
      </c>
      <c r="AK37" s="200">
        <f t="shared" si="11"/>
        <v>0</v>
      </c>
      <c r="AL37" s="201"/>
    </row>
    <row r="38" spans="1:39" ht="120" customHeight="1" x14ac:dyDescent="0.4">
      <c r="A38" s="153">
        <v>24</v>
      </c>
      <c r="B38" s="178" t="s">
        <v>523</v>
      </c>
      <c r="C38" s="179" t="s">
        <v>127</v>
      </c>
      <c r="D38" s="153" t="s">
        <v>135</v>
      </c>
      <c r="E38" s="153" t="s">
        <v>496</v>
      </c>
      <c r="F38" s="247" t="s">
        <v>524</v>
      </c>
      <c r="G38" s="253" t="s">
        <v>548</v>
      </c>
      <c r="H38" s="352">
        <v>1</v>
      </c>
      <c r="I38" s="352">
        <v>1</v>
      </c>
      <c r="J38" s="383">
        <v>19620.72</v>
      </c>
      <c r="K38" s="373">
        <f>IF(F38&lt;&gt;"",H38*I38*J38,"")</f>
        <v>19620.72</v>
      </c>
      <c r="L38" s="353">
        <f>IF(K38&lt;&gt;"",IF(D38="INTERNO",0,K38*$L$14),"")</f>
        <v>981.03600000000006</v>
      </c>
      <c r="M38" s="353">
        <f>IF(K38&lt;&gt;"",IF(E38="FAT.OGGI",SUM(K38:L38)*(1/(1-$M$14)-1),L38*(1/(1-$M$14)-1)),"")</f>
        <v>238.09659599850886</v>
      </c>
      <c r="N38" s="354">
        <f t="shared" ref="N38" si="21">SUM(K38:M38)</f>
        <v>20839.852595998509</v>
      </c>
      <c r="Q38" s="316">
        <f t="shared" si="15"/>
        <v>1</v>
      </c>
      <c r="R38" s="285">
        <f t="shared" si="15"/>
        <v>1</v>
      </c>
      <c r="S38" s="286">
        <f>K38</f>
        <v>19620.72</v>
      </c>
      <c r="T38" s="286">
        <v>0</v>
      </c>
      <c r="U38" s="287">
        <f t="shared" si="16"/>
        <v>19620.72</v>
      </c>
      <c r="V38" s="288">
        <f t="shared" si="17"/>
        <v>0</v>
      </c>
      <c r="W38" s="289">
        <f t="shared" si="18"/>
        <v>0</v>
      </c>
      <c r="X38" s="289">
        <f t="shared" si="19"/>
        <v>0</v>
      </c>
      <c r="Y38" s="218">
        <f t="shared" si="20"/>
        <v>238.09659599850886</v>
      </c>
      <c r="Z38" s="198">
        <f>IF(Q38&lt;&gt;"",U38/K38,"")</f>
        <v>1</v>
      </c>
      <c r="AA38" s="199" t="str">
        <f>IFERROR(T38/#REF!, "")</f>
        <v/>
      </c>
      <c r="AK38" s="200">
        <f t="shared" si="11"/>
        <v>0</v>
      </c>
      <c r="AL38" s="201">
        <v>0</v>
      </c>
    </row>
    <row r="39" spans="1:39" ht="35.1" customHeight="1" thickBot="1" x14ac:dyDescent="0.5">
      <c r="A39" s="180">
        <v>30</v>
      </c>
      <c r="C39" s="153" t="s">
        <v>490</v>
      </c>
      <c r="D39" s="153"/>
      <c r="E39" s="153"/>
      <c r="F39" s="521" t="s">
        <v>542</v>
      </c>
      <c r="G39" s="522"/>
      <c r="H39" s="522"/>
      <c r="I39" s="522"/>
      <c r="J39" s="522"/>
      <c r="K39" s="397">
        <f>SUM(K17:K34)+SUM(K37:K38)</f>
        <v>680044.44</v>
      </c>
      <c r="L39" s="397">
        <f>SUM(L17:L34)+SUM(L37:L38)</f>
        <v>34002.222000000002</v>
      </c>
      <c r="M39" s="397">
        <f>SUM(M17:M34)+SUM(M37:M38)</f>
        <v>8252.3101237728388</v>
      </c>
      <c r="N39" s="398">
        <f>SUM(N17:N34)+SUM(N37:N38)</f>
        <v>723228.34212377295</v>
      </c>
      <c r="Q39" s="523" t="s">
        <v>542</v>
      </c>
      <c r="R39" s="524"/>
      <c r="S39" s="524"/>
      <c r="T39" s="399">
        <f>SUM(T17:T34)+SUM(T37:T38)</f>
        <v>718567.86</v>
      </c>
      <c r="U39" s="400">
        <f>SUM(U17:U34)+SUM(U37:U38)</f>
        <v>-38523.420000000013</v>
      </c>
      <c r="V39" s="401"/>
      <c r="W39" s="401"/>
      <c r="X39" s="402">
        <f>SUM(X17:X34)+SUM(X37:X38)</f>
        <v>718567.86</v>
      </c>
      <c r="Y39" s="403">
        <f t="shared" si="20"/>
        <v>726820.17012377281</v>
      </c>
      <c r="AA39" s="274" t="str">
        <f>IFERROR(T39/#REF!, "")</f>
        <v/>
      </c>
      <c r="AK39" s="200"/>
      <c r="AL39" s="201"/>
    </row>
    <row r="40" spans="1:39" ht="35.1" customHeight="1" thickBot="1" x14ac:dyDescent="0.5">
      <c r="A40" s="228">
        <v>32</v>
      </c>
      <c r="C40" s="230" t="s">
        <v>304</v>
      </c>
      <c r="D40" s="230"/>
      <c r="E40" s="230"/>
      <c r="F40" s="34" t="s">
        <v>305</v>
      </c>
      <c r="G40" s="35"/>
      <c r="H40" s="36"/>
      <c r="I40" s="36"/>
      <c r="J40" s="35"/>
      <c r="K40" s="37">
        <f>SUM(K17:K34)+SUM(K37:K38)</f>
        <v>680044.44</v>
      </c>
      <c r="L40" s="37">
        <f>SUM(L17:L34)+SUM(L37:L38)</f>
        <v>34002.222000000002</v>
      </c>
      <c r="M40" s="37">
        <f>SUM(M17:M34)+SUM(M37:M38)</f>
        <v>8252.3101237728388</v>
      </c>
      <c r="N40" s="118">
        <f>SUM(N17:N34)+SUM(N37:N38)</f>
        <v>723228.34212377295</v>
      </c>
      <c r="Q40" s="38" t="s">
        <v>43</v>
      </c>
      <c r="R40" s="36"/>
      <c r="S40" s="35"/>
      <c r="T40" s="37">
        <f>SUM(T17:T34)+SUM(T37:T38)</f>
        <v>718567.86</v>
      </c>
      <c r="U40" s="37">
        <f>SUM(U17:U34)+SUM(U37:U38)</f>
        <v>-38523.420000000013</v>
      </c>
      <c r="V40" s="35"/>
      <c r="W40" s="35"/>
      <c r="X40" s="37">
        <f>SUM(X17:X34)+SUM(X37:X38)</f>
        <v>718567.86</v>
      </c>
      <c r="Y40" s="118">
        <f>SUM(Y17:Y34)+SUM(Y37:Y38)</f>
        <v>726820.17012377281</v>
      </c>
      <c r="Z40" s="40">
        <f>IF(Q40&lt;&gt;"",(N40-Y40)/N40,"")</f>
        <v>-4.9663816955131989E-3</v>
      </c>
      <c r="AA40" s="119">
        <f>IF(Z40&lt;&gt;"",(N40-Y40),"")</f>
        <v>-3591.8279999998631</v>
      </c>
      <c r="AK40" s="200">
        <f>SUM(AK17:AK39)</f>
        <v>0</v>
      </c>
      <c r="AL40" s="201">
        <f>SUM(AL17:AL39)</f>
        <v>718567.86</v>
      </c>
    </row>
    <row r="41" spans="1:39" ht="30.6" x14ac:dyDescent="0.55000000000000004">
      <c r="K41" s="404"/>
      <c r="AL41" s="455"/>
      <c r="AM41" s="456" t="s">
        <v>600</v>
      </c>
    </row>
    <row r="42" spans="1:39" ht="30.6" x14ac:dyDescent="0.55000000000000004">
      <c r="AL42" s="455">
        <f>X40</f>
        <v>718567.86</v>
      </c>
      <c r="AM42" s="456" t="s">
        <v>601</v>
      </c>
    </row>
    <row r="43" spans="1:39" ht="30.6" x14ac:dyDescent="0.55000000000000004">
      <c r="K43" s="404"/>
      <c r="L43" s="404"/>
      <c r="AL43" s="455">
        <f>N40-X40</f>
        <v>4660.482123772963</v>
      </c>
      <c r="AM43" s="457" t="s">
        <v>594</v>
      </c>
    </row>
    <row r="44" spans="1:39" ht="31.2" x14ac:dyDescent="0.6">
      <c r="K44" s="404"/>
      <c r="AL44" s="458">
        <f>AL43*100%/N40</f>
        <v>6.4439981847052262E-3</v>
      </c>
      <c r="AM44" s="459"/>
    </row>
  </sheetData>
  <autoFilter ref="A1:AL14" xr:uid="{107B9E09-8154-459A-AE62-6A4242823A27}">
    <filterColumn colId="5" showButton="0"/>
  </autoFilter>
  <mergeCells count="19">
    <mergeCell ref="F39:J39"/>
    <mergeCell ref="Q39:S39"/>
    <mergeCell ref="Q16:Y16"/>
    <mergeCell ref="F35:J35"/>
    <mergeCell ref="Q35:S35"/>
    <mergeCell ref="F36:K36"/>
    <mergeCell ref="Q36:Y36"/>
    <mergeCell ref="AK12:AL12"/>
    <mergeCell ref="F15:N15"/>
    <mergeCell ref="Q15:Y15"/>
    <mergeCell ref="F16:K16"/>
    <mergeCell ref="F1:G1"/>
    <mergeCell ref="F2:G2"/>
    <mergeCell ref="Q12:T12"/>
    <mergeCell ref="U12:X12"/>
    <mergeCell ref="AC12:AE12"/>
    <mergeCell ref="AG12:AH12"/>
    <mergeCell ref="AK15:AL15"/>
    <mergeCell ref="AK16:AL16"/>
  </mergeCells>
  <dataValidations count="3">
    <dataValidation type="list" allowBlank="1" showInputMessage="1" showErrorMessage="1" sqref="D17:D34 D37:D38 D40" xr:uid="{4FB2CEF8-6030-4CE5-A7B4-50B02EBBE178}">
      <formula1>"INTERNO,OPERACIONAL"</formula1>
    </dataValidation>
    <dataValidation type="list" allowBlank="1" showInputMessage="1" showErrorMessage="1" sqref="E17:E34 E37:E38" xr:uid="{D69C31EE-4420-4BF7-B00E-AF0E9FB2568B}">
      <formula1>"FAT.OGGI,FAT.CLIENTE"</formula1>
    </dataValidation>
    <dataValidation type="list" allowBlank="1" showInputMessage="1" showErrorMessage="1" sqref="E40" xr:uid="{E4A1D3B1-2C47-4717-8248-347AD7E5D097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C7F5D-D6BF-453E-A177-64A2D8894322}">
  <sheetPr codeName="Planilha17">
    <pageSetUpPr autoPageBreaks="0"/>
  </sheetPr>
  <dimension ref="A1:AM36"/>
  <sheetViews>
    <sheetView showGridLines="0" topLeftCell="B1" zoomScale="50" zoomScaleNormal="50" workbookViewId="0">
      <pane ySplit="1" topLeftCell="A28" activePane="bottomLeft" state="frozen"/>
      <selection activeCell="T28" sqref="Q28:Y39"/>
      <selection pane="bottomLeft" activeCell="AK38" sqref="AK38"/>
    </sheetView>
  </sheetViews>
  <sheetFormatPr defaultColWidth="8.88671875" defaultRowHeight="21" x14ac:dyDescent="0.4"/>
  <cols>
    <col min="1" max="1" width="4.5546875" style="128" hidden="1" customWidth="1"/>
    <col min="2" max="2" width="11" style="128" customWidth="1"/>
    <col min="3" max="3" width="11.44140625" style="128" hidden="1" customWidth="1"/>
    <col min="4" max="4" width="20.33203125" style="128" hidden="1" customWidth="1"/>
    <col min="5" max="5" width="22.44140625" style="128" hidden="1" customWidth="1"/>
    <col min="6" max="6" width="28.88671875" style="128" customWidth="1"/>
    <col min="7" max="7" width="56.88671875" style="128" customWidth="1"/>
    <col min="8" max="8" width="5.6640625" style="131" hidden="1" customWidth="1"/>
    <col min="9" max="9" width="5.88671875" style="131" hidden="1" customWidth="1"/>
    <col min="10" max="10" width="21.88671875" style="128" hidden="1" customWidth="1"/>
    <col min="11" max="11" width="30.109375" style="128" customWidth="1"/>
    <col min="12" max="12" width="24.5546875" style="128" bestFit="1" customWidth="1"/>
    <col min="13" max="13" width="25.109375" style="128" customWidth="1"/>
    <col min="14" max="14" width="26.44140625" style="128" bestFit="1" customWidth="1"/>
    <col min="15" max="15" width="3.33203125" style="128" hidden="1" customWidth="1"/>
    <col min="16" max="16" width="1.88671875" style="128" hidden="1" customWidth="1"/>
    <col min="17" max="17" width="5.88671875" style="131" customWidth="1"/>
    <col min="18" max="18" width="5.109375" style="131" hidden="1" customWidth="1"/>
    <col min="19" max="19" width="25.5546875" style="128" hidden="1" customWidth="1"/>
    <col min="20" max="20" width="26.5546875" style="128" customWidth="1"/>
    <col min="21" max="21" width="25" style="128" hidden="1" customWidth="1"/>
    <col min="22" max="22" width="10" style="128" hidden="1" customWidth="1"/>
    <col min="23" max="23" width="16.44140625" style="128" hidden="1" customWidth="1"/>
    <col min="24" max="24" width="27.44140625" style="128" bestFit="1" customWidth="1"/>
    <col min="25" max="25" width="27" style="128" hidden="1" customWidth="1"/>
    <col min="26" max="26" width="14.6640625" style="128" hidden="1" customWidth="1"/>
    <col min="27" max="27" width="24.6640625" style="128" hidden="1" customWidth="1"/>
    <col min="28" max="28" width="38.109375" style="128" hidden="1" customWidth="1"/>
    <col min="29" max="29" width="14.109375" style="128" hidden="1" customWidth="1"/>
    <col min="30" max="30" width="7.6640625" style="128" hidden="1" customWidth="1"/>
    <col min="31" max="31" width="6.88671875" style="128" hidden="1" customWidth="1"/>
    <col min="32" max="32" width="1.33203125" style="128" hidden="1" customWidth="1"/>
    <col min="33" max="33" width="14" style="128" hidden="1" customWidth="1"/>
    <col min="34" max="34" width="11.6640625" style="128" hidden="1" customWidth="1"/>
    <col min="35" max="35" width="6.33203125" style="128" hidden="1" customWidth="1"/>
    <col min="36" max="36" width="12.6640625" style="128" hidden="1" customWidth="1"/>
    <col min="37" max="37" width="24.109375" style="128" customWidth="1"/>
    <col min="38" max="38" width="26.109375" style="128" customWidth="1"/>
    <col min="39" max="39" width="8.88671875" style="128"/>
    <col min="40" max="40" width="21.33203125" style="128" customWidth="1"/>
    <col min="41" max="16384" width="8.88671875" style="128"/>
  </cols>
  <sheetData>
    <row r="1" spans="1:38" ht="49.5" customHeight="1" x14ac:dyDescent="0.4">
      <c r="B1" s="129"/>
      <c r="C1" s="130"/>
      <c r="D1" s="130"/>
      <c r="F1" s="491" t="s">
        <v>120</v>
      </c>
      <c r="G1" s="491"/>
    </row>
    <row r="2" spans="1:38" ht="24.75" customHeight="1" x14ac:dyDescent="0.4">
      <c r="B2" s="131"/>
      <c r="D2" s="130"/>
      <c r="F2" s="492" t="s">
        <v>0</v>
      </c>
      <c r="G2" s="492"/>
    </row>
    <row r="3" spans="1:38" ht="22.2" x14ac:dyDescent="0.4">
      <c r="B3" s="132"/>
      <c r="F3" s="133"/>
      <c r="G3" s="133"/>
    </row>
    <row r="4" spans="1:38" ht="22.2" x14ac:dyDescent="0.4">
      <c r="F4" s="134" t="s">
        <v>549</v>
      </c>
      <c r="G4" s="135"/>
    </row>
    <row r="5" spans="1:38" ht="22.2" x14ac:dyDescent="0.4">
      <c r="F5" s="136" t="s">
        <v>550</v>
      </c>
      <c r="G5" s="137"/>
    </row>
    <row r="6" spans="1:38" ht="22.2" x14ac:dyDescent="0.4">
      <c r="D6" s="128" t="s">
        <v>107</v>
      </c>
      <c r="F6" s="136" t="s">
        <v>551</v>
      </c>
      <c r="G6" s="138"/>
    </row>
    <row r="7" spans="1:38" ht="21.75" customHeight="1" x14ac:dyDescent="0.4">
      <c r="F7" s="136" t="s">
        <v>552</v>
      </c>
      <c r="G7" s="138"/>
      <c r="J7" s="128" t="s">
        <v>119</v>
      </c>
    </row>
    <row r="8" spans="1:38" ht="22.2" x14ac:dyDescent="0.4">
      <c r="F8" s="136" t="s">
        <v>553</v>
      </c>
      <c r="G8" s="139"/>
    </row>
    <row r="9" spans="1:38" ht="22.2" x14ac:dyDescent="0.4">
      <c r="F9" s="136" t="s">
        <v>554</v>
      </c>
      <c r="G9" s="138"/>
      <c r="J9" s="128" t="s">
        <v>107</v>
      </c>
    </row>
    <row r="10" spans="1:38" ht="27" customHeight="1" x14ac:dyDescent="0.4">
      <c r="F10" s="136" t="s">
        <v>555</v>
      </c>
      <c r="G10" s="138"/>
    </row>
    <row r="11" spans="1:38" ht="22.2" x14ac:dyDescent="0.4">
      <c r="F11" s="140" t="s">
        <v>556</v>
      </c>
      <c r="G11" s="141"/>
    </row>
    <row r="12" spans="1:38" ht="67.2" hidden="1" thickBot="1" x14ac:dyDescent="0.45">
      <c r="B12" s="142"/>
      <c r="M12" s="143"/>
      <c r="Q12" s="493" t="s">
        <v>1</v>
      </c>
      <c r="R12" s="494"/>
      <c r="S12" s="494"/>
      <c r="T12" s="517"/>
      <c r="U12" s="496" t="s">
        <v>2</v>
      </c>
      <c r="V12" s="497"/>
      <c r="W12" s="497"/>
      <c r="X12" s="518"/>
      <c r="Y12" s="144" t="s">
        <v>56</v>
      </c>
      <c r="Z12" s="342">
        <f>(1/(1-M14))-1</f>
        <v>0.24269914253759173</v>
      </c>
      <c r="AC12" s="499" t="s">
        <v>3</v>
      </c>
      <c r="AD12" s="500"/>
      <c r="AE12" s="519"/>
      <c r="AG12" s="502" t="s">
        <v>58</v>
      </c>
      <c r="AH12" s="520"/>
      <c r="AJ12" s="146" t="s">
        <v>60</v>
      </c>
      <c r="AK12" s="489" t="s">
        <v>59</v>
      </c>
      <c r="AL12" s="490"/>
    </row>
    <row r="13" spans="1:38" ht="22.8" thickBot="1" x14ac:dyDescent="0.5">
      <c r="A13" s="147" t="s">
        <v>4</v>
      </c>
      <c r="B13" s="148" t="s">
        <v>5</v>
      </c>
      <c r="C13" s="147" t="s">
        <v>6</v>
      </c>
      <c r="D13" s="147" t="s">
        <v>7</v>
      </c>
      <c r="E13" s="147" t="s">
        <v>8</v>
      </c>
      <c r="M13" s="149">
        <v>0.80469999999999997</v>
      </c>
    </row>
    <row r="14" spans="1:38" ht="35.1" customHeight="1" thickBot="1" x14ac:dyDescent="0.45">
      <c r="A14" s="150">
        <v>0</v>
      </c>
      <c r="B14" s="151"/>
      <c r="C14" s="152"/>
      <c r="D14" s="153"/>
      <c r="E14" s="153"/>
      <c r="F14" s="277" t="s">
        <v>84</v>
      </c>
      <c r="G14" s="155" t="s">
        <v>85</v>
      </c>
      <c r="H14" s="156" t="s">
        <v>86</v>
      </c>
      <c r="I14" s="156" t="s">
        <v>87</v>
      </c>
      <c r="J14" s="157" t="s">
        <v>88</v>
      </c>
      <c r="K14" s="158" t="s">
        <v>9</v>
      </c>
      <c r="L14" s="159">
        <v>0.05</v>
      </c>
      <c r="M14" s="160">
        <f>1-M13</f>
        <v>0.19530000000000003</v>
      </c>
      <c r="N14" s="161" t="s">
        <v>82</v>
      </c>
      <c r="Q14" s="162" t="s">
        <v>89</v>
      </c>
      <c r="R14" s="163" t="s">
        <v>90</v>
      </c>
      <c r="S14" s="164" t="s">
        <v>91</v>
      </c>
      <c r="T14" s="165" t="s">
        <v>92</v>
      </c>
      <c r="U14" s="166" t="s">
        <v>93</v>
      </c>
      <c r="V14" s="167" t="s">
        <v>94</v>
      </c>
      <c r="W14" s="168" t="s">
        <v>95</v>
      </c>
      <c r="X14" s="168" t="s">
        <v>96</v>
      </c>
      <c r="Y14" s="169" t="s">
        <v>97</v>
      </c>
      <c r="Z14" s="170" t="s">
        <v>98</v>
      </c>
      <c r="AA14" s="171" t="s">
        <v>83</v>
      </c>
      <c r="AC14" s="172" t="s">
        <v>99</v>
      </c>
      <c r="AD14" s="173" t="s">
        <v>100</v>
      </c>
      <c r="AE14" s="173" t="s">
        <v>33</v>
      </c>
      <c r="AG14" s="174" t="s">
        <v>101</v>
      </c>
      <c r="AH14" s="175" t="s">
        <v>102</v>
      </c>
      <c r="AK14" s="176" t="s">
        <v>103</v>
      </c>
      <c r="AL14" s="177" t="s">
        <v>104</v>
      </c>
    </row>
    <row r="15" spans="1:38" ht="35.1" customHeight="1" thickBot="1" x14ac:dyDescent="0.5">
      <c r="A15" s="153">
        <v>1</v>
      </c>
      <c r="B15" s="178">
        <v>1</v>
      </c>
      <c r="C15" s="179" t="s">
        <v>121</v>
      </c>
      <c r="D15" s="153"/>
      <c r="E15" s="153"/>
      <c r="F15" s="534"/>
      <c r="G15" s="477"/>
      <c r="H15" s="477"/>
      <c r="I15" s="477"/>
      <c r="J15" s="477"/>
      <c r="K15" s="477"/>
      <c r="L15" s="477"/>
      <c r="M15" s="477"/>
      <c r="N15" s="535"/>
      <c r="Q15" s="477" t="str">
        <f>IF(F15&lt;&gt;"",F15,"")</f>
        <v/>
      </c>
      <c r="R15" s="477"/>
      <c r="S15" s="477"/>
      <c r="T15" s="477"/>
      <c r="U15" s="477"/>
      <c r="V15" s="477"/>
      <c r="W15" s="477"/>
      <c r="X15" s="477"/>
      <c r="Y15" s="477"/>
      <c r="AK15" s="477"/>
      <c r="AL15" s="477"/>
    </row>
    <row r="16" spans="1:38" ht="35.1" customHeight="1" x14ac:dyDescent="0.45">
      <c r="A16" s="153">
        <v>2</v>
      </c>
      <c r="B16" s="178" t="s">
        <v>123</v>
      </c>
      <c r="C16" s="179" t="s">
        <v>122</v>
      </c>
      <c r="D16" s="153"/>
      <c r="E16" s="153"/>
      <c r="F16" s="478"/>
      <c r="G16" s="479"/>
      <c r="H16" s="479"/>
      <c r="I16" s="479"/>
      <c r="J16" s="479"/>
      <c r="K16" s="482"/>
      <c r="L16" s="181" t="s">
        <v>124</v>
      </c>
      <c r="M16" s="182" t="s">
        <v>125</v>
      </c>
      <c r="N16" s="343" t="s">
        <v>82</v>
      </c>
      <c r="Q16" s="478" t="str">
        <f>IF(F16&lt;&gt;"",F16,"")</f>
        <v/>
      </c>
      <c r="R16" s="479"/>
      <c r="S16" s="479"/>
      <c r="T16" s="479"/>
      <c r="U16" s="479"/>
      <c r="V16" s="479"/>
      <c r="W16" s="479"/>
      <c r="X16" s="479"/>
      <c r="Y16" s="536"/>
      <c r="Z16" s="184" t="s">
        <v>126</v>
      </c>
      <c r="AA16" s="185" t="s">
        <v>83</v>
      </c>
      <c r="AK16" s="478"/>
      <c r="AL16" s="479"/>
    </row>
    <row r="17" spans="1:39" ht="120" customHeight="1" x14ac:dyDescent="0.4">
      <c r="A17" s="153">
        <v>3</v>
      </c>
      <c r="B17" s="178" t="s">
        <v>128</v>
      </c>
      <c r="C17" s="179" t="s">
        <v>127</v>
      </c>
      <c r="D17" s="153" t="s">
        <v>135</v>
      </c>
      <c r="E17" s="153" t="s">
        <v>496</v>
      </c>
      <c r="F17" s="247" t="s">
        <v>497</v>
      </c>
      <c r="G17" s="253" t="s">
        <v>498</v>
      </c>
      <c r="H17" s="209">
        <v>1</v>
      </c>
      <c r="I17" s="209">
        <v>1</v>
      </c>
      <c r="J17" s="373">
        <v>841.5</v>
      </c>
      <c r="K17" s="405">
        <f t="shared" ref="K17:K28" si="0">IF(F17&lt;&gt;"",H17*I17*J17,"")</f>
        <v>841.5</v>
      </c>
      <c r="L17" s="189">
        <f t="shared" ref="L17:L28" si="1">IF(K17&lt;&gt;"",IF(D17="INTERNO",0,K17*$L$14),"")</f>
        <v>42.075000000000003</v>
      </c>
      <c r="M17" s="189">
        <f t="shared" ref="M17:M28" si="2">IF(K17&lt;&gt;"",IF(E17="FAT.OGGI",SUM(K17:L17)*(1/(1-$M$14)-1),L17*(1/(1-$M$14)-1)),0)</f>
        <v>10.211566422269172</v>
      </c>
      <c r="N17" s="190">
        <f t="shared" ref="N17:N28" si="3">SUM(K17:M17)</f>
        <v>893.78656642226917</v>
      </c>
      <c r="Q17" s="406">
        <f t="shared" ref="Q17:Q28" si="4">IF(H17&lt;&gt;"",H17,"")</f>
        <v>1</v>
      </c>
      <c r="R17" s="323">
        <f t="shared" ref="R17:R28" si="5">IF(I17&lt;&gt;"",I17,"")</f>
        <v>1</v>
      </c>
      <c r="S17" s="407">
        <v>841.5</v>
      </c>
      <c r="T17" s="204">
        <v>0</v>
      </c>
      <c r="U17" s="194">
        <f t="shared" ref="U17:U28" si="6">IF(Q17&lt;&gt;"",K17-T17,"")</f>
        <v>841.5</v>
      </c>
      <c r="V17" s="195">
        <f t="shared" ref="V17:V28" si="7">IF(Q17&lt;&gt;"",0%,"")</f>
        <v>0</v>
      </c>
      <c r="W17" s="196">
        <f t="shared" ref="W17:W28" si="8">IF(Q17&lt;&gt;"",V17*U17,"")</f>
        <v>0</v>
      </c>
      <c r="X17" s="196">
        <f t="shared" ref="X17:X28" si="9">IF(Q17&lt;&gt;"",W17+T17,"")</f>
        <v>0</v>
      </c>
      <c r="Y17" s="197">
        <f t="shared" ref="Y17:Y30" si="10">IF(Q17&lt;&gt;"",X17+M17,"")</f>
        <v>10.211566422269172</v>
      </c>
      <c r="Z17" s="198">
        <f t="shared" ref="Z17:Z28" si="11">IF(Q17&lt;&gt;"", IFERROR(U17/K17, 0), 0)</f>
        <v>1</v>
      </c>
      <c r="AA17" s="199" t="str">
        <f t="shared" ref="AA17:AA28" si="12">IFERROR(T17/$T$30, "")</f>
        <v/>
      </c>
      <c r="AK17" s="200">
        <f>X17-AL17</f>
        <v>0</v>
      </c>
      <c r="AL17" s="201"/>
    </row>
    <row r="18" spans="1:39" ht="120" customHeight="1" x14ac:dyDescent="0.4">
      <c r="A18" s="153">
        <v>4</v>
      </c>
      <c r="B18" s="178" t="s">
        <v>105</v>
      </c>
      <c r="C18" s="179" t="s">
        <v>127</v>
      </c>
      <c r="D18" s="153" t="s">
        <v>135</v>
      </c>
      <c r="E18" s="153" t="s">
        <v>496</v>
      </c>
      <c r="F18" s="247" t="s">
        <v>530</v>
      </c>
      <c r="G18" s="253" t="s">
        <v>575</v>
      </c>
      <c r="H18" s="209">
        <v>1</v>
      </c>
      <c r="I18" s="209">
        <v>1</v>
      </c>
      <c r="J18" s="373">
        <f>5075</f>
        <v>5075</v>
      </c>
      <c r="K18" s="405">
        <f t="shared" si="0"/>
        <v>5075</v>
      </c>
      <c r="L18" s="189">
        <f t="shared" si="1"/>
        <v>253.75</v>
      </c>
      <c r="M18" s="189">
        <f t="shared" si="2"/>
        <v>61.5849074189139</v>
      </c>
      <c r="N18" s="190">
        <f t="shared" si="3"/>
        <v>5390.3349074189136</v>
      </c>
      <c r="Q18" s="406">
        <f t="shared" si="4"/>
        <v>1</v>
      </c>
      <c r="R18" s="323">
        <f t="shared" si="5"/>
        <v>1</v>
      </c>
      <c r="S18" s="407">
        <v>5050</v>
      </c>
      <c r="T18" s="204">
        <v>0</v>
      </c>
      <c r="U18" s="194">
        <f t="shared" si="6"/>
        <v>5075</v>
      </c>
      <c r="V18" s="195">
        <f t="shared" si="7"/>
        <v>0</v>
      </c>
      <c r="W18" s="196">
        <f t="shared" si="8"/>
        <v>0</v>
      </c>
      <c r="X18" s="196">
        <f t="shared" si="9"/>
        <v>0</v>
      </c>
      <c r="Y18" s="197">
        <f t="shared" si="10"/>
        <v>61.5849074189139</v>
      </c>
      <c r="Z18" s="198">
        <f t="shared" si="11"/>
        <v>1</v>
      </c>
      <c r="AA18" s="199" t="str">
        <f t="shared" si="12"/>
        <v/>
      </c>
      <c r="AK18" s="200">
        <f t="shared" ref="AK18:AK29" si="13">X18-AL18</f>
        <v>0</v>
      </c>
      <c r="AL18" s="201"/>
    </row>
    <row r="19" spans="1:39" ht="120" customHeight="1" x14ac:dyDescent="0.4">
      <c r="A19" s="153">
        <v>6</v>
      </c>
      <c r="B19" s="178" t="s">
        <v>130</v>
      </c>
      <c r="C19" s="179" t="s">
        <v>127</v>
      </c>
      <c r="D19" s="153" t="s">
        <v>135</v>
      </c>
      <c r="E19" s="153" t="s">
        <v>496</v>
      </c>
      <c r="F19" s="261" t="s">
        <v>499</v>
      </c>
      <c r="G19" s="260" t="s">
        <v>531</v>
      </c>
      <c r="H19" s="188">
        <v>1</v>
      </c>
      <c r="I19" s="188">
        <v>1</v>
      </c>
      <c r="J19" s="366">
        <v>299</v>
      </c>
      <c r="K19" s="405">
        <f t="shared" si="0"/>
        <v>299</v>
      </c>
      <c r="L19" s="189">
        <f t="shared" si="1"/>
        <v>14.950000000000001</v>
      </c>
      <c r="M19" s="189">
        <f t="shared" si="2"/>
        <v>3.6283521809369965</v>
      </c>
      <c r="N19" s="190">
        <f t="shared" si="3"/>
        <v>317.57835218093697</v>
      </c>
      <c r="Q19" s="406">
        <f t="shared" si="4"/>
        <v>1</v>
      </c>
      <c r="R19" s="323">
        <f t="shared" si="5"/>
        <v>1</v>
      </c>
      <c r="S19" s="408">
        <v>299</v>
      </c>
      <c r="T19" s="204">
        <v>0</v>
      </c>
      <c r="U19" s="194">
        <f t="shared" si="6"/>
        <v>299</v>
      </c>
      <c r="V19" s="195">
        <f t="shared" si="7"/>
        <v>0</v>
      </c>
      <c r="W19" s="196">
        <f t="shared" si="8"/>
        <v>0</v>
      </c>
      <c r="X19" s="196">
        <f t="shared" si="9"/>
        <v>0</v>
      </c>
      <c r="Y19" s="197">
        <f t="shared" si="10"/>
        <v>3.6283521809369965</v>
      </c>
      <c r="Z19" s="198">
        <f t="shared" si="11"/>
        <v>1</v>
      </c>
      <c r="AA19" s="199" t="str">
        <f t="shared" si="12"/>
        <v/>
      </c>
      <c r="AK19" s="200">
        <f t="shared" si="13"/>
        <v>0</v>
      </c>
      <c r="AL19" s="201"/>
    </row>
    <row r="20" spans="1:39" ht="120" customHeight="1" x14ac:dyDescent="0.4">
      <c r="A20" s="153">
        <v>7</v>
      </c>
      <c r="B20" s="178" t="s">
        <v>131</v>
      </c>
      <c r="C20" s="179" t="s">
        <v>127</v>
      </c>
      <c r="D20" s="153" t="s">
        <v>135</v>
      </c>
      <c r="E20" s="153" t="s">
        <v>496</v>
      </c>
      <c r="F20" s="261" t="s">
        <v>536</v>
      </c>
      <c r="G20" s="260" t="s">
        <v>532</v>
      </c>
      <c r="H20" s="409">
        <v>1</v>
      </c>
      <c r="I20" s="409">
        <v>1</v>
      </c>
      <c r="J20" s="367">
        <v>4607</v>
      </c>
      <c r="K20" s="405">
        <f t="shared" si="0"/>
        <v>4607</v>
      </c>
      <c r="L20" s="189">
        <f t="shared" si="1"/>
        <v>230.35000000000002</v>
      </c>
      <c r="M20" s="189">
        <f t="shared" si="2"/>
        <v>55.905747483534263</v>
      </c>
      <c r="N20" s="190">
        <f t="shared" si="3"/>
        <v>4893.2557474835348</v>
      </c>
      <c r="Q20" s="406">
        <f t="shared" si="4"/>
        <v>1</v>
      </c>
      <c r="R20" s="323">
        <f t="shared" si="5"/>
        <v>1</v>
      </c>
      <c r="S20" s="408">
        <v>4607</v>
      </c>
      <c r="T20" s="204">
        <v>0</v>
      </c>
      <c r="U20" s="194">
        <f t="shared" si="6"/>
        <v>4607</v>
      </c>
      <c r="V20" s="195">
        <f t="shared" si="7"/>
        <v>0</v>
      </c>
      <c r="W20" s="196">
        <f t="shared" si="8"/>
        <v>0</v>
      </c>
      <c r="X20" s="196">
        <f t="shared" si="9"/>
        <v>0</v>
      </c>
      <c r="Y20" s="197">
        <f t="shared" si="10"/>
        <v>55.905747483534263</v>
      </c>
      <c r="Z20" s="198">
        <f t="shared" si="11"/>
        <v>1</v>
      </c>
      <c r="AA20" s="199" t="str">
        <f t="shared" si="12"/>
        <v/>
      </c>
      <c r="AK20" s="200">
        <f t="shared" si="13"/>
        <v>0</v>
      </c>
      <c r="AL20" s="201"/>
    </row>
    <row r="21" spans="1:39" ht="120" customHeight="1" x14ac:dyDescent="0.4">
      <c r="A21" s="153">
        <v>8</v>
      </c>
      <c r="B21" s="178" t="s">
        <v>132</v>
      </c>
      <c r="C21" s="179" t="s">
        <v>127</v>
      </c>
      <c r="D21" s="153" t="s">
        <v>135</v>
      </c>
      <c r="E21" s="153" t="s">
        <v>496</v>
      </c>
      <c r="F21" s="261" t="s">
        <v>533</v>
      </c>
      <c r="G21" s="260" t="s">
        <v>534</v>
      </c>
      <c r="H21" s="188">
        <v>9</v>
      </c>
      <c r="I21" s="188">
        <v>1</v>
      </c>
      <c r="J21" s="366">
        <v>19</v>
      </c>
      <c r="K21" s="405">
        <f t="shared" si="0"/>
        <v>171</v>
      </c>
      <c r="L21" s="189">
        <f t="shared" si="1"/>
        <v>8.5500000000000007</v>
      </c>
      <c r="M21" s="189">
        <f t="shared" si="2"/>
        <v>2.0750776686964096</v>
      </c>
      <c r="N21" s="190">
        <f t="shared" si="3"/>
        <v>181.62507766869643</v>
      </c>
      <c r="Q21" s="406">
        <f t="shared" si="4"/>
        <v>9</v>
      </c>
      <c r="R21" s="323">
        <f t="shared" si="5"/>
        <v>1</v>
      </c>
      <c r="S21" s="408">
        <v>19</v>
      </c>
      <c r="T21" s="204">
        <v>0</v>
      </c>
      <c r="U21" s="194">
        <f t="shared" si="6"/>
        <v>171</v>
      </c>
      <c r="V21" s="195">
        <f t="shared" si="7"/>
        <v>0</v>
      </c>
      <c r="W21" s="196">
        <f t="shared" si="8"/>
        <v>0</v>
      </c>
      <c r="X21" s="196">
        <f t="shared" si="9"/>
        <v>0</v>
      </c>
      <c r="Y21" s="197">
        <f t="shared" si="10"/>
        <v>2.0750776686964096</v>
      </c>
      <c r="Z21" s="198">
        <f t="shared" si="11"/>
        <v>1</v>
      </c>
      <c r="AA21" s="199" t="str">
        <f t="shared" si="12"/>
        <v/>
      </c>
      <c r="AK21" s="200">
        <f t="shared" si="13"/>
        <v>0</v>
      </c>
      <c r="AL21" s="201"/>
    </row>
    <row r="22" spans="1:39" ht="120" customHeight="1" x14ac:dyDescent="0.4">
      <c r="A22" s="153">
        <v>9</v>
      </c>
      <c r="B22" s="178" t="s">
        <v>133</v>
      </c>
      <c r="C22" s="179" t="s">
        <v>127</v>
      </c>
      <c r="D22" s="153" t="s">
        <v>135</v>
      </c>
      <c r="E22" s="153" t="s">
        <v>496</v>
      </c>
      <c r="F22" s="247" t="s">
        <v>500</v>
      </c>
      <c r="G22" s="253" t="s">
        <v>501</v>
      </c>
      <c r="H22" s="209">
        <v>1</v>
      </c>
      <c r="I22" s="209">
        <v>1</v>
      </c>
      <c r="J22" s="373">
        <v>5044</v>
      </c>
      <c r="K22" s="405">
        <f t="shared" si="0"/>
        <v>5044</v>
      </c>
      <c r="L22" s="189">
        <f t="shared" si="1"/>
        <v>252.20000000000002</v>
      </c>
      <c r="M22" s="189">
        <f t="shared" si="2"/>
        <v>61.208723747980635</v>
      </c>
      <c r="N22" s="190">
        <f t="shared" si="3"/>
        <v>5357.4087237479807</v>
      </c>
      <c r="Q22" s="406">
        <f t="shared" si="4"/>
        <v>1</v>
      </c>
      <c r="R22" s="323">
        <f t="shared" si="5"/>
        <v>1</v>
      </c>
      <c r="S22" s="407">
        <v>5044</v>
      </c>
      <c r="T22" s="204">
        <v>0</v>
      </c>
      <c r="U22" s="194">
        <f t="shared" si="6"/>
        <v>5044</v>
      </c>
      <c r="V22" s="195">
        <f t="shared" si="7"/>
        <v>0</v>
      </c>
      <c r="W22" s="196">
        <f t="shared" si="8"/>
        <v>0</v>
      </c>
      <c r="X22" s="196">
        <f t="shared" si="9"/>
        <v>0</v>
      </c>
      <c r="Y22" s="197">
        <f t="shared" si="10"/>
        <v>61.208723747980635</v>
      </c>
      <c r="Z22" s="198">
        <f t="shared" si="11"/>
        <v>1</v>
      </c>
      <c r="AA22" s="199" t="str">
        <f t="shared" si="12"/>
        <v/>
      </c>
      <c r="AK22" s="200">
        <f t="shared" si="13"/>
        <v>0</v>
      </c>
      <c r="AL22" s="201"/>
    </row>
    <row r="23" spans="1:39" ht="120" customHeight="1" x14ac:dyDescent="0.4">
      <c r="A23" s="153">
        <v>10</v>
      </c>
      <c r="B23" s="178" t="s">
        <v>134</v>
      </c>
      <c r="C23" s="179" t="s">
        <v>127</v>
      </c>
      <c r="D23" s="153" t="s">
        <v>135</v>
      </c>
      <c r="E23" s="153" t="s">
        <v>496</v>
      </c>
      <c r="F23" s="247" t="s">
        <v>500</v>
      </c>
      <c r="G23" s="253" t="s">
        <v>539</v>
      </c>
      <c r="H23" s="209">
        <v>1</v>
      </c>
      <c r="I23" s="209">
        <v>1</v>
      </c>
      <c r="J23" s="373">
        <v>660</v>
      </c>
      <c r="K23" s="405">
        <f t="shared" si="0"/>
        <v>660</v>
      </c>
      <c r="L23" s="189">
        <f t="shared" si="1"/>
        <v>33</v>
      </c>
      <c r="M23" s="189">
        <f t="shared" si="2"/>
        <v>8.0090717037405277</v>
      </c>
      <c r="N23" s="190">
        <f t="shared" si="3"/>
        <v>701.00907170374057</v>
      </c>
      <c r="Q23" s="406">
        <f t="shared" si="4"/>
        <v>1</v>
      </c>
      <c r="R23" s="323">
        <f t="shared" si="5"/>
        <v>1</v>
      </c>
      <c r="S23" s="407">
        <v>660</v>
      </c>
      <c r="T23" s="204">
        <v>0</v>
      </c>
      <c r="U23" s="194">
        <f t="shared" si="6"/>
        <v>660</v>
      </c>
      <c r="V23" s="195">
        <f t="shared" si="7"/>
        <v>0</v>
      </c>
      <c r="W23" s="196">
        <f t="shared" si="8"/>
        <v>0</v>
      </c>
      <c r="X23" s="196">
        <f t="shared" si="9"/>
        <v>0</v>
      </c>
      <c r="Y23" s="197">
        <f t="shared" si="10"/>
        <v>8.0090717037405277</v>
      </c>
      <c r="Z23" s="198">
        <f t="shared" si="11"/>
        <v>1</v>
      </c>
      <c r="AA23" s="199" t="str">
        <f t="shared" si="12"/>
        <v/>
      </c>
      <c r="AK23" s="200">
        <f t="shared" si="13"/>
        <v>0</v>
      </c>
      <c r="AL23" s="201"/>
    </row>
    <row r="24" spans="1:39" ht="120" customHeight="1" x14ac:dyDescent="0.4">
      <c r="A24" s="153">
        <v>11</v>
      </c>
      <c r="B24" s="178" t="s">
        <v>320</v>
      </c>
      <c r="C24" s="179" t="s">
        <v>127</v>
      </c>
      <c r="D24" s="153" t="s">
        <v>135</v>
      </c>
      <c r="E24" s="153" t="s">
        <v>496</v>
      </c>
      <c r="F24" s="261" t="s">
        <v>535</v>
      </c>
      <c r="G24" s="260" t="s">
        <v>543</v>
      </c>
      <c r="H24" s="188">
        <v>1</v>
      </c>
      <c r="I24" s="188">
        <v>1</v>
      </c>
      <c r="J24" s="366">
        <v>1343</v>
      </c>
      <c r="K24" s="405">
        <f t="shared" si="0"/>
        <v>1343</v>
      </c>
      <c r="L24" s="189">
        <f t="shared" si="1"/>
        <v>67.150000000000006</v>
      </c>
      <c r="M24" s="189">
        <f t="shared" si="2"/>
        <v>16.297247421399288</v>
      </c>
      <c r="N24" s="190">
        <f t="shared" si="3"/>
        <v>1426.4472474213994</v>
      </c>
      <c r="Q24" s="406">
        <f t="shared" si="4"/>
        <v>1</v>
      </c>
      <c r="R24" s="323">
        <f t="shared" si="5"/>
        <v>1</v>
      </c>
      <c r="S24" s="407">
        <v>1343</v>
      </c>
      <c r="T24" s="286">
        <v>0</v>
      </c>
      <c r="U24" s="194">
        <f t="shared" si="6"/>
        <v>1343</v>
      </c>
      <c r="V24" s="195">
        <f t="shared" si="7"/>
        <v>0</v>
      </c>
      <c r="W24" s="196">
        <f t="shared" si="8"/>
        <v>0</v>
      </c>
      <c r="X24" s="196">
        <f t="shared" si="9"/>
        <v>0</v>
      </c>
      <c r="Y24" s="197">
        <f t="shared" si="10"/>
        <v>16.297247421399288</v>
      </c>
      <c r="Z24" s="198">
        <f t="shared" si="11"/>
        <v>1</v>
      </c>
      <c r="AA24" s="199" t="str">
        <f t="shared" si="12"/>
        <v/>
      </c>
      <c r="AK24" s="200">
        <f t="shared" si="13"/>
        <v>0</v>
      </c>
      <c r="AL24" s="201"/>
    </row>
    <row r="25" spans="1:39" ht="120" customHeight="1" x14ac:dyDescent="0.4">
      <c r="A25" s="153">
        <v>12</v>
      </c>
      <c r="B25" s="178" t="s">
        <v>321</v>
      </c>
      <c r="C25" s="179" t="s">
        <v>127</v>
      </c>
      <c r="D25" s="153" t="s">
        <v>135</v>
      </c>
      <c r="E25" s="153" t="s">
        <v>496</v>
      </c>
      <c r="F25" s="247" t="s">
        <v>503</v>
      </c>
      <c r="G25" s="253" t="s">
        <v>538</v>
      </c>
      <c r="H25" s="352">
        <v>1</v>
      </c>
      <c r="I25" s="352">
        <v>1</v>
      </c>
      <c r="J25" s="371">
        <v>180</v>
      </c>
      <c r="K25" s="405">
        <f t="shared" si="0"/>
        <v>180</v>
      </c>
      <c r="L25" s="189">
        <f t="shared" si="1"/>
        <v>9</v>
      </c>
      <c r="M25" s="189">
        <f t="shared" si="2"/>
        <v>2.1842922828383253</v>
      </c>
      <c r="N25" s="190">
        <f t="shared" si="3"/>
        <v>191.18429228283833</v>
      </c>
      <c r="Q25" s="406">
        <f t="shared" si="4"/>
        <v>1</v>
      </c>
      <c r="R25" s="323">
        <f t="shared" si="5"/>
        <v>1</v>
      </c>
      <c r="S25" s="407">
        <v>180</v>
      </c>
      <c r="T25" s="286">
        <v>0</v>
      </c>
      <c r="U25" s="194">
        <f t="shared" si="6"/>
        <v>180</v>
      </c>
      <c r="V25" s="195">
        <f t="shared" si="7"/>
        <v>0</v>
      </c>
      <c r="W25" s="196">
        <f t="shared" si="8"/>
        <v>0</v>
      </c>
      <c r="X25" s="196">
        <f t="shared" si="9"/>
        <v>0</v>
      </c>
      <c r="Y25" s="197">
        <f t="shared" si="10"/>
        <v>2.1842922828383253</v>
      </c>
      <c r="Z25" s="198">
        <f t="shared" si="11"/>
        <v>1</v>
      </c>
      <c r="AA25" s="199" t="str">
        <f t="shared" si="12"/>
        <v/>
      </c>
      <c r="AK25" s="200">
        <f t="shared" si="13"/>
        <v>0</v>
      </c>
      <c r="AL25" s="201"/>
    </row>
    <row r="26" spans="1:39" ht="120" customHeight="1" x14ac:dyDescent="0.4">
      <c r="A26" s="153">
        <v>13</v>
      </c>
      <c r="B26" s="178" t="s">
        <v>322</v>
      </c>
      <c r="C26" s="179" t="s">
        <v>127</v>
      </c>
      <c r="D26" s="153" t="s">
        <v>135</v>
      </c>
      <c r="E26" s="153" t="s">
        <v>496</v>
      </c>
      <c r="F26" s="247" t="s">
        <v>537</v>
      </c>
      <c r="G26" s="253" t="s">
        <v>502</v>
      </c>
      <c r="H26" s="209">
        <v>1</v>
      </c>
      <c r="I26" s="209">
        <v>1</v>
      </c>
      <c r="J26" s="373">
        <v>7235</v>
      </c>
      <c r="K26" s="410">
        <f t="shared" si="0"/>
        <v>7235</v>
      </c>
      <c r="L26" s="189">
        <f t="shared" si="1"/>
        <v>361.75</v>
      </c>
      <c r="M26" s="189">
        <f t="shared" si="2"/>
        <v>87.796414812973808</v>
      </c>
      <c r="N26" s="190">
        <f t="shared" si="3"/>
        <v>7684.546414812974</v>
      </c>
      <c r="Q26" s="406">
        <f t="shared" si="4"/>
        <v>1</v>
      </c>
      <c r="R26" s="323">
        <f t="shared" si="5"/>
        <v>1</v>
      </c>
      <c r="S26" s="407">
        <v>7235</v>
      </c>
      <c r="T26" s="286">
        <v>0</v>
      </c>
      <c r="U26" s="194">
        <f t="shared" si="6"/>
        <v>7235</v>
      </c>
      <c r="V26" s="195">
        <f t="shared" si="7"/>
        <v>0</v>
      </c>
      <c r="W26" s="196">
        <f t="shared" si="8"/>
        <v>0</v>
      </c>
      <c r="X26" s="196">
        <f t="shared" si="9"/>
        <v>0</v>
      </c>
      <c r="Y26" s="197">
        <f t="shared" si="10"/>
        <v>87.796414812973808</v>
      </c>
      <c r="Z26" s="198">
        <f t="shared" si="11"/>
        <v>1</v>
      </c>
      <c r="AA26" s="199" t="str">
        <f t="shared" si="12"/>
        <v/>
      </c>
      <c r="AK26" s="200">
        <f t="shared" si="13"/>
        <v>0</v>
      </c>
      <c r="AL26" s="201"/>
    </row>
    <row r="27" spans="1:39" ht="120" customHeight="1" x14ac:dyDescent="0.4">
      <c r="A27" s="153">
        <v>15</v>
      </c>
      <c r="B27" s="178" t="s">
        <v>324</v>
      </c>
      <c r="C27" s="179" t="s">
        <v>127</v>
      </c>
      <c r="D27" s="153" t="s">
        <v>135</v>
      </c>
      <c r="E27" s="153" t="s">
        <v>496</v>
      </c>
      <c r="F27" s="411" t="s">
        <v>504</v>
      </c>
      <c r="G27" s="412" t="s">
        <v>505</v>
      </c>
      <c r="H27" s="376">
        <v>1</v>
      </c>
      <c r="I27" s="376">
        <v>1</v>
      </c>
      <c r="J27" s="377">
        <v>4524</v>
      </c>
      <c r="K27" s="413">
        <f t="shared" si="0"/>
        <v>4524</v>
      </c>
      <c r="L27" s="210">
        <f t="shared" si="1"/>
        <v>226.20000000000002</v>
      </c>
      <c r="M27" s="210">
        <f t="shared" si="2"/>
        <v>54.898546042003254</v>
      </c>
      <c r="N27" s="211">
        <f t="shared" si="3"/>
        <v>4805.0985460420034</v>
      </c>
      <c r="Q27" s="406">
        <f t="shared" si="4"/>
        <v>1</v>
      </c>
      <c r="R27" s="323">
        <f t="shared" si="5"/>
        <v>1</v>
      </c>
      <c r="S27" s="407">
        <v>4524</v>
      </c>
      <c r="T27" s="286">
        <v>0</v>
      </c>
      <c r="U27" s="194">
        <f t="shared" si="6"/>
        <v>4524</v>
      </c>
      <c r="V27" s="195">
        <f t="shared" si="7"/>
        <v>0</v>
      </c>
      <c r="W27" s="196">
        <f t="shared" si="8"/>
        <v>0</v>
      </c>
      <c r="X27" s="196">
        <f t="shared" si="9"/>
        <v>0</v>
      </c>
      <c r="Y27" s="197">
        <f t="shared" si="10"/>
        <v>54.898546042003254</v>
      </c>
      <c r="Z27" s="273">
        <f t="shared" si="11"/>
        <v>1</v>
      </c>
      <c r="AA27" s="274" t="str">
        <f t="shared" si="12"/>
        <v/>
      </c>
      <c r="AK27" s="200">
        <f t="shared" si="13"/>
        <v>0</v>
      </c>
      <c r="AL27" s="201"/>
    </row>
    <row r="28" spans="1:39" ht="120" customHeight="1" x14ac:dyDescent="0.4">
      <c r="A28" s="153">
        <v>16</v>
      </c>
      <c r="B28" s="178" t="s">
        <v>325</v>
      </c>
      <c r="C28" s="179" t="s">
        <v>127</v>
      </c>
      <c r="D28" s="153" t="s">
        <v>135</v>
      </c>
      <c r="E28" s="153" t="s">
        <v>496</v>
      </c>
      <c r="F28" s="247" t="s">
        <v>540</v>
      </c>
      <c r="G28" s="253" t="s">
        <v>541</v>
      </c>
      <c r="H28" s="209">
        <v>1</v>
      </c>
      <c r="I28" s="209">
        <v>1</v>
      </c>
      <c r="J28" s="373">
        <v>2492.88</v>
      </c>
      <c r="K28" s="410">
        <f t="shared" si="0"/>
        <v>2492.88</v>
      </c>
      <c r="L28" s="210">
        <f t="shared" si="1"/>
        <v>124.64400000000001</v>
      </c>
      <c r="M28" s="210">
        <f t="shared" si="2"/>
        <v>30.250991922455583</v>
      </c>
      <c r="N28" s="211">
        <f t="shared" si="3"/>
        <v>2647.7749919224561</v>
      </c>
      <c r="Q28" s="406">
        <f t="shared" si="4"/>
        <v>1</v>
      </c>
      <c r="R28" s="323">
        <f t="shared" si="5"/>
        <v>1</v>
      </c>
      <c r="S28" s="407">
        <v>2492.88</v>
      </c>
      <c r="T28" s="204">
        <v>0</v>
      </c>
      <c r="U28" s="194">
        <f t="shared" si="6"/>
        <v>2492.88</v>
      </c>
      <c r="V28" s="195">
        <f t="shared" si="7"/>
        <v>0</v>
      </c>
      <c r="W28" s="196">
        <f t="shared" si="8"/>
        <v>0</v>
      </c>
      <c r="X28" s="196">
        <f t="shared" si="9"/>
        <v>0</v>
      </c>
      <c r="Y28" s="197">
        <f t="shared" si="10"/>
        <v>30.250991922455583</v>
      </c>
      <c r="Z28" s="273">
        <f t="shared" si="11"/>
        <v>1</v>
      </c>
      <c r="AA28" s="274" t="str">
        <f t="shared" si="12"/>
        <v/>
      </c>
      <c r="AK28" s="200">
        <f t="shared" si="13"/>
        <v>0</v>
      </c>
      <c r="AL28" s="201"/>
    </row>
    <row r="29" spans="1:39" ht="120" customHeight="1" thickBot="1" x14ac:dyDescent="0.45">
      <c r="A29" s="153">
        <v>16</v>
      </c>
      <c r="B29" s="178" t="s">
        <v>325</v>
      </c>
      <c r="C29" s="179" t="s">
        <v>127</v>
      </c>
      <c r="D29" s="153" t="s">
        <v>135</v>
      </c>
      <c r="E29" s="153" t="s">
        <v>496</v>
      </c>
      <c r="F29" s="247" t="s">
        <v>525</v>
      </c>
      <c r="G29" s="253"/>
      <c r="H29" s="209">
        <v>1</v>
      </c>
      <c r="I29" s="209">
        <v>1</v>
      </c>
      <c r="J29" s="373">
        <f>[1]Fechamento!$H$4</f>
        <v>5176</v>
      </c>
      <c r="K29" s="410">
        <f t="shared" ref="K29" si="14">IF(F29&lt;&gt;"",H29*I29*J29,"")</f>
        <v>5176</v>
      </c>
      <c r="L29" s="210">
        <f t="shared" ref="L29" si="15">IF(K29&lt;&gt;"",IF(D29="INTERNO",0,K29*$L$14),"")</f>
        <v>258.8</v>
      </c>
      <c r="M29" s="210">
        <f t="shared" ref="M29" si="16">IF(K29&lt;&gt;"",IF(E29="FAT.OGGI",SUM(K29:L29)*(1/(1-$M$14)-1),L29*(1/(1-$M$14)-1)),0)</f>
        <v>62.810538088728741</v>
      </c>
      <c r="N29" s="211">
        <f t="shared" ref="N29" si="17">SUM(K29:M29)</f>
        <v>5497.6105380887293</v>
      </c>
      <c r="Q29" s="406">
        <f t="shared" ref="Q29" si="18">IF(H29&lt;&gt;"",H29,"")</f>
        <v>1</v>
      </c>
      <c r="R29" s="323">
        <f t="shared" ref="R29" si="19">IF(I29&lt;&gt;"",I29,"")</f>
        <v>1</v>
      </c>
      <c r="S29" s="414">
        <f>J29</f>
        <v>5176</v>
      </c>
      <c r="T29" s="204">
        <v>0</v>
      </c>
      <c r="U29" s="194">
        <f t="shared" ref="U29" si="20">IF(Q29&lt;&gt;"",K29-T29,"")</f>
        <v>5176</v>
      </c>
      <c r="V29" s="195">
        <f t="shared" ref="V29" si="21">IF(Q29&lt;&gt;"",0%,"")</f>
        <v>0</v>
      </c>
      <c r="W29" s="196">
        <f t="shared" ref="W29" si="22">IF(Q29&lt;&gt;"",V29*U29,"")</f>
        <v>0</v>
      </c>
      <c r="X29" s="196">
        <f t="shared" ref="X29" si="23">IF(Q29&lt;&gt;"",W29+T29,"")</f>
        <v>0</v>
      </c>
      <c r="Y29" s="197">
        <f t="shared" ref="Y29" si="24">IF(Q29&lt;&gt;"",X29+M29,"")</f>
        <v>62.810538088728741</v>
      </c>
      <c r="Z29" s="273">
        <f t="shared" ref="Z29" si="25">IF(Q29&lt;&gt;"", IFERROR(U29/K29, 0), 0)</f>
        <v>1</v>
      </c>
      <c r="AA29" s="274" t="str">
        <f t="shared" ref="AA29" si="26">IFERROR(T29/$T$30, "")</f>
        <v/>
      </c>
      <c r="AK29" s="200">
        <f t="shared" si="13"/>
        <v>0</v>
      </c>
      <c r="AL29" s="201"/>
    </row>
    <row r="30" spans="1:39" ht="35.1" customHeight="1" thickBot="1" x14ac:dyDescent="0.5">
      <c r="A30" s="153">
        <v>17</v>
      </c>
      <c r="B30" s="178"/>
      <c r="C30" s="179" t="s">
        <v>155</v>
      </c>
      <c r="D30" s="153"/>
      <c r="E30" s="153"/>
      <c r="F30" s="486" t="s">
        <v>506</v>
      </c>
      <c r="G30" s="487"/>
      <c r="H30" s="487"/>
      <c r="I30" s="487"/>
      <c r="J30" s="487"/>
      <c r="K30" s="220">
        <f>SUM(K17:K29)</f>
        <v>37648.380000000005</v>
      </c>
      <c r="L30" s="220">
        <f>SUM(L17:L29)</f>
        <v>1882.4190000000001</v>
      </c>
      <c r="M30" s="220">
        <f>SUM(M17:M29)</f>
        <v>456.8614771964709</v>
      </c>
      <c r="N30" s="265">
        <f>SUM(N17:N29)</f>
        <v>39987.660477196478</v>
      </c>
      <c r="Q30" s="486" t="s">
        <v>506</v>
      </c>
      <c r="R30" s="487"/>
      <c r="S30" s="487"/>
      <c r="T30" s="266">
        <f>SUM(T17:T29)</f>
        <v>0</v>
      </c>
      <c r="U30" s="267">
        <f>SUM(U17:U29)</f>
        <v>37648.380000000005</v>
      </c>
      <c r="V30" s="268"/>
      <c r="W30" s="268"/>
      <c r="X30" s="269">
        <f>SUM(X17:X29)</f>
        <v>0</v>
      </c>
      <c r="Y30" s="415">
        <f t="shared" si="10"/>
        <v>456.8614771964709</v>
      </c>
      <c r="Z30" s="275" t="s">
        <v>306</v>
      </c>
      <c r="AA30" s="391" t="s">
        <v>307</v>
      </c>
      <c r="AK30" s="200"/>
      <c r="AL30" s="201"/>
    </row>
    <row r="31" spans="1:39" ht="35.1" customHeight="1" thickBot="1" x14ac:dyDescent="0.5">
      <c r="A31" s="230">
        <v>18</v>
      </c>
      <c r="B31" s="227"/>
      <c r="C31" s="324" t="s">
        <v>304</v>
      </c>
      <c r="D31" s="230"/>
      <c r="E31" s="230"/>
      <c r="F31" s="34" t="s">
        <v>305</v>
      </c>
      <c r="G31" s="35"/>
      <c r="H31" s="35"/>
      <c r="I31" s="35"/>
      <c r="J31" s="35"/>
      <c r="K31" s="37">
        <f>SUM(K17:K29)</f>
        <v>37648.380000000005</v>
      </c>
      <c r="L31" s="37">
        <f>SUM(L17:L29)</f>
        <v>1882.4190000000001</v>
      </c>
      <c r="M31" s="37">
        <f>SUM(M17:M29)</f>
        <v>456.8614771964709</v>
      </c>
      <c r="N31" s="118">
        <f>SUM(N17:N29)</f>
        <v>39987.660477196478</v>
      </c>
      <c r="Q31" s="34" t="s">
        <v>43</v>
      </c>
      <c r="R31" s="35"/>
      <c r="S31" s="35"/>
      <c r="T31" s="37">
        <f>SUM(T17:T29)</f>
        <v>0</v>
      </c>
      <c r="U31" s="37">
        <f>SUM(U17:U29)</f>
        <v>37648.380000000005</v>
      </c>
      <c r="V31" s="35"/>
      <c r="W31" s="35"/>
      <c r="X31" s="37">
        <f>SUM(X17:X29)</f>
        <v>0</v>
      </c>
      <c r="Y31" s="416">
        <f>SUM(Y17:Y29)</f>
        <v>456.8614771964709</v>
      </c>
      <c r="Z31" s="40">
        <f>IF(Q31&lt;&gt;"",(N31-Y31)/N31,"")</f>
        <v>0.98857493857493861</v>
      </c>
      <c r="AA31" s="417">
        <f>IF(Z31&lt;&gt;"",(N31-Y31),"")</f>
        <v>39530.799000000006</v>
      </c>
      <c r="AK31" s="200">
        <f>SUM(AK17:AK30)</f>
        <v>0</v>
      </c>
      <c r="AL31" s="201">
        <f>SUM(AL17:AL30)</f>
        <v>0</v>
      </c>
    </row>
    <row r="32" spans="1:39" ht="30.6" x14ac:dyDescent="0.55000000000000004">
      <c r="H32" s="128"/>
      <c r="I32" s="128"/>
      <c r="K32" s="404"/>
      <c r="Q32" s="128"/>
      <c r="R32" s="128"/>
      <c r="AL32" s="455"/>
      <c r="AM32" s="456" t="s">
        <v>600</v>
      </c>
    </row>
    <row r="33" spans="38:39" s="128" customFormat="1" ht="30.6" x14ac:dyDescent="0.55000000000000004">
      <c r="AL33" s="455">
        <f>X31</f>
        <v>0</v>
      </c>
      <c r="AM33" s="456" t="s">
        <v>601</v>
      </c>
    </row>
    <row r="34" spans="38:39" s="128" customFormat="1" ht="30.6" x14ac:dyDescent="0.55000000000000004">
      <c r="AL34" s="455">
        <f>N31-X31</f>
        <v>39987.660477196478</v>
      </c>
      <c r="AM34" s="457" t="s">
        <v>594</v>
      </c>
    </row>
    <row r="35" spans="38:39" s="128" customFormat="1" ht="31.2" x14ac:dyDescent="0.6">
      <c r="AL35" s="458">
        <f>AL34*100%/N31</f>
        <v>1</v>
      </c>
      <c r="AM35" s="459"/>
    </row>
    <row r="36" spans="38:39" s="128" customFormat="1" x14ac:dyDescent="0.4"/>
  </sheetData>
  <autoFilter ref="A1:AL14" xr:uid="{107B9E09-8154-459A-AE62-6A4242823A27}">
    <filterColumn colId="5" showButton="0"/>
  </autoFilter>
  <mergeCells count="15">
    <mergeCell ref="F30:J30"/>
    <mergeCell ref="Q30:S30"/>
    <mergeCell ref="AK15:AL15"/>
    <mergeCell ref="AK16:AL16"/>
    <mergeCell ref="AK12:AL12"/>
    <mergeCell ref="AG12:AH12"/>
    <mergeCell ref="F15:N15"/>
    <mergeCell ref="Q15:Y15"/>
    <mergeCell ref="F16:K16"/>
    <mergeCell ref="Q16:Y16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31" xr:uid="{096DE2C3-9C5F-4647-9941-A18F01A8D3A4}">
      <formula1>"FAT.OGGI,FAT.CLIENTE "</formula1>
    </dataValidation>
    <dataValidation type="list" allowBlank="1" showInputMessage="1" showErrorMessage="1" sqref="D31 D17:D29" xr:uid="{27B185C0-4F2E-4E76-9C26-0EDAA4D4490B}">
      <formula1>"INTERNO,OPERACIONAL"</formula1>
    </dataValidation>
    <dataValidation type="list" allowBlank="1" showInputMessage="1" showErrorMessage="1" sqref="E17:E29" xr:uid="{CDAA5874-3234-49A1-9569-ACBAF24BD625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64AE6-7DA6-4E11-B4E6-F4B5D60749C9}">
  <dimension ref="F4:G21"/>
  <sheetViews>
    <sheetView topLeftCell="A10" workbookViewId="0">
      <selection activeCell="L20" sqref="L20"/>
    </sheetView>
  </sheetViews>
  <sheetFormatPr defaultRowHeight="14.4" x14ac:dyDescent="0.3"/>
  <cols>
    <col min="6" max="6" width="20" bestFit="1" customWidth="1"/>
    <col min="7" max="7" width="12.109375" style="420" bestFit="1" customWidth="1"/>
  </cols>
  <sheetData>
    <row r="4" spans="6:7" x14ac:dyDescent="0.3">
      <c r="F4" s="418" t="s">
        <v>576</v>
      </c>
      <c r="G4" s="419" t="s">
        <v>9</v>
      </c>
    </row>
    <row r="5" spans="6:7" x14ac:dyDescent="0.3">
      <c r="F5" t="s">
        <v>577</v>
      </c>
      <c r="G5" s="420">
        <v>200</v>
      </c>
    </row>
    <row r="6" spans="6:7" x14ac:dyDescent="0.3">
      <c r="F6" t="s">
        <v>578</v>
      </c>
      <c r="G6" s="420">
        <v>67.069999999999993</v>
      </c>
    </row>
    <row r="7" spans="6:7" x14ac:dyDescent="0.3">
      <c r="F7" t="s">
        <v>578</v>
      </c>
      <c r="G7" s="420">
        <v>26.99</v>
      </c>
    </row>
    <row r="8" spans="6:7" x14ac:dyDescent="0.3">
      <c r="F8" t="s">
        <v>579</v>
      </c>
      <c r="G8" s="420">
        <v>110.43</v>
      </c>
    </row>
    <row r="9" spans="6:7" x14ac:dyDescent="0.3">
      <c r="F9" t="s">
        <v>579</v>
      </c>
      <c r="G9" s="420">
        <v>55.03</v>
      </c>
    </row>
    <row r="10" spans="6:7" x14ac:dyDescent="0.3">
      <c r="F10" t="s">
        <v>578</v>
      </c>
      <c r="G10" s="420">
        <v>359</v>
      </c>
    </row>
    <row r="11" spans="6:7" x14ac:dyDescent="0.3">
      <c r="F11" t="s">
        <v>580</v>
      </c>
      <c r="G11" s="420">
        <v>780</v>
      </c>
    </row>
    <row r="12" spans="6:7" x14ac:dyDescent="0.3">
      <c r="F12" t="s">
        <v>581</v>
      </c>
      <c r="G12" s="420">
        <v>99.97</v>
      </c>
    </row>
    <row r="13" spans="6:7" x14ac:dyDescent="0.3">
      <c r="F13" t="s">
        <v>582</v>
      </c>
      <c r="G13" s="420">
        <v>1538.49</v>
      </c>
    </row>
    <row r="14" spans="6:7" x14ac:dyDescent="0.3">
      <c r="F14" t="s">
        <v>583</v>
      </c>
      <c r="G14" s="420">
        <v>70.81</v>
      </c>
    </row>
    <row r="15" spans="6:7" x14ac:dyDescent="0.3">
      <c r="F15" t="s">
        <v>613</v>
      </c>
      <c r="G15" s="420">
        <v>3200</v>
      </c>
    </row>
    <row r="16" spans="6:7" x14ac:dyDescent="0.3">
      <c r="F16" t="s">
        <v>625</v>
      </c>
      <c r="G16" s="420">
        <v>198</v>
      </c>
    </row>
    <row r="17" spans="6:7" x14ac:dyDescent="0.3">
      <c r="F17" t="s">
        <v>578</v>
      </c>
      <c r="G17" s="420">
        <v>671.03</v>
      </c>
    </row>
    <row r="21" spans="6:7" x14ac:dyDescent="0.3">
      <c r="G21" s="421">
        <f>SUM(G5:G20)</f>
        <v>7376.82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C7093-3CF0-4929-A8FE-44CE7718BD78}">
  <sheetPr codeName="Planilha1">
    <tabColor theme="0"/>
    <pageSetUpPr autoPageBreaks="0"/>
  </sheetPr>
  <dimension ref="A1:F28"/>
  <sheetViews>
    <sheetView showGridLines="0" zoomScale="90" zoomScaleNormal="90" workbookViewId="0">
      <pane ySplit="1" topLeftCell="A7" activePane="bottomLeft" state="frozen"/>
      <selection activeCell="T28" sqref="Q28:Y39"/>
      <selection pane="bottomLeft" activeCell="C29" sqref="C29"/>
    </sheetView>
  </sheetViews>
  <sheetFormatPr defaultRowHeight="14.4" x14ac:dyDescent="0.3"/>
  <cols>
    <col min="1" max="1" width="44.33203125" customWidth="1"/>
    <col min="2" max="2" width="25.33203125" customWidth="1"/>
    <col min="3" max="3" width="25.33203125" style="33" customWidth="1"/>
    <col min="4" max="4" width="16" customWidth="1"/>
    <col min="5" max="5" width="8.109375" customWidth="1"/>
  </cols>
  <sheetData>
    <row r="1" spans="1:3" ht="49.5" customHeight="1" x14ac:dyDescent="0.3">
      <c r="A1" s="537" t="s">
        <v>312</v>
      </c>
      <c r="B1" s="537"/>
    </row>
    <row r="2" spans="1:3" ht="24.75" customHeight="1" x14ac:dyDescent="0.3">
      <c r="A2" s="538" t="s">
        <v>0</v>
      </c>
      <c r="B2" s="538"/>
    </row>
    <row r="3" spans="1:3" ht="18.600000000000001" thickBot="1" x14ac:dyDescent="0.35">
      <c r="A3" s="26"/>
      <c r="B3" s="26"/>
    </row>
    <row r="4" spans="1:3" ht="18" x14ac:dyDescent="0.3">
      <c r="A4" s="42" t="s">
        <v>313</v>
      </c>
      <c r="B4" s="43"/>
    </row>
    <row r="5" spans="1:3" ht="18" x14ac:dyDescent="0.3">
      <c r="A5" s="44" t="s">
        <v>314</v>
      </c>
      <c r="B5" s="45"/>
    </row>
    <row r="6" spans="1:3" ht="18" x14ac:dyDescent="0.3">
      <c r="A6" s="44" t="s">
        <v>315</v>
      </c>
      <c r="B6" s="46"/>
    </row>
    <row r="7" spans="1:3" ht="21.75" customHeight="1" x14ac:dyDescent="0.3">
      <c r="A7" s="44" t="s">
        <v>316</v>
      </c>
      <c r="B7" s="47"/>
    </row>
    <row r="8" spans="1:3" ht="18" x14ac:dyDescent="0.3">
      <c r="A8" s="44" t="s">
        <v>330</v>
      </c>
      <c r="B8" s="48"/>
    </row>
    <row r="9" spans="1:3" ht="18" x14ac:dyDescent="0.3">
      <c r="A9" s="44" t="s">
        <v>317</v>
      </c>
      <c r="B9" s="47"/>
    </row>
    <row r="10" spans="1:3" ht="18" x14ac:dyDescent="0.3">
      <c r="A10" s="44" t="s">
        <v>318</v>
      </c>
      <c r="B10" s="47"/>
    </row>
    <row r="11" spans="1:3" ht="18.600000000000001" thickBot="1" x14ac:dyDescent="0.35">
      <c r="A11" s="49" t="s">
        <v>319</v>
      </c>
      <c r="B11" s="50"/>
    </row>
    <row r="14" spans="1:3" ht="15" customHeight="1" x14ac:dyDescent="0.3"/>
    <row r="15" spans="1:3" ht="17.25" customHeight="1" x14ac:dyDescent="0.3">
      <c r="A15" s="51"/>
      <c r="B15" s="52"/>
    </row>
    <row r="16" spans="1:3" ht="23.25" customHeight="1" thickBot="1" x14ac:dyDescent="0.35">
      <c r="A16" s="539" t="s">
        <v>331</v>
      </c>
      <c r="B16" s="540"/>
      <c r="C16" s="540"/>
    </row>
    <row r="17" spans="1:6" ht="18.75" customHeight="1" x14ac:dyDescent="0.3">
      <c r="A17" s="53" t="s">
        <v>332</v>
      </c>
      <c r="B17" s="54">
        <f>Principal!N94</f>
        <v>531917.45005095075</v>
      </c>
      <c r="C17" s="55">
        <f>Principal!Y94</f>
        <v>585075.69530095079</v>
      </c>
      <c r="D17" s="56">
        <f t="shared" ref="D17:D21" si="0">B17-C17</f>
        <v>-53158.245250000036</v>
      </c>
      <c r="E17" s="57">
        <f>(D17/B17)*100%</f>
        <v>-9.9937020763105566E-2</v>
      </c>
    </row>
    <row r="18" spans="1:6" ht="18.75" customHeight="1" x14ac:dyDescent="0.3">
      <c r="A18" s="58" t="s">
        <v>333</v>
      </c>
      <c r="B18" s="59">
        <f>Atração!N19</f>
        <v>100902.82</v>
      </c>
      <c r="C18" s="55">
        <f>Atração!Y19</f>
        <v>1152.82</v>
      </c>
      <c r="D18" s="56">
        <f t="shared" si="0"/>
        <v>99750</v>
      </c>
      <c r="E18" s="57">
        <f>(D18/B18)*100%</f>
        <v>0.98857494765755793</v>
      </c>
    </row>
    <row r="19" spans="1:6" ht="18.75" customHeight="1" x14ac:dyDescent="0.3">
      <c r="A19" s="113" t="s">
        <v>334</v>
      </c>
      <c r="B19" s="114">
        <f>Opcionais!N42</f>
        <v>82686.002236858461</v>
      </c>
      <c r="C19" s="60">
        <f>Opcionais!Y42</f>
        <v>114525.89943685848</v>
      </c>
      <c r="D19" s="56">
        <f t="shared" si="0"/>
        <v>-31839.897200000021</v>
      </c>
      <c r="E19" s="57">
        <f>(D19/B19)*100%</f>
        <v>-0.3850699796658803</v>
      </c>
    </row>
    <row r="20" spans="1:6" ht="18.75" customHeight="1" x14ac:dyDescent="0.3">
      <c r="A20" s="113" t="s">
        <v>482</v>
      </c>
      <c r="B20" s="114">
        <f>'Itens extra'!N25</f>
        <v>7655.7446874611669</v>
      </c>
      <c r="C20" s="60">
        <f>'Itens extra'!Y25</f>
        <v>508.29367273518096</v>
      </c>
      <c r="D20" s="56">
        <f t="shared" si="0"/>
        <v>7147.4510147259862</v>
      </c>
      <c r="E20" s="57">
        <f>(D20/B20)*100%</f>
        <v>0.93360624034815565</v>
      </c>
    </row>
    <row r="21" spans="1:6" ht="15" thickBot="1" x14ac:dyDescent="0.35">
      <c r="A21" s="61" t="s">
        <v>483</v>
      </c>
      <c r="B21" s="62">
        <f>SUM(B17:B20)</f>
        <v>723162.01697527047</v>
      </c>
      <c r="C21" s="63">
        <f>SUM(C17:C20)</f>
        <v>701262.70841054444</v>
      </c>
      <c r="D21" s="64">
        <f t="shared" si="0"/>
        <v>21899.30856472603</v>
      </c>
      <c r="E21" s="65">
        <f>(D21/B21)*100%</f>
        <v>3.0282714040102729E-2</v>
      </c>
    </row>
    <row r="24" spans="1:6" x14ac:dyDescent="0.3">
      <c r="A24" s="539" t="s">
        <v>331</v>
      </c>
      <c r="B24" s="540"/>
      <c r="C24" s="540"/>
    </row>
    <row r="25" spans="1:6" x14ac:dyDescent="0.3">
      <c r="A25" s="113" t="s">
        <v>526</v>
      </c>
      <c r="B25" s="115">
        <f>'Bourbon Atibaia '!N39</f>
        <v>723228.34212377295</v>
      </c>
      <c r="C25" s="116">
        <f>'Bourbon Atibaia '!Y39</f>
        <v>726820.17012377281</v>
      </c>
      <c r="D25" s="117">
        <f>B25-C25</f>
        <v>-3591.8279999998631</v>
      </c>
      <c r="E25" s="57">
        <f>D25/B25*100%</f>
        <v>-4.9663816955131989E-3</v>
      </c>
    </row>
    <row r="26" spans="1:6" x14ac:dyDescent="0.3">
      <c r="A26" s="106" t="s">
        <v>527</v>
      </c>
      <c r="B26" s="115">
        <f>'Itens Extra Hotel '!N31</f>
        <v>39987.660477196478</v>
      </c>
      <c r="C26" s="116">
        <f>'Itens Extra Hotel '!Y31</f>
        <v>456.8614771964709</v>
      </c>
      <c r="D26" s="117">
        <f>B26-C26</f>
        <v>39530.799000000006</v>
      </c>
      <c r="E26" s="57">
        <f>D26/B26*100%</f>
        <v>0.98857493857493861</v>
      </c>
    </row>
    <row r="27" spans="1:6" ht="15" thickBot="1" x14ac:dyDescent="0.35">
      <c r="A27" s="61" t="s">
        <v>528</v>
      </c>
      <c r="B27" s="62">
        <f>SUM(B25:B26)</f>
        <v>763216.0026009694</v>
      </c>
      <c r="C27" s="62">
        <f>SUM(C25:C26)</f>
        <v>727277.03160096926</v>
      </c>
      <c r="D27" s="120">
        <f>B27-C27</f>
        <v>35938.971000000136</v>
      </c>
      <c r="E27" s="65">
        <f>D27/B27*100%</f>
        <v>4.7088859349808512E-2</v>
      </c>
    </row>
    <row r="28" spans="1:6" ht="15" thickBot="1" x14ac:dyDescent="0.35">
      <c r="A28" s="121" t="s">
        <v>545</v>
      </c>
      <c r="B28" s="122">
        <f>B21+B27</f>
        <v>1486378.0195762399</v>
      </c>
      <c r="C28" s="123">
        <f>C21+C27</f>
        <v>1428539.7400115137</v>
      </c>
      <c r="D28" s="124">
        <f>B28-C28</f>
        <v>57838.279564726166</v>
      </c>
      <c r="E28" s="125">
        <f>D28/B28</f>
        <v>3.8912227443470684E-2</v>
      </c>
      <c r="F28" s="126"/>
    </row>
  </sheetData>
  <mergeCells count="4">
    <mergeCell ref="A1:B1"/>
    <mergeCell ref="A2:B2"/>
    <mergeCell ref="A16:C16"/>
    <mergeCell ref="A24:C24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18A80-D8E9-4429-8E29-AB2BB5290496}">
  <sheetPr codeName="Planilha2">
    <tabColor rgb="FF92D050"/>
  </sheetPr>
  <dimension ref="A1:G56"/>
  <sheetViews>
    <sheetView topLeftCell="A36" workbookViewId="0">
      <selection activeCell="G23" sqref="G23"/>
    </sheetView>
  </sheetViews>
  <sheetFormatPr defaultRowHeight="14.4" x14ac:dyDescent="0.3"/>
  <cols>
    <col min="1" max="1" width="22.44140625" customWidth="1"/>
    <col min="2" max="2" width="8.6640625" style="67"/>
    <col min="3" max="3" width="21.109375" style="32" customWidth="1"/>
    <col min="4" max="4" width="17.33203125" style="32" customWidth="1"/>
    <col min="5" max="5" width="18.109375" style="32" customWidth="1"/>
    <col min="6" max="6" width="37.88671875" style="32" customWidth="1"/>
    <col min="7" max="7" width="41.109375" bestFit="1" customWidth="1"/>
  </cols>
  <sheetData>
    <row r="1" spans="1:7" x14ac:dyDescent="0.3">
      <c r="A1" s="66" t="s">
        <v>335</v>
      </c>
    </row>
    <row r="2" spans="1:7" ht="15" thickBot="1" x14ac:dyDescent="0.35">
      <c r="A2" s="68" t="s">
        <v>336</v>
      </c>
      <c r="B2" s="69" t="s">
        <v>337</v>
      </c>
      <c r="C2" s="70" t="s">
        <v>338</v>
      </c>
      <c r="D2" s="70" t="s">
        <v>339</v>
      </c>
      <c r="E2" s="70" t="s">
        <v>340</v>
      </c>
      <c r="F2" s="71" t="s">
        <v>341</v>
      </c>
      <c r="G2" s="72" t="s">
        <v>342</v>
      </c>
    </row>
    <row r="3" spans="1:7" x14ac:dyDescent="0.3">
      <c r="A3" s="73" t="s">
        <v>343</v>
      </c>
      <c r="B3" s="67">
        <v>0</v>
      </c>
      <c r="C3" s="74">
        <v>0.1953</v>
      </c>
      <c r="D3" s="32" t="s">
        <v>344</v>
      </c>
      <c r="E3" s="32" t="s">
        <v>345</v>
      </c>
      <c r="F3" s="32" t="s">
        <v>346</v>
      </c>
      <c r="G3" s="32" t="s">
        <v>347</v>
      </c>
    </row>
    <row r="4" spans="1:7" x14ac:dyDescent="0.3">
      <c r="A4" s="73" t="s">
        <v>348</v>
      </c>
      <c r="B4" s="67">
        <v>0.1</v>
      </c>
      <c r="C4" s="74">
        <v>0.1953</v>
      </c>
      <c r="D4" s="32" t="s">
        <v>344</v>
      </c>
      <c r="E4" s="32" t="s">
        <v>345</v>
      </c>
      <c r="F4" s="32" t="s">
        <v>346</v>
      </c>
      <c r="G4" s="32" t="s">
        <v>347</v>
      </c>
    </row>
    <row r="5" spans="1:7" x14ac:dyDescent="0.3">
      <c r="A5" s="73" t="s">
        <v>349</v>
      </c>
      <c r="B5" s="67">
        <v>0.1</v>
      </c>
      <c r="C5" s="74">
        <v>0.1953</v>
      </c>
      <c r="D5" s="32" t="s">
        <v>344</v>
      </c>
      <c r="E5" s="32" t="s">
        <v>345</v>
      </c>
      <c r="F5" s="32" t="s">
        <v>346</v>
      </c>
      <c r="G5" s="32" t="s">
        <v>347</v>
      </c>
    </row>
    <row r="6" spans="1:7" x14ac:dyDescent="0.3">
      <c r="A6" s="73" t="s">
        <v>350</v>
      </c>
      <c r="B6" s="67">
        <v>0.1</v>
      </c>
      <c r="C6" s="74">
        <v>0.1953</v>
      </c>
      <c r="D6" s="32" t="s">
        <v>344</v>
      </c>
      <c r="E6" s="32" t="s">
        <v>345</v>
      </c>
      <c r="F6" s="32" t="s">
        <v>346</v>
      </c>
      <c r="G6" s="32" t="s">
        <v>347</v>
      </c>
    </row>
    <row r="7" spans="1:7" x14ac:dyDescent="0.3">
      <c r="A7" s="73" t="s">
        <v>351</v>
      </c>
      <c r="B7" s="67">
        <v>0.1</v>
      </c>
      <c r="C7" s="74">
        <v>0.1953</v>
      </c>
      <c r="D7" s="32" t="s">
        <v>344</v>
      </c>
      <c r="E7" s="32" t="s">
        <v>345</v>
      </c>
      <c r="F7" s="32" t="s">
        <v>346</v>
      </c>
      <c r="G7" s="32" t="s">
        <v>347</v>
      </c>
    </row>
    <row r="8" spans="1:7" x14ac:dyDescent="0.3">
      <c r="A8" s="73" t="s">
        <v>352</v>
      </c>
      <c r="B8" s="67">
        <v>0.1</v>
      </c>
      <c r="C8" s="541"/>
      <c r="D8" s="541"/>
      <c r="E8" s="32" t="s">
        <v>345</v>
      </c>
      <c r="F8" s="32" t="s">
        <v>346</v>
      </c>
      <c r="G8" s="32" t="s">
        <v>347</v>
      </c>
    </row>
    <row r="10" spans="1:7" x14ac:dyDescent="0.3">
      <c r="A10" s="73" t="s">
        <v>353</v>
      </c>
      <c r="B10" s="75"/>
    </row>
    <row r="11" spans="1:7" x14ac:dyDescent="0.3">
      <c r="A11" s="73" t="s">
        <v>354</v>
      </c>
      <c r="B11" s="76">
        <v>0.1953</v>
      </c>
      <c r="C11" s="77"/>
      <c r="D11" s="78"/>
      <c r="E11" s="77"/>
    </row>
    <row r="12" spans="1:7" x14ac:dyDescent="0.3">
      <c r="A12" s="73" t="s">
        <v>355</v>
      </c>
      <c r="B12" s="542" t="s">
        <v>356</v>
      </c>
      <c r="C12" s="542"/>
      <c r="D12" s="78"/>
      <c r="E12" s="77"/>
    </row>
    <row r="16" spans="1:7" x14ac:dyDescent="0.3">
      <c r="A16" s="79" t="s">
        <v>357</v>
      </c>
      <c r="B16" s="80"/>
      <c r="C16" s="81"/>
      <c r="D16" s="81"/>
      <c r="E16" s="81"/>
      <c r="F16" s="81"/>
      <c r="G16" s="82"/>
    </row>
    <row r="17" spans="1:7" ht="15" thickBot="1" x14ac:dyDescent="0.35">
      <c r="A17" s="83" t="s">
        <v>358</v>
      </c>
      <c r="B17" s="84" t="s">
        <v>337</v>
      </c>
      <c r="C17" s="85" t="s">
        <v>338</v>
      </c>
      <c r="D17" s="85" t="s">
        <v>339</v>
      </c>
      <c r="E17" s="85" t="s">
        <v>340</v>
      </c>
      <c r="F17" s="86" t="s">
        <v>341</v>
      </c>
      <c r="G17" s="81" t="s">
        <v>342</v>
      </c>
    </row>
    <row r="18" spans="1:7" x14ac:dyDescent="0.3">
      <c r="A18" s="87" t="s">
        <v>343</v>
      </c>
      <c r="B18" s="80">
        <v>0</v>
      </c>
      <c r="C18" s="88">
        <v>0.1953</v>
      </c>
      <c r="D18" s="81" t="s">
        <v>344</v>
      </c>
      <c r="E18" s="81" t="s">
        <v>359</v>
      </c>
      <c r="F18" s="81" t="s">
        <v>346</v>
      </c>
      <c r="G18" s="81" t="s">
        <v>347</v>
      </c>
    </row>
    <row r="19" spans="1:7" x14ac:dyDescent="0.3">
      <c r="A19" s="87" t="s">
        <v>348</v>
      </c>
      <c r="B19" s="89">
        <v>7.4999999999999997E-2</v>
      </c>
      <c r="C19" s="88">
        <v>0.1953</v>
      </c>
      <c r="D19" s="81" t="s">
        <v>344</v>
      </c>
      <c r="E19" s="81" t="s">
        <v>359</v>
      </c>
      <c r="F19" s="81" t="s">
        <v>346</v>
      </c>
      <c r="G19" s="81" t="s">
        <v>347</v>
      </c>
    </row>
    <row r="20" spans="1:7" x14ac:dyDescent="0.3">
      <c r="A20" s="87" t="s">
        <v>349</v>
      </c>
      <c r="B20" s="80">
        <v>0.05</v>
      </c>
      <c r="C20" s="81" t="s">
        <v>344</v>
      </c>
      <c r="D20" s="81" t="s">
        <v>360</v>
      </c>
      <c r="E20" s="81" t="s">
        <v>359</v>
      </c>
      <c r="F20" s="81" t="s">
        <v>361</v>
      </c>
      <c r="G20" s="90" t="s">
        <v>362</v>
      </c>
    </row>
    <row r="21" spans="1:7" x14ac:dyDescent="0.3">
      <c r="A21" s="87" t="s">
        <v>350</v>
      </c>
      <c r="B21" s="80">
        <v>0.05</v>
      </c>
      <c r="C21" s="81" t="s">
        <v>344</v>
      </c>
      <c r="D21" s="81" t="s">
        <v>360</v>
      </c>
      <c r="E21" s="81" t="s">
        <v>359</v>
      </c>
      <c r="F21" s="81" t="s">
        <v>361</v>
      </c>
      <c r="G21" s="90" t="s">
        <v>362</v>
      </c>
    </row>
    <row r="22" spans="1:7" x14ac:dyDescent="0.3">
      <c r="A22" s="87" t="s">
        <v>351</v>
      </c>
      <c r="B22" s="80">
        <v>0.05</v>
      </c>
      <c r="C22" s="81" t="s">
        <v>344</v>
      </c>
      <c r="D22" s="81" t="s">
        <v>360</v>
      </c>
      <c r="E22" s="81" t="s">
        <v>359</v>
      </c>
      <c r="F22" s="81" t="s">
        <v>361</v>
      </c>
      <c r="G22" s="90" t="s">
        <v>362</v>
      </c>
    </row>
    <row r="23" spans="1:7" x14ac:dyDescent="0.3">
      <c r="A23" s="87" t="s">
        <v>352</v>
      </c>
      <c r="B23" s="80">
        <v>0.05</v>
      </c>
      <c r="C23" s="543" t="s">
        <v>363</v>
      </c>
      <c r="D23" s="543"/>
      <c r="E23" s="81" t="s">
        <v>359</v>
      </c>
      <c r="F23" s="81" t="s">
        <v>361</v>
      </c>
      <c r="G23" s="90" t="s">
        <v>364</v>
      </c>
    </row>
    <row r="24" spans="1:7" x14ac:dyDescent="0.3">
      <c r="A24" s="82"/>
      <c r="B24" s="80"/>
      <c r="C24" s="81"/>
      <c r="D24" s="81"/>
      <c r="E24" s="81"/>
      <c r="F24" s="81"/>
      <c r="G24" s="82"/>
    </row>
    <row r="25" spans="1:7" x14ac:dyDescent="0.3">
      <c r="A25" s="87" t="s">
        <v>353</v>
      </c>
      <c r="B25" s="91"/>
      <c r="C25" s="81" t="s">
        <v>365</v>
      </c>
      <c r="D25" s="81"/>
      <c r="E25" s="81"/>
      <c r="F25" s="81"/>
      <c r="G25" s="82"/>
    </row>
    <row r="26" spans="1:7" x14ac:dyDescent="0.3">
      <c r="A26" s="87" t="s">
        <v>354</v>
      </c>
      <c r="B26" s="92">
        <v>0.1953</v>
      </c>
      <c r="C26" s="93"/>
      <c r="D26" s="94"/>
      <c r="E26" s="93"/>
      <c r="F26" s="81"/>
      <c r="G26" s="82"/>
    </row>
    <row r="27" spans="1:7" x14ac:dyDescent="0.3">
      <c r="A27" s="87" t="s">
        <v>355</v>
      </c>
      <c r="B27" s="544" t="s">
        <v>356</v>
      </c>
      <c r="C27" s="544"/>
      <c r="D27" s="94"/>
      <c r="E27" s="93"/>
      <c r="F27" s="81"/>
      <c r="G27" s="82"/>
    </row>
    <row r="31" spans="1:7" ht="15" thickBot="1" x14ac:dyDescent="0.35">
      <c r="A31" s="68" t="s">
        <v>366</v>
      </c>
      <c r="B31" s="69" t="s">
        <v>337</v>
      </c>
      <c r="C31" s="70" t="s">
        <v>338</v>
      </c>
      <c r="D31" s="70" t="s">
        <v>339</v>
      </c>
      <c r="E31" s="70" t="s">
        <v>340</v>
      </c>
      <c r="F31" s="71" t="s">
        <v>341</v>
      </c>
      <c r="G31" s="72" t="s">
        <v>342</v>
      </c>
    </row>
    <row r="32" spans="1:7" x14ac:dyDescent="0.3">
      <c r="A32" s="73" t="s">
        <v>343</v>
      </c>
      <c r="B32" s="67">
        <v>0</v>
      </c>
      <c r="C32" s="74">
        <v>0.17330000000000001</v>
      </c>
      <c r="D32" s="32" t="s">
        <v>367</v>
      </c>
      <c r="E32" s="32" t="s">
        <v>359</v>
      </c>
      <c r="F32" s="32" t="s">
        <v>346</v>
      </c>
      <c r="G32" s="32" t="s">
        <v>347</v>
      </c>
    </row>
    <row r="33" spans="1:7" x14ac:dyDescent="0.3">
      <c r="A33" s="73" t="s">
        <v>348</v>
      </c>
      <c r="B33" s="95">
        <v>0.08</v>
      </c>
      <c r="C33" s="74">
        <v>0.17330000000000001</v>
      </c>
      <c r="D33" s="32" t="s">
        <v>367</v>
      </c>
      <c r="E33" s="32" t="s">
        <v>359</v>
      </c>
      <c r="F33" s="32" t="s">
        <v>346</v>
      </c>
      <c r="G33" s="32" t="s">
        <v>347</v>
      </c>
    </row>
    <row r="34" spans="1:7" x14ac:dyDescent="0.3">
      <c r="A34" s="73" t="s">
        <v>349</v>
      </c>
      <c r="B34" s="67">
        <v>0.05</v>
      </c>
      <c r="D34" s="78" t="s">
        <v>360</v>
      </c>
      <c r="E34" s="32" t="s">
        <v>359</v>
      </c>
      <c r="F34" s="32" t="s">
        <v>346</v>
      </c>
      <c r="G34" s="32" t="s">
        <v>347</v>
      </c>
    </row>
    <row r="35" spans="1:7" x14ac:dyDescent="0.3">
      <c r="A35" s="73" t="s">
        <v>350</v>
      </c>
      <c r="B35" s="67">
        <v>0.08</v>
      </c>
      <c r="C35" s="74">
        <v>0.17330000000000001</v>
      </c>
      <c r="D35" s="78"/>
      <c r="E35" s="32" t="s">
        <v>359</v>
      </c>
      <c r="F35" s="32" t="s">
        <v>346</v>
      </c>
      <c r="G35" s="32" t="s">
        <v>347</v>
      </c>
    </row>
    <row r="36" spans="1:7" x14ac:dyDescent="0.3">
      <c r="A36" s="73" t="s">
        <v>351</v>
      </c>
      <c r="B36" s="67">
        <v>0.08</v>
      </c>
      <c r="C36" s="74">
        <v>0.17330000000000001</v>
      </c>
      <c r="E36" s="32" t="s">
        <v>359</v>
      </c>
      <c r="F36" s="32" t="s">
        <v>346</v>
      </c>
      <c r="G36" s="32" t="s">
        <v>347</v>
      </c>
    </row>
    <row r="37" spans="1:7" x14ac:dyDescent="0.3">
      <c r="A37" s="73" t="s">
        <v>352</v>
      </c>
      <c r="B37" s="67">
        <v>0</v>
      </c>
      <c r="E37" s="32" t="s">
        <v>359</v>
      </c>
      <c r="F37" s="32" t="s">
        <v>346</v>
      </c>
      <c r="G37" s="32" t="s">
        <v>347</v>
      </c>
    </row>
    <row r="38" spans="1:7" x14ac:dyDescent="0.3">
      <c r="A38" s="73" t="s">
        <v>368</v>
      </c>
      <c r="B38" s="67">
        <v>0.08</v>
      </c>
      <c r="D38" s="78" t="s">
        <v>360</v>
      </c>
      <c r="E38" s="32" t="s">
        <v>359</v>
      </c>
      <c r="F38" s="32" t="s">
        <v>346</v>
      </c>
      <c r="G38" s="32" t="s">
        <v>347</v>
      </c>
    </row>
    <row r="39" spans="1:7" x14ac:dyDescent="0.3">
      <c r="G39" s="32"/>
    </row>
    <row r="40" spans="1:7" x14ac:dyDescent="0.3">
      <c r="A40" s="73" t="s">
        <v>354</v>
      </c>
      <c r="B40" s="96">
        <f>C32</f>
        <v>0.17330000000000001</v>
      </c>
    </row>
    <row r="41" spans="1:7" x14ac:dyDescent="0.3">
      <c r="A41" s="73" t="s">
        <v>355</v>
      </c>
      <c r="B41" s="97" t="s">
        <v>369</v>
      </c>
    </row>
    <row r="45" spans="1:7" ht="15" thickBot="1" x14ac:dyDescent="0.35">
      <c r="A45" s="68" t="s">
        <v>370</v>
      </c>
      <c r="B45" s="69" t="s">
        <v>337</v>
      </c>
      <c r="C45" s="70" t="s">
        <v>338</v>
      </c>
      <c r="D45" s="70" t="s">
        <v>339</v>
      </c>
      <c r="E45" s="70" t="s">
        <v>340</v>
      </c>
      <c r="F45" s="71" t="s">
        <v>341</v>
      </c>
      <c r="G45" s="72" t="s">
        <v>342</v>
      </c>
    </row>
    <row r="46" spans="1:7" x14ac:dyDescent="0.3">
      <c r="A46" s="98" t="s">
        <v>343</v>
      </c>
      <c r="B46" s="99">
        <v>0</v>
      </c>
      <c r="C46" s="100">
        <v>0.1953</v>
      </c>
      <c r="D46" s="101" t="s">
        <v>367</v>
      </c>
      <c r="E46" s="101" t="s">
        <v>359</v>
      </c>
      <c r="F46" s="101" t="s">
        <v>346</v>
      </c>
      <c r="G46" s="101" t="s">
        <v>371</v>
      </c>
    </row>
    <row r="47" spans="1:7" x14ac:dyDescent="0.3">
      <c r="A47" s="98" t="s">
        <v>348</v>
      </c>
      <c r="B47" s="102">
        <v>0.08</v>
      </c>
      <c r="C47" s="100"/>
      <c r="D47" s="103" t="s">
        <v>360</v>
      </c>
      <c r="E47" s="101" t="s">
        <v>359</v>
      </c>
      <c r="F47" s="101" t="s">
        <v>346</v>
      </c>
      <c r="G47" s="101" t="s">
        <v>362</v>
      </c>
    </row>
    <row r="48" spans="1:7" x14ac:dyDescent="0.3">
      <c r="A48" s="98" t="s">
        <v>349</v>
      </c>
      <c r="B48" s="99">
        <v>0.08</v>
      </c>
      <c r="C48" s="101"/>
      <c r="D48" s="103" t="s">
        <v>360</v>
      </c>
      <c r="E48" s="101"/>
      <c r="F48" s="101"/>
      <c r="G48" s="101" t="s">
        <v>362</v>
      </c>
    </row>
    <row r="49" spans="1:7" x14ac:dyDescent="0.3">
      <c r="A49" s="98" t="s">
        <v>350</v>
      </c>
      <c r="B49" s="99">
        <v>0.08</v>
      </c>
      <c r="C49" s="100"/>
      <c r="D49" s="103" t="s">
        <v>360</v>
      </c>
      <c r="E49" s="101"/>
      <c r="F49" s="101"/>
      <c r="G49" s="101" t="s">
        <v>362</v>
      </c>
    </row>
    <row r="50" spans="1:7" x14ac:dyDescent="0.3">
      <c r="A50" s="98" t="s">
        <v>351</v>
      </c>
      <c r="B50" s="99">
        <v>0.08</v>
      </c>
      <c r="C50" s="100"/>
      <c r="D50" s="103" t="s">
        <v>360</v>
      </c>
      <c r="E50" s="101"/>
      <c r="F50" s="101"/>
      <c r="G50" s="101" t="s">
        <v>362</v>
      </c>
    </row>
    <row r="51" spans="1:7" x14ac:dyDescent="0.3">
      <c r="A51" s="98" t="s">
        <v>352</v>
      </c>
      <c r="B51" s="99">
        <v>0</v>
      </c>
      <c r="C51" s="101"/>
      <c r="D51" s="103" t="s">
        <v>360</v>
      </c>
      <c r="E51" s="101"/>
      <c r="F51" s="101"/>
      <c r="G51" s="101" t="s">
        <v>362</v>
      </c>
    </row>
    <row r="52" spans="1:7" x14ac:dyDescent="0.3">
      <c r="A52" s="98" t="s">
        <v>368</v>
      </c>
      <c r="B52" s="99">
        <v>0.08</v>
      </c>
      <c r="C52" s="101"/>
      <c r="D52" s="103" t="s">
        <v>360</v>
      </c>
      <c r="E52" s="101"/>
      <c r="F52" s="101"/>
      <c r="G52" s="101" t="s">
        <v>362</v>
      </c>
    </row>
    <row r="53" spans="1:7" x14ac:dyDescent="0.3">
      <c r="A53" s="104"/>
      <c r="B53" s="99"/>
      <c r="C53" s="101"/>
      <c r="D53" s="101"/>
      <c r="E53" s="101"/>
      <c r="F53" s="101"/>
      <c r="G53" s="101"/>
    </row>
    <row r="54" spans="1:7" x14ac:dyDescent="0.3">
      <c r="A54" s="98" t="s">
        <v>353</v>
      </c>
      <c r="B54" s="545" t="s">
        <v>372</v>
      </c>
      <c r="C54" s="545"/>
      <c r="D54" s="545"/>
      <c r="E54" s="545"/>
      <c r="F54" s="545"/>
      <c r="G54" s="104"/>
    </row>
    <row r="55" spans="1:7" x14ac:dyDescent="0.3">
      <c r="A55" s="98" t="s">
        <v>354</v>
      </c>
      <c r="B55" s="105">
        <f>C46</f>
        <v>0.1953</v>
      </c>
      <c r="C55" s="101"/>
      <c r="D55" s="101"/>
      <c r="E55" s="101"/>
      <c r="F55" s="101"/>
      <c r="G55" s="104"/>
    </row>
    <row r="56" spans="1:7" x14ac:dyDescent="0.3">
      <c r="A56" s="98" t="s">
        <v>355</v>
      </c>
      <c r="B56" s="97" t="s">
        <v>369</v>
      </c>
      <c r="C56" s="101"/>
      <c r="D56" s="101"/>
      <c r="E56" s="101"/>
      <c r="F56" s="101"/>
      <c r="G56" s="104"/>
    </row>
  </sheetData>
  <mergeCells count="5">
    <mergeCell ref="C8:D8"/>
    <mergeCell ref="B12:C12"/>
    <mergeCell ref="C23:D23"/>
    <mergeCell ref="B27:C27"/>
    <mergeCell ref="B54:F5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E18" sqref="E1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547" t="s">
        <v>11</v>
      </c>
      <c r="B1" s="547"/>
      <c r="C1" s="547"/>
      <c r="D1" s="549" t="s">
        <v>61</v>
      </c>
      <c r="E1" s="549"/>
      <c r="F1" s="549"/>
      <c r="G1" s="549"/>
      <c r="H1" s="549"/>
      <c r="I1" s="549"/>
      <c r="J1" s="27" t="s">
        <v>11</v>
      </c>
      <c r="K1" s="27" t="s">
        <v>11</v>
      </c>
      <c r="L1" s="27" t="s">
        <v>11</v>
      </c>
      <c r="M1" s="27" t="s">
        <v>11</v>
      </c>
      <c r="N1" s="27" t="s">
        <v>11</v>
      </c>
      <c r="O1" s="28" t="s">
        <v>11</v>
      </c>
    </row>
    <row r="2" spans="1:15" x14ac:dyDescent="0.3">
      <c r="A2" s="548"/>
      <c r="B2" s="548"/>
      <c r="C2" s="548"/>
      <c r="D2" s="547" t="s">
        <v>62</v>
      </c>
      <c r="E2" s="547"/>
      <c r="F2" s="547"/>
      <c r="G2" s="547"/>
      <c r="H2" s="547"/>
      <c r="I2" s="547"/>
      <c r="J2" s="27"/>
      <c r="K2" s="27"/>
      <c r="L2" s="27"/>
      <c r="M2" s="27"/>
      <c r="N2" s="27"/>
      <c r="O2" s="550" t="s">
        <v>63</v>
      </c>
    </row>
    <row r="3" spans="1:15" x14ac:dyDescent="0.3">
      <c r="A3" s="548"/>
      <c r="B3" s="548"/>
      <c r="C3" s="548"/>
      <c r="D3" s="547" t="s">
        <v>64</v>
      </c>
      <c r="E3" s="547"/>
      <c r="F3" s="547"/>
      <c r="G3" s="547"/>
      <c r="H3" s="547"/>
      <c r="I3" s="547"/>
      <c r="J3" s="27"/>
      <c r="K3" s="27"/>
      <c r="L3" s="27"/>
      <c r="M3" s="27"/>
      <c r="N3" s="27"/>
      <c r="O3" s="551"/>
    </row>
    <row r="4" spans="1:15" x14ac:dyDescent="0.3">
      <c r="A4" s="548"/>
      <c r="B4" s="548"/>
      <c r="C4" s="548"/>
      <c r="D4" s="547" t="s">
        <v>65</v>
      </c>
      <c r="E4" s="547"/>
      <c r="F4" s="547"/>
      <c r="G4" s="547"/>
      <c r="H4" s="547"/>
      <c r="I4" s="547"/>
      <c r="J4" s="27"/>
      <c r="K4" s="27"/>
      <c r="L4" s="27"/>
      <c r="M4" s="27"/>
      <c r="N4" s="27"/>
      <c r="O4" s="551"/>
    </row>
    <row r="5" spans="1:15" x14ac:dyDescent="0.3">
      <c r="A5" s="548"/>
      <c r="B5" s="548"/>
      <c r="C5" s="548"/>
      <c r="D5" s="547" t="s">
        <v>66</v>
      </c>
      <c r="E5" s="547"/>
      <c r="F5" s="547"/>
      <c r="G5" s="547"/>
      <c r="H5" s="547"/>
      <c r="I5" s="547"/>
      <c r="J5" s="27"/>
      <c r="K5" s="27"/>
      <c r="L5" s="27"/>
      <c r="M5" s="27"/>
      <c r="N5" s="27"/>
      <c r="O5" s="551"/>
    </row>
    <row r="6" spans="1:15" x14ac:dyDescent="0.3">
      <c r="A6" s="548"/>
      <c r="B6" s="548"/>
      <c r="C6" s="54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551"/>
    </row>
    <row r="7" spans="1:15" x14ac:dyDescent="0.3">
      <c r="A7" s="548"/>
      <c r="B7" s="548"/>
      <c r="C7" s="548"/>
      <c r="D7" s="547" t="s">
        <v>67</v>
      </c>
      <c r="E7" s="547"/>
      <c r="F7" s="547"/>
      <c r="G7" s="547"/>
      <c r="H7" s="547"/>
      <c r="I7" s="547"/>
      <c r="J7" s="27"/>
      <c r="K7" s="27"/>
      <c r="L7" s="27"/>
      <c r="M7" s="27"/>
      <c r="N7" s="27"/>
      <c r="O7" s="29">
        <v>45264.482613275461</v>
      </c>
    </row>
    <row r="8" spans="1:15" x14ac:dyDescent="0.3">
      <c r="A8" s="546" t="s">
        <v>68</v>
      </c>
      <c r="B8" s="546"/>
      <c r="C8" s="546"/>
      <c r="D8" s="546"/>
      <c r="E8" s="546"/>
      <c r="F8" s="546"/>
      <c r="G8" s="546"/>
      <c r="H8" s="546"/>
      <c r="I8" s="546"/>
      <c r="J8" s="546"/>
      <c r="K8" s="546"/>
      <c r="L8" s="546"/>
      <c r="M8" s="546"/>
      <c r="N8" s="546"/>
      <c r="O8" s="546"/>
    </row>
    <row r="9" spans="1:15" ht="27.6" x14ac:dyDescent="0.3">
      <c r="A9" s="30" t="s">
        <v>69</v>
      </c>
      <c r="B9" s="30" t="s">
        <v>70</v>
      </c>
      <c r="C9" s="30" t="s">
        <v>71</v>
      </c>
      <c r="D9" s="30" t="s">
        <v>52</v>
      </c>
      <c r="E9" s="30" t="s">
        <v>72</v>
      </c>
      <c r="F9" s="30" t="s">
        <v>73</v>
      </c>
      <c r="G9" s="30" t="s">
        <v>34</v>
      </c>
      <c r="H9" s="30" t="s">
        <v>74</v>
      </c>
      <c r="I9" s="30" t="s">
        <v>75</v>
      </c>
      <c r="J9" s="30" t="s">
        <v>73</v>
      </c>
      <c r="K9" s="30" t="s">
        <v>76</v>
      </c>
      <c r="L9" s="30" t="s">
        <v>77</v>
      </c>
      <c r="M9" s="30" t="s">
        <v>78</v>
      </c>
      <c r="N9" s="30" t="s">
        <v>79</v>
      </c>
      <c r="O9" s="31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555" t="s">
        <v>3</v>
      </c>
      <c r="C2" s="556"/>
      <c r="D2" s="556"/>
      <c r="E2" s="556"/>
      <c r="F2" s="556"/>
      <c r="G2" s="556"/>
      <c r="H2" s="556"/>
      <c r="I2" s="556"/>
      <c r="J2" s="556"/>
      <c r="K2" s="556"/>
      <c r="L2" s="557"/>
    </row>
    <row r="3" spans="2:12" ht="47.4" customHeight="1" thickBot="1" x14ac:dyDescent="0.35">
      <c r="B3" s="558" t="s">
        <v>12</v>
      </c>
      <c r="C3" s="559"/>
      <c r="D3" s="559"/>
      <c r="E3" s="559"/>
      <c r="F3" s="559"/>
      <c r="G3" s="559"/>
      <c r="H3" s="559"/>
      <c r="I3" s="559"/>
      <c r="J3" s="559"/>
      <c r="K3" s="559"/>
      <c r="L3" s="56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561" t="s">
        <v>13</v>
      </c>
      <c r="D6" s="561"/>
      <c r="E6" s="561"/>
      <c r="F6" s="561"/>
      <c r="G6" s="561"/>
      <c r="H6" s="561"/>
      <c r="I6" s="561"/>
      <c r="J6" s="561"/>
      <c r="K6" s="561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562" t="s">
        <v>106</v>
      </c>
      <c r="E8" s="563"/>
      <c r="F8" s="563"/>
      <c r="G8" s="563"/>
      <c r="H8" s="563"/>
      <c r="I8" s="563"/>
      <c r="J8" s="563"/>
      <c r="K8" s="564"/>
      <c r="L8" s="5"/>
    </row>
    <row r="9" spans="2:12" x14ac:dyDescent="0.3">
      <c r="B9" s="4"/>
      <c r="C9" s="7" t="s">
        <v>15</v>
      </c>
      <c r="D9" s="552" t="s">
        <v>16</v>
      </c>
      <c r="E9" s="553"/>
      <c r="F9" s="553"/>
      <c r="G9" s="553"/>
      <c r="H9" s="553"/>
      <c r="I9" s="553"/>
      <c r="J9" s="553"/>
      <c r="K9" s="554"/>
      <c r="L9" s="5"/>
    </row>
    <row r="10" spans="2:12" x14ac:dyDescent="0.3">
      <c r="B10" s="4"/>
      <c r="C10" s="7" t="s">
        <v>17</v>
      </c>
      <c r="D10" s="552" t="s">
        <v>11</v>
      </c>
      <c r="E10" s="553"/>
      <c r="F10" s="553"/>
      <c r="G10" s="553"/>
      <c r="H10" s="553"/>
      <c r="I10" s="553"/>
      <c r="J10" s="553"/>
      <c r="K10" s="554"/>
      <c r="L10" s="5"/>
    </row>
    <row r="11" spans="2:12" x14ac:dyDescent="0.3">
      <c r="B11" s="4"/>
      <c r="C11" s="7" t="s">
        <v>18</v>
      </c>
      <c r="D11" s="552" t="s">
        <v>107</v>
      </c>
      <c r="E11" s="553"/>
      <c r="F11" s="553"/>
      <c r="G11" s="553"/>
      <c r="H11" s="553"/>
      <c r="I11" s="553"/>
      <c r="J11" s="553"/>
      <c r="K11" s="554"/>
      <c r="L11" s="5"/>
    </row>
    <row r="12" spans="2:12" x14ac:dyDescent="0.3">
      <c r="B12" s="4"/>
      <c r="C12" s="10" t="s">
        <v>19</v>
      </c>
      <c r="D12" s="565" t="s">
        <v>108</v>
      </c>
      <c r="E12" s="566"/>
      <c r="F12" s="566"/>
      <c r="G12" s="566"/>
      <c r="H12" s="567"/>
      <c r="I12" s="11" t="s">
        <v>20</v>
      </c>
      <c r="J12" s="565" t="s">
        <v>105</v>
      </c>
      <c r="K12" s="56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561" t="s">
        <v>21</v>
      </c>
      <c r="D16" s="561"/>
      <c r="E16" s="561"/>
      <c r="F16" s="561"/>
      <c r="G16" s="561"/>
      <c r="H16" s="561"/>
      <c r="I16" s="561"/>
      <c r="J16" s="561"/>
      <c r="K16" s="561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568" t="s">
        <v>81</v>
      </c>
      <c r="E18" s="568"/>
      <c r="F18" s="568"/>
      <c r="G18" s="569"/>
      <c r="H18" s="568" t="s">
        <v>22</v>
      </c>
      <c r="I18" s="568"/>
      <c r="J18" s="568"/>
      <c r="K18" s="569"/>
      <c r="L18" s="5"/>
    </row>
    <row r="19" spans="2:12" x14ac:dyDescent="0.3">
      <c r="B19" s="4"/>
      <c r="C19" s="15" t="s">
        <v>23</v>
      </c>
      <c r="D19" s="570" t="s">
        <v>110</v>
      </c>
      <c r="E19" s="571"/>
      <c r="F19" s="571"/>
      <c r="G19" s="571"/>
      <c r="H19" s="571"/>
      <c r="I19" s="571"/>
      <c r="J19" s="571"/>
      <c r="K19" s="572"/>
      <c r="L19" s="5"/>
    </row>
    <row r="20" spans="2:12" x14ac:dyDescent="0.3">
      <c r="B20" s="4"/>
      <c r="C20" s="7" t="s">
        <v>24</v>
      </c>
      <c r="D20" s="552"/>
      <c r="E20" s="553"/>
      <c r="F20" s="553"/>
      <c r="G20" s="553"/>
      <c r="H20" s="553"/>
      <c r="I20" s="553"/>
      <c r="J20" s="553"/>
      <c r="K20" s="554"/>
      <c r="L20" s="5"/>
    </row>
    <row r="21" spans="2:12" x14ac:dyDescent="0.3">
      <c r="B21" s="4"/>
      <c r="C21" s="7" t="s">
        <v>25</v>
      </c>
      <c r="D21" s="552" t="s">
        <v>114</v>
      </c>
      <c r="E21" s="554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552" t="s">
        <v>109</v>
      </c>
      <c r="E22" s="553"/>
      <c r="F22" s="553"/>
      <c r="G22" s="554"/>
      <c r="H22" s="7" t="s">
        <v>29</v>
      </c>
      <c r="I22" s="552"/>
      <c r="J22" s="553"/>
      <c r="K22" s="554"/>
      <c r="L22" s="5"/>
    </row>
    <row r="23" spans="2:12" x14ac:dyDescent="0.3">
      <c r="B23" s="4"/>
      <c r="C23" s="10" t="s">
        <v>30</v>
      </c>
      <c r="D23" s="565" t="s">
        <v>111</v>
      </c>
      <c r="E23" s="566"/>
      <c r="F23" s="566"/>
      <c r="G23" s="567"/>
      <c r="H23" s="10" t="s">
        <v>31</v>
      </c>
      <c r="I23" s="565" t="s">
        <v>11</v>
      </c>
      <c r="J23" s="566"/>
      <c r="K23" s="567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561" t="s">
        <v>21</v>
      </c>
      <c r="D27" s="561"/>
      <c r="E27" s="561"/>
      <c r="F27" s="561"/>
      <c r="G27" s="561"/>
      <c r="H27" s="561"/>
      <c r="I27" s="561"/>
      <c r="J27" s="561"/>
      <c r="K27" s="561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573" t="s">
        <v>33</v>
      </c>
      <c r="E29" s="569"/>
      <c r="F29" s="573" t="s">
        <v>34</v>
      </c>
      <c r="G29" s="569"/>
      <c r="H29" s="574" t="s">
        <v>35</v>
      </c>
      <c r="I29" s="574"/>
      <c r="J29" s="574"/>
      <c r="K29" s="575"/>
      <c r="L29" s="5"/>
    </row>
    <row r="30" spans="2:12" x14ac:dyDescent="0.3">
      <c r="B30" s="4"/>
      <c r="C30" s="17" t="s">
        <v>36</v>
      </c>
      <c r="D30" s="576" t="s">
        <v>112</v>
      </c>
      <c r="E30" s="577"/>
      <c r="F30" s="578" t="s">
        <v>117</v>
      </c>
      <c r="G30" s="579"/>
      <c r="H30" s="18" t="s">
        <v>113</v>
      </c>
      <c r="I30" s="573" t="s">
        <v>40</v>
      </c>
      <c r="J30" s="569"/>
      <c r="K30" s="6" t="s">
        <v>38</v>
      </c>
      <c r="L30" s="5"/>
    </row>
    <row r="31" spans="2:12" x14ac:dyDescent="0.3">
      <c r="B31" s="4"/>
      <c r="C31" s="17" t="s">
        <v>39</v>
      </c>
      <c r="D31" s="576" t="s">
        <v>11</v>
      </c>
      <c r="E31" s="577"/>
      <c r="F31" s="578" t="s">
        <v>11</v>
      </c>
      <c r="G31" s="579"/>
      <c r="H31" s="17" t="s">
        <v>37</v>
      </c>
      <c r="I31" s="582" t="s">
        <v>40</v>
      </c>
      <c r="J31" s="583"/>
      <c r="K31" s="7" t="s">
        <v>38</v>
      </c>
      <c r="L31" s="5"/>
    </row>
    <row r="32" spans="2:12" x14ac:dyDescent="0.3">
      <c r="B32" s="4"/>
      <c r="C32" s="17" t="s">
        <v>41</v>
      </c>
      <c r="D32" s="576" t="s">
        <v>11</v>
      </c>
      <c r="E32" s="577"/>
      <c r="F32" s="578" t="s">
        <v>11</v>
      </c>
      <c r="G32" s="579"/>
      <c r="H32" s="17" t="s">
        <v>37</v>
      </c>
      <c r="I32" s="582" t="s">
        <v>40</v>
      </c>
      <c r="J32" s="583"/>
      <c r="K32" s="7" t="s">
        <v>38</v>
      </c>
      <c r="L32" s="5"/>
    </row>
    <row r="33" spans="2:12" x14ac:dyDescent="0.3">
      <c r="B33" s="4"/>
      <c r="C33" s="19" t="s">
        <v>42</v>
      </c>
      <c r="D33" s="576" t="s">
        <v>11</v>
      </c>
      <c r="E33" s="577"/>
      <c r="F33" s="580" t="s">
        <v>11</v>
      </c>
      <c r="G33" s="581"/>
      <c r="H33" s="17" t="s">
        <v>37</v>
      </c>
      <c r="I33" s="582" t="s">
        <v>40</v>
      </c>
      <c r="J33" s="583"/>
      <c r="K33" s="7" t="s">
        <v>38</v>
      </c>
      <c r="L33" s="5"/>
    </row>
    <row r="34" spans="2:12" x14ac:dyDescent="0.3">
      <c r="B34" s="4"/>
      <c r="C34" s="584" t="s">
        <v>43</v>
      </c>
      <c r="D34" s="585"/>
      <c r="E34" s="586"/>
      <c r="F34" s="587" t="s">
        <v>117</v>
      </c>
      <c r="G34" s="58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561" t="s">
        <v>44</v>
      </c>
      <c r="D38" s="561"/>
      <c r="E38" s="561"/>
      <c r="F38" s="561"/>
      <c r="G38" s="561"/>
      <c r="H38" s="561"/>
      <c r="I38" s="561"/>
      <c r="J38" s="561"/>
      <c r="K38" s="561"/>
      <c r="L38" s="5"/>
    </row>
    <row r="39" spans="2:12" x14ac:dyDescent="0.3">
      <c r="B39" s="4"/>
      <c r="C39" s="591" t="s">
        <v>118</v>
      </c>
      <c r="D39" s="591"/>
      <c r="E39" s="591"/>
      <c r="F39" s="591"/>
      <c r="G39" s="591"/>
      <c r="H39" s="591"/>
      <c r="I39" s="591"/>
      <c r="J39" s="591"/>
      <c r="K39" s="591"/>
      <c r="L39" s="5"/>
    </row>
    <row r="40" spans="2:12" x14ac:dyDescent="0.3">
      <c r="B40" s="4"/>
      <c r="C40" s="591"/>
      <c r="D40" s="591"/>
      <c r="E40" s="591"/>
      <c r="F40" s="591"/>
      <c r="G40" s="591"/>
      <c r="H40" s="591"/>
      <c r="I40" s="591"/>
      <c r="J40" s="591"/>
      <c r="K40" s="591"/>
      <c r="L40" s="5"/>
    </row>
    <row r="41" spans="2:12" x14ac:dyDescent="0.3">
      <c r="B41" s="4"/>
      <c r="C41" s="591"/>
      <c r="D41" s="591"/>
      <c r="E41" s="591"/>
      <c r="F41" s="591"/>
      <c r="G41" s="591"/>
      <c r="H41" s="591"/>
      <c r="I41" s="591"/>
      <c r="J41" s="591"/>
      <c r="K41" s="591"/>
      <c r="L41" s="5"/>
    </row>
    <row r="42" spans="2:12" x14ac:dyDescent="0.3">
      <c r="B42" s="4"/>
      <c r="C42" s="591"/>
      <c r="D42" s="591"/>
      <c r="E42" s="591"/>
      <c r="F42" s="591"/>
      <c r="G42" s="591"/>
      <c r="H42" s="591"/>
      <c r="I42" s="591"/>
      <c r="J42" s="591"/>
      <c r="K42" s="591"/>
      <c r="L42" s="5"/>
    </row>
    <row r="43" spans="2:12" x14ac:dyDescent="0.3">
      <c r="B43" s="4"/>
      <c r="C43" s="591"/>
      <c r="D43" s="591"/>
      <c r="E43" s="591"/>
      <c r="F43" s="591"/>
      <c r="G43" s="591"/>
      <c r="H43" s="591"/>
      <c r="I43" s="591"/>
      <c r="J43" s="591"/>
      <c r="K43" s="591"/>
      <c r="L43" s="5"/>
    </row>
    <row r="44" spans="2:12" x14ac:dyDescent="0.3">
      <c r="B44" s="4"/>
      <c r="C44" s="591"/>
      <c r="D44" s="591"/>
      <c r="E44" s="591"/>
      <c r="F44" s="591"/>
      <c r="G44" s="591"/>
      <c r="H44" s="591"/>
      <c r="I44" s="591"/>
      <c r="J44" s="591"/>
      <c r="K44" s="591"/>
      <c r="L44" s="5"/>
    </row>
    <row r="45" spans="2:12" x14ac:dyDescent="0.3">
      <c r="B45" s="4"/>
      <c r="C45" s="592"/>
      <c r="D45" s="592"/>
      <c r="E45" s="592"/>
      <c r="F45" s="592"/>
      <c r="G45" s="592"/>
      <c r="H45" s="592"/>
      <c r="I45" s="592"/>
      <c r="J45" s="592"/>
      <c r="K45" s="592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589" t="s">
        <v>45</v>
      </c>
      <c r="C48" s="59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541" t="s">
        <v>46</v>
      </c>
      <c r="D51" s="541"/>
      <c r="E51" s="541"/>
      <c r="F51" s="541"/>
      <c r="H51" s="541" t="s">
        <v>47</v>
      </c>
      <c r="I51" s="541"/>
      <c r="J51" s="541"/>
      <c r="K51" s="54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2A3E778-3D40-4113-AA72-F48857AB39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15</vt:i4>
      </vt:variant>
    </vt:vector>
  </HeadingPairs>
  <TitlesOfParts>
    <vt:vector size="28" baseType="lpstr">
      <vt:lpstr>RESUMO</vt:lpstr>
      <vt:lpstr>Principal</vt:lpstr>
      <vt:lpstr>Atração</vt:lpstr>
      <vt:lpstr>Opcionais</vt:lpstr>
      <vt:lpstr>Itens extra</vt:lpstr>
      <vt:lpstr>Bourbon Atibaia </vt:lpstr>
      <vt:lpstr>Itens Extra Hotel </vt:lpstr>
      <vt:lpstr>CUSTOS OPERACIONAIS</vt:lpstr>
      <vt:lpstr>TOTAL</vt:lpstr>
      <vt:lpstr>Negociação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2026-03-19T14:07:47Z</cp:lastPrinted>
  <dcterms:created xsi:type="dcterms:W3CDTF">2023-09-21T21:02:20Z</dcterms:created>
  <dcterms:modified xsi:type="dcterms:W3CDTF">2026-03-26T14:55:40Z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