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2 fevereiro\"/>
    </mc:Choice>
  </mc:AlternateContent>
  <xr:revisionPtr revIDLastSave="0" documentId="13_ncr:1_{3884644E-C92C-49AB-A6AB-C39670C360C5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2" r:id="rId1"/>
    <sheet name="Principal" sheetId="91" r:id="rId2"/>
    <sheet name="Solicitações de Pagamento" sheetId="4" r:id="rId3"/>
    <sheet name="ItensOrc" sheetId="76" state="hidden" r:id="rId4"/>
  </sheets>
  <definedNames>
    <definedName name="_xlnm._FilterDatabase" localSheetId="1" hidden="1">Principal!$A$1:$AM$14</definedName>
    <definedName name="_xleta.N" hidden="1" xlm="1">#NAME?</definedName>
    <definedName name="_xleta.SUM" hidden="1" xlm="1">#NAME?</definedName>
    <definedName name="itensorc_desconto" localSheetId="3">ItensOrc!$M:$M</definedName>
    <definedName name="itensorc_desconto">#REF!</definedName>
    <definedName name="itensorc_descricao" localSheetId="3">ItensOrc!$D:$D</definedName>
    <definedName name="itensorc_descricao">#REF!</definedName>
    <definedName name="itensorc_encargos" localSheetId="3">ItensOrc!$N:$N</definedName>
    <definedName name="itensorc_encargos">#REF!</definedName>
    <definedName name="itensorc_especifica" localSheetId="3">ItensOrc!$O:$O</definedName>
    <definedName name="itensorc_especifica">#REF!</definedName>
    <definedName name="itensorc_item" localSheetId="3">ItensOrc!$C:$C</definedName>
    <definedName name="itensorc_item">#REF!</definedName>
    <definedName name="itensorc_lancamento" localSheetId="3">ItensOrc!$B:$B</definedName>
    <definedName name="itensorc_lancamento">#REF!</definedName>
    <definedName name="itensorc_percentualhonorarios" localSheetId="3">ItensOrc!$L:$L</definedName>
    <definedName name="itensorc_percentualhonorarios">#REF!</definedName>
    <definedName name="itensorc_quantidade" localSheetId="3">ItensOrc!$E:$E</definedName>
    <definedName name="itensorc_quantidade">#REF!</definedName>
    <definedName name="itensorc_situacao" localSheetId="3">ItensOrc!$H:$H</definedName>
    <definedName name="itensorc_situacao">#REF!</definedName>
    <definedName name="itensorc_subtipo" localSheetId="3">ItensOrc!$K:$K</definedName>
    <definedName name="itensorc_subtipo">#REF!</definedName>
    <definedName name="itensorc_tiporeceita" localSheetId="3">ItensOrc!$A:$A</definedName>
    <definedName name="itensorc_tiporeceita">#REF!</definedName>
    <definedName name="itensorc_valor" localSheetId="3">ItensOrc!$G:$G</definedName>
    <definedName name="itensorc_valor">#REF!</definedName>
    <definedName name="itensorc_valorfornecedor" localSheetId="3">ItensOrc!$I:$I</definedName>
    <definedName name="itensorc_valorfornecedor">#REF!</definedName>
    <definedName name="itensorc_valorfornecedorunitario" localSheetId="3">ItensOrc!$J:$J</definedName>
    <definedName name="itensorc_valorfornecedorunitario">#REF!</definedName>
    <definedName name="itensorc_valorunitario" localSheetId="3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92" l="1"/>
  <c r="E31" i="92"/>
  <c r="D31" i="92"/>
  <c r="F29" i="92"/>
  <c r="E29" i="92"/>
  <c r="D29" i="92"/>
  <c r="E30" i="92"/>
  <c r="F30" i="92" s="1"/>
  <c r="D30" i="92"/>
  <c r="AB45" i="91"/>
  <c r="T35" i="91"/>
  <c r="AC35" i="91"/>
  <c r="AC38" i="91"/>
  <c r="C22" i="92"/>
  <c r="AC34" i="91"/>
  <c r="AB34" i="91"/>
  <c r="AC33" i="91"/>
  <c r="AB33" i="91" s="1"/>
  <c r="AC25" i="91"/>
  <c r="AB25" i="91"/>
  <c r="AB18" i="91"/>
  <c r="AB22" i="91"/>
  <c r="AB23" i="91"/>
  <c r="AB24" i="91"/>
  <c r="AB27" i="91"/>
  <c r="AB32" i="91"/>
  <c r="C23" i="92"/>
  <c r="E3" i="92"/>
  <c r="T38" i="91"/>
  <c r="T36" i="91"/>
  <c r="S32" i="91"/>
  <c r="F31" i="92" l="1"/>
  <c r="S30" i="91"/>
  <c r="S28" i="91"/>
  <c r="S35" i="91"/>
  <c r="S29" i="91" l="1"/>
  <c r="R19" i="91" l="1"/>
  <c r="Q19" i="91"/>
  <c r="V19" i="91" s="1"/>
  <c r="K19" i="91"/>
  <c r="L19" i="91" s="1"/>
  <c r="R34" i="91"/>
  <c r="Q34" i="91"/>
  <c r="K34" i="91"/>
  <c r="L34" i="91" s="1"/>
  <c r="R33" i="91"/>
  <c r="Q33" i="91"/>
  <c r="K33" i="91"/>
  <c r="U19" i="91" l="1"/>
  <c r="T34" i="91"/>
  <c r="V34" i="91"/>
  <c r="L33" i="91"/>
  <c r="T33" i="91"/>
  <c r="U33" i="91" s="1"/>
  <c r="V33" i="91"/>
  <c r="W19" i="91" l="1"/>
  <c r="X19" i="91" s="1"/>
  <c r="AB19" i="91" s="1"/>
  <c r="Z19" i="91"/>
  <c r="U34" i="91"/>
  <c r="W34" i="91"/>
  <c r="X34" i="91" s="1"/>
  <c r="Z33" i="91"/>
  <c r="W33" i="91"/>
  <c r="X33" i="91" s="1"/>
  <c r="Z34" i="91" l="1"/>
  <c r="R31" i="91"/>
  <c r="Q31" i="91"/>
  <c r="V31" i="91" s="1"/>
  <c r="K31" i="91"/>
  <c r="R35" i="91"/>
  <c r="Q35" i="91"/>
  <c r="V35" i="91" s="1"/>
  <c r="K35" i="91"/>
  <c r="U35" i="91" l="1"/>
  <c r="L31" i="91"/>
  <c r="L35" i="91"/>
  <c r="Q30" i="91"/>
  <c r="K30" i="91"/>
  <c r="R29" i="91"/>
  <c r="V29" i="91"/>
  <c r="K29" i="91"/>
  <c r="R28" i="91"/>
  <c r="V28" i="91"/>
  <c r="K28" i="91"/>
  <c r="Q27" i="91"/>
  <c r="R25" i="91"/>
  <c r="K25" i="91"/>
  <c r="L25" i="91" s="1"/>
  <c r="R24" i="91"/>
  <c r="V24" i="91"/>
  <c r="K24" i="91"/>
  <c r="Q23" i="91"/>
  <c r="Q22" i="91"/>
  <c r="R18" i="91"/>
  <c r="Q18" i="91"/>
  <c r="V18" i="91"/>
  <c r="K18" i="91"/>
  <c r="R17" i="91"/>
  <c r="Q17" i="91"/>
  <c r="K17" i="91"/>
  <c r="R32" i="91"/>
  <c r="Q32" i="91"/>
  <c r="K32" i="91"/>
  <c r="Q16" i="91"/>
  <c r="Q15" i="91"/>
  <c r="K26" i="91" l="1"/>
  <c r="K36" i="91"/>
  <c r="K37" i="91"/>
  <c r="K20" i="91"/>
  <c r="K21" i="91"/>
  <c r="K38" i="91"/>
  <c r="U31" i="91"/>
  <c r="Z35" i="91"/>
  <c r="T18" i="91"/>
  <c r="Z31" i="91"/>
  <c r="W31" i="91"/>
  <c r="X31" i="91" s="1"/>
  <c r="AB31" i="91" s="1"/>
  <c r="W35" i="91"/>
  <c r="X35" i="91" s="1"/>
  <c r="AB35" i="91" s="1"/>
  <c r="L17" i="91"/>
  <c r="L28" i="91"/>
  <c r="U18" i="91"/>
  <c r="W18" i="91" s="1"/>
  <c r="X18" i="91" s="1"/>
  <c r="L32" i="91"/>
  <c r="T24" i="91"/>
  <c r="U28" i="91"/>
  <c r="U29" i="91"/>
  <c r="W29" i="91" s="1"/>
  <c r="X29" i="91" s="1"/>
  <c r="AB29" i="91" s="1"/>
  <c r="V30" i="91"/>
  <c r="L30" i="91"/>
  <c r="L29" i="91"/>
  <c r="T25" i="91"/>
  <c r="V25" i="91"/>
  <c r="L24" i="91"/>
  <c r="L26" i="91" s="1"/>
  <c r="V17" i="91"/>
  <c r="V32" i="91"/>
  <c r="L18" i="91"/>
  <c r="M14" i="91"/>
  <c r="M34" i="91" l="1"/>
  <c r="M19" i="91"/>
  <c r="T26" i="91"/>
  <c r="AA30" i="91"/>
  <c r="T37" i="91"/>
  <c r="L36" i="91"/>
  <c r="L37" i="91"/>
  <c r="T20" i="91"/>
  <c r="AA17" i="91" s="1"/>
  <c r="T21" i="91"/>
  <c r="L20" i="91"/>
  <c r="L38" i="91"/>
  <c r="L21" i="91"/>
  <c r="U25" i="91"/>
  <c r="W25" i="91" s="1"/>
  <c r="X25" i="91" s="1"/>
  <c r="AA25" i="91"/>
  <c r="N34" i="91"/>
  <c r="Y34" i="91"/>
  <c r="Z12" i="91"/>
  <c r="M33" i="91"/>
  <c r="M31" i="91"/>
  <c r="Z18" i="91"/>
  <c r="M35" i="91"/>
  <c r="U24" i="91"/>
  <c r="U30" i="91"/>
  <c r="Z28" i="91"/>
  <c r="M25" i="91"/>
  <c r="N25" i="91" s="1"/>
  <c r="M17" i="91"/>
  <c r="M28" i="91"/>
  <c r="U32" i="91"/>
  <c r="Z32" i="91" s="1"/>
  <c r="M32" i="91"/>
  <c r="M18" i="91"/>
  <c r="Y18" i="91" s="1"/>
  <c r="U17" i="91"/>
  <c r="M30" i="91"/>
  <c r="N30" i="91" s="1"/>
  <c r="Z29" i="91"/>
  <c r="M29" i="91"/>
  <c r="Y29" i="91" s="1"/>
  <c r="W28" i="91"/>
  <c r="X28" i="91" s="1"/>
  <c r="AB28" i="91" s="1"/>
  <c r="M24" i="91"/>
  <c r="U36" i="91" l="1"/>
  <c r="U26" i="91"/>
  <c r="M26" i="91"/>
  <c r="N19" i="91"/>
  <c r="Y19" i="91"/>
  <c r="U37" i="91"/>
  <c r="M36" i="91"/>
  <c r="M37" i="91"/>
  <c r="M21" i="91"/>
  <c r="M20" i="91"/>
  <c r="M38" i="91"/>
  <c r="U20" i="91"/>
  <c r="U38" i="91"/>
  <c r="U21" i="91"/>
  <c r="Z17" i="91"/>
  <c r="Z30" i="91"/>
  <c r="Z25" i="91"/>
  <c r="AA18" i="91"/>
  <c r="N33" i="91"/>
  <c r="Y33" i="91"/>
  <c r="N31" i="91"/>
  <c r="Y31" i="91"/>
  <c r="Y25" i="91"/>
  <c r="W30" i="91"/>
  <c r="X30" i="91" s="1"/>
  <c r="AB30" i="91" s="1"/>
  <c r="Z24" i="91"/>
  <c r="AA24" i="91"/>
  <c r="N17" i="91"/>
  <c r="W24" i="91"/>
  <c r="X24" i="91" s="1"/>
  <c r="X26" i="91" s="1"/>
  <c r="N35" i="91"/>
  <c r="Y35" i="91"/>
  <c r="W32" i="91"/>
  <c r="X32" i="91" s="1"/>
  <c r="Y32" i="91" s="1"/>
  <c r="N28" i="91"/>
  <c r="Y28" i="91"/>
  <c r="AA32" i="91"/>
  <c r="N32" i="91"/>
  <c r="N18" i="91"/>
  <c r="W17" i="91"/>
  <c r="X17" i="91" s="1"/>
  <c r="AB17" i="91" s="1"/>
  <c r="AA29" i="91"/>
  <c r="AA28" i="91"/>
  <c r="N29" i="91"/>
  <c r="N24" i="91"/>
  <c r="N26" i="91" s="1"/>
  <c r="AB38" i="91" l="1"/>
  <c r="X37" i="91"/>
  <c r="Y37" i="91" s="1"/>
  <c r="X36" i="91"/>
  <c r="Y36" i="91" s="1"/>
  <c r="N36" i="91"/>
  <c r="N37" i="91"/>
  <c r="N21" i="91"/>
  <c r="N20" i="91"/>
  <c r="N38" i="91"/>
  <c r="N40" i="91" s="1"/>
  <c r="X20" i="91"/>
  <c r="X38" i="91"/>
  <c r="X21" i="91"/>
  <c r="Y21" i="91" s="1"/>
  <c r="Y20" i="91"/>
  <c r="Y26" i="91"/>
  <c r="Y17" i="91"/>
  <c r="Y30" i="91"/>
  <c r="Y24" i="91"/>
  <c r="AB44" i="91" l="1"/>
  <c r="AB46" i="91" s="1"/>
  <c r="D22" i="92"/>
  <c r="Y38" i="91"/>
  <c r="Z38" i="91" s="1"/>
  <c r="AA38" i="91" s="1"/>
  <c r="D23" i="92" l="1"/>
  <c r="E22" i="92"/>
  <c r="F22" i="92" l="1"/>
  <c r="E23" i="92"/>
  <c r="F23" i="92" s="1"/>
</calcChain>
</file>

<file path=xl/sharedStrings.xml><?xml version="1.0" encoding="utf-8"?>
<sst xmlns="http://schemas.openxmlformats.org/spreadsheetml/2006/main" count="279" uniqueCount="179">
  <si>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</si>
  <si>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</si>
  <si>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</si>
  <si>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</si>
  <si>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</si>
  <si>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</si>
  <si>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</si>
  <si>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</si>
  <si>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</si>
  <si>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</si>
  <si>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</si>
  <si>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</si>
  <si>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Data</t>
  </si>
  <si>
    <t>Valor</t>
  </si>
  <si>
    <t>TOTAL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</si>
  <si>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</si>
  <si>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</si>
  <si>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</si>
  <si>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</si>
  <si>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</si>
  <si>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</si>
  <si>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</si>
  <si>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</si>
  <si>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</si>
  <si>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</si>
  <si>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</si>
  <si>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</si>
  <si>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</si>
  <si>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</si>
  <si>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</si>
  <si>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</si>
  <si>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</si>
  <si>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</si>
  <si>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</si>
  <si>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</si>
  <si>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</si>
  <si>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</si>
  <si>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</si>
  <si>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</si>
  <si>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</si>
  <si>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</si>
  <si>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</si>
  <si>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</si>
  <si>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</si>
  <si>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</si>
  <si>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</si>
  <si>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</si>
  <si>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</si>
  <si>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</si>
  <si>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</si>
  <si>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</si>
  <si>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</si>
  <si>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</si>
  <si>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</si>
  <si>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</si>
  <si>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</si>
  <si>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</si>
  <si>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</si>
  <si>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</si>
  <si>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</si>
  <si>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</si>
  <si>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</si>
  <si>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</si>
  <si>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</si>
  <si>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</si>
  <si>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</si>
  <si>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</si>
  <si>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</si>
  <si>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</si>
  <si>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</si>
  <si>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</si>
  <si>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</si>
  <si>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</si>
  <si>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 xml:space="preserve"> </t>
  </si>
  <si>
    <t xml:space="preserve">   </t>
  </si>
  <si>
    <t>ORÇAMENTO 5.2</t>
  </si>
  <si>
    <t>SILVIA BRITO</t>
  </si>
  <si>
    <t>GRUPO</t>
  </si>
  <si>
    <t>SUBGRUPO</t>
  </si>
  <si>
    <t>1.1</t>
  </si>
  <si>
    <t>AGENCIAMENTO</t>
  </si>
  <si>
    <t>IMPOSTOS</t>
  </si>
  <si>
    <t>Marg.</t>
  </si>
  <si>
    <t>OPERACIONAL</t>
  </si>
  <si>
    <t>ITEM</t>
  </si>
  <si>
    <t>1.1.1</t>
  </si>
  <si>
    <t>INTERNO</t>
  </si>
  <si>
    <t>SUBTOTAL SUBGRUPO</t>
  </si>
  <si>
    <t>Subtotal OPERACIONAL</t>
  </si>
  <si>
    <t>SUBTOTAL GRUPO</t>
  </si>
  <si>
    <t>SUBTOTAL PLANILHA</t>
  </si>
  <si>
    <t>Marg. Lucro</t>
  </si>
  <si>
    <t>Lucro</t>
  </si>
  <si>
    <t>FAT.OGGI</t>
  </si>
  <si>
    <t>FAT.CLIENTE</t>
  </si>
  <si>
    <t>internos</t>
  </si>
  <si>
    <t>INTERNOS OGGI</t>
  </si>
  <si>
    <t>Subtotal INTERNOS OGGI</t>
  </si>
  <si>
    <t>Subtotal internos</t>
  </si>
  <si>
    <t>2.1</t>
  </si>
  <si>
    <t>2.1.1</t>
  </si>
  <si>
    <t>2.1.2</t>
  </si>
  <si>
    <t>2.2</t>
  </si>
  <si>
    <t>2.2.1</t>
  </si>
  <si>
    <t>2.2.2</t>
  </si>
  <si>
    <t>2.2.3</t>
  </si>
  <si>
    <t>oggi</t>
  </si>
  <si>
    <t>Subtotal comunicação</t>
  </si>
  <si>
    <t>TOTAL LE 202_COMPRA DE GARRAFAS STANLEY</t>
  </si>
  <si>
    <t>2.2.4</t>
  </si>
  <si>
    <t>2.2.5</t>
  </si>
  <si>
    <t>2.2.6</t>
  </si>
  <si>
    <t>Sp e Idu</t>
  </si>
  <si>
    <t>Atendimento e produção</t>
  </si>
  <si>
    <t>Produtor financeiro</t>
  </si>
  <si>
    <t xml:space="preserve">Apoio para fechamento juntos aos fornecedores e </t>
  </si>
  <si>
    <t>A&amp;B LAPA</t>
  </si>
  <si>
    <t>A&amp;B IDU</t>
  </si>
  <si>
    <t>Espaço reservado no Restaurante Chacara de Minas.Happy hour de 02 horas.</t>
  </si>
  <si>
    <t>Espaço reservado no Restaurante Sabor Oliva.Happy hour de 02 horas.</t>
  </si>
  <si>
    <t>HAPPY HOUR</t>
  </si>
  <si>
    <t>Subtotal HAPPY HOUR</t>
  </si>
  <si>
    <t>BRINDES IDU</t>
  </si>
  <si>
    <t>BRINDES LAPA</t>
  </si>
  <si>
    <t xml:space="preserve">EMBALAGEM DE KRAFT </t>
  </si>
  <si>
    <t>Profissional contratado para companhar os evento por até 6 horas.</t>
  </si>
  <si>
    <t>PRODUTOR OPERACIONAL</t>
  </si>
  <si>
    <t>LOGISTICA ENTREGA BRINDES</t>
  </si>
  <si>
    <t>CUSTOS OPERACIONAIS</t>
  </si>
  <si>
    <t>Vt, retirada com fornecedores,motoboy deslocamento e alimentação.</t>
  </si>
  <si>
    <t>2.2.7</t>
  </si>
  <si>
    <t>MANUSEIO</t>
  </si>
  <si>
    <t xml:space="preserve">CÓDIGO DO JOB: </t>
  </si>
  <si>
    <t>LE _211</t>
  </si>
  <si>
    <t>CLIENTE:</t>
  </si>
  <si>
    <t>LENOVO_DANIEL</t>
  </si>
  <si>
    <t>EVENTO:</t>
  </si>
  <si>
    <t>HAPPY HOUR SP E IDU</t>
  </si>
  <si>
    <t>LOCAL:</t>
  </si>
  <si>
    <t>SÃO PAULO E INDAIATUBA</t>
  </si>
  <si>
    <t>DATA:</t>
  </si>
  <si>
    <t>18/12 E 19/12 DE 2025</t>
  </si>
  <si>
    <t>ATENDIMENTO:</t>
  </si>
  <si>
    <t>PRODUTOR:</t>
  </si>
  <si>
    <t>NOME PLANILHA:</t>
  </si>
  <si>
    <t>LE 211_HAPPY HOUR SP E IDU</t>
  </si>
  <si>
    <t>Atendimento ao cliente , pré e pós produção do evento .</t>
  </si>
  <si>
    <t>Cerveja Artesanal com copo</t>
  </si>
  <si>
    <t>Sacola KRAFT + TAG(Lenovo +Intel KV degrade)</t>
  </si>
  <si>
    <t>2.2.8</t>
  </si>
  <si>
    <t xml:space="preserve">BANNER ROLL UP </t>
  </si>
  <si>
    <t>Banner roll up</t>
  </si>
  <si>
    <t>1.1.3</t>
  </si>
  <si>
    <t>Banner roll up + tag</t>
  </si>
  <si>
    <t>Criação</t>
  </si>
  <si>
    <t>SILVIA +MARCELO</t>
  </si>
  <si>
    <t>NF</t>
  </si>
  <si>
    <t>MARCELO</t>
  </si>
  <si>
    <t>Manuseio de canecas , tag e  adesivação  (2 pax por 4 dias).</t>
  </si>
  <si>
    <t>RECIBO</t>
  </si>
  <si>
    <t xml:space="preserve"> SK COPIADORA E IMPRESSAO DIGITAL LTDA 08.750.285/0001-90</t>
  </si>
  <si>
    <t>3AYANNA E 3 ANA PAULA</t>
  </si>
  <si>
    <t>RECIBO TAXI e reembolso marcelo</t>
  </si>
  <si>
    <t>VÍDEO</t>
  </si>
  <si>
    <t>STUDIO ROCA</t>
  </si>
  <si>
    <t>VENDA</t>
  </si>
  <si>
    <t xml:space="preserve">CUSTO </t>
  </si>
  <si>
    <t>LUCRO</t>
  </si>
  <si>
    <t>PRINCIPAL</t>
  </si>
  <si>
    <t>NOTAS EMITIDAS E ND EMITIDAS</t>
  </si>
  <si>
    <t>CHM RESTAURANTE E EVENTOS LTDA  - BRUNO APARECIDO</t>
  </si>
  <si>
    <t>AYANNA - ANA PAULA</t>
  </si>
  <si>
    <t>JAQUELINE BRUM</t>
  </si>
  <si>
    <t>SK COPIADORA</t>
  </si>
  <si>
    <t>IMPOSTO</t>
  </si>
  <si>
    <t>CUSTO TOTAL</t>
  </si>
  <si>
    <t>DIVERSOS</t>
  </si>
  <si>
    <t>NOTA DE DÉBITO - 238</t>
  </si>
  <si>
    <t>NOTA FISCAL - 2772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</si>
</sst>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Verdana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sz val="10"/>
      <name val="Verdana"/>
      <family val="2"/>
    </font>
    <font>
      <b/>
      <sz val="16"/>
      <color theme="0"/>
      <name val="Trebuchet MS"/>
      <family val="2"/>
    </font>
    <font>
      <b/>
      <sz val="10"/>
      <color theme="0"/>
      <name val="Trebuchet MS"/>
      <family val="2"/>
    </font>
    <font>
      <sz val="16"/>
      <color theme="1"/>
      <name val="Calibri"/>
      <family val="2"/>
      <scheme val="minor"/>
    </font>
    <font>
      <sz val="16"/>
      <color theme="4"/>
      <name val="Calibri"/>
      <family val="2"/>
      <scheme val="minor"/>
    </font>
    <font>
      <b/>
      <sz val="16"/>
      <name val="Trebuchet MS"/>
      <family val="2"/>
    </font>
    <font>
      <b/>
      <sz val="16"/>
      <color theme="1"/>
      <name val="Gadugi"/>
      <family val="2"/>
    </font>
    <font>
      <b/>
      <sz val="16"/>
      <color indexed="63"/>
      <name val="Trebuchet MS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Trebuchet MS"/>
      <family val="2"/>
    </font>
    <font>
      <sz val="16"/>
      <color theme="0"/>
      <name val="Calibri"/>
      <family val="2"/>
      <scheme val="minor"/>
    </font>
    <font>
      <sz val="16"/>
      <color theme="1"/>
      <name val="Trebuchet MS"/>
      <family val="2"/>
    </font>
    <font>
      <sz val="10"/>
      <color theme="1"/>
      <name val="Trebuchet MS"/>
      <family val="2"/>
    </font>
    <font>
      <b/>
      <sz val="10"/>
      <name val="Trebuchet MS"/>
      <family val="2"/>
    </font>
    <font>
      <b/>
      <sz val="10"/>
      <color theme="1"/>
      <name val="Trebuchet MS"/>
      <family val="2"/>
    </font>
    <font>
      <b/>
      <sz val="11"/>
      <name val="Trebuchet MS"/>
      <family val="2"/>
    </font>
    <font>
      <b/>
      <sz val="22"/>
      <color indexed="63"/>
      <name val="Trebuchet MS"/>
      <family val="2"/>
    </font>
    <font>
      <b/>
      <sz val="22"/>
      <color rgb="FFFF0000"/>
      <name val="Trebuchet MS"/>
      <family val="2"/>
    </font>
    <font>
      <b/>
      <sz val="22"/>
      <color rgb="FF00B050"/>
      <name val="Trebuchet MS"/>
      <family val="2"/>
    </font>
    <font>
      <b/>
      <sz val="22"/>
      <color theme="1"/>
      <name val="Calibri"/>
      <family val="2"/>
      <scheme val="minor"/>
    </font>
    <font>
      <b/>
      <sz val="22"/>
      <color rgb="FF00B050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22"/>
      <color rgb="FF00B0F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theme="0" tint="-0.14990691854609822"/>
      </bottom>
      <diagonal/>
    </border>
    <border>
      <left/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3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6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77">
    <xf numFmtId="0" fontId="0" fillId="0" borderId="0" xfId="0"/>
    <xf numFmtId="0" fontId="4" fillId="4" borderId="19" xfId="0" applyFont="1" applyFill="1" applyBorder="1"/>
    <xf numFmtId="0" fontId="4" fillId="4" borderId="20" xfId="0" applyFont="1" applyFill="1" applyBorder="1"/>
    <xf numFmtId="0" fontId="7" fillId="7" borderId="25" xfId="0" applyFont="1" applyFill="1" applyBorder="1" applyAlignment="1">
      <alignment vertical="center"/>
    </xf>
    <xf numFmtId="0" fontId="9" fillId="7" borderId="25" xfId="0" applyFont="1" applyFill="1" applyBorder="1" applyAlignment="1">
      <alignment horizontal="center" vertical="center"/>
    </xf>
    <xf numFmtId="22" fontId="7" fillId="7" borderId="25" xfId="0" applyNumberFormat="1" applyFont="1" applyFill="1" applyBorder="1" applyAlignment="1">
      <alignment horizontal="center" vertical="center"/>
    </xf>
    <xf numFmtId="0" fontId="11" fillId="7" borderId="26" xfId="0" applyFont="1" applyFill="1" applyBorder="1" applyAlignment="1">
      <alignment horizontal="center" vertical="center" wrapText="1"/>
    </xf>
    <xf numFmtId="0" fontId="11" fillId="7" borderId="27" xfId="0" applyFont="1" applyFill="1" applyBorder="1" applyAlignment="1">
      <alignment horizontal="center" vertical="center" wrapText="1"/>
    </xf>
    <xf numFmtId="0" fontId="13" fillId="14" borderId="4" xfId="0" applyFont="1" applyFill="1" applyBorder="1"/>
    <xf numFmtId="0" fontId="13" fillId="14" borderId="21" xfId="0" applyFont="1" applyFill="1" applyBorder="1"/>
    <xf numFmtId="44" fontId="13" fillId="14" borderId="21" xfId="0" applyNumberFormat="1" applyFont="1" applyFill="1" applyBorder="1"/>
    <xf numFmtId="9" fontId="13" fillId="14" borderId="9" xfId="1" applyFont="1" applyFill="1" applyBorder="1"/>
    <xf numFmtId="44" fontId="13" fillId="14" borderId="53" xfId="0" applyNumberFormat="1" applyFont="1" applyFill="1" applyBorder="1"/>
    <xf numFmtId="0" fontId="15" fillId="0" borderId="0" xfId="0" applyFont="1" applyAlignment="1">
      <alignment horizontal="center"/>
    </xf>
    <xf numFmtId="0" fontId="16" fillId="15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16" borderId="0" xfId="0" applyFont="1" applyFill="1" applyAlignment="1">
      <alignment horizontal="center"/>
    </xf>
    <xf numFmtId="0" fontId="15" fillId="0" borderId="0" xfId="0" applyFont="1"/>
    <xf numFmtId="49" fontId="17" fillId="0" borderId="0" xfId="2" applyNumberFormat="1" applyFont="1" applyAlignment="1">
      <alignment horizontal="left" vertical="center" wrapText="1"/>
    </xf>
    <xf numFmtId="0" fontId="17" fillId="0" borderId="0" xfId="2" applyFont="1" applyAlignment="1">
      <alignment horizontal="left" vertical="center" wrapText="1"/>
    </xf>
    <xf numFmtId="0" fontId="15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164" fontId="17" fillId="0" borderId="0" xfId="2" applyNumberFormat="1" applyFont="1" applyAlignment="1">
      <alignment horizontal="left" vertical="center"/>
    </xf>
    <xf numFmtId="164" fontId="17" fillId="0" borderId="14" xfId="2" applyNumberFormat="1" applyFont="1" applyBorder="1" applyAlignment="1" applyProtection="1">
      <alignment horizontal="left" vertical="center"/>
      <protection locked="0"/>
    </xf>
    <xf numFmtId="164" fontId="17" fillId="0" borderId="13" xfId="2" applyNumberFormat="1" applyFont="1" applyBorder="1" applyAlignment="1" applyProtection="1">
      <alignment horizontal="left" vertical="center"/>
      <protection locked="0"/>
    </xf>
    <xf numFmtId="164" fontId="17" fillId="0" borderId="18" xfId="2" applyNumberFormat="1" applyFont="1" applyBorder="1" applyAlignment="1" applyProtection="1">
      <alignment horizontal="left" vertical="center"/>
      <protection locked="0"/>
    </xf>
    <xf numFmtId="164" fontId="17" fillId="0" borderId="17" xfId="2" applyNumberFormat="1" applyFont="1" applyBorder="1" applyAlignment="1" applyProtection="1">
      <alignment horizontal="left" vertical="center"/>
      <protection locked="0"/>
    </xf>
    <xf numFmtId="0" fontId="17" fillId="0" borderId="15" xfId="2" applyFont="1" applyBorder="1" applyAlignment="1" applyProtection="1">
      <alignment horizontal="left" vertical="center"/>
      <protection locked="0"/>
    </xf>
    <xf numFmtId="14" fontId="17" fillId="0" borderId="17" xfId="2" applyNumberFormat="1" applyFont="1" applyBorder="1" applyAlignment="1" applyProtection="1">
      <alignment horizontal="left" vertical="center"/>
      <protection locked="0"/>
    </xf>
    <xf numFmtId="164" fontId="17" fillId="0" borderId="23" xfId="2" applyNumberFormat="1" applyFont="1" applyBorder="1" applyAlignment="1" applyProtection="1">
      <alignment horizontal="left" vertical="center"/>
      <protection locked="0"/>
    </xf>
    <xf numFmtId="0" fontId="17" fillId="0" borderId="16" xfId="2" applyFont="1" applyBorder="1" applyAlignment="1" applyProtection="1">
      <alignment horizontal="left" vertical="center"/>
      <protection locked="0"/>
    </xf>
    <xf numFmtId="49" fontId="15" fillId="0" borderId="0" xfId="0" applyNumberFormat="1" applyFont="1"/>
    <xf numFmtId="0" fontId="15" fillId="0" borderId="0" xfId="1" applyNumberFormat="1" applyFont="1"/>
    <xf numFmtId="165" fontId="19" fillId="6" borderId="22" xfId="4" applyFont="1" applyFill="1" applyBorder="1" applyAlignment="1">
      <alignment horizontal="center" vertical="center" wrapText="1"/>
    </xf>
    <xf numFmtId="168" fontId="20" fillId="0" borderId="3" xfId="1" applyNumberFormat="1" applyFont="1" applyBorder="1"/>
    <xf numFmtId="166" fontId="19" fillId="0" borderId="24" xfId="4" applyNumberFormat="1" applyFont="1" applyBorder="1" applyAlignment="1">
      <alignment horizontal="center" vertical="center" wrapText="1"/>
    </xf>
    <xf numFmtId="0" fontId="21" fillId="5" borderId="0" xfId="0" applyFont="1" applyFill="1"/>
    <xf numFmtId="49" fontId="21" fillId="5" borderId="0" xfId="0" applyNumberFormat="1" applyFont="1" applyFill="1"/>
    <xf numFmtId="0" fontId="22" fillId="0" borderId="0" xfId="0" applyFont="1"/>
    <xf numFmtId="0" fontId="23" fillId="0" borderId="28" xfId="0" applyFont="1" applyBorder="1" applyAlignment="1">
      <alignment horizontal="left" vertical="center"/>
    </xf>
    <xf numFmtId="49" fontId="23" fillId="0" borderId="29" xfId="0" applyNumberFormat="1" applyFont="1" applyBorder="1" applyAlignment="1">
      <alignment horizontal="left" vertical="center"/>
    </xf>
    <xf numFmtId="0" fontId="23" fillId="0" borderId="30" xfId="0" applyFont="1" applyBorder="1" applyAlignment="1">
      <alignment horizontal="left" vertical="center"/>
    </xf>
    <xf numFmtId="0" fontId="23" fillId="0" borderId="28" xfId="0" applyFont="1" applyBorder="1" applyAlignment="1">
      <alignment horizontal="left" vertical="center" wrapText="1"/>
    </xf>
    <xf numFmtId="0" fontId="17" fillId="6" borderId="49" xfId="3" applyFont="1" applyFill="1" applyBorder="1" applyAlignment="1">
      <alignment horizontal="left" vertical="center"/>
    </xf>
    <xf numFmtId="0" fontId="17" fillId="6" borderId="41" xfId="3" applyFont="1" applyFill="1" applyBorder="1" applyAlignment="1">
      <alignment horizontal="center" vertical="center"/>
    </xf>
    <xf numFmtId="0" fontId="21" fillId="6" borderId="38" xfId="3" applyFont="1" applyFill="1" applyBorder="1" applyAlignment="1">
      <alignment horizontal="center" vertical="center"/>
    </xf>
    <xf numFmtId="169" fontId="21" fillId="6" borderId="38" xfId="3" applyNumberFormat="1" applyFont="1" applyFill="1" applyBorder="1" applyAlignment="1">
      <alignment horizontal="center" vertical="center" wrapText="1"/>
    </xf>
    <xf numFmtId="0" fontId="21" fillId="6" borderId="39" xfId="3" applyFont="1" applyFill="1" applyBorder="1" applyAlignment="1">
      <alignment horizontal="center" vertical="center" wrapText="1"/>
    </xf>
    <xf numFmtId="9" fontId="21" fillId="6" borderId="37" xfId="1" applyFont="1" applyFill="1" applyBorder="1" applyAlignment="1">
      <alignment horizontal="center" vertical="center" wrapText="1"/>
    </xf>
    <xf numFmtId="10" fontId="21" fillId="6" borderId="38" xfId="1" applyNumberFormat="1" applyFont="1" applyFill="1" applyBorder="1" applyAlignment="1">
      <alignment horizontal="center" vertical="center" wrapText="1"/>
    </xf>
    <xf numFmtId="0" fontId="21" fillId="6" borderId="40" xfId="3" applyFont="1" applyFill="1" applyBorder="1" applyAlignment="1">
      <alignment horizontal="center" vertical="center" wrapText="1"/>
    </xf>
    <xf numFmtId="37" fontId="19" fillId="6" borderId="37" xfId="3" applyNumberFormat="1" applyFont="1" applyFill="1" applyBorder="1" applyAlignment="1">
      <alignment horizontal="center" vertical="center"/>
    </xf>
    <xf numFmtId="37" fontId="19" fillId="6" borderId="38" xfId="3" applyNumberFormat="1" applyFont="1" applyFill="1" applyBorder="1" applyAlignment="1">
      <alignment horizontal="center" vertical="center"/>
    </xf>
    <xf numFmtId="40" fontId="19" fillId="6" borderId="38" xfId="4" applyNumberFormat="1" applyFont="1" applyFill="1" applyBorder="1" applyAlignment="1">
      <alignment horizontal="center" vertical="center"/>
    </xf>
    <xf numFmtId="165" fontId="19" fillId="6" borderId="38" xfId="4" applyFont="1" applyFill="1" applyBorder="1" applyAlignment="1">
      <alignment horizontal="right" vertical="center"/>
    </xf>
    <xf numFmtId="40" fontId="19" fillId="6" borderId="38" xfId="4" applyNumberFormat="1" applyFont="1" applyFill="1" applyBorder="1" applyAlignment="1">
      <alignment horizontal="center" vertical="center" wrapText="1"/>
    </xf>
    <xf numFmtId="10" fontId="19" fillId="6" borderId="38" xfId="5" applyNumberFormat="1" applyFont="1" applyFill="1" applyBorder="1" applyAlignment="1">
      <alignment horizontal="center" vertical="center" wrapText="1"/>
    </xf>
    <xf numFmtId="165" fontId="19" fillId="6" borderId="38" xfId="4" applyFont="1" applyFill="1" applyBorder="1" applyAlignment="1">
      <alignment horizontal="center" vertical="center" wrapText="1"/>
    </xf>
    <xf numFmtId="165" fontId="19" fillId="6" borderId="40" xfId="4" applyFont="1" applyFill="1" applyBorder="1" applyAlignment="1">
      <alignment horizontal="center" vertical="center" wrapText="1"/>
    </xf>
    <xf numFmtId="10" fontId="19" fillId="6" borderId="31" xfId="5" applyNumberFormat="1" applyFont="1" applyFill="1" applyBorder="1" applyAlignment="1">
      <alignment horizontal="center" vertical="center" wrapText="1"/>
    </xf>
    <xf numFmtId="165" fontId="19" fillId="6" borderId="32" xfId="4" applyFont="1" applyFill="1" applyBorder="1" applyAlignment="1">
      <alignment horizontal="center" vertical="center" wrapText="1"/>
    </xf>
    <xf numFmtId="37" fontId="19" fillId="6" borderId="1" xfId="3" applyNumberFormat="1" applyFont="1" applyFill="1" applyBorder="1" applyAlignment="1">
      <alignment horizontal="center" vertical="center"/>
    </xf>
    <xf numFmtId="40" fontId="19" fillId="6" borderId="34" xfId="4" applyNumberFormat="1" applyFont="1" applyFill="1" applyBorder="1" applyAlignment="1">
      <alignment horizontal="center" vertical="center"/>
    </xf>
    <xf numFmtId="49" fontId="23" fillId="0" borderId="29" xfId="0" applyNumberFormat="1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1" fillId="10" borderId="39" xfId="0" applyFont="1" applyFill="1" applyBorder="1" applyAlignment="1">
      <alignment horizontal="center" vertical="center"/>
    </xf>
    <xf numFmtId="0" fontId="21" fillId="10" borderId="38" xfId="0" applyFont="1" applyFill="1" applyBorder="1" applyAlignment="1">
      <alignment horizontal="center" vertical="center"/>
    </xf>
    <xf numFmtId="0" fontId="21" fillId="10" borderId="54" xfId="0" applyFont="1" applyFill="1" applyBorder="1" applyAlignment="1">
      <alignment horizontal="center" vertical="center"/>
    </xf>
    <xf numFmtId="0" fontId="20" fillId="10" borderId="6" xfId="0" applyFont="1" applyFill="1" applyBorder="1" applyAlignment="1">
      <alignment horizontal="center" vertical="center"/>
    </xf>
    <xf numFmtId="0" fontId="23" fillId="0" borderId="35" xfId="0" applyFont="1" applyBorder="1" applyAlignment="1">
      <alignment horizontal="left" vertical="center" wrapText="1"/>
    </xf>
    <xf numFmtId="0" fontId="23" fillId="0" borderId="45" xfId="0" applyFont="1" applyBorder="1" applyAlignment="1">
      <alignment vertical="center" wrapText="1"/>
    </xf>
    <xf numFmtId="0" fontId="23" fillId="0" borderId="46" xfId="0" applyFont="1" applyBorder="1" applyAlignment="1">
      <alignment vertical="center"/>
    </xf>
    <xf numFmtId="44" fontId="23" fillId="0" borderId="46" xfId="8" applyFont="1" applyBorder="1" applyAlignment="1">
      <alignment vertical="center"/>
    </xf>
    <xf numFmtId="44" fontId="23" fillId="0" borderId="36" xfId="8" applyFont="1" applyBorder="1" applyAlignment="1">
      <alignment vertical="center"/>
    </xf>
    <xf numFmtId="1" fontId="23" fillId="11" borderId="47" xfId="0" applyNumberFormat="1" applyFont="1" applyFill="1" applyBorder="1" applyAlignment="1">
      <alignment vertical="center"/>
    </xf>
    <xf numFmtId="1" fontId="23" fillId="11" borderId="45" xfId="0" applyNumberFormat="1" applyFont="1" applyFill="1" applyBorder="1" applyAlignment="1">
      <alignment vertical="center"/>
    </xf>
    <xf numFmtId="44" fontId="23" fillId="11" borderId="45" xfId="8" applyFont="1" applyFill="1" applyBorder="1" applyAlignment="1">
      <alignment vertical="center"/>
    </xf>
    <xf numFmtId="44" fontId="23" fillId="13" borderId="45" xfId="8" applyFont="1" applyFill="1" applyBorder="1" applyAlignment="1">
      <alignment vertical="center"/>
    </xf>
    <xf numFmtId="9" fontId="23" fillId="12" borderId="45" xfId="1" applyFont="1" applyFill="1" applyBorder="1" applyAlignment="1">
      <alignment vertical="center"/>
    </xf>
    <xf numFmtId="44" fontId="23" fillId="12" borderId="45" xfId="8" applyFont="1" applyFill="1" applyBorder="1" applyAlignment="1">
      <alignment vertical="center"/>
    </xf>
    <xf numFmtId="44" fontId="23" fillId="12" borderId="48" xfId="8" applyFont="1" applyFill="1" applyBorder="1" applyAlignment="1">
      <alignment vertical="center"/>
    </xf>
    <xf numFmtId="10" fontId="23" fillId="13" borderId="6" xfId="0" applyNumberFormat="1" applyFont="1" applyFill="1" applyBorder="1" applyAlignment="1">
      <alignment horizontal="center" vertical="center"/>
    </xf>
    <xf numFmtId="10" fontId="23" fillId="13" borderId="45" xfId="0" applyNumberFormat="1" applyFont="1" applyFill="1" applyBorder="1" applyAlignment="1">
      <alignment horizontal="center" vertical="center"/>
    </xf>
    <xf numFmtId="0" fontId="23" fillId="16" borderId="35" xfId="0" applyFont="1" applyFill="1" applyBorder="1" applyAlignment="1">
      <alignment horizontal="left" vertical="center" wrapText="1"/>
    </xf>
    <xf numFmtId="0" fontId="23" fillId="15" borderId="46" xfId="0" applyFont="1" applyFill="1" applyBorder="1" applyAlignment="1">
      <alignment vertical="center" wrapText="1"/>
    </xf>
    <xf numFmtId="1" fontId="23" fillId="11" borderId="35" xfId="0" applyNumberFormat="1" applyFont="1" applyFill="1" applyBorder="1" applyAlignment="1">
      <alignment vertical="center"/>
    </xf>
    <xf numFmtId="1" fontId="23" fillId="11" borderId="46" xfId="0" applyNumberFormat="1" applyFont="1" applyFill="1" applyBorder="1" applyAlignment="1">
      <alignment vertical="center"/>
    </xf>
    <xf numFmtId="44" fontId="23" fillId="11" borderId="46" xfId="8" applyFont="1" applyFill="1" applyBorder="1" applyAlignment="1">
      <alignment vertical="center"/>
    </xf>
    <xf numFmtId="44" fontId="23" fillId="13" borderId="46" xfId="8" applyFont="1" applyFill="1" applyBorder="1" applyAlignment="1">
      <alignment vertical="center"/>
    </xf>
    <xf numFmtId="9" fontId="23" fillId="12" borderId="46" xfId="1" applyFont="1" applyFill="1" applyBorder="1" applyAlignment="1">
      <alignment vertical="center"/>
    </xf>
    <xf numFmtId="44" fontId="23" fillId="12" borderId="46" xfId="8" applyFont="1" applyFill="1" applyBorder="1" applyAlignment="1">
      <alignment vertical="center"/>
    </xf>
    <xf numFmtId="44" fontId="23" fillId="12" borderId="36" xfId="8" applyFont="1" applyFill="1" applyBorder="1" applyAlignment="1">
      <alignment vertical="center"/>
    </xf>
    <xf numFmtId="0" fontId="23" fillId="0" borderId="42" xfId="0" applyFont="1" applyBorder="1" applyAlignment="1">
      <alignment horizontal="left" vertical="center" wrapText="1"/>
    </xf>
    <xf numFmtId="0" fontId="23" fillId="0" borderId="58" xfId="0" applyFont="1" applyBorder="1" applyAlignment="1">
      <alignment horizontal="left" vertical="center" wrapText="1"/>
    </xf>
    <xf numFmtId="0" fontId="23" fillId="0" borderId="45" xfId="0" applyFont="1" applyBorder="1" applyAlignment="1">
      <alignment horizontal="left" vertical="center" wrapText="1"/>
    </xf>
    <xf numFmtId="0" fontId="23" fillId="15" borderId="45" xfId="0" applyFont="1" applyFill="1" applyBorder="1" applyAlignment="1">
      <alignment horizontal="left" vertical="center" wrapText="1"/>
    </xf>
    <xf numFmtId="0" fontId="23" fillId="0" borderId="45" xfId="0" applyFont="1" applyBorder="1" applyAlignment="1">
      <alignment vertical="center"/>
    </xf>
    <xf numFmtId="44" fontId="23" fillId="0" borderId="45" xfId="8" applyFont="1" applyBorder="1" applyAlignment="1">
      <alignment vertical="center"/>
    </xf>
    <xf numFmtId="1" fontId="23" fillId="11" borderId="5" xfId="0" applyNumberFormat="1" applyFont="1" applyFill="1" applyBorder="1" applyAlignment="1">
      <alignment vertical="center"/>
    </xf>
    <xf numFmtId="44" fontId="23" fillId="11" borderId="5" xfId="8" applyFont="1" applyFill="1" applyBorder="1" applyAlignment="1">
      <alignment vertical="center"/>
    </xf>
    <xf numFmtId="44" fontId="23" fillId="13" borderId="5" xfId="8" applyFont="1" applyFill="1" applyBorder="1" applyAlignment="1">
      <alignment vertical="center"/>
    </xf>
    <xf numFmtId="9" fontId="23" fillId="12" borderId="5" xfId="1" applyFont="1" applyFill="1" applyBorder="1" applyAlignment="1">
      <alignment vertical="center"/>
    </xf>
    <xf numFmtId="44" fontId="23" fillId="12" borderId="5" xfId="8" applyFont="1" applyFill="1" applyBorder="1" applyAlignment="1">
      <alignment vertical="center"/>
    </xf>
    <xf numFmtId="10" fontId="23" fillId="13" borderId="0" xfId="0" applyNumberFormat="1" applyFont="1" applyFill="1" applyAlignment="1">
      <alignment horizontal="center" vertical="center"/>
    </xf>
    <xf numFmtId="0" fontId="23" fillId="0" borderId="56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170" fontId="13" fillId="9" borderId="10" xfId="0" applyNumberFormat="1" applyFont="1" applyFill="1" applyBorder="1" applyAlignment="1">
      <alignment horizontal="right"/>
    </xf>
    <xf numFmtId="170" fontId="13" fillId="9" borderId="55" xfId="0" applyNumberFormat="1" applyFont="1" applyFill="1" applyBorder="1" applyAlignment="1">
      <alignment horizontal="right"/>
    </xf>
    <xf numFmtId="44" fontId="13" fillId="9" borderId="61" xfId="0" applyNumberFormat="1" applyFont="1" applyFill="1" applyBorder="1" applyAlignment="1">
      <alignment horizontal="right"/>
    </xf>
    <xf numFmtId="44" fontId="21" fillId="13" borderId="61" xfId="0" applyNumberFormat="1" applyFont="1" applyFill="1" applyBorder="1"/>
    <xf numFmtId="0" fontId="15" fillId="12" borderId="61" xfId="0" applyFont="1" applyFill="1" applyBorder="1"/>
    <xf numFmtId="44" fontId="21" fillId="12" borderId="61" xfId="0" applyNumberFormat="1" applyFont="1" applyFill="1" applyBorder="1"/>
    <xf numFmtId="44" fontId="21" fillId="12" borderId="62" xfId="8" applyFont="1" applyFill="1" applyBorder="1"/>
    <xf numFmtId="44" fontId="13" fillId="8" borderId="0" xfId="0" applyNumberFormat="1" applyFont="1" applyFill="1" applyAlignment="1">
      <alignment horizontal="right"/>
    </xf>
    <xf numFmtId="44" fontId="13" fillId="8" borderId="12" xfId="0" applyNumberFormat="1" applyFont="1" applyFill="1" applyBorder="1" applyAlignment="1">
      <alignment horizontal="right"/>
    </xf>
    <xf numFmtId="44" fontId="13" fillId="8" borderId="46" xfId="0" applyNumberFormat="1" applyFont="1" applyFill="1" applyBorder="1" applyAlignment="1">
      <alignment horizontal="right"/>
    </xf>
    <xf numFmtId="44" fontId="21" fillId="13" borderId="46" xfId="0" applyNumberFormat="1" applyFont="1" applyFill="1" applyBorder="1"/>
    <xf numFmtId="0" fontId="15" fillId="12" borderId="46" xfId="0" applyFont="1" applyFill="1" applyBorder="1"/>
    <xf numFmtId="44" fontId="21" fillId="12" borderId="46" xfId="0" applyNumberFormat="1" applyFont="1" applyFill="1" applyBorder="1"/>
    <xf numFmtId="44" fontId="21" fillId="12" borderId="36" xfId="8" applyFont="1" applyFill="1" applyBorder="1"/>
    <xf numFmtId="0" fontId="23" fillId="0" borderId="46" xfId="0" applyFont="1" applyBorder="1" applyAlignment="1">
      <alignment horizontal="left" vertical="center" wrapText="1"/>
    </xf>
    <xf numFmtId="0" fontId="16" fillId="15" borderId="0" xfId="0" applyFont="1" applyFill="1" applyAlignment="1">
      <alignment horizontal="left"/>
    </xf>
    <xf numFmtId="170" fontId="13" fillId="9" borderId="0" xfId="0" applyNumberFormat="1" applyFont="1" applyFill="1" applyAlignment="1">
      <alignment horizontal="right"/>
    </xf>
    <xf numFmtId="170" fontId="13" fillId="9" borderId="12" xfId="0" applyNumberFormat="1" applyFont="1" applyFill="1" applyBorder="1" applyAlignment="1">
      <alignment horizontal="right"/>
    </xf>
    <xf numFmtId="44" fontId="13" fillId="9" borderId="45" xfId="0" applyNumberFormat="1" applyFont="1" applyFill="1" applyBorder="1" applyAlignment="1">
      <alignment horizontal="right"/>
    </xf>
    <xf numFmtId="44" fontId="21" fillId="13" borderId="45" xfId="0" applyNumberFormat="1" applyFont="1" applyFill="1" applyBorder="1"/>
    <xf numFmtId="0" fontId="15" fillId="12" borderId="45" xfId="0" applyFont="1" applyFill="1" applyBorder="1"/>
    <xf numFmtId="44" fontId="21" fillId="12" borderId="45" xfId="0" applyNumberFormat="1" applyFont="1" applyFill="1" applyBorder="1"/>
    <xf numFmtId="44" fontId="21" fillId="12" borderId="48" xfId="8" applyFont="1" applyFill="1" applyBorder="1"/>
    <xf numFmtId="0" fontId="16" fillId="0" borderId="0" xfId="0" applyFont="1" applyAlignment="1">
      <alignment horizontal="left"/>
    </xf>
    <xf numFmtId="0" fontId="23" fillId="16" borderId="47" xfId="0" applyFont="1" applyFill="1" applyBorder="1" applyAlignment="1">
      <alignment horizontal="left" vertical="center" wrapText="1"/>
    </xf>
    <xf numFmtId="44" fontId="23" fillId="0" borderId="48" xfId="8" applyFont="1" applyBorder="1" applyAlignment="1">
      <alignment vertical="center"/>
    </xf>
    <xf numFmtId="0" fontId="23" fillId="0" borderId="63" xfId="0" applyFont="1" applyBorder="1" applyAlignment="1">
      <alignment horizontal="left" vertical="center" wrapText="1"/>
    </xf>
    <xf numFmtId="0" fontId="23" fillId="0" borderId="59" xfId="0" applyFont="1" applyBorder="1" applyAlignment="1">
      <alignment horizontal="left" vertical="center" wrapText="1"/>
    </xf>
    <xf numFmtId="0" fontId="23" fillId="0" borderId="59" xfId="0" applyFont="1" applyBorder="1" applyAlignment="1">
      <alignment vertical="center"/>
    </xf>
    <xf numFmtId="44" fontId="23" fillId="0" borderId="59" xfId="8" applyFont="1" applyBorder="1" applyAlignment="1">
      <alignment vertical="center"/>
    </xf>
    <xf numFmtId="44" fontId="23" fillId="0" borderId="64" xfId="8" applyFont="1" applyBorder="1" applyAlignment="1">
      <alignment vertical="center"/>
    </xf>
    <xf numFmtId="1" fontId="23" fillId="11" borderId="63" xfId="0" applyNumberFormat="1" applyFont="1" applyFill="1" applyBorder="1" applyAlignment="1">
      <alignment vertical="center"/>
    </xf>
    <xf numFmtId="1" fontId="23" fillId="11" borderId="59" xfId="0" applyNumberFormat="1" applyFont="1" applyFill="1" applyBorder="1" applyAlignment="1">
      <alignment vertical="center"/>
    </xf>
    <xf numFmtId="44" fontId="23" fillId="11" borderId="59" xfId="8" applyFont="1" applyFill="1" applyBorder="1" applyAlignment="1">
      <alignment vertical="center"/>
    </xf>
    <xf numFmtId="44" fontId="23" fillId="13" borderId="59" xfId="8" applyFont="1" applyFill="1" applyBorder="1" applyAlignment="1">
      <alignment vertical="center"/>
    </xf>
    <xf numFmtId="9" fontId="23" fillId="12" borderId="59" xfId="1" applyFont="1" applyFill="1" applyBorder="1" applyAlignment="1">
      <alignment vertical="center"/>
    </xf>
    <xf numFmtId="44" fontId="23" fillId="12" borderId="59" xfId="8" applyFont="1" applyFill="1" applyBorder="1" applyAlignment="1">
      <alignment vertical="center"/>
    </xf>
    <xf numFmtId="44" fontId="23" fillId="12" borderId="64" xfId="8" applyFont="1" applyFill="1" applyBorder="1" applyAlignment="1">
      <alignment vertical="center"/>
    </xf>
    <xf numFmtId="1" fontId="23" fillId="11" borderId="44" xfId="0" applyNumberFormat="1" applyFont="1" applyFill="1" applyBorder="1" applyAlignment="1">
      <alignment vertical="center"/>
    </xf>
    <xf numFmtId="44" fontId="23" fillId="11" borderId="44" xfId="8" applyFont="1" applyFill="1" applyBorder="1" applyAlignment="1">
      <alignment vertical="center"/>
    </xf>
    <xf numFmtId="44" fontId="23" fillId="13" borderId="44" xfId="8" applyFont="1" applyFill="1" applyBorder="1" applyAlignment="1">
      <alignment vertical="center"/>
    </xf>
    <xf numFmtId="9" fontId="23" fillId="12" borderId="44" xfId="1" applyFont="1" applyFill="1" applyBorder="1" applyAlignment="1">
      <alignment vertical="center"/>
    </xf>
    <xf numFmtId="44" fontId="23" fillId="12" borderId="44" xfId="8" applyFont="1" applyFill="1" applyBorder="1" applyAlignment="1">
      <alignment vertical="center"/>
    </xf>
    <xf numFmtId="0" fontId="23" fillId="16" borderId="45" xfId="0" applyFont="1" applyFill="1" applyBorder="1" applyAlignment="1">
      <alignment horizontal="left" vertical="center" wrapText="1"/>
    </xf>
    <xf numFmtId="0" fontId="23" fillId="0" borderId="57" xfId="0" applyFont="1" applyBorder="1" applyAlignment="1">
      <alignment horizontal="left" vertical="center" wrapText="1"/>
    </xf>
    <xf numFmtId="0" fontId="23" fillId="0" borderId="65" xfId="0" applyFont="1" applyBorder="1" applyAlignment="1">
      <alignment horizontal="left" vertical="center" wrapText="1"/>
    </xf>
    <xf numFmtId="0" fontId="23" fillId="0" borderId="60" xfId="0" applyFont="1" applyBorder="1" applyAlignment="1">
      <alignment horizontal="left" vertical="center" wrapText="1"/>
    </xf>
    <xf numFmtId="0" fontId="23" fillId="0" borderId="61" xfId="0" applyFont="1" applyBorder="1" applyAlignment="1">
      <alignment horizontal="left" vertical="center" wrapText="1"/>
    </xf>
    <xf numFmtId="0" fontId="23" fillId="0" borderId="61" xfId="0" applyFont="1" applyBorder="1" applyAlignment="1">
      <alignment vertical="center"/>
    </xf>
    <xf numFmtId="44" fontId="23" fillId="0" borderId="61" xfId="8" applyFont="1" applyBorder="1" applyAlignment="1">
      <alignment vertical="center"/>
    </xf>
    <xf numFmtId="44" fontId="23" fillId="0" borderId="62" xfId="8" applyFont="1" applyBorder="1" applyAlignment="1">
      <alignment vertical="center"/>
    </xf>
    <xf numFmtId="1" fontId="23" fillId="11" borderId="23" xfId="0" applyNumberFormat="1" applyFont="1" applyFill="1" applyBorder="1" applyAlignment="1">
      <alignment vertical="center"/>
    </xf>
    <xf numFmtId="44" fontId="23" fillId="11" borderId="23" xfId="8" applyFont="1" applyFill="1" applyBorder="1" applyAlignment="1">
      <alignment vertical="center"/>
    </xf>
    <xf numFmtId="44" fontId="23" fillId="13" borderId="23" xfId="8" applyFont="1" applyFill="1" applyBorder="1" applyAlignment="1">
      <alignment vertical="center"/>
    </xf>
    <xf numFmtId="9" fontId="23" fillId="12" borderId="23" xfId="1" applyFont="1" applyFill="1" applyBorder="1" applyAlignment="1">
      <alignment vertical="center"/>
    </xf>
    <xf numFmtId="44" fontId="23" fillId="12" borderId="23" xfId="8" applyFont="1" applyFill="1" applyBorder="1" applyAlignment="1">
      <alignment vertical="center"/>
    </xf>
    <xf numFmtId="44" fontId="23" fillId="12" borderId="61" xfId="8" applyFont="1" applyFill="1" applyBorder="1" applyAlignment="1">
      <alignment vertical="center"/>
    </xf>
    <xf numFmtId="170" fontId="13" fillId="15" borderId="0" xfId="0" applyNumberFormat="1" applyFont="1" applyFill="1" applyAlignment="1">
      <alignment horizontal="left"/>
    </xf>
    <xf numFmtId="44" fontId="21" fillId="12" borderId="44" xfId="8" applyFont="1" applyFill="1" applyBorder="1"/>
    <xf numFmtId="44" fontId="13" fillId="14" borderId="7" xfId="8" applyFont="1" applyFill="1" applyBorder="1" applyAlignment="1">
      <alignment horizontal="center"/>
    </xf>
    <xf numFmtId="49" fontId="23" fillId="0" borderId="43" xfId="0" applyNumberFormat="1" applyFont="1" applyBorder="1" applyAlignment="1">
      <alignment horizontal="left" vertical="center" wrapText="1"/>
    </xf>
    <xf numFmtId="44" fontId="15" fillId="0" borderId="0" xfId="8" applyFont="1"/>
    <xf numFmtId="44" fontId="15" fillId="0" borderId="0" xfId="0" applyNumberFormat="1" applyFont="1"/>
    <xf numFmtId="10" fontId="19" fillId="6" borderId="68" xfId="5" applyNumberFormat="1" applyFont="1" applyFill="1" applyBorder="1" applyAlignment="1">
      <alignment horizontal="center" vertical="center" wrapText="1"/>
    </xf>
    <xf numFmtId="0" fontId="20" fillId="10" borderId="5" xfId="0" applyFont="1" applyFill="1" applyBorder="1" applyAlignment="1">
      <alignment horizontal="center" vertical="center"/>
    </xf>
    <xf numFmtId="10" fontId="23" fillId="13" borderId="5" xfId="0" applyNumberFormat="1" applyFont="1" applyFill="1" applyBorder="1" applyAlignment="1">
      <alignment horizontal="center" vertical="center"/>
    </xf>
    <xf numFmtId="44" fontId="13" fillId="14" borderId="8" xfId="8" applyFont="1" applyFill="1" applyBorder="1" applyAlignment="1">
      <alignment horizontal="center"/>
    </xf>
    <xf numFmtId="44" fontId="13" fillId="14" borderId="10" xfId="8" applyFont="1" applyFill="1" applyBorder="1"/>
    <xf numFmtId="165" fontId="19" fillId="6" borderId="31" xfId="4" applyFont="1" applyFill="1" applyBorder="1" applyAlignment="1">
      <alignment horizontal="center" vertical="center" wrapText="1"/>
    </xf>
    <xf numFmtId="0" fontId="24" fillId="0" borderId="0" xfId="0" applyFont="1"/>
    <xf numFmtId="0" fontId="24" fillId="0" borderId="0" xfId="0" applyFont="1" applyAlignment="1">
      <alignment horizontal="center"/>
    </xf>
    <xf numFmtId="16" fontId="24" fillId="17" borderId="7" xfId="0" applyNumberFormat="1" applyFont="1" applyFill="1" applyBorder="1"/>
    <xf numFmtId="16" fontId="24" fillId="17" borderId="8" xfId="0" applyNumberFormat="1" applyFont="1" applyFill="1" applyBorder="1"/>
    <xf numFmtId="16" fontId="24" fillId="18" borderId="9" xfId="0" applyNumberFormat="1" applyFont="1" applyFill="1" applyBorder="1"/>
    <xf numFmtId="16" fontId="24" fillId="18" borderId="10" xfId="0" applyNumberFormat="1" applyFont="1" applyFill="1" applyBorder="1"/>
    <xf numFmtId="0" fontId="24" fillId="19" borderId="11" xfId="0" applyFont="1" applyFill="1" applyBorder="1" applyAlignment="1">
      <alignment horizontal="right"/>
    </xf>
    <xf numFmtId="0" fontId="24" fillId="19" borderId="0" xfId="0" applyFont="1" applyFill="1" applyAlignment="1">
      <alignment horizontal="right"/>
    </xf>
    <xf numFmtId="0" fontId="14" fillId="20" borderId="9" xfId="0" applyFont="1" applyFill="1" applyBorder="1"/>
    <xf numFmtId="0" fontId="14" fillId="20" borderId="10" xfId="0" applyFont="1" applyFill="1" applyBorder="1"/>
    <xf numFmtId="164" fontId="25" fillId="0" borderId="0" xfId="2" applyNumberFormat="1" applyFont="1" applyAlignment="1" applyProtection="1">
      <alignment horizontal="left" vertical="center"/>
      <protection locked="0"/>
    </xf>
    <xf numFmtId="0" fontId="25" fillId="0" borderId="0" xfId="2" applyFont="1" applyAlignment="1" applyProtection="1">
      <alignment horizontal="left" vertical="center"/>
      <protection locked="0"/>
    </xf>
    <xf numFmtId="14" fontId="25" fillId="0" borderId="0" xfId="2" applyNumberFormat="1" applyFont="1" applyAlignment="1" applyProtection="1">
      <alignment horizontal="left" vertical="center"/>
      <protection locked="0"/>
    </xf>
    <xf numFmtId="0" fontId="14" fillId="21" borderId="45" xfId="0" applyFont="1" applyFill="1" applyBorder="1" applyAlignment="1">
      <alignment horizontal="center"/>
    </xf>
    <xf numFmtId="0" fontId="26" fillId="15" borderId="45" xfId="0" applyFont="1" applyFill="1" applyBorder="1" applyAlignment="1">
      <alignment horizontal="left"/>
    </xf>
    <xf numFmtId="44" fontId="25" fillId="15" borderId="45" xfId="0" applyNumberFormat="1" applyFont="1" applyFill="1" applyBorder="1" applyAlignment="1">
      <alignment horizontal="center"/>
    </xf>
    <xf numFmtId="9" fontId="26" fillId="0" borderId="45" xfId="1" applyFont="1" applyBorder="1" applyAlignment="1">
      <alignment horizontal="center"/>
    </xf>
    <xf numFmtId="44" fontId="14" fillId="21" borderId="45" xfId="0" applyNumberFormat="1" applyFont="1" applyFill="1" applyBorder="1" applyAlignment="1">
      <alignment horizontal="center"/>
    </xf>
    <xf numFmtId="44" fontId="24" fillId="0" borderId="0" xfId="0" applyNumberFormat="1" applyFont="1"/>
    <xf numFmtId="0" fontId="26" fillId="0" borderId="33" xfId="0" applyFont="1" applyBorder="1"/>
    <xf numFmtId="170" fontId="26" fillId="0" borderId="69" xfId="0" applyNumberFormat="1" applyFont="1" applyBorder="1" applyAlignment="1">
      <alignment horizontal="center"/>
    </xf>
    <xf numFmtId="44" fontId="26" fillId="0" borderId="69" xfId="0" applyNumberFormat="1" applyFont="1" applyBorder="1"/>
    <xf numFmtId="170" fontId="26" fillId="0" borderId="69" xfId="0" applyNumberFormat="1" applyFont="1" applyBorder="1"/>
    <xf numFmtId="9" fontId="26" fillId="0" borderId="32" xfId="1" applyFont="1" applyBorder="1" applyAlignment="1">
      <alignment horizontal="center"/>
    </xf>
    <xf numFmtId="0" fontId="26" fillId="0" borderId="70" xfId="0" applyFont="1" applyBorder="1"/>
    <xf numFmtId="170" fontId="26" fillId="0" borderId="71" xfId="0" applyNumberFormat="1" applyFont="1" applyBorder="1" applyAlignment="1">
      <alignment horizontal="center"/>
    </xf>
    <xf numFmtId="170" fontId="26" fillId="0" borderId="71" xfId="0" applyNumberFormat="1" applyFont="1" applyBorder="1"/>
    <xf numFmtId="9" fontId="26" fillId="0" borderId="72" xfId="1" applyFont="1" applyBorder="1" applyAlignment="1">
      <alignment horizontal="center"/>
    </xf>
    <xf numFmtId="0" fontId="26" fillId="0" borderId="0" xfId="0" applyFont="1"/>
    <xf numFmtId="170" fontId="14" fillId="21" borderId="61" xfId="0" applyNumberFormat="1" applyFont="1" applyFill="1" applyBorder="1" applyAlignment="1">
      <alignment horizontal="center"/>
    </xf>
    <xf numFmtId="164" fontId="27" fillId="0" borderId="14" xfId="2" applyNumberFormat="1" applyFont="1" applyBorder="1" applyAlignment="1" applyProtection="1">
      <alignment horizontal="left" vertical="center"/>
      <protection locked="0"/>
    </xf>
    <xf numFmtId="164" fontId="27" fillId="0" borderId="13" xfId="2" applyNumberFormat="1" applyFont="1" applyBorder="1" applyAlignment="1" applyProtection="1">
      <alignment horizontal="left" vertical="center"/>
      <protection locked="0"/>
    </xf>
    <xf numFmtId="164" fontId="27" fillId="0" borderId="18" xfId="2" applyNumberFormat="1" applyFont="1" applyBorder="1" applyAlignment="1" applyProtection="1">
      <alignment horizontal="left" vertical="center"/>
      <protection locked="0"/>
    </xf>
    <xf numFmtId="164" fontId="27" fillId="0" borderId="17" xfId="2" applyNumberFormat="1" applyFont="1" applyBorder="1" applyAlignment="1" applyProtection="1">
      <alignment horizontal="left" vertical="center"/>
      <protection locked="0"/>
    </xf>
    <xf numFmtId="0" fontId="27" fillId="0" borderId="15" xfId="2" applyFont="1" applyBorder="1" applyAlignment="1" applyProtection="1">
      <alignment horizontal="left" vertical="center"/>
      <protection locked="0"/>
    </xf>
    <xf numFmtId="14" fontId="27" fillId="0" borderId="17" xfId="2" applyNumberFormat="1" applyFont="1" applyBorder="1" applyAlignment="1" applyProtection="1">
      <alignment horizontal="left" vertical="center"/>
      <protection locked="0"/>
    </xf>
    <xf numFmtId="164" fontId="27" fillId="0" borderId="23" xfId="2" applyNumberFormat="1" applyFont="1" applyBorder="1" applyAlignment="1" applyProtection="1">
      <alignment horizontal="left" vertical="center"/>
      <protection locked="0"/>
    </xf>
    <xf numFmtId="0" fontId="27" fillId="0" borderId="16" xfId="2" applyFont="1" applyBorder="1" applyAlignment="1" applyProtection="1">
      <alignment horizontal="left" vertical="center"/>
      <protection locked="0"/>
    </xf>
    <xf numFmtId="166" fontId="29" fillId="15" borderId="45" xfId="4" applyNumberFormat="1" applyFont="1" applyFill="1" applyBorder="1" applyAlignment="1">
      <alignment horizontal="center" vertical="center" wrapText="1"/>
    </xf>
    <xf numFmtId="166" fontId="30" fillId="15" borderId="45" xfId="4" applyNumberFormat="1" applyFont="1" applyFill="1" applyBorder="1" applyAlignment="1">
      <alignment horizontal="center" vertical="center" wrapText="1"/>
    </xf>
    <xf numFmtId="44" fontId="29" fillId="15" borderId="45" xfId="0" applyNumberFormat="1" applyFont="1" applyFill="1" applyBorder="1" applyAlignment="1">
      <alignment horizontal="center" vertical="center"/>
    </xf>
    <xf numFmtId="0" fontId="31" fillId="15" borderId="45" xfId="0" applyFont="1" applyFill="1" applyBorder="1"/>
    <xf numFmtId="44" fontId="32" fillId="15" borderId="45" xfId="8" applyFont="1" applyFill="1" applyBorder="1"/>
    <xf numFmtId="0" fontId="31" fillId="0" borderId="45" xfId="0" applyFont="1" applyBorder="1" applyAlignment="1">
      <alignment horizontal="center"/>
    </xf>
    <xf numFmtId="0" fontId="33" fillId="0" borderId="45" xfId="0" applyFont="1" applyBorder="1" applyAlignment="1">
      <alignment horizontal="center"/>
    </xf>
    <xf numFmtId="0" fontId="34" fillId="0" borderId="45" xfId="0" applyFont="1" applyBorder="1" applyAlignment="1">
      <alignment horizontal="center"/>
    </xf>
    <xf numFmtId="44" fontId="31" fillId="0" borderId="45" xfId="8" applyFont="1" applyBorder="1"/>
    <xf numFmtId="44" fontId="33" fillId="0" borderId="45" xfId="8" applyFont="1" applyBorder="1"/>
    <xf numFmtId="44" fontId="34" fillId="0" borderId="45" xfId="8" applyFont="1" applyBorder="1"/>
    <xf numFmtId="9" fontId="34" fillId="0" borderId="45" xfId="1" applyFont="1" applyBorder="1" applyAlignment="1">
      <alignment horizontal="center"/>
    </xf>
    <xf numFmtId="0" fontId="13" fillId="9" borderId="47" xfId="0" applyFont="1" applyFill="1" applyBorder="1" applyAlignment="1">
      <alignment horizontal="left"/>
    </xf>
    <xf numFmtId="0" fontId="13" fillId="9" borderId="45" xfId="0" applyFont="1" applyFill="1" applyBorder="1" applyAlignment="1">
      <alignment horizontal="left"/>
    </xf>
    <xf numFmtId="0" fontId="13" fillId="9" borderId="48" xfId="0" applyFont="1" applyFill="1" applyBorder="1" applyAlignment="1">
      <alignment horizontal="left"/>
    </xf>
    <xf numFmtId="0" fontId="17" fillId="0" borderId="0" xfId="2" applyFont="1" applyAlignment="1">
      <alignment horizontal="left" vertical="center" wrapText="1"/>
    </xf>
    <xf numFmtId="0" fontId="17" fillId="0" borderId="0" xfId="2" applyFont="1" applyAlignment="1">
      <alignment horizontal="left" vertical="top"/>
    </xf>
    <xf numFmtId="0" fontId="19" fillId="2" borderId="1" xfId="3" applyFont="1" applyFill="1" applyBorder="1" applyAlignment="1">
      <alignment horizontal="center" vertical="center"/>
    </xf>
    <xf numFmtId="0" fontId="19" fillId="2" borderId="2" xfId="3" applyFont="1" applyFill="1" applyBorder="1" applyAlignment="1">
      <alignment horizontal="center" vertical="center"/>
    </xf>
    <xf numFmtId="0" fontId="19" fillId="2" borderId="3" xfId="3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 wrapText="1"/>
    </xf>
    <xf numFmtId="0" fontId="19" fillId="3" borderId="21" xfId="0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0" fontId="13" fillId="9" borderId="7" xfId="0" applyFont="1" applyFill="1" applyBorder="1" applyAlignment="1">
      <alignment horizontal="left"/>
    </xf>
    <xf numFmtId="0" fontId="13" fillId="9" borderId="8" xfId="0" applyFont="1" applyFill="1" applyBorder="1" applyAlignment="1">
      <alignment horizontal="left"/>
    </xf>
    <xf numFmtId="0" fontId="13" fillId="9" borderId="41" xfId="0" applyFont="1" applyFill="1" applyBorder="1" applyAlignment="1">
      <alignment horizontal="left"/>
    </xf>
    <xf numFmtId="166" fontId="19" fillId="4" borderId="4" xfId="4" applyNumberFormat="1" applyFont="1" applyFill="1" applyBorder="1" applyAlignment="1">
      <alignment horizontal="center" vertical="center" wrapText="1"/>
    </xf>
    <xf numFmtId="166" fontId="19" fillId="4" borderId="21" xfId="4" applyNumberFormat="1" applyFont="1" applyFill="1" applyBorder="1" applyAlignment="1">
      <alignment horizontal="center" vertical="center" wrapText="1"/>
    </xf>
    <xf numFmtId="166" fontId="19" fillId="4" borderId="3" xfId="4" applyNumberFormat="1" applyFont="1" applyFill="1" applyBorder="1" applyAlignment="1">
      <alignment horizontal="center" vertical="center" wrapText="1"/>
    </xf>
    <xf numFmtId="0" fontId="13" fillId="9" borderId="11" xfId="0" applyFont="1" applyFill="1" applyBorder="1" applyAlignment="1">
      <alignment horizontal="left"/>
    </xf>
    <xf numFmtId="0" fontId="13" fillId="9" borderId="0" xfId="0" applyFont="1" applyFill="1" applyAlignment="1">
      <alignment horizontal="left"/>
    </xf>
    <xf numFmtId="166" fontId="28" fillId="15" borderId="45" xfId="4" applyNumberFormat="1" applyFont="1" applyFill="1" applyBorder="1" applyAlignment="1">
      <alignment horizontal="center" vertical="center" wrapText="1"/>
    </xf>
    <xf numFmtId="166" fontId="19" fillId="4" borderId="11" xfId="4" applyNumberFormat="1" applyFont="1" applyFill="1" applyBorder="1" applyAlignment="1">
      <alignment horizontal="center" vertical="center" wrapText="1"/>
    </xf>
    <xf numFmtId="166" fontId="19" fillId="4" borderId="0" xfId="4" applyNumberFormat="1" applyFont="1" applyFill="1" applyBorder="1" applyAlignment="1">
      <alignment horizontal="center" vertical="center" wrapText="1"/>
    </xf>
    <xf numFmtId="0" fontId="13" fillId="8" borderId="7" xfId="0" applyFont="1" applyFill="1" applyBorder="1" applyAlignment="1">
      <alignment horizontal="center"/>
    </xf>
    <xf numFmtId="0" fontId="13" fillId="8" borderId="8" xfId="0" applyFont="1" applyFill="1" applyBorder="1" applyAlignment="1">
      <alignment horizontal="center"/>
    </xf>
    <xf numFmtId="0" fontId="13" fillId="8" borderId="54" xfId="0" applyFont="1" applyFill="1" applyBorder="1" applyAlignment="1">
      <alignment horizontal="center"/>
    </xf>
    <xf numFmtId="0" fontId="13" fillId="8" borderId="51" xfId="0" applyFont="1" applyFill="1" applyBorder="1" applyAlignment="1">
      <alignment horizontal="center"/>
    </xf>
    <xf numFmtId="0" fontId="13" fillId="8" borderId="50" xfId="0" applyFont="1" applyFill="1" applyBorder="1" applyAlignment="1">
      <alignment horizontal="center"/>
    </xf>
    <xf numFmtId="0" fontId="13" fillId="8" borderId="52" xfId="0" applyFont="1" applyFill="1" applyBorder="1" applyAlignment="1">
      <alignment horizontal="center"/>
    </xf>
    <xf numFmtId="0" fontId="13" fillId="8" borderId="7" xfId="0" applyFont="1" applyFill="1" applyBorder="1" applyAlignment="1">
      <alignment horizontal="left"/>
    </xf>
    <xf numFmtId="0" fontId="13" fillId="8" borderId="8" xfId="0" applyFont="1" applyFill="1" applyBorder="1" applyAlignment="1">
      <alignment horizontal="left"/>
    </xf>
    <xf numFmtId="0" fontId="13" fillId="8" borderId="35" xfId="0" applyFont="1" applyFill="1" applyBorder="1" applyAlignment="1">
      <alignment horizontal="left"/>
    </xf>
    <xf numFmtId="0" fontId="13" fillId="8" borderId="46" xfId="0" applyFont="1" applyFill="1" applyBorder="1" applyAlignment="1">
      <alignment horizontal="left"/>
    </xf>
    <xf numFmtId="0" fontId="13" fillId="9" borderId="9" xfId="0" applyFont="1" applyFill="1" applyBorder="1" applyAlignment="1">
      <alignment horizontal="left"/>
    </xf>
    <xf numFmtId="0" fontId="13" fillId="9" borderId="10" xfId="0" applyFont="1" applyFill="1" applyBorder="1" applyAlignment="1">
      <alignment horizontal="left"/>
    </xf>
    <xf numFmtId="0" fontId="13" fillId="9" borderId="60" xfId="0" applyFont="1" applyFill="1" applyBorder="1" applyAlignment="1">
      <alignment horizontal="left"/>
    </xf>
    <xf numFmtId="0" fontId="13" fillId="9" borderId="61" xfId="0" applyFont="1" applyFill="1" applyBorder="1" applyAlignment="1">
      <alignment horizontal="left"/>
    </xf>
    <xf numFmtId="0" fontId="15" fillId="0" borderId="18" xfId="0" applyFont="1" applyBorder="1" applyAlignment="1">
      <alignment horizontal="left" wrapText="1"/>
    </xf>
    <xf numFmtId="0" fontId="15" fillId="0" borderId="66" xfId="0" applyFont="1" applyBorder="1" applyAlignment="1">
      <alignment horizontal="left" wrapText="1"/>
    </xf>
    <xf numFmtId="0" fontId="15" fillId="0" borderId="67" xfId="0" applyFont="1" applyBorder="1" applyAlignment="1">
      <alignment horizontal="left" wrapText="1"/>
    </xf>
    <xf numFmtId="44" fontId="24" fillId="0" borderId="54" xfId="0" applyNumberFormat="1" applyFont="1" applyBorder="1" applyAlignment="1">
      <alignment horizontal="center" vertical="center"/>
    </xf>
    <xf numFmtId="0" fontId="24" fillId="0" borderId="55" xfId="0" applyFont="1" applyBorder="1" applyAlignment="1">
      <alignment horizontal="center" vertical="center"/>
    </xf>
    <xf numFmtId="0" fontId="14" fillId="21" borderId="4" xfId="0" applyFont="1" applyFill="1" applyBorder="1" applyAlignment="1">
      <alignment horizontal="center"/>
    </xf>
    <xf numFmtId="0" fontId="14" fillId="21" borderId="21" xfId="0" applyFont="1" applyFill="1" applyBorder="1" applyAlignment="1">
      <alignment horizontal="center"/>
    </xf>
    <xf numFmtId="0" fontId="14" fillId="21" borderId="53" xfId="0" applyFont="1" applyFill="1" applyBorder="1" applyAlignment="1">
      <alignment horizontal="center"/>
    </xf>
    <xf numFmtId="0" fontId="7" fillId="7" borderId="25" xfId="0" applyFont="1" applyFill="1" applyBorder="1" applyAlignment="1">
      <alignment horizontal="left" vertical="center"/>
    </xf>
    <xf numFmtId="0" fontId="7" fillId="7" borderId="25" xfId="0" applyFont="1" applyFill="1" applyBorder="1" applyAlignment="1">
      <alignment vertical="center"/>
    </xf>
    <xf numFmtId="0" fontId="7" fillId="7" borderId="0" xfId="0" applyFont="1" applyFill="1" applyAlignment="1">
      <alignment vertical="center"/>
    </xf>
    <xf numFmtId="0" fontId="8" fillId="7" borderId="25" xfId="0" applyFont="1" applyFill="1" applyBorder="1" applyAlignment="1">
      <alignment horizontal="left" vertical="top"/>
    </xf>
    <xf numFmtId="0" fontId="10" fillId="7" borderId="25" xfId="0" applyFont="1" applyFill="1" applyBorder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170" fontId="24" fillId="0" borderId="0" xfId="0" applyNumberFormat="1" applyFont="1"/>
    <xf numFmtId="9" fontId="14" fillId="21" borderId="61" xfId="1" applyFont="1" applyFill="1" applyBorder="1" applyAlignment="1">
      <alignment horizontal="center"/>
    </xf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78559</xdr:colOff>
      <xdr:row>0</xdr:row>
      <xdr:rowOff>152400</xdr:rowOff>
    </xdr:from>
    <xdr:to>
      <xdr:col>5</xdr:col>
      <xdr:colOff>954287</xdr:colOff>
      <xdr:row>1</xdr:row>
      <xdr:rowOff>65050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B1F43E9-E50D-4C37-894D-9D2B9A7861D6}"/>
            </a:ext>
          </a:extLst>
        </xdr:cNvPr>
        <xdr:cNvSpPr/>
      </xdr:nvSpPr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247310</xdr:colOff>
      <xdr:row>0</xdr:row>
      <xdr:rowOff>133692</xdr:rowOff>
    </xdr:from>
    <xdr:to>
      <xdr:col>5</xdr:col>
      <xdr:colOff>13430</xdr:colOff>
      <xdr:row>0</xdr:row>
      <xdr:rowOff>507131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AD9771-8352-4CE6-8D77-DBB296305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47</xdr:col>
      <xdr:colOff>118206</xdr:colOff>
      <xdr:row>0</xdr:row>
      <xdr:rowOff>190500</xdr:rowOff>
    </xdr:from>
    <xdr:to>
      <xdr:col>48</xdr:col>
      <xdr:colOff>498362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324A32B-F725-47EB-A47D-0C01D7C2A961}"/>
            </a:ext>
          </a:extLst>
        </xdr:cNvPr>
        <xdr:cNvSpPr/>
      </xdr:nvSpPr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46</xdr:col>
      <xdr:colOff>251689</xdr:colOff>
      <xdr:row>0</xdr:row>
      <xdr:rowOff>180941</xdr:rowOff>
    </xdr:from>
    <xdr:to>
      <xdr:col>47</xdr:col>
      <xdr:colOff>34534</xdr:colOff>
      <xdr:row>0</xdr:row>
      <xdr:rowOff>540583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093F04-D6FF-41CD-AAD0-45FB985AC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9740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78559</xdr:colOff>
      <xdr:row>0</xdr:row>
      <xdr:rowOff>152400</xdr:rowOff>
    </xdr:from>
    <xdr:to>
      <xdr:col>5</xdr:col>
      <xdr:colOff>954287</xdr:colOff>
      <xdr:row>1</xdr:row>
      <xdr:rowOff>65050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ABA7E1C-E3A7-4A40-A94D-86E5F2BD72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47</xdr:col>
      <xdr:colOff>118206</xdr:colOff>
      <xdr:row>0</xdr:row>
      <xdr:rowOff>190500</xdr:rowOff>
    </xdr:from>
    <xdr:to>
      <xdr:col>48</xdr:col>
      <xdr:colOff>498362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0B3F352-0E54-457D-BA4A-E5B3FA4220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8</xdr:col>
      <xdr:colOff>9072</xdr:colOff>
      <xdr:row>3</xdr:row>
      <xdr:rowOff>27215</xdr:rowOff>
    </xdr:from>
    <xdr:ext cx="2362201" cy="1696420"/>
    <xdr:pic>
      <xdr:nvPicPr>
        <xdr:cNvPr id="8" name="Imagem 7">
          <a:extLst>
            <a:ext uri="{FF2B5EF4-FFF2-40B4-BE49-F238E27FC236}">
              <a16:creationId xmlns:a16="http://schemas.microsoft.com/office/drawing/2014/main" id="{107C8DAE-4BE5-454B-8A00-348EB5C611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65572" y="1224643"/>
          <a:ext cx="2362201" cy="169642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90754-1B12-4DF1-87D0-4C5163BB4C41}">
  <dimension ref="A1:G31"/>
  <sheetViews>
    <sheetView showGridLines="0" tabSelected="1" topLeftCell="A11" zoomScaleNormal="100" workbookViewId="0">
      <selection activeCell="C32" sqref="C32"/>
    </sheetView>
  </sheetViews>
  <sheetFormatPr defaultColWidth="8.77734375" defaultRowHeight="14.4" x14ac:dyDescent="0.35"/>
  <cols>
    <col min="1" max="1" width="8.77734375" style="175"/>
    <col min="2" max="2" width="24.5546875" style="175" customWidth="1"/>
    <col min="3" max="3" width="49.5546875" style="175" bestFit="1" customWidth="1"/>
    <col min="4" max="4" width="20.44140625" style="175" customWidth="1"/>
    <col min="5" max="5" width="18.33203125" style="175" customWidth="1"/>
    <col min="6" max="6" width="7.77734375" style="176" bestFit="1" customWidth="1"/>
    <col min="7" max="7" width="12.77734375" style="175" bestFit="1" customWidth="1"/>
    <col min="8" max="8" width="12.6640625" style="175" bestFit="1" customWidth="1"/>
    <col min="9" max="16384" width="8.77734375" style="175"/>
  </cols>
  <sheetData>
    <row r="1" spans="1:5" hidden="1" x14ac:dyDescent="0.35"/>
    <row r="2" spans="1:5" hidden="1" x14ac:dyDescent="0.35"/>
    <row r="3" spans="1:5" hidden="1" x14ac:dyDescent="0.35">
      <c r="C3" s="177">
        <v>45866</v>
      </c>
      <c r="D3" s="178"/>
      <c r="E3" s="264" t="e">
        <f>SUM(#REF!)</f>
        <v>#REF!</v>
      </c>
    </row>
    <row r="4" spans="1:5" ht="15.45" hidden="1" customHeight="1" thickBot="1" x14ac:dyDescent="0.4">
      <c r="C4" s="179">
        <v>45867</v>
      </c>
      <c r="D4" s="180"/>
      <c r="E4" s="265"/>
    </row>
    <row r="5" spans="1:5" hidden="1" x14ac:dyDescent="0.35">
      <c r="C5" s="181" t="s">
        <v>163</v>
      </c>
      <c r="D5" s="182"/>
    </row>
    <row r="6" spans="1:5" hidden="1" x14ac:dyDescent="0.35">
      <c r="C6" s="181" t="s">
        <v>164</v>
      </c>
      <c r="D6" s="182"/>
    </row>
    <row r="7" spans="1:5" ht="15" hidden="1" thickBot="1" x14ac:dyDescent="0.4">
      <c r="C7" s="183" t="s">
        <v>14</v>
      </c>
      <c r="D7" s="184"/>
    </row>
    <row r="9" spans="1:5" x14ac:dyDescent="0.35">
      <c r="A9" s="175" t="s">
        <v>73</v>
      </c>
    </row>
    <row r="10" spans="1:5" ht="24" customHeight="1" x14ac:dyDescent="0.35"/>
    <row r="12" spans="1:5" ht="15" customHeight="1" x14ac:dyDescent="0.35">
      <c r="B12" s="205" t="s">
        <v>132</v>
      </c>
      <c r="C12" s="206" t="s">
        <v>133</v>
      </c>
      <c r="D12" s="185"/>
    </row>
    <row r="13" spans="1:5" ht="15" customHeight="1" x14ac:dyDescent="0.35">
      <c r="B13" s="207" t="s">
        <v>134</v>
      </c>
      <c r="C13" s="208" t="s">
        <v>135</v>
      </c>
      <c r="D13" s="185"/>
    </row>
    <row r="14" spans="1:5" ht="15" customHeight="1" x14ac:dyDescent="0.35">
      <c r="B14" s="207" t="s">
        <v>136</v>
      </c>
      <c r="C14" s="209" t="s">
        <v>137</v>
      </c>
      <c r="D14" s="186"/>
    </row>
    <row r="15" spans="1:5" ht="15" customHeight="1" x14ac:dyDescent="0.35">
      <c r="B15" s="207" t="s">
        <v>138</v>
      </c>
      <c r="C15" s="209" t="s">
        <v>139</v>
      </c>
      <c r="D15" s="186"/>
    </row>
    <row r="16" spans="1:5" ht="15" customHeight="1" x14ac:dyDescent="0.35">
      <c r="B16" s="207" t="s">
        <v>140</v>
      </c>
      <c r="C16" s="210" t="s">
        <v>141</v>
      </c>
      <c r="D16" s="187"/>
    </row>
    <row r="17" spans="2:7" ht="15" customHeight="1" x14ac:dyDescent="0.35">
      <c r="B17" s="207" t="s">
        <v>142</v>
      </c>
      <c r="C17" s="209" t="s">
        <v>76</v>
      </c>
      <c r="D17" s="186"/>
    </row>
    <row r="18" spans="2:7" ht="15" customHeight="1" x14ac:dyDescent="0.35">
      <c r="B18" s="207" t="s">
        <v>143</v>
      </c>
      <c r="C18" s="209" t="s">
        <v>76</v>
      </c>
      <c r="D18" s="186"/>
    </row>
    <row r="19" spans="2:7" ht="15" customHeight="1" x14ac:dyDescent="0.35">
      <c r="B19" s="211" t="s">
        <v>144</v>
      </c>
      <c r="C19" s="212" t="s">
        <v>145</v>
      </c>
      <c r="D19" s="186"/>
    </row>
    <row r="21" spans="2:7" ht="15.45" customHeight="1" x14ac:dyDescent="0.35">
      <c r="B21" s="188"/>
      <c r="C21" s="188" t="s">
        <v>165</v>
      </c>
      <c r="D21" s="188" t="s">
        <v>166</v>
      </c>
      <c r="E21" s="188" t="s">
        <v>167</v>
      </c>
    </row>
    <row r="22" spans="2:7" ht="15.45" customHeight="1" x14ac:dyDescent="0.35">
      <c r="B22" s="189" t="s">
        <v>168</v>
      </c>
      <c r="C22" s="190">
        <f>Principal!N38</f>
        <v>52724.999733478318</v>
      </c>
      <c r="D22" s="190">
        <f>Principal!X38</f>
        <v>30649.260000000002</v>
      </c>
      <c r="E22" s="190">
        <f>C22-D22</f>
        <v>22075.739733478316</v>
      </c>
      <c r="F22" s="191">
        <f>E22*100%/C22</f>
        <v>0.41869587188373342</v>
      </c>
    </row>
    <row r="23" spans="2:7" x14ac:dyDescent="0.35">
      <c r="B23" s="188" t="s">
        <v>14</v>
      </c>
      <c r="C23" s="192">
        <f>SUM(C22:C22)</f>
        <v>52724.999733478318</v>
      </c>
      <c r="D23" s="192">
        <f>SUM(D22:D22)</f>
        <v>30649.260000000002</v>
      </c>
      <c r="E23" s="192">
        <f>SUM(E22:E22)</f>
        <v>22075.739733478316</v>
      </c>
      <c r="F23" s="191">
        <f>E23*100%/C23</f>
        <v>0.41869587188373342</v>
      </c>
    </row>
    <row r="25" spans="2:7" ht="199.95" hidden="1" customHeight="1" x14ac:dyDescent="0.35"/>
    <row r="26" spans="2:7" ht="30" customHeight="1" x14ac:dyDescent="0.35">
      <c r="D26" s="193"/>
    </row>
    <row r="27" spans="2:7" ht="15" thickBot="1" x14ac:dyDescent="0.4"/>
    <row r="28" spans="2:7" ht="22.05" customHeight="1" thickBot="1" x14ac:dyDescent="0.4">
      <c r="B28" s="266" t="s">
        <v>169</v>
      </c>
      <c r="C28" s="267"/>
      <c r="D28" s="267"/>
      <c r="E28" s="267"/>
      <c r="F28" s="268"/>
    </row>
    <row r="29" spans="2:7" ht="19.5" customHeight="1" thickBot="1" x14ac:dyDescent="0.4">
      <c r="B29" s="194" t="s">
        <v>177</v>
      </c>
      <c r="C29" s="195">
        <v>41514.42</v>
      </c>
      <c r="D29" s="196">
        <f>D23</f>
        <v>30649.260000000002</v>
      </c>
      <c r="E29" s="197">
        <f>C29-D29</f>
        <v>10865.159999999996</v>
      </c>
      <c r="F29" s="198">
        <f>E29*100%/C29</f>
        <v>0.2617201444702828</v>
      </c>
    </row>
    <row r="30" spans="2:7" ht="22.5" customHeight="1" thickBot="1" x14ac:dyDescent="0.4">
      <c r="B30" s="199" t="s">
        <v>178</v>
      </c>
      <c r="C30" s="200">
        <v>11210.58</v>
      </c>
      <c r="D30" s="196">
        <f>C30*0.15</f>
        <v>1681.587</v>
      </c>
      <c r="E30" s="201">
        <f>C30-D30</f>
        <v>9528.9930000000004</v>
      </c>
      <c r="F30" s="202">
        <f>E30*100%/C30</f>
        <v>0.85000000000000009</v>
      </c>
      <c r="G30" s="275"/>
    </row>
    <row r="31" spans="2:7" ht="22.5" customHeight="1" x14ac:dyDescent="0.35">
      <c r="B31" s="203"/>
      <c r="C31" s="204">
        <f>SUM(C29:C30)</f>
        <v>52725</v>
      </c>
      <c r="D31" s="204">
        <f>SUM(D29:D30)</f>
        <v>32330.847000000002</v>
      </c>
      <c r="E31" s="204">
        <f>SUM(E29:E30)</f>
        <v>20394.152999999998</v>
      </c>
      <c r="F31" s="276">
        <f>E31*100%/C31</f>
        <v>0.38680233285917492</v>
      </c>
    </row>
  </sheetData>
  <mergeCells count="2">
    <mergeCell ref="E3:E4"/>
    <mergeCell ref="B28:F28"/>
  </mergeCells>
  <pageMargins left="0.51181102362204722" right="0.51181102362204722" top="0.78740157480314965" bottom="0.78740157480314965" header="0.31496062992125984" footer="0.31496062992125984"/>
  <pageSetup paperSize="9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35F7-15A5-405C-ABF9-C7FFAB2A5A71}">
  <sheetPr codeName="Planilha11">
    <pageSetUpPr autoPageBreaks="0"/>
  </sheetPr>
  <dimension ref="A1:AO46"/>
  <sheetViews>
    <sheetView showGridLines="0" topLeftCell="F1" zoomScale="60" zoomScaleNormal="60" workbookViewId="0">
      <pane ySplit="1" topLeftCell="A33" activePane="bottomLeft" state="frozen"/>
      <selection pane="bottomLeft" activeCell="AB46" sqref="AB46"/>
    </sheetView>
  </sheetViews>
  <sheetFormatPr defaultColWidth="8.77734375" defaultRowHeight="21" x14ac:dyDescent="0.4"/>
  <cols>
    <col min="1" max="1" width="5" style="17" hidden="1" customWidth="1"/>
    <col min="2" max="2" width="8.77734375" style="17" customWidth="1"/>
    <col min="3" max="3" width="7.21875" style="17" hidden="1" customWidth="1"/>
    <col min="4" max="5" width="5" style="17" hidden="1" customWidth="1"/>
    <col min="6" max="6" width="34.109375" style="17" customWidth="1"/>
    <col min="7" max="7" width="42.77734375" style="17" bestFit="1" customWidth="1"/>
    <col min="8" max="8" width="5.109375" style="17" bestFit="1" customWidth="1"/>
    <col min="9" max="9" width="5.21875" style="17" customWidth="1"/>
    <col min="10" max="10" width="22.21875" style="17" bestFit="1" customWidth="1"/>
    <col min="11" max="11" width="23.5546875" style="17" customWidth="1"/>
    <col min="12" max="12" width="21.6640625" style="17" customWidth="1"/>
    <col min="13" max="13" width="23.77734375" style="17" bestFit="1" customWidth="1"/>
    <col min="14" max="14" width="25.77734375" style="17" bestFit="1" customWidth="1"/>
    <col min="15" max="15" width="29.21875" style="20" hidden="1" customWidth="1"/>
    <col min="16" max="16" width="11.5546875" style="13" hidden="1" customWidth="1"/>
    <col min="17" max="17" width="6.77734375" style="17" customWidth="1"/>
    <col min="18" max="18" width="8.21875" style="17" hidden="1" customWidth="1"/>
    <col min="19" max="19" width="22.21875" style="17" hidden="1" customWidth="1"/>
    <col min="20" max="20" width="25.77734375" style="17" bestFit="1" customWidth="1"/>
    <col min="21" max="21" width="24.88671875" style="17" hidden="1" customWidth="1"/>
    <col min="22" max="22" width="9.77734375" style="17" hidden="1" customWidth="1"/>
    <col min="23" max="23" width="16.21875" style="17" hidden="1" customWidth="1"/>
    <col min="24" max="24" width="27.33203125" style="17" customWidth="1"/>
    <col min="25" max="25" width="26.88671875" style="17" hidden="1" customWidth="1"/>
    <col min="26" max="26" width="23.44140625" style="17" hidden="1" customWidth="1"/>
    <col min="27" max="27" width="24.77734375" style="17" hidden="1" customWidth="1"/>
    <col min="28" max="28" width="29.5546875" style="17" customWidth="1"/>
    <col min="29" max="29" width="31.33203125" style="17" customWidth="1"/>
    <col min="30" max="30" width="14.21875" style="17" hidden="1" customWidth="1"/>
    <col min="31" max="31" width="7.77734375" style="17" hidden="1" customWidth="1"/>
    <col min="32" max="32" width="6.77734375" style="17" hidden="1" customWidth="1"/>
    <col min="33" max="33" width="1.21875" style="17" hidden="1" customWidth="1"/>
    <col min="34" max="34" width="14" style="17" hidden="1" customWidth="1"/>
    <col min="35" max="35" width="11.77734375" style="17" hidden="1" customWidth="1"/>
    <col min="36" max="36" width="6.21875" style="17" hidden="1" customWidth="1"/>
    <col min="37" max="37" width="12.77734375" style="17" hidden="1" customWidth="1"/>
    <col min="38" max="38" width="13.21875" style="17" hidden="1" customWidth="1"/>
    <col min="39" max="39" width="28.77734375" style="13" customWidth="1"/>
    <col min="40" max="40" width="7.6640625" style="17" customWidth="1"/>
    <col min="41" max="41" width="21.21875" style="17" hidden="1" customWidth="1"/>
    <col min="42" max="16384" width="8.77734375" style="17"/>
  </cols>
  <sheetData>
    <row r="1" spans="1:37" ht="49.5" customHeight="1" x14ac:dyDescent="0.4">
      <c r="B1" s="18"/>
      <c r="C1" s="19"/>
      <c r="D1" s="19"/>
      <c r="F1" s="228" t="s">
        <v>75</v>
      </c>
      <c r="G1" s="228"/>
    </row>
    <row r="2" spans="1:37" ht="24.75" customHeight="1" x14ac:dyDescent="0.4">
      <c r="B2" s="13"/>
      <c r="D2" s="19"/>
      <c r="F2" s="229" t="s">
        <v>0</v>
      </c>
      <c r="G2" s="229"/>
    </row>
    <row r="3" spans="1:37" ht="22.2" x14ac:dyDescent="0.4">
      <c r="B3" s="21"/>
      <c r="F3" s="22"/>
      <c r="G3" s="22"/>
    </row>
    <row r="4" spans="1:37" ht="22.2" x14ac:dyDescent="0.4">
      <c r="F4" s="23" t="s">
        <v>132</v>
      </c>
      <c r="G4" s="24" t="s">
        <v>133</v>
      </c>
    </row>
    <row r="5" spans="1:37" ht="22.2" x14ac:dyDescent="0.4">
      <c r="F5" s="25" t="s">
        <v>134</v>
      </c>
      <c r="G5" s="26" t="s">
        <v>135</v>
      </c>
    </row>
    <row r="6" spans="1:37" ht="22.2" x14ac:dyDescent="0.4">
      <c r="D6" s="17" t="s">
        <v>73</v>
      </c>
      <c r="F6" s="25" t="s">
        <v>136</v>
      </c>
      <c r="G6" s="27" t="s">
        <v>137</v>
      </c>
    </row>
    <row r="7" spans="1:37" ht="21.75" customHeight="1" x14ac:dyDescent="0.4">
      <c r="F7" s="25" t="s">
        <v>138</v>
      </c>
      <c r="G7" s="27" t="s">
        <v>139</v>
      </c>
      <c r="J7" s="17" t="s">
        <v>74</v>
      </c>
    </row>
    <row r="8" spans="1:37" ht="22.2" x14ac:dyDescent="0.4">
      <c r="F8" s="25" t="s">
        <v>140</v>
      </c>
      <c r="G8" s="28" t="s">
        <v>141</v>
      </c>
    </row>
    <row r="9" spans="1:37" ht="22.2" x14ac:dyDescent="0.4">
      <c r="F9" s="25" t="s">
        <v>142</v>
      </c>
      <c r="G9" s="27" t="s">
        <v>76</v>
      </c>
      <c r="J9" s="17" t="s">
        <v>73</v>
      </c>
    </row>
    <row r="10" spans="1:37" ht="27" customHeight="1" x14ac:dyDescent="0.4">
      <c r="F10" s="25" t="s">
        <v>143</v>
      </c>
      <c r="G10" s="27" t="s">
        <v>76</v>
      </c>
    </row>
    <row r="11" spans="1:37" ht="22.8" thickBot="1" x14ac:dyDescent="0.45">
      <c r="F11" s="29" t="s">
        <v>144</v>
      </c>
      <c r="G11" s="30" t="s">
        <v>145</v>
      </c>
    </row>
    <row r="12" spans="1:37" ht="67.2" thickBot="1" x14ac:dyDescent="0.45">
      <c r="B12" s="31"/>
      <c r="M12" s="32"/>
      <c r="Q12" s="230" t="s">
        <v>1</v>
      </c>
      <c r="R12" s="231"/>
      <c r="S12" s="231"/>
      <c r="T12" s="232"/>
      <c r="U12" s="233" t="s">
        <v>2</v>
      </c>
      <c r="V12" s="234"/>
      <c r="W12" s="234"/>
      <c r="X12" s="235"/>
      <c r="Y12" s="33" t="s">
        <v>25</v>
      </c>
      <c r="Z12" s="34">
        <f>(1/(1-M14))-1</f>
        <v>0.24269914253759173</v>
      </c>
      <c r="AD12" s="239" t="s">
        <v>3</v>
      </c>
      <c r="AE12" s="240"/>
      <c r="AF12" s="241"/>
      <c r="AH12" s="245" t="s">
        <v>26</v>
      </c>
      <c r="AI12" s="246"/>
      <c r="AK12" s="35" t="s">
        <v>28</v>
      </c>
    </row>
    <row r="13" spans="1:37" ht="22.8" thickBot="1" x14ac:dyDescent="0.5">
      <c r="A13" s="36" t="s">
        <v>4</v>
      </c>
      <c r="B13" s="37" t="s">
        <v>5</v>
      </c>
      <c r="C13" s="36" t="s">
        <v>6</v>
      </c>
      <c r="D13" s="36" t="s">
        <v>7</v>
      </c>
      <c r="E13" s="36" t="s">
        <v>8</v>
      </c>
      <c r="M13" s="38">
        <v>0.80469999999999997</v>
      </c>
    </row>
    <row r="14" spans="1:37" ht="30" customHeight="1" thickBot="1" x14ac:dyDescent="0.45">
      <c r="A14" s="39">
        <v>0</v>
      </c>
      <c r="B14" s="40"/>
      <c r="C14" s="41"/>
      <c r="D14" s="42"/>
      <c r="E14" s="42"/>
      <c r="F14" s="43" t="s">
        <v>51</v>
      </c>
      <c r="G14" s="44" t="s">
        <v>52</v>
      </c>
      <c r="H14" s="45" t="s">
        <v>53</v>
      </c>
      <c r="I14" s="45" t="s">
        <v>54</v>
      </c>
      <c r="J14" s="46" t="s">
        <v>55</v>
      </c>
      <c r="K14" s="47" t="s">
        <v>9</v>
      </c>
      <c r="L14" s="48">
        <v>0.08</v>
      </c>
      <c r="M14" s="49">
        <f>1-M13</f>
        <v>0.19530000000000003</v>
      </c>
      <c r="N14" s="50" t="s">
        <v>49</v>
      </c>
      <c r="Q14" s="51" t="s">
        <v>56</v>
      </c>
      <c r="R14" s="52" t="s">
        <v>57</v>
      </c>
      <c r="S14" s="53" t="s">
        <v>58</v>
      </c>
      <c r="T14" s="54" t="s">
        <v>59</v>
      </c>
      <c r="U14" s="55" t="s">
        <v>60</v>
      </c>
      <c r="V14" s="56" t="s">
        <v>61</v>
      </c>
      <c r="W14" s="57" t="s">
        <v>62</v>
      </c>
      <c r="X14" s="57" t="s">
        <v>63</v>
      </c>
      <c r="Y14" s="58" t="s">
        <v>64</v>
      </c>
      <c r="Z14" s="59" t="s">
        <v>65</v>
      </c>
      <c r="AA14" s="169" t="s">
        <v>50</v>
      </c>
      <c r="AB14" s="244" t="s">
        <v>27</v>
      </c>
      <c r="AC14" s="244"/>
      <c r="AD14" s="174" t="s">
        <v>66</v>
      </c>
      <c r="AE14" s="60" t="s">
        <v>67</v>
      </c>
      <c r="AF14" s="60" t="s">
        <v>12</v>
      </c>
      <c r="AH14" s="61" t="s">
        <v>68</v>
      </c>
      <c r="AI14" s="62" t="s">
        <v>69</v>
      </c>
    </row>
    <row r="15" spans="1:37" ht="30" customHeight="1" thickBot="1" x14ac:dyDescent="0.6">
      <c r="A15" s="42">
        <v>1</v>
      </c>
      <c r="B15" s="63">
        <v>1</v>
      </c>
      <c r="C15" s="64" t="s">
        <v>77</v>
      </c>
      <c r="D15" s="42"/>
      <c r="E15" s="42"/>
      <c r="F15" s="247" t="s">
        <v>95</v>
      </c>
      <c r="G15" s="248"/>
      <c r="H15" s="248"/>
      <c r="I15" s="248"/>
      <c r="J15" s="248"/>
      <c r="K15" s="248"/>
      <c r="L15" s="248"/>
      <c r="M15" s="248"/>
      <c r="N15" s="249"/>
      <c r="Q15" s="250" t="str">
        <f>IF(F15&lt;&gt;"",F15,"")</f>
        <v>internos</v>
      </c>
      <c r="R15" s="251"/>
      <c r="S15" s="251"/>
      <c r="T15" s="251"/>
      <c r="U15" s="251"/>
      <c r="V15" s="251"/>
      <c r="W15" s="251"/>
      <c r="X15" s="251"/>
      <c r="Y15" s="252"/>
      <c r="AB15" s="216"/>
      <c r="AC15" s="216"/>
    </row>
    <row r="16" spans="1:37" ht="30" customHeight="1" x14ac:dyDescent="0.45">
      <c r="A16" s="42">
        <v>2</v>
      </c>
      <c r="B16" s="63" t="s">
        <v>79</v>
      </c>
      <c r="C16" s="64" t="s">
        <v>78</v>
      </c>
      <c r="D16" s="42"/>
      <c r="E16" s="42"/>
      <c r="F16" s="236" t="s">
        <v>96</v>
      </c>
      <c r="G16" s="237"/>
      <c r="H16" s="237"/>
      <c r="I16" s="237"/>
      <c r="J16" s="237"/>
      <c r="K16" s="238"/>
      <c r="L16" s="65" t="s">
        <v>80</v>
      </c>
      <c r="M16" s="66" t="s">
        <v>81</v>
      </c>
      <c r="N16" s="67" t="s">
        <v>49</v>
      </c>
      <c r="Q16" s="225" t="str">
        <f>IF(F16&lt;&gt;"",F16,"")</f>
        <v>INTERNOS OGGI</v>
      </c>
      <c r="R16" s="226"/>
      <c r="S16" s="226"/>
      <c r="T16" s="226"/>
      <c r="U16" s="226"/>
      <c r="V16" s="226"/>
      <c r="W16" s="226"/>
      <c r="X16" s="226"/>
      <c r="Y16" s="227"/>
      <c r="Z16" s="68" t="s">
        <v>82</v>
      </c>
      <c r="AA16" s="170" t="s">
        <v>50</v>
      </c>
      <c r="AB16" s="213" t="s">
        <v>70</v>
      </c>
      <c r="AC16" s="214" t="s">
        <v>71</v>
      </c>
    </row>
    <row r="17" spans="1:41" ht="111" x14ac:dyDescent="0.55000000000000004">
      <c r="A17" s="42">
        <v>3</v>
      </c>
      <c r="B17" s="63" t="s">
        <v>85</v>
      </c>
      <c r="C17" s="64" t="s">
        <v>84</v>
      </c>
      <c r="D17" s="42" t="s">
        <v>86</v>
      </c>
      <c r="E17" s="42" t="s">
        <v>93</v>
      </c>
      <c r="F17" s="69" t="s">
        <v>113</v>
      </c>
      <c r="G17" s="70" t="s">
        <v>146</v>
      </c>
      <c r="H17" s="71">
        <v>2</v>
      </c>
      <c r="I17" s="71">
        <v>1</v>
      </c>
      <c r="J17" s="72">
        <v>2000</v>
      </c>
      <c r="K17" s="72">
        <f>IF(F17&lt;&gt;"",H17*I17*J17,"")</f>
        <v>4000</v>
      </c>
      <c r="L17" s="72">
        <f>IF(K17&lt;&gt;"",IF(D17="INTERNO",0,K17*$L$14),"")</f>
        <v>0</v>
      </c>
      <c r="M17" s="72">
        <f>IF(K17&lt;&gt;"",IF(E17="FAT.OGGI",SUM(K17:L17)*(1/(1-$M$14)-1),L17*(1/(1-$M$14)-1)),"")</f>
        <v>970.79657015036696</v>
      </c>
      <c r="N17" s="73">
        <f>SUM(K17:M17)</f>
        <v>4970.7965701503672</v>
      </c>
      <c r="O17" s="20" t="s">
        <v>106</v>
      </c>
      <c r="Q17" s="74">
        <f t="shared" ref="Q17:R18" si="0">IF(H17&lt;&gt;"",H17,"")</f>
        <v>2</v>
      </c>
      <c r="R17" s="75">
        <f t="shared" si="0"/>
        <v>1</v>
      </c>
      <c r="S17" s="76">
        <v>300</v>
      </c>
      <c r="T17" s="76"/>
      <c r="U17" s="77">
        <f>IF(Q17&lt;&gt;"",K17-T17,"")</f>
        <v>4000</v>
      </c>
      <c r="V17" s="78">
        <f>IF(Q17&lt;&gt;"",0%,"")</f>
        <v>0</v>
      </c>
      <c r="W17" s="79">
        <f>IF(Q17&lt;&gt;"",V17*U17,"")</f>
        <v>0</v>
      </c>
      <c r="X17" s="79">
        <f>IF(Q17&lt;&gt;"",W17+T17,"")</f>
        <v>0</v>
      </c>
      <c r="Y17" s="80">
        <f>IF(Q17&lt;&gt;"",X17+M17,"")</f>
        <v>970.79657015036696</v>
      </c>
      <c r="Z17" s="81">
        <f>IF(Q17&lt;&gt;"",U17/K17,"")</f>
        <v>1</v>
      </c>
      <c r="AA17" s="171">
        <f>T17/$T$20</f>
        <v>0</v>
      </c>
      <c r="AB17" s="215">
        <f>X17-AC17</f>
        <v>0</v>
      </c>
      <c r="AC17" s="217"/>
    </row>
    <row r="18" spans="1:41" ht="111" x14ac:dyDescent="0.55000000000000004">
      <c r="A18" s="42">
        <v>4</v>
      </c>
      <c r="B18" s="63" t="s">
        <v>72</v>
      </c>
      <c r="C18" s="64" t="s">
        <v>84</v>
      </c>
      <c r="D18" s="42" t="s">
        <v>86</v>
      </c>
      <c r="E18" s="42" t="s">
        <v>93</v>
      </c>
      <c r="F18" s="83" t="s">
        <v>114</v>
      </c>
      <c r="G18" s="84" t="s">
        <v>115</v>
      </c>
      <c r="H18" s="71">
        <v>1</v>
      </c>
      <c r="I18" s="71">
        <v>1</v>
      </c>
      <c r="J18" s="72">
        <v>900</v>
      </c>
      <c r="K18" s="72">
        <f>IF(F18&lt;&gt;"",H18*I18*J18,"")</f>
        <v>900</v>
      </c>
      <c r="L18" s="72">
        <f>IF(K18&lt;&gt;"",IF(D18="INTERNO",0,K18*$L$14),"")</f>
        <v>0</v>
      </c>
      <c r="M18" s="72">
        <f>IF(K18&lt;&gt;"",IF(E18="FAT.OGGI",SUM(K18:L18)*(1/(1-$M$14)-1),L18*(1/(1-$M$14)-1)),"")</f>
        <v>218.42922828383254</v>
      </c>
      <c r="N18" s="73">
        <f>SUM(K18:M18)</f>
        <v>1118.4292282838326</v>
      </c>
      <c r="O18" s="20" t="s">
        <v>106</v>
      </c>
      <c r="Q18" s="85">
        <f t="shared" si="0"/>
        <v>1</v>
      </c>
      <c r="R18" s="86">
        <f t="shared" si="0"/>
        <v>1</v>
      </c>
      <c r="S18" s="87">
        <v>600</v>
      </c>
      <c r="T18" s="87">
        <f>IF(Q18&lt;&gt;"",Q18*R18*S18,"")</f>
        <v>600</v>
      </c>
      <c r="U18" s="88">
        <f>IF(Q18&lt;&gt;"",K18-T18,"")</f>
        <v>300</v>
      </c>
      <c r="V18" s="89">
        <f>IF(Q18&lt;&gt;"",0%,"")</f>
        <v>0</v>
      </c>
      <c r="W18" s="90">
        <f>IF(Q18&lt;&gt;"",V18*U18,"")</f>
        <v>0</v>
      </c>
      <c r="X18" s="90">
        <f>IF(Q18&lt;&gt;"",W18+T18,"")</f>
        <v>600</v>
      </c>
      <c r="Y18" s="91">
        <f>IF(Q18&lt;&gt;"",X18+M18,"")</f>
        <v>818.42922828383257</v>
      </c>
      <c r="Z18" s="81">
        <f>IF(Q18&lt;&gt;"",U18/K18,"")</f>
        <v>0.33333333333333331</v>
      </c>
      <c r="AA18" s="171">
        <f>T18/$T$20</f>
        <v>1</v>
      </c>
      <c r="AB18" s="215">
        <f t="shared" ref="AB18:AB35" si="1">X18-AC18</f>
        <v>0</v>
      </c>
      <c r="AC18" s="217">
        <v>600</v>
      </c>
      <c r="AM18" s="13" t="s">
        <v>172</v>
      </c>
    </row>
    <row r="19" spans="1:41" ht="111" x14ac:dyDescent="0.55000000000000004">
      <c r="A19" s="92">
        <v>5</v>
      </c>
      <c r="B19" s="63" t="s">
        <v>152</v>
      </c>
      <c r="C19" s="93" t="s">
        <v>84</v>
      </c>
      <c r="D19" s="42" t="s">
        <v>86</v>
      </c>
      <c r="E19" s="42" t="s">
        <v>93</v>
      </c>
      <c r="F19" s="94" t="s">
        <v>154</v>
      </c>
      <c r="G19" s="95" t="s">
        <v>153</v>
      </c>
      <c r="H19" s="96">
        <v>1</v>
      </c>
      <c r="I19" s="96">
        <v>1</v>
      </c>
      <c r="J19" s="97">
        <v>800</v>
      </c>
      <c r="K19" s="97">
        <f>IF(F19&lt;&gt;"",H19*I19*J19,"")</f>
        <v>800</v>
      </c>
      <c r="L19" s="97">
        <f>IF(K19&lt;&gt;"",IF(D19="INTERNO",0,K19*$L$14),"")</f>
        <v>0</v>
      </c>
      <c r="M19" s="97">
        <f>IF(K19&lt;&gt;"",IF(E19="FAT.OGGI",SUM(K19:L19)*(1/(1-$M$14)-1),L19*(1/(1-$M$14)-1)),"")</f>
        <v>194.15931403007338</v>
      </c>
      <c r="N19" s="97">
        <f>SUM(K19:M19)</f>
        <v>994.15931403007335</v>
      </c>
      <c r="O19" s="20" t="s">
        <v>106</v>
      </c>
      <c r="Q19" s="98">
        <f>IF(H19&lt;&gt;"",H19,"")</f>
        <v>1</v>
      </c>
      <c r="R19" s="98">
        <f>IF(I19&lt;&gt;"",I19,"")</f>
        <v>1</v>
      </c>
      <c r="S19" s="99">
        <v>800</v>
      </c>
      <c r="T19" s="99"/>
      <c r="U19" s="100">
        <f>IF(Q19&lt;&gt;"",K19-T19,"")</f>
        <v>800</v>
      </c>
      <c r="V19" s="101">
        <f>IF(Q19&lt;&gt;"",0%,"")</f>
        <v>0</v>
      </c>
      <c r="W19" s="102">
        <f>IF(Q19&lt;&gt;"",V19*U19,"")</f>
        <v>0</v>
      </c>
      <c r="X19" s="102">
        <f>IF(Q19&lt;&gt;"",W19+T19,"")</f>
        <v>0</v>
      </c>
      <c r="Y19" s="79">
        <f>IF(Q19&lt;&gt;"",X19+M19,"")</f>
        <v>194.15931403007338</v>
      </c>
      <c r="Z19" s="82">
        <f>IF(Q19&lt;&gt;"",U19/K19,"")</f>
        <v>1</v>
      </c>
      <c r="AA19" s="103"/>
      <c r="AB19" s="215">
        <f t="shared" si="1"/>
        <v>0</v>
      </c>
      <c r="AC19" s="217"/>
    </row>
    <row r="20" spans="1:41" ht="25.5" customHeight="1" thickBot="1" x14ac:dyDescent="0.6">
      <c r="A20" s="104">
        <v>6</v>
      </c>
      <c r="B20" s="63"/>
      <c r="C20" s="105" t="s">
        <v>87</v>
      </c>
      <c r="D20" s="104"/>
      <c r="E20" s="104"/>
      <c r="F20" s="257" t="s">
        <v>97</v>
      </c>
      <c r="G20" s="258"/>
      <c r="H20" s="258"/>
      <c r="I20" s="258"/>
      <c r="J20" s="258"/>
      <c r="K20" s="106">
        <f>SUM(K17:K19)</f>
        <v>5700</v>
      </c>
      <c r="L20" s="106">
        <f>SUM(L17:L19)</f>
        <v>0</v>
      </c>
      <c r="M20" s="106">
        <f>SUM(M17:M19)</f>
        <v>1383.3851124642729</v>
      </c>
      <c r="N20" s="107">
        <f>SUM(N17:N19)</f>
        <v>7083.3851124642733</v>
      </c>
      <c r="Q20" s="259" t="s">
        <v>97</v>
      </c>
      <c r="R20" s="260"/>
      <c r="S20" s="260"/>
      <c r="T20" s="108">
        <f>SUM(T17:T19)</f>
        <v>600</v>
      </c>
      <c r="U20" s="109">
        <f>SUM(U17:U19)</f>
        <v>5100</v>
      </c>
      <c r="V20" s="110"/>
      <c r="W20" s="110"/>
      <c r="X20" s="111">
        <f>SUM(X17:X19)</f>
        <v>600</v>
      </c>
      <c r="Y20" s="112">
        <f>IF(Q20&lt;&gt;"",X20+M20,"")</f>
        <v>1983.3851124642729</v>
      </c>
      <c r="AB20" s="215"/>
      <c r="AC20" s="217"/>
    </row>
    <row r="21" spans="1:41" ht="31.05" customHeight="1" thickBot="1" x14ac:dyDescent="0.6">
      <c r="A21" s="42">
        <v>7</v>
      </c>
      <c r="B21" s="63"/>
      <c r="C21" s="64" t="s">
        <v>89</v>
      </c>
      <c r="D21" s="42"/>
      <c r="E21" s="42"/>
      <c r="F21" s="253" t="s">
        <v>98</v>
      </c>
      <c r="G21" s="254"/>
      <c r="H21" s="254"/>
      <c r="I21" s="254"/>
      <c r="J21" s="254"/>
      <c r="K21" s="113">
        <f>SUM(K17:K19)</f>
        <v>5700</v>
      </c>
      <c r="L21" s="113">
        <f>SUM(L17:L19)</f>
        <v>0</v>
      </c>
      <c r="M21" s="113">
        <f>SUM(M17:M19)</f>
        <v>1383.3851124642729</v>
      </c>
      <c r="N21" s="114">
        <f>SUM(N17:N19)</f>
        <v>7083.3851124642733</v>
      </c>
      <c r="Q21" s="255" t="s">
        <v>98</v>
      </c>
      <c r="R21" s="256"/>
      <c r="S21" s="256"/>
      <c r="T21" s="115">
        <f>SUM(T17:T19)</f>
        <v>600</v>
      </c>
      <c r="U21" s="116">
        <f>SUM(U17:U19)</f>
        <v>5100</v>
      </c>
      <c r="V21" s="117"/>
      <c r="W21" s="117"/>
      <c r="X21" s="118">
        <f>SUM(X17:X19)</f>
        <v>600</v>
      </c>
      <c r="Y21" s="119">
        <f>IF(Q21&lt;&gt;"",X21+M21,"")</f>
        <v>1983.3851124642729</v>
      </c>
      <c r="AB21" s="215"/>
      <c r="AC21" s="217"/>
    </row>
    <row r="22" spans="1:41" ht="31.05" customHeight="1" thickBot="1" x14ac:dyDescent="0.6">
      <c r="A22" s="42">
        <v>8</v>
      </c>
      <c r="B22" s="63">
        <v>2</v>
      </c>
      <c r="C22" s="64" t="s">
        <v>77</v>
      </c>
      <c r="D22" s="42"/>
      <c r="E22" s="42"/>
      <c r="F22" s="247" t="s">
        <v>83</v>
      </c>
      <c r="G22" s="248"/>
      <c r="H22" s="248"/>
      <c r="I22" s="248"/>
      <c r="J22" s="248"/>
      <c r="K22" s="248"/>
      <c r="L22" s="248"/>
      <c r="M22" s="248"/>
      <c r="N22" s="249"/>
      <c r="Q22" s="250" t="str">
        <f>IF(F22&lt;&gt;"",F22,"")</f>
        <v>OPERACIONAL</v>
      </c>
      <c r="R22" s="251"/>
      <c r="S22" s="251"/>
      <c r="T22" s="251"/>
      <c r="U22" s="251"/>
      <c r="V22" s="251"/>
      <c r="W22" s="251"/>
      <c r="X22" s="251"/>
      <c r="Y22" s="252"/>
      <c r="AB22" s="215">
        <f t="shared" si="1"/>
        <v>0</v>
      </c>
      <c r="AC22" s="217"/>
    </row>
    <row r="23" spans="1:41" ht="31.05" customHeight="1" x14ac:dyDescent="0.55000000000000004">
      <c r="A23" s="42">
        <v>9</v>
      </c>
      <c r="B23" s="63" t="s">
        <v>99</v>
      </c>
      <c r="C23" s="64" t="s">
        <v>78</v>
      </c>
      <c r="D23" s="42"/>
      <c r="E23" s="42"/>
      <c r="F23" s="236" t="s">
        <v>120</v>
      </c>
      <c r="G23" s="237"/>
      <c r="H23" s="237"/>
      <c r="I23" s="237"/>
      <c r="J23" s="237"/>
      <c r="K23" s="238"/>
      <c r="L23" s="65" t="s">
        <v>80</v>
      </c>
      <c r="M23" s="66" t="s">
        <v>81</v>
      </c>
      <c r="N23" s="67" t="s">
        <v>49</v>
      </c>
      <c r="Q23" s="225" t="str">
        <f>IF(F23&lt;&gt;"",F23,"")</f>
        <v>HAPPY HOUR</v>
      </c>
      <c r="R23" s="226"/>
      <c r="S23" s="226"/>
      <c r="T23" s="226"/>
      <c r="U23" s="226"/>
      <c r="V23" s="226"/>
      <c r="W23" s="226"/>
      <c r="X23" s="226"/>
      <c r="Y23" s="227"/>
      <c r="Z23" s="68" t="s">
        <v>82</v>
      </c>
      <c r="AA23" s="170" t="s">
        <v>50</v>
      </c>
      <c r="AB23" s="215">
        <f t="shared" si="1"/>
        <v>0</v>
      </c>
      <c r="AC23" s="217"/>
    </row>
    <row r="24" spans="1:41" ht="133.19999999999999" x14ac:dyDescent="0.55000000000000004">
      <c r="A24" s="42">
        <v>10</v>
      </c>
      <c r="B24" s="63" t="s">
        <v>100</v>
      </c>
      <c r="C24" s="64" t="s">
        <v>84</v>
      </c>
      <c r="D24" s="42" t="s">
        <v>83</v>
      </c>
      <c r="E24" s="42" t="s">
        <v>94</v>
      </c>
      <c r="F24" s="83" t="s">
        <v>116</v>
      </c>
      <c r="G24" s="120" t="s">
        <v>119</v>
      </c>
      <c r="H24" s="71">
        <v>55</v>
      </c>
      <c r="I24" s="71">
        <v>1</v>
      </c>
      <c r="J24" s="72">
        <v>175</v>
      </c>
      <c r="K24" s="72">
        <f>IF(F24&lt;&gt;"",H24*I24*J24,"")</f>
        <v>9625</v>
      </c>
      <c r="L24" s="72">
        <f>IF(K24&lt;&gt;"",IF(D24="INTERNO",0,K24*$L$14),"")</f>
        <v>770</v>
      </c>
      <c r="M24" s="72">
        <f>IF(K24&lt;&gt;"",IF(E24="FAT.OGGI",SUM(K24:L24)*(1/(1-$M$14)-1),L24*(1/(1-$M$14)-1)),"")</f>
        <v>186.87833975394562</v>
      </c>
      <c r="N24" s="73">
        <f>SUM(K24:M24)</f>
        <v>10581.878339753946</v>
      </c>
      <c r="O24" s="20" t="s">
        <v>156</v>
      </c>
      <c r="Q24" s="74">
        <v>1</v>
      </c>
      <c r="R24" s="75">
        <f t="shared" ref="R24:R25" si="2">IF(I24&lt;&gt;"",I24,"")</f>
        <v>1</v>
      </c>
      <c r="S24" s="76">
        <v>8750</v>
      </c>
      <c r="T24" s="76">
        <f>IF(Q24&lt;&gt;"",Q24*R24*S24,"")</f>
        <v>8750</v>
      </c>
      <c r="U24" s="77">
        <f>IF(Q24&lt;&gt;"",K24-T24,"")</f>
        <v>875</v>
      </c>
      <c r="V24" s="78">
        <f>IF(Q24&lt;&gt;"",0%,"")</f>
        <v>0</v>
      </c>
      <c r="W24" s="79">
        <f>IF(Q24&lt;&gt;"",V24*U24,"")</f>
        <v>0</v>
      </c>
      <c r="X24" s="79">
        <f>IF(Q24&lt;&gt;"",W24+T24,"")</f>
        <v>8750</v>
      </c>
      <c r="Y24" s="80">
        <f>IF(Q24&lt;&gt;"",X24+M24,"")</f>
        <v>8936.8783397539464</v>
      </c>
      <c r="Z24" s="81">
        <f>IF(Q24&lt;&gt;"",U24/K24,"")</f>
        <v>9.0909090909090912E-2</v>
      </c>
      <c r="AA24" s="171">
        <f>T24/$T$26</f>
        <v>0.52238805970149249</v>
      </c>
      <c r="AB24" s="215">
        <f t="shared" si="1"/>
        <v>0</v>
      </c>
      <c r="AC24" s="217">
        <v>8750</v>
      </c>
    </row>
    <row r="25" spans="1:41" ht="135" x14ac:dyDescent="0.55000000000000004">
      <c r="A25" s="42">
        <v>11</v>
      </c>
      <c r="B25" s="63" t="s">
        <v>101</v>
      </c>
      <c r="C25" s="64" t="s">
        <v>84</v>
      </c>
      <c r="D25" s="42" t="s">
        <v>83</v>
      </c>
      <c r="E25" s="42" t="s">
        <v>94</v>
      </c>
      <c r="F25" s="83" t="s">
        <v>117</v>
      </c>
      <c r="G25" s="120" t="s">
        <v>118</v>
      </c>
      <c r="H25" s="71">
        <v>55</v>
      </c>
      <c r="I25" s="71">
        <v>1</v>
      </c>
      <c r="J25" s="72">
        <v>190</v>
      </c>
      <c r="K25" s="72">
        <f>IF(F25&lt;&gt;"",H25*I25*J25,"")</f>
        <v>10450</v>
      </c>
      <c r="L25" s="72">
        <f>IF(K25&lt;&gt;"",IF(D25="INTERNO",0,K25*$L$14),"")</f>
        <v>836</v>
      </c>
      <c r="M25" s="72">
        <f>IF(K25&lt;&gt;"",IF(E25="FAT.OGGI",SUM(K25:L25)*(1/(1-$M$14)-1),L25*(1/(1-$M$14)-1)),"")</f>
        <v>202.89648316142669</v>
      </c>
      <c r="N25" s="73">
        <f>SUM(K25:M25)</f>
        <v>11488.896483161427</v>
      </c>
      <c r="O25" s="121" t="s">
        <v>156</v>
      </c>
      <c r="P25" s="14">
        <v>121</v>
      </c>
      <c r="Q25" s="74">
        <v>1</v>
      </c>
      <c r="R25" s="75">
        <f t="shared" si="2"/>
        <v>1</v>
      </c>
      <c r="S25" s="76">
        <v>8000</v>
      </c>
      <c r="T25" s="76">
        <f>IF(Q25&lt;&gt;"",Q25*R25*S25,"")</f>
        <v>8000</v>
      </c>
      <c r="U25" s="77">
        <f>IF(Q25&lt;&gt;"",K25-T25,"")</f>
        <v>2450</v>
      </c>
      <c r="V25" s="78">
        <f>IF(Q25&lt;&gt;"",0%,"")</f>
        <v>0</v>
      </c>
      <c r="W25" s="79">
        <f>IF(Q25&lt;&gt;"",V25*U25,"")</f>
        <v>0</v>
      </c>
      <c r="X25" s="79">
        <f>IF(Q25&lt;&gt;"",W25+T25,"")</f>
        <v>8000</v>
      </c>
      <c r="Y25" s="80">
        <f>IF(Q25&lt;&gt;"",X25+M25,"")</f>
        <v>8202.8964831614267</v>
      </c>
      <c r="Z25" s="81">
        <f>IF(Q25&lt;&gt;"",U25/K25,"")</f>
        <v>0.23444976076555024</v>
      </c>
      <c r="AA25" s="171">
        <f>T25/$T$26</f>
        <v>0.47761194029850745</v>
      </c>
      <c r="AB25" s="215">
        <f t="shared" si="1"/>
        <v>0</v>
      </c>
      <c r="AC25" s="217">
        <f>4000+4000</f>
        <v>8000</v>
      </c>
      <c r="AH25" s="261" t="s">
        <v>170</v>
      </c>
      <c r="AI25" s="262"/>
      <c r="AJ25" s="262"/>
      <c r="AK25" s="262"/>
      <c r="AL25" s="262"/>
      <c r="AM25" s="262"/>
      <c r="AN25" s="262"/>
      <c r="AO25" s="263"/>
    </row>
    <row r="26" spans="1:41" ht="25.5" customHeight="1" thickBot="1" x14ac:dyDescent="0.6">
      <c r="A26" s="42">
        <v>12</v>
      </c>
      <c r="B26" s="63"/>
      <c r="C26" s="64" t="s">
        <v>87</v>
      </c>
      <c r="D26" s="42"/>
      <c r="E26" s="42"/>
      <c r="F26" s="242" t="s">
        <v>121</v>
      </c>
      <c r="G26" s="243"/>
      <c r="H26" s="243"/>
      <c r="I26" s="243"/>
      <c r="J26" s="243"/>
      <c r="K26" s="122">
        <f>SUM(K24:K25)</f>
        <v>20075</v>
      </c>
      <c r="L26" s="122">
        <f>SUM(L24:L25)</f>
        <v>1606</v>
      </c>
      <c r="M26" s="122">
        <f>SUM(M24:M25)</f>
        <v>389.77482291537228</v>
      </c>
      <c r="N26" s="123">
        <f>SUM(N24:N25)</f>
        <v>22070.774822915373</v>
      </c>
      <c r="Q26" s="225" t="s">
        <v>88</v>
      </c>
      <c r="R26" s="226"/>
      <c r="S26" s="226"/>
      <c r="T26" s="124">
        <f>SUM(T24:T25)</f>
        <v>16750</v>
      </c>
      <c r="U26" s="125">
        <f>SUM(U24:U25)</f>
        <v>3325</v>
      </c>
      <c r="V26" s="126"/>
      <c r="W26" s="126"/>
      <c r="X26" s="127">
        <f>SUM(X24:X25)</f>
        <v>16750</v>
      </c>
      <c r="Y26" s="128">
        <f>IF(Q26&lt;&gt;"",X26+M26,"")</f>
        <v>17139.774822915373</v>
      </c>
      <c r="AB26" s="215"/>
      <c r="AC26" s="217"/>
    </row>
    <row r="27" spans="1:41" ht="55.05" customHeight="1" x14ac:dyDescent="0.55000000000000004">
      <c r="A27" s="42">
        <v>13</v>
      </c>
      <c r="B27" s="63" t="s">
        <v>102</v>
      </c>
      <c r="C27" s="64" t="s">
        <v>78</v>
      </c>
      <c r="D27" s="42"/>
      <c r="E27" s="42"/>
      <c r="F27" s="236" t="s">
        <v>83</v>
      </c>
      <c r="G27" s="237"/>
      <c r="H27" s="237"/>
      <c r="I27" s="237"/>
      <c r="J27" s="237"/>
      <c r="K27" s="238"/>
      <c r="L27" s="65" t="s">
        <v>80</v>
      </c>
      <c r="M27" s="66" t="s">
        <v>81</v>
      </c>
      <c r="N27" s="67" t="s">
        <v>49</v>
      </c>
      <c r="Q27" s="225" t="str">
        <f>IF(F27&lt;&gt;"",F27,"")</f>
        <v>OPERACIONAL</v>
      </c>
      <c r="R27" s="226"/>
      <c r="S27" s="226"/>
      <c r="T27" s="226"/>
      <c r="U27" s="226"/>
      <c r="V27" s="226"/>
      <c r="W27" s="226"/>
      <c r="X27" s="226"/>
      <c r="Y27" s="227"/>
      <c r="Z27" s="68" t="s">
        <v>82</v>
      </c>
      <c r="AA27" s="170" t="s">
        <v>50</v>
      </c>
      <c r="AB27" s="215">
        <f t="shared" si="1"/>
        <v>0</v>
      </c>
      <c r="AC27" s="217"/>
    </row>
    <row r="28" spans="1:41" ht="133.19999999999999" x14ac:dyDescent="0.55000000000000004">
      <c r="A28" s="42">
        <v>14</v>
      </c>
      <c r="B28" s="63" t="s">
        <v>103</v>
      </c>
      <c r="C28" s="64" t="s">
        <v>84</v>
      </c>
      <c r="D28" s="42" t="s">
        <v>83</v>
      </c>
      <c r="E28" s="42" t="s">
        <v>94</v>
      </c>
      <c r="F28" s="83" t="s">
        <v>122</v>
      </c>
      <c r="G28" s="120" t="s">
        <v>147</v>
      </c>
      <c r="H28" s="71">
        <v>55</v>
      </c>
      <c r="I28" s="71">
        <v>1</v>
      </c>
      <c r="J28" s="72">
        <v>123</v>
      </c>
      <c r="K28" s="72">
        <f t="shared" ref="K28:K35" si="3">IF(F28&lt;&gt;"",H28*I28*J28,"")</f>
        <v>6765</v>
      </c>
      <c r="L28" s="72">
        <f t="shared" ref="L28:L35" si="4">IF(K28&lt;&gt;"",IF(D28="INTERNO",0,K28*$L$14),"")</f>
        <v>541.20000000000005</v>
      </c>
      <c r="M28" s="72">
        <f t="shared" ref="M28:M35" si="5">IF(K28&lt;&gt;"",IF(E28="FAT.OGGI",SUM(K28:L28)*(1/(1-$M$14)-1),L28*(1/(1-$M$14)-1)),"")</f>
        <v>131.34877594134466</v>
      </c>
      <c r="N28" s="73">
        <f t="shared" ref="N28:N35" si="6">SUM(K28:M28)</f>
        <v>7437.5487759413445</v>
      </c>
      <c r="O28" s="129" t="s">
        <v>159</v>
      </c>
      <c r="Q28" s="74">
        <v>1</v>
      </c>
      <c r="R28" s="75">
        <f>IF(I28&lt;&gt;"",I28,"")</f>
        <v>1</v>
      </c>
      <c r="S28" s="76">
        <f>597.81+1348.68+622.6+72.32+283.6+75+48</f>
        <v>3048.01</v>
      </c>
      <c r="T28" s="76"/>
      <c r="U28" s="77">
        <f t="shared" ref="U28:U35" si="7">IF(Q28&lt;&gt;"",K28-T28,"")</f>
        <v>6765</v>
      </c>
      <c r="V28" s="78">
        <f t="shared" ref="V28:V35" si="8">IF(Q28&lt;&gt;"",0%,"")</f>
        <v>0</v>
      </c>
      <c r="W28" s="79">
        <f t="shared" ref="W28:W35" si="9">IF(Q28&lt;&gt;"",V28*U28,"")</f>
        <v>0</v>
      </c>
      <c r="X28" s="79">
        <f t="shared" ref="X28:X35" si="10">IF(Q28&lt;&gt;"",W28+T28,"")</f>
        <v>0</v>
      </c>
      <c r="Y28" s="80">
        <f t="shared" ref="Y28:Y37" si="11">IF(Q28&lt;&gt;"",X28+M28,"")</f>
        <v>131.34877594134466</v>
      </c>
      <c r="Z28" s="81">
        <f t="shared" ref="Z28:Z35" si="12">IF(Q28&lt;&gt;"",U28/K28,"")</f>
        <v>1</v>
      </c>
      <c r="AA28" s="171">
        <f>T28/$T$36</f>
        <v>0</v>
      </c>
      <c r="AB28" s="215">
        <f t="shared" si="1"/>
        <v>0</v>
      </c>
      <c r="AC28" s="217"/>
    </row>
    <row r="29" spans="1:41" ht="133.19999999999999" x14ac:dyDescent="0.55000000000000004">
      <c r="A29" s="42">
        <v>15</v>
      </c>
      <c r="B29" s="63" t="s">
        <v>104</v>
      </c>
      <c r="C29" s="64" t="s">
        <v>84</v>
      </c>
      <c r="D29" s="42" t="s">
        <v>83</v>
      </c>
      <c r="E29" s="42" t="s">
        <v>94</v>
      </c>
      <c r="F29" s="83" t="s">
        <v>123</v>
      </c>
      <c r="G29" s="120" t="s">
        <v>147</v>
      </c>
      <c r="H29" s="71">
        <v>55</v>
      </c>
      <c r="I29" s="71">
        <v>1</v>
      </c>
      <c r="J29" s="72">
        <v>123</v>
      </c>
      <c r="K29" s="72">
        <f t="shared" si="3"/>
        <v>6765</v>
      </c>
      <c r="L29" s="72">
        <f t="shared" si="4"/>
        <v>541.20000000000005</v>
      </c>
      <c r="M29" s="72">
        <f t="shared" si="5"/>
        <v>131.34877594134466</v>
      </c>
      <c r="N29" s="73">
        <f t="shared" si="6"/>
        <v>7437.5487759413445</v>
      </c>
      <c r="O29" s="129" t="s">
        <v>159</v>
      </c>
      <c r="Q29" s="74">
        <v>1</v>
      </c>
      <c r="R29" s="75">
        <f>IF(I29&lt;&gt;"",I29,"")</f>
        <v>1</v>
      </c>
      <c r="S29" s="76">
        <f>2839.79</f>
        <v>2839.79</v>
      </c>
      <c r="T29" s="76"/>
      <c r="U29" s="77">
        <f t="shared" si="7"/>
        <v>6765</v>
      </c>
      <c r="V29" s="78">
        <f t="shared" si="8"/>
        <v>0</v>
      </c>
      <c r="W29" s="79">
        <f t="shared" si="9"/>
        <v>0</v>
      </c>
      <c r="X29" s="79">
        <f t="shared" si="10"/>
        <v>0</v>
      </c>
      <c r="Y29" s="80">
        <f t="shared" si="11"/>
        <v>131.34877594134466</v>
      </c>
      <c r="Z29" s="81">
        <f t="shared" si="12"/>
        <v>1</v>
      </c>
      <c r="AA29" s="171">
        <f>T29/$T$36</f>
        <v>0</v>
      </c>
      <c r="AB29" s="215">
        <f t="shared" si="1"/>
        <v>0</v>
      </c>
      <c r="AC29" s="217"/>
    </row>
    <row r="30" spans="1:41" ht="133.19999999999999" x14ac:dyDescent="0.55000000000000004">
      <c r="A30" s="42">
        <v>16</v>
      </c>
      <c r="B30" s="63" t="s">
        <v>105</v>
      </c>
      <c r="C30" s="64" t="s">
        <v>84</v>
      </c>
      <c r="D30" s="42" t="s">
        <v>83</v>
      </c>
      <c r="E30" s="42" t="s">
        <v>94</v>
      </c>
      <c r="F30" s="83" t="s">
        <v>124</v>
      </c>
      <c r="G30" s="120" t="s">
        <v>148</v>
      </c>
      <c r="H30" s="71">
        <v>1</v>
      </c>
      <c r="I30" s="71">
        <v>1</v>
      </c>
      <c r="J30" s="72">
        <v>1000</v>
      </c>
      <c r="K30" s="72">
        <f t="shared" si="3"/>
        <v>1000</v>
      </c>
      <c r="L30" s="72">
        <f t="shared" si="4"/>
        <v>80</v>
      </c>
      <c r="M30" s="72">
        <f t="shared" si="5"/>
        <v>19.415931403007338</v>
      </c>
      <c r="N30" s="73">
        <f t="shared" si="6"/>
        <v>1099.4159314030073</v>
      </c>
      <c r="O30" s="129" t="s">
        <v>156</v>
      </c>
      <c r="P30" s="15">
        <v>32605</v>
      </c>
      <c r="Q30" s="85">
        <f t="shared" ref="Q30:Q35" si="13">IF(H30&lt;&gt;"",H30,"")</f>
        <v>1</v>
      </c>
      <c r="R30" s="86">
        <v>1</v>
      </c>
      <c r="S30" s="87">
        <f>419.75+234.9</f>
        <v>654.65</v>
      </c>
      <c r="T30" s="87">
        <v>419.75</v>
      </c>
      <c r="U30" s="88">
        <f t="shared" si="7"/>
        <v>580.25</v>
      </c>
      <c r="V30" s="89">
        <f t="shared" si="8"/>
        <v>0</v>
      </c>
      <c r="W30" s="90">
        <f t="shared" si="9"/>
        <v>0</v>
      </c>
      <c r="X30" s="90">
        <f t="shared" si="10"/>
        <v>419.75</v>
      </c>
      <c r="Y30" s="91">
        <f t="shared" si="11"/>
        <v>439.16593140300733</v>
      </c>
      <c r="Z30" s="81">
        <f t="shared" si="12"/>
        <v>0.58025000000000004</v>
      </c>
      <c r="AA30" s="171">
        <f>T30/$T$36</f>
        <v>3.1561906451937925E-2</v>
      </c>
      <c r="AB30" s="215">
        <f t="shared" si="1"/>
        <v>0</v>
      </c>
      <c r="AC30" s="217">
        <v>419.75</v>
      </c>
      <c r="AM30" s="13" t="s">
        <v>173</v>
      </c>
    </row>
    <row r="31" spans="1:41" ht="133.19999999999999" x14ac:dyDescent="0.55000000000000004">
      <c r="A31" s="92">
        <v>17</v>
      </c>
      <c r="B31" s="63" t="s">
        <v>109</v>
      </c>
      <c r="C31" s="93" t="s">
        <v>84</v>
      </c>
      <c r="D31" s="42" t="s">
        <v>83</v>
      </c>
      <c r="E31" s="42" t="s">
        <v>94</v>
      </c>
      <c r="F31" s="130" t="s">
        <v>126</v>
      </c>
      <c r="G31" s="94" t="s">
        <v>125</v>
      </c>
      <c r="H31" s="96">
        <v>2</v>
      </c>
      <c r="I31" s="96">
        <v>1</v>
      </c>
      <c r="J31" s="97">
        <v>850</v>
      </c>
      <c r="K31" s="97">
        <f t="shared" si="3"/>
        <v>1700</v>
      </c>
      <c r="L31" s="97">
        <f t="shared" si="4"/>
        <v>136</v>
      </c>
      <c r="M31" s="97">
        <f t="shared" si="5"/>
        <v>33.007083385112473</v>
      </c>
      <c r="N31" s="131">
        <f t="shared" si="6"/>
        <v>1869.0070833851125</v>
      </c>
      <c r="O31" s="20" t="s">
        <v>157</v>
      </c>
      <c r="Q31" s="98">
        <f t="shared" si="13"/>
        <v>2</v>
      </c>
      <c r="R31" s="98">
        <f>IF(I31&lt;&gt;"",I31,"")</f>
        <v>1</v>
      </c>
      <c r="S31" s="99">
        <v>550</v>
      </c>
      <c r="T31" s="99"/>
      <c r="U31" s="100">
        <f t="shared" si="7"/>
        <v>1700</v>
      </c>
      <c r="V31" s="101">
        <f t="shared" si="8"/>
        <v>0</v>
      </c>
      <c r="W31" s="102">
        <f t="shared" si="9"/>
        <v>0</v>
      </c>
      <c r="X31" s="102">
        <f t="shared" si="10"/>
        <v>0</v>
      </c>
      <c r="Y31" s="79">
        <f t="shared" si="11"/>
        <v>33.007083385112473</v>
      </c>
      <c r="Z31" s="82">
        <f t="shared" si="12"/>
        <v>1</v>
      </c>
      <c r="AA31" s="171"/>
      <c r="AB31" s="215">
        <f t="shared" si="1"/>
        <v>0</v>
      </c>
      <c r="AC31" s="217"/>
    </row>
    <row r="32" spans="1:41" ht="133.19999999999999" x14ac:dyDescent="0.55000000000000004">
      <c r="A32" s="104">
        <v>18</v>
      </c>
      <c r="B32" s="63" t="s">
        <v>110</v>
      </c>
      <c r="C32" s="105" t="s">
        <v>84</v>
      </c>
      <c r="D32" s="42" t="s">
        <v>83</v>
      </c>
      <c r="E32" s="104" t="s">
        <v>94</v>
      </c>
      <c r="F32" s="132" t="s">
        <v>127</v>
      </c>
      <c r="G32" s="133" t="s">
        <v>112</v>
      </c>
      <c r="H32" s="134">
        <v>1</v>
      </c>
      <c r="I32" s="134">
        <v>1</v>
      </c>
      <c r="J32" s="135">
        <v>980</v>
      </c>
      <c r="K32" s="135">
        <f t="shared" si="3"/>
        <v>980</v>
      </c>
      <c r="L32" s="135">
        <f t="shared" si="4"/>
        <v>78.400000000000006</v>
      </c>
      <c r="M32" s="135">
        <f t="shared" si="5"/>
        <v>19.027612774947194</v>
      </c>
      <c r="N32" s="136">
        <f t="shared" si="6"/>
        <v>1077.4276127749472</v>
      </c>
      <c r="O32" s="20" t="s">
        <v>162</v>
      </c>
      <c r="Q32" s="137">
        <f t="shared" si="13"/>
        <v>1</v>
      </c>
      <c r="R32" s="138">
        <f>IF(I32&lt;&gt;"",I32,"")</f>
        <v>1</v>
      </c>
      <c r="S32" s="139" t="str">
        <f>O33</f>
        <v>3AYANNA E 3 ANA PAULA</v>
      </c>
      <c r="T32" s="99">
        <v>0</v>
      </c>
      <c r="U32" s="140">
        <f t="shared" si="7"/>
        <v>980</v>
      </c>
      <c r="V32" s="141">
        <f t="shared" si="8"/>
        <v>0</v>
      </c>
      <c r="W32" s="142">
        <f t="shared" si="9"/>
        <v>0</v>
      </c>
      <c r="X32" s="142">
        <f t="shared" si="10"/>
        <v>0</v>
      </c>
      <c r="Y32" s="143">
        <f t="shared" si="11"/>
        <v>19.027612774947194</v>
      </c>
      <c r="Z32" s="81">
        <f t="shared" si="12"/>
        <v>1</v>
      </c>
      <c r="AA32" s="171">
        <f>T32/$T$20</f>
        <v>0</v>
      </c>
      <c r="AB32" s="215">
        <f t="shared" si="1"/>
        <v>0</v>
      </c>
      <c r="AC32" s="217"/>
    </row>
    <row r="33" spans="1:39" ht="133.19999999999999" x14ac:dyDescent="0.55000000000000004">
      <c r="A33" s="42">
        <v>19</v>
      </c>
      <c r="B33" s="63" t="s">
        <v>111</v>
      </c>
      <c r="C33" s="64" t="s">
        <v>84</v>
      </c>
      <c r="D33" s="42" t="s">
        <v>83</v>
      </c>
      <c r="E33" s="104" t="s">
        <v>94</v>
      </c>
      <c r="F33" s="83" t="s">
        <v>131</v>
      </c>
      <c r="G33" s="120" t="s">
        <v>158</v>
      </c>
      <c r="H33" s="71">
        <v>1</v>
      </c>
      <c r="I33" s="71">
        <v>1</v>
      </c>
      <c r="J33" s="72">
        <v>2500</v>
      </c>
      <c r="K33" s="72">
        <f t="shared" si="3"/>
        <v>2500</v>
      </c>
      <c r="L33" s="72">
        <f t="shared" si="4"/>
        <v>200</v>
      </c>
      <c r="M33" s="72">
        <f t="shared" si="5"/>
        <v>48.539828507518344</v>
      </c>
      <c r="N33" s="73">
        <f t="shared" si="6"/>
        <v>2748.5398285075185</v>
      </c>
      <c r="O33" s="20" t="s">
        <v>161</v>
      </c>
      <c r="P33" s="16" t="s">
        <v>159</v>
      </c>
      <c r="Q33" s="144">
        <f t="shared" si="13"/>
        <v>1</v>
      </c>
      <c r="R33" s="144">
        <f>IF(I33&lt;&gt;"",I33,"")</f>
        <v>1</v>
      </c>
      <c r="S33" s="145">
        <v>1800</v>
      </c>
      <c r="T33" s="145">
        <f t="shared" ref="T33" si="14">IF(Q33&lt;&gt;"",Q33*R33*S33,"")</f>
        <v>1800</v>
      </c>
      <c r="U33" s="146">
        <f t="shared" si="7"/>
        <v>700</v>
      </c>
      <c r="V33" s="147">
        <f t="shared" si="8"/>
        <v>0</v>
      </c>
      <c r="W33" s="148">
        <f t="shared" si="9"/>
        <v>0</v>
      </c>
      <c r="X33" s="148">
        <f t="shared" si="10"/>
        <v>1800</v>
      </c>
      <c r="Y33" s="90">
        <f t="shared" si="11"/>
        <v>1848.5398285075185</v>
      </c>
      <c r="Z33" s="82">
        <f t="shared" si="12"/>
        <v>0.28000000000000003</v>
      </c>
      <c r="AA33" s="103"/>
      <c r="AB33" s="215">
        <f t="shared" si="1"/>
        <v>0</v>
      </c>
      <c r="AC33" s="217">
        <f>900+900</f>
        <v>1800</v>
      </c>
      <c r="AM33" s="13" t="s">
        <v>171</v>
      </c>
    </row>
    <row r="34" spans="1:39" ht="133.19999999999999" x14ac:dyDescent="0.55000000000000004">
      <c r="A34" s="92">
        <v>20</v>
      </c>
      <c r="B34" s="63" t="s">
        <v>130</v>
      </c>
      <c r="C34" s="93" t="s">
        <v>84</v>
      </c>
      <c r="D34" s="42" t="s">
        <v>83</v>
      </c>
      <c r="E34" s="104" t="s">
        <v>94</v>
      </c>
      <c r="F34" s="149" t="s">
        <v>150</v>
      </c>
      <c r="G34" s="94" t="s">
        <v>151</v>
      </c>
      <c r="H34" s="96">
        <v>1</v>
      </c>
      <c r="I34" s="96">
        <v>1</v>
      </c>
      <c r="J34" s="97">
        <v>630</v>
      </c>
      <c r="K34" s="97">
        <f>IF(F34&lt;&gt;"",H34*I34*J34,"")</f>
        <v>630</v>
      </c>
      <c r="L34" s="97">
        <f>IF(K34&lt;&gt;"",IF(D34="INTERNO",0,K34*$L$14),"")</f>
        <v>50.4</v>
      </c>
      <c r="M34" s="97">
        <f>IF(K34&lt;&gt;"",IF(E34="FAT.OGGI",SUM(K34:L34)*(1/(1-$M$14)-1),L34*(1/(1-$M$14)-1)),"")</f>
        <v>12.232036783894623</v>
      </c>
      <c r="N34" s="97">
        <f>SUM(K34:M34)</f>
        <v>692.63203678389459</v>
      </c>
      <c r="O34" s="129" t="s">
        <v>156</v>
      </c>
      <c r="P34" s="15">
        <v>32606</v>
      </c>
      <c r="Q34" s="98">
        <f t="shared" si="13"/>
        <v>1</v>
      </c>
      <c r="R34" s="98">
        <f>IF(I34&lt;&gt;"",I34,"")</f>
        <v>1</v>
      </c>
      <c r="S34" s="99">
        <v>630</v>
      </c>
      <c r="T34" s="99">
        <f>IF(Q34&lt;&gt;"",Q34*R34*S34,"")</f>
        <v>630</v>
      </c>
      <c r="U34" s="100">
        <f>IF(Q34&lt;&gt;"",K34-T34,"")</f>
        <v>0</v>
      </c>
      <c r="V34" s="101">
        <f>IF(Q34&lt;&gt;"",0%,"")</f>
        <v>0</v>
      </c>
      <c r="W34" s="102">
        <f>IF(Q34&lt;&gt;"",V34*U34,"")</f>
        <v>0</v>
      </c>
      <c r="X34" s="102">
        <f>IF(Q34&lt;&gt;"",W34+T34,"")</f>
        <v>630</v>
      </c>
      <c r="Y34" s="79">
        <f>IF(Q34&lt;&gt;"",X34+M34,"")</f>
        <v>642.23203678389461</v>
      </c>
      <c r="Z34" s="82">
        <f>IF(Q34&lt;&gt;"",U34/K34,"")</f>
        <v>0</v>
      </c>
      <c r="AA34" s="103"/>
      <c r="AB34" s="215">
        <f t="shared" si="1"/>
        <v>0</v>
      </c>
      <c r="AC34" s="217">
        <f>630</f>
        <v>630</v>
      </c>
      <c r="AH34" s="17" t="s">
        <v>160</v>
      </c>
      <c r="AM34" s="13" t="s">
        <v>173</v>
      </c>
    </row>
    <row r="35" spans="1:39" ht="133.19999999999999" x14ac:dyDescent="0.55000000000000004">
      <c r="A35" s="150">
        <v>21</v>
      </c>
      <c r="B35" s="63" t="s">
        <v>149</v>
      </c>
      <c r="C35" s="151" t="s">
        <v>84</v>
      </c>
      <c r="D35" s="104" t="s">
        <v>83</v>
      </c>
      <c r="E35" s="104" t="s">
        <v>94</v>
      </c>
      <c r="F35" s="152" t="s">
        <v>128</v>
      </c>
      <c r="G35" s="153" t="s">
        <v>129</v>
      </c>
      <c r="H35" s="154">
        <v>1</v>
      </c>
      <c r="I35" s="154">
        <v>1</v>
      </c>
      <c r="J35" s="155">
        <v>1099.4199000000001</v>
      </c>
      <c r="K35" s="155">
        <f t="shared" si="3"/>
        <v>1099.4199000000001</v>
      </c>
      <c r="L35" s="155">
        <f t="shared" si="4"/>
        <v>87.953592000000015</v>
      </c>
      <c r="M35" s="155">
        <f t="shared" si="5"/>
        <v>21.346261361501192</v>
      </c>
      <c r="N35" s="156">
        <f t="shared" si="6"/>
        <v>1208.7197533615013</v>
      </c>
      <c r="O35" s="20" t="s">
        <v>155</v>
      </c>
      <c r="Q35" s="157">
        <f t="shared" si="13"/>
        <v>1</v>
      </c>
      <c r="R35" s="157">
        <f>IF(I35&lt;&gt;"",I35,"")</f>
        <v>1</v>
      </c>
      <c r="S35" s="158">
        <f>550.48+100+353.36</f>
        <v>1003.84</v>
      </c>
      <c r="T35" s="158">
        <f>9894.98+180+374.53</f>
        <v>10449.51</v>
      </c>
      <c r="U35" s="159">
        <f t="shared" si="7"/>
        <v>-9350.0900999999994</v>
      </c>
      <c r="V35" s="160">
        <f t="shared" si="8"/>
        <v>0</v>
      </c>
      <c r="W35" s="161">
        <f t="shared" si="9"/>
        <v>0</v>
      </c>
      <c r="X35" s="161">
        <f t="shared" si="10"/>
        <v>10449.51</v>
      </c>
      <c r="Y35" s="162">
        <f t="shared" si="11"/>
        <v>10470.856261361501</v>
      </c>
      <c r="Z35" s="82">
        <f t="shared" si="12"/>
        <v>-8.504566908421431</v>
      </c>
      <c r="AA35" s="103"/>
      <c r="AB35" s="215">
        <f t="shared" si="1"/>
        <v>0</v>
      </c>
      <c r="AC35" s="217">
        <f>1200+953.52+448.5+588.5+353.36+100+978.52+234.9+48+1348.68+2839.79+597.81+60+143.4+180+374.53</f>
        <v>10449.51</v>
      </c>
      <c r="AM35" s="13" t="s">
        <v>176</v>
      </c>
    </row>
    <row r="36" spans="1:39" ht="46.05" customHeight="1" thickBot="1" x14ac:dyDescent="0.6">
      <c r="A36" s="104">
        <v>22</v>
      </c>
      <c r="B36" s="63"/>
      <c r="C36" s="105" t="s">
        <v>87</v>
      </c>
      <c r="D36" s="104"/>
      <c r="E36" s="104"/>
      <c r="F36" s="257" t="s">
        <v>88</v>
      </c>
      <c r="G36" s="258"/>
      <c r="H36" s="258"/>
      <c r="I36" s="258"/>
      <c r="J36" s="258"/>
      <c r="K36" s="106">
        <f>SUM(K28:K35)</f>
        <v>21439.419900000001</v>
      </c>
      <c r="L36" s="106">
        <f>SUM(L28:L35)</f>
        <v>1715.1535920000003</v>
      </c>
      <c r="M36" s="106">
        <f>SUM(M28:M35)</f>
        <v>416.2663060986705</v>
      </c>
      <c r="N36" s="107">
        <f>SUM(N28:N35)</f>
        <v>23570.83979809867</v>
      </c>
      <c r="O36" s="163"/>
      <c r="Q36" s="259" t="s">
        <v>107</v>
      </c>
      <c r="R36" s="260"/>
      <c r="S36" s="260"/>
      <c r="T36" s="108">
        <f>SUM(T28:T35)</f>
        <v>13299.26</v>
      </c>
      <c r="U36" s="109">
        <f>SUM(U28:U35)</f>
        <v>8140.1599000000006</v>
      </c>
      <c r="V36" s="110"/>
      <c r="W36" s="110"/>
      <c r="X36" s="111">
        <f>SUM(X28:X35)</f>
        <v>13299.26</v>
      </c>
      <c r="Y36" s="112">
        <f t="shared" si="11"/>
        <v>13715.526306098671</v>
      </c>
      <c r="AB36" s="215"/>
      <c r="AC36" s="217"/>
    </row>
    <row r="37" spans="1:39" ht="42.45" customHeight="1" thickBot="1" x14ac:dyDescent="0.6">
      <c r="A37" s="42">
        <v>23</v>
      </c>
      <c r="B37" s="63"/>
      <c r="C37" s="64" t="s">
        <v>89</v>
      </c>
      <c r="D37" s="42"/>
      <c r="E37" s="42"/>
      <c r="F37" s="253" t="s">
        <v>88</v>
      </c>
      <c r="G37" s="254"/>
      <c r="H37" s="254"/>
      <c r="I37" s="254"/>
      <c r="J37" s="254"/>
      <c r="K37" s="113">
        <f>SUM(K24:K25)+SUM(K28:K35)</f>
        <v>41514.419900000001</v>
      </c>
      <c r="L37" s="113">
        <f>SUM(L24:L25)+SUM(L28:L35)</f>
        <v>3321.1535920000006</v>
      </c>
      <c r="M37" s="113">
        <f>SUM(M24:M25)+SUM(M28:M35)</f>
        <v>806.04112901404278</v>
      </c>
      <c r="N37" s="114">
        <f>SUM(N24:N25)+SUM(N28:N35)</f>
        <v>45641.614621014043</v>
      </c>
      <c r="Q37" s="255" t="s">
        <v>88</v>
      </c>
      <c r="R37" s="256"/>
      <c r="S37" s="256"/>
      <c r="T37" s="115">
        <f>SUM(T24:T25)+SUM(T28:T35)</f>
        <v>30049.260000000002</v>
      </c>
      <c r="U37" s="116">
        <f>SUM(U24:U25)+SUM(U28:U35)</f>
        <v>11465.159900000001</v>
      </c>
      <c r="V37" s="117"/>
      <c r="W37" s="117"/>
      <c r="X37" s="118">
        <f>SUM(X24:X25)+SUM(X28:X35)</f>
        <v>30049.260000000002</v>
      </c>
      <c r="Y37" s="164">
        <f t="shared" si="11"/>
        <v>30855.301129014046</v>
      </c>
      <c r="Z37" s="165" t="s">
        <v>91</v>
      </c>
      <c r="AA37" s="172" t="s">
        <v>92</v>
      </c>
      <c r="AB37" s="215"/>
      <c r="AC37" s="217"/>
    </row>
    <row r="38" spans="1:39" ht="34.049999999999997" customHeight="1" thickBot="1" x14ac:dyDescent="0.6">
      <c r="A38" s="92">
        <v>24</v>
      </c>
      <c r="B38" s="166"/>
      <c r="C38" s="93" t="s">
        <v>90</v>
      </c>
      <c r="D38" s="92"/>
      <c r="E38" s="92"/>
      <c r="F38" s="8" t="s">
        <v>108</v>
      </c>
      <c r="G38" s="9"/>
      <c r="H38" s="9"/>
      <c r="I38" s="9"/>
      <c r="J38" s="9"/>
      <c r="K38" s="10">
        <f>SUM(K17:K19)+SUM(K24:K25)+SUM(K28:K35)</f>
        <v>47214.419900000001</v>
      </c>
      <c r="L38" s="10">
        <f>SUM(L17:L19)+SUM(L24:L25)+SUM(L28:L35)</f>
        <v>3321.1535920000006</v>
      </c>
      <c r="M38" s="10">
        <f>SUM(M17:M19)+SUM(M24:M25)+SUM(M28:M35)</f>
        <v>2189.4262414783157</v>
      </c>
      <c r="N38" s="12">
        <f>SUM(N17:N19)+SUM(N24:N25)+SUM(N28:N35)</f>
        <v>52724.999733478318</v>
      </c>
      <c r="Q38" s="8" t="s">
        <v>14</v>
      </c>
      <c r="R38" s="9"/>
      <c r="S38" s="9"/>
      <c r="T38" s="10">
        <f>SUM(T17:T19)+SUM(T24:T25)+SUM(T28:T35)</f>
        <v>30649.260000000002</v>
      </c>
      <c r="U38" s="10">
        <f>SUM(U17:U19)+SUM(U24:U25)+SUM(U28:U35)</f>
        <v>16565.159899999999</v>
      </c>
      <c r="V38" s="9"/>
      <c r="W38" s="9"/>
      <c r="X38" s="10">
        <f>SUM(X17:X19)+SUM(X24:X25)+SUM(X28:X35)</f>
        <v>30649.260000000002</v>
      </c>
      <c r="Y38" s="12">
        <f>SUM(Y17:Y19)+SUM(Y24:Y25)+SUM(Y28:Y35)</f>
        <v>32838.686241478317</v>
      </c>
      <c r="Z38" s="11">
        <f>IF(Q38&lt;&gt;"",(N38-Y38)/N38,"")</f>
        <v>0.37717048065479586</v>
      </c>
      <c r="AA38" s="173">
        <f>IF(Z38&lt;&gt;"",(N38-Y38),"")</f>
        <v>19886.313492000001</v>
      </c>
      <c r="AB38" s="215">
        <f>SUM(AB17:AB37)</f>
        <v>0</v>
      </c>
      <c r="AC38" s="217">
        <f>SUM(AC17:AC37)</f>
        <v>30649.260000000002</v>
      </c>
    </row>
    <row r="39" spans="1:39" x14ac:dyDescent="0.4">
      <c r="N39" s="167">
        <v>52725</v>
      </c>
    </row>
    <row r="40" spans="1:39" x14ac:dyDescent="0.4">
      <c r="N40" s="168">
        <f>N39-N38</f>
        <v>2.6652168162399903E-4</v>
      </c>
    </row>
    <row r="42" spans="1:39" ht="28.8" x14ac:dyDescent="0.55000000000000004">
      <c r="AB42" s="221">
        <v>0</v>
      </c>
      <c r="AC42" s="218" t="s">
        <v>80</v>
      </c>
    </row>
    <row r="43" spans="1:39" ht="28.8" x14ac:dyDescent="0.55000000000000004">
      <c r="AB43" s="222">
        <v>0</v>
      </c>
      <c r="AC43" s="219" t="s">
        <v>174</v>
      </c>
    </row>
    <row r="44" spans="1:39" ht="28.8" x14ac:dyDescent="0.55000000000000004">
      <c r="AB44" s="222">
        <f>X38</f>
        <v>30649.260000000002</v>
      </c>
      <c r="AC44" s="219" t="s">
        <v>175</v>
      </c>
    </row>
    <row r="45" spans="1:39" ht="28.8" x14ac:dyDescent="0.55000000000000004">
      <c r="AB45" s="223">
        <f>N38-AB44</f>
        <v>22075.739733478316</v>
      </c>
      <c r="AC45" s="220" t="s">
        <v>167</v>
      </c>
    </row>
    <row r="46" spans="1:39" ht="28.8" x14ac:dyDescent="0.55000000000000004">
      <c r="AB46" s="224">
        <f>AB45*100%/N38</f>
        <v>0.41869587188373342</v>
      </c>
      <c r="AC46" s="220"/>
    </row>
  </sheetData>
  <autoFilter ref="A1:AM14" xr:uid="{107B9E09-8154-459A-AE62-6A4242823A27}">
    <filterColumn colId="5" showButton="0"/>
  </autoFilter>
  <mergeCells count="28">
    <mergeCell ref="F37:J37"/>
    <mergeCell ref="Q37:S37"/>
    <mergeCell ref="F27:K27"/>
    <mergeCell ref="Q27:Y27"/>
    <mergeCell ref="F36:J36"/>
    <mergeCell ref="Q36:S36"/>
    <mergeCell ref="AD12:AF12"/>
    <mergeCell ref="F26:J26"/>
    <mergeCell ref="Q26:S26"/>
    <mergeCell ref="AB14:AC14"/>
    <mergeCell ref="AH12:AI12"/>
    <mergeCell ref="F15:N15"/>
    <mergeCell ref="Q15:Y15"/>
    <mergeCell ref="F16:K16"/>
    <mergeCell ref="Q16:Y16"/>
    <mergeCell ref="F21:J21"/>
    <mergeCell ref="Q21:S21"/>
    <mergeCell ref="F20:J20"/>
    <mergeCell ref="Q20:S20"/>
    <mergeCell ref="F22:N22"/>
    <mergeCell ref="Q22:Y22"/>
    <mergeCell ref="AH25:AO25"/>
    <mergeCell ref="Q23:Y23"/>
    <mergeCell ref="F1:G1"/>
    <mergeCell ref="F2:G2"/>
    <mergeCell ref="Q12:T12"/>
    <mergeCell ref="U12:X12"/>
    <mergeCell ref="F23:K23"/>
  </mergeCells>
  <dataValidations count="3">
    <dataValidation type="list" allowBlank="1" showInputMessage="1" showErrorMessage="1" sqref="D24:D25 D38 D28:D35 D17:D19" xr:uid="{206A7F17-A0CD-4D37-9862-A54F8255C549}">
      <formula1>"INTERNO,OPERACIONAL"</formula1>
    </dataValidation>
    <dataValidation type="list" allowBlank="1" showInputMessage="1" showErrorMessage="1" sqref="E24:E25 E28:E35 E17:E19" xr:uid="{AE269441-DAA9-4972-9B60-153B10A89D87}">
      <formula1>"FAT.OGGI,FAT.CLIENTE"</formula1>
    </dataValidation>
    <dataValidation type="list" allowBlank="1" showInputMessage="1" showErrorMessage="1" sqref="E38" xr:uid="{CBEF1D22-B5D5-43D8-8BF0-F0BAA4DC01D9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8"/>
  <sheetViews>
    <sheetView zoomScale="70" zoomScaleNormal="70" workbookViewId="0">
      <selection activeCell="D46" sqref="D46"/>
    </sheetView>
  </sheetViews>
  <sheetFormatPr defaultColWidth="46.21875" defaultRowHeight="14.4" x14ac:dyDescent="0.3"/>
  <cols>
    <col min="1" max="1" width="7.21875" bestFit="1" customWidth="1"/>
    <col min="2" max="2" width="23.21875" customWidth="1"/>
    <col min="3" max="3" width="50" customWidth="1"/>
    <col min="4" max="4" width="54.44140625" bestFit="1" customWidth="1"/>
    <col min="5" max="5" width="73.21875" customWidth="1"/>
    <col min="6" max="7" width="20.77734375" bestFit="1" customWidth="1"/>
    <col min="8" max="8" width="11.77734375" bestFit="1" customWidth="1"/>
    <col min="9" max="9" width="13.21875" customWidth="1"/>
  </cols>
  <sheetData>
    <row r="8" spans="1:12" ht="16.2" x14ac:dyDescent="0.35">
      <c r="A8" s="1" t="s">
        <v>17</v>
      </c>
      <c r="B8" s="1" t="s">
        <v>18</v>
      </c>
      <c r="C8" s="1" t="s">
        <v>19</v>
      </c>
      <c r="D8" s="1" t="s">
        <v>20</v>
      </c>
      <c r="E8" s="1" t="s">
        <v>21</v>
      </c>
      <c r="F8" s="1" t="s">
        <v>22</v>
      </c>
      <c r="G8" s="2" t="s">
        <v>15</v>
      </c>
      <c r="H8" s="2" t="s">
        <v>16</v>
      </c>
      <c r="I8" s="2" t="s">
        <v>9</v>
      </c>
      <c r="J8" s="2" t="s">
        <v>10</v>
      </c>
      <c r="K8" s="2" t="s">
        <v>23</v>
      </c>
      <c r="L8" s="2" t="s">
        <v>24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77734375" defaultRowHeight="14.4" x14ac:dyDescent="0.3"/>
  <cols>
    <col min="1" max="1" width="35.21875" customWidth="1"/>
    <col min="2" max="3" width="20.21875" customWidth="1"/>
    <col min="4" max="4" width="40.44140625" customWidth="1"/>
    <col min="5" max="5" width="17.77734375" customWidth="1"/>
    <col min="6" max="7" width="15.21875" customWidth="1"/>
    <col min="8" max="8" width="25.21875" customWidth="1"/>
    <col min="9" max="10" width="15.21875" customWidth="1"/>
    <col min="11" max="11" width="10.21875" customWidth="1"/>
    <col min="12" max="12" width="15.21875" customWidth="1"/>
    <col min="13" max="13" width="12.77734375" customWidth="1"/>
    <col min="14" max="14" width="15.21875" customWidth="1"/>
    <col min="15" max="15" width="40.44140625" customWidth="1"/>
  </cols>
  <sheetData>
    <row r="1" spans="1:15" ht="15" x14ac:dyDescent="0.3">
      <c r="A1" s="270" t="s">
        <v>11</v>
      </c>
      <c r="B1" s="270"/>
      <c r="C1" s="270"/>
      <c r="D1" s="272" t="s">
        <v>29</v>
      </c>
      <c r="E1" s="272"/>
      <c r="F1" s="272"/>
      <c r="G1" s="272"/>
      <c r="H1" s="272"/>
      <c r="I1" s="272"/>
      <c r="J1" s="3" t="s">
        <v>11</v>
      </c>
      <c r="K1" s="3" t="s">
        <v>11</v>
      </c>
      <c r="L1" s="3" t="s">
        <v>11</v>
      </c>
      <c r="M1" s="3" t="s">
        <v>11</v>
      </c>
      <c r="N1" s="3" t="s">
        <v>11</v>
      </c>
      <c r="O1" s="4" t="s">
        <v>11</v>
      </c>
    </row>
    <row r="2" spans="1:15" x14ac:dyDescent="0.3">
      <c r="A2" s="271"/>
      <c r="B2" s="271"/>
      <c r="C2" s="271"/>
      <c r="D2" s="270" t="s">
        <v>30</v>
      </c>
      <c r="E2" s="270"/>
      <c r="F2" s="270"/>
      <c r="G2" s="270"/>
      <c r="H2" s="270"/>
      <c r="I2" s="270"/>
      <c r="J2" s="3"/>
      <c r="K2" s="3"/>
      <c r="L2" s="3"/>
      <c r="M2" s="3"/>
      <c r="N2" s="3"/>
      <c r="O2" s="273" t="s">
        <v>31</v>
      </c>
    </row>
    <row r="3" spans="1:15" x14ac:dyDescent="0.3">
      <c r="A3" s="271"/>
      <c r="B3" s="271"/>
      <c r="C3" s="271"/>
      <c r="D3" s="270" t="s">
        <v>32</v>
      </c>
      <c r="E3" s="270"/>
      <c r="F3" s="270"/>
      <c r="G3" s="270"/>
      <c r="H3" s="270"/>
      <c r="I3" s="270"/>
      <c r="J3" s="3"/>
      <c r="K3" s="3"/>
      <c r="L3" s="3"/>
      <c r="M3" s="3"/>
      <c r="N3" s="3"/>
      <c r="O3" s="274"/>
    </row>
    <row r="4" spans="1:15" x14ac:dyDescent="0.3">
      <c r="A4" s="271"/>
      <c r="B4" s="271"/>
      <c r="C4" s="271"/>
      <c r="D4" s="270" t="s">
        <v>33</v>
      </c>
      <c r="E4" s="270"/>
      <c r="F4" s="270"/>
      <c r="G4" s="270"/>
      <c r="H4" s="270"/>
      <c r="I4" s="270"/>
      <c r="J4" s="3"/>
      <c r="K4" s="3"/>
      <c r="L4" s="3"/>
      <c r="M4" s="3"/>
      <c r="N4" s="3"/>
      <c r="O4" s="274"/>
    </row>
    <row r="5" spans="1:15" x14ac:dyDescent="0.3">
      <c r="A5" s="271"/>
      <c r="B5" s="271"/>
      <c r="C5" s="271"/>
      <c r="D5" s="270" t="s">
        <v>34</v>
      </c>
      <c r="E5" s="270"/>
      <c r="F5" s="270"/>
      <c r="G5" s="270"/>
      <c r="H5" s="270"/>
      <c r="I5" s="270"/>
      <c r="J5" s="3"/>
      <c r="K5" s="3"/>
      <c r="L5" s="3"/>
      <c r="M5" s="3"/>
      <c r="N5" s="3"/>
      <c r="O5" s="274"/>
    </row>
    <row r="6" spans="1:15" x14ac:dyDescent="0.3">
      <c r="A6" s="271"/>
      <c r="B6" s="271"/>
      <c r="C6" s="271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274"/>
    </row>
    <row r="7" spans="1:15" x14ac:dyDescent="0.3">
      <c r="A7" s="271"/>
      <c r="B7" s="271"/>
      <c r="C7" s="271"/>
      <c r="D7" s="270" t="s">
        <v>35</v>
      </c>
      <c r="E7" s="270"/>
      <c r="F7" s="270"/>
      <c r="G7" s="270"/>
      <c r="H7" s="270"/>
      <c r="I7" s="270"/>
      <c r="J7" s="3"/>
      <c r="K7" s="3"/>
      <c r="L7" s="3"/>
      <c r="M7" s="3"/>
      <c r="N7" s="3"/>
      <c r="O7" s="5">
        <v>45264.482613275461</v>
      </c>
    </row>
    <row r="8" spans="1:15" x14ac:dyDescent="0.3">
      <c r="A8" s="269" t="s">
        <v>36</v>
      </c>
      <c r="B8" s="269"/>
      <c r="C8" s="269"/>
      <c r="D8" s="269"/>
      <c r="E8" s="269"/>
      <c r="F8" s="269"/>
      <c r="G8" s="269"/>
      <c r="H8" s="269"/>
      <c r="I8" s="269"/>
      <c r="J8" s="269"/>
      <c r="K8" s="269"/>
      <c r="L8" s="269"/>
      <c r="M8" s="269"/>
      <c r="N8" s="269"/>
      <c r="O8" s="269"/>
    </row>
    <row r="9" spans="1:15" ht="27.6" x14ac:dyDescent="0.3">
      <c r="A9" s="6" t="s">
        <v>37</v>
      </c>
      <c r="B9" s="6" t="s">
        <v>38</v>
      </c>
      <c r="C9" s="6" t="s">
        <v>39</v>
      </c>
      <c r="D9" s="6" t="s">
        <v>21</v>
      </c>
      <c r="E9" s="6" t="s">
        <v>40</v>
      </c>
      <c r="F9" s="6" t="s">
        <v>41</v>
      </c>
      <c r="G9" s="6" t="s">
        <v>13</v>
      </c>
      <c r="H9" s="6" t="s">
        <v>42</v>
      </c>
      <c r="I9" s="6" t="s">
        <v>43</v>
      </c>
      <c r="J9" s="6" t="s">
        <v>41</v>
      </c>
      <c r="K9" s="6" t="s">
        <v>44</v>
      </c>
      <c r="L9" s="6" t="s">
        <v>45</v>
      </c>
      <c r="M9" s="6" t="s">
        <v>46</v>
      </c>
      <c r="N9" s="6" t="s">
        <v>47</v>
      </c>
      <c r="O9" s="7" t="s">
        <v>48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a991dad-45c2-4a9e-9fda-9c556ad46bbb">
      <Terms xmlns="http://schemas.microsoft.com/office/infopath/2007/PartnerControls"/>
    </lcf76f155ced4ddcb4097134ff3c332f>
    <TaxCatchAll xmlns="e3d5a89f-10c1-48c7-b69d-72d2ad4a8504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36B072B9476384EAB3ACCDDD2384384" ma:contentTypeVersion="11" ma:contentTypeDescription="Crie um novo documento." ma:contentTypeScope="" ma:versionID="2e475a413b49cb2f69fbb2b54ddaffb6">
  <xsd:schema xmlns:xsd="http://www.w3.org/2001/XMLSchema" xmlns:xs="http://www.w3.org/2001/XMLSchema" xmlns:p="http://schemas.microsoft.com/office/2006/metadata/properties" xmlns:ns2="7a991dad-45c2-4a9e-9fda-9c556ad46bbb" xmlns:ns3="e3d5a89f-10c1-48c7-b69d-72d2ad4a8504" targetNamespace="http://schemas.microsoft.com/office/2006/metadata/properties" ma:root="true" ma:fieldsID="b521abe988fe8c1e7fba3692a0031152" ns2:_="" ns3:_="">
    <xsd:import namespace="7a991dad-45c2-4a9e-9fda-9c556ad46bbb"/>
    <xsd:import namespace="e3d5a89f-10c1-48c7-b69d-72d2ad4a850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991dad-45c2-4a9e-9fda-9c556ad46b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b0438eb4-5b5a-4ed9-a302-1fe602507e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d5a89f-10c1-48c7-b69d-72d2ad4a8504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2b14d52-2751-4760-8594-93415ecef864}" ma:internalName="TaxCatchAll" ma:showField="CatchAllData" ma:web="e3d5a89f-10c1-48c7-b69d-72d2ad4a850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</ds:schemaRefs>
</ds:datastoreItem>
</file>

<file path=customXml/itemProps3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A0FFBA7F-FCD2-4CF5-81BF-6989810AE0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991dad-45c2-4a9e-9fda-9c556ad46bbb"/>
    <ds:schemaRef ds:uri="e3d5a89f-10c1-48c7-b69d-72d2ad4a850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15</vt:i4>
      </vt:variant>
    </vt:vector>
  </HeadingPairs>
  <TitlesOfParts>
    <vt:vector size="19" baseType="lpstr">
      <vt:lpstr>RESUMO</vt:lpstr>
      <vt:lpstr>Principal</vt:lpstr>
      <vt:lpstr>Solicitações de Pagamento</vt:lpstr>
      <vt:lpstr>ItensOrc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2026-01-13T19:08:12Z</cp:lastPrinted>
  <dcterms:created xsi:type="dcterms:W3CDTF">2023-09-21T21:02:20Z</dcterms:created>
  <dcterms:modified xsi:type="dcterms:W3CDTF">2026-03-24T23:11:25Z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0x010100B36B072B9476384EAB3ACCDDD2384384</vt:lpwstr>
  </property>
</Properties>
</file>