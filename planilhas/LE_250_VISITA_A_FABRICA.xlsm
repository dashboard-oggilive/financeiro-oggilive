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977C328B-F8C4-46E0-BE76-DC18235B6935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6" r:id="rId1"/>
    <sheet name="PRINCIPAL" sheetId="95" r:id="rId2"/>
    <sheet name="ItensOrc" sheetId="76" state="hidden" r:id="rId3"/>
    <sheet name="Template SP" sheetId="3" state="hidden" r:id="rId4"/>
  </sheets>
  <definedNames>
    <definedName name="_xlnm._FilterDatabase" localSheetId="1" hidden="1">PRINCIPAL!$A$1:$AD$14</definedName>
    <definedName name="_xleta.N" hidden="1" xlm="1">#NAME?</definedName>
    <definedName name="_xleta.SUM" hidden="1" xlm="1">#NAME?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96" l="1"/>
  <c r="D28" i="96"/>
  <c r="E29" i="96"/>
  <c r="E27" i="96"/>
  <c r="C29" i="96"/>
  <c r="D29" i="96"/>
  <c r="E28" i="96"/>
  <c r="D22" i="96"/>
  <c r="C22" i="96"/>
  <c r="C23" i="96" s="1"/>
  <c r="AB45" i="95"/>
  <c r="AB46" i="95" s="1"/>
  <c r="AB44" i="95"/>
  <c r="F28" i="96"/>
  <c r="D23" i="96"/>
  <c r="E3" i="96"/>
  <c r="F29" i="96" l="1"/>
  <c r="E23" i="96"/>
  <c r="F23" i="96" s="1"/>
  <c r="F27" i="96"/>
  <c r="E22" i="96"/>
  <c r="F22" i="96" s="1"/>
  <c r="AC38" i="95" l="1"/>
  <c r="AC40" i="95"/>
  <c r="R29" i="95"/>
  <c r="Q29" i="95"/>
  <c r="K29" i="95"/>
  <c r="R38" i="95"/>
  <c r="Q38" i="95"/>
  <c r="K38" i="95"/>
  <c r="R37" i="95"/>
  <c r="Q37" i="95"/>
  <c r="K37" i="95"/>
  <c r="Q36" i="95"/>
  <c r="Q35" i="95"/>
  <c r="R33" i="95"/>
  <c r="Q33" i="95"/>
  <c r="K33" i="95"/>
  <c r="K34" i="95" s="1"/>
  <c r="Q32" i="95"/>
  <c r="Q31" i="95"/>
  <c r="R28" i="95"/>
  <c r="Q28" i="95"/>
  <c r="K28" i="95"/>
  <c r="Q27" i="95"/>
  <c r="Q26" i="95"/>
  <c r="R24" i="95"/>
  <c r="Q24" i="95"/>
  <c r="K24" i="95"/>
  <c r="R23" i="95"/>
  <c r="Q23" i="95"/>
  <c r="K23" i="95"/>
  <c r="Q22" i="95"/>
  <c r="Q21" i="95"/>
  <c r="R19" i="95"/>
  <c r="Q19" i="95"/>
  <c r="K19" i="95"/>
  <c r="R18" i="95"/>
  <c r="Q18" i="95"/>
  <c r="K18" i="95"/>
  <c r="R17" i="95"/>
  <c r="Q17" i="95"/>
  <c r="K17" i="95"/>
  <c r="K20" i="95" s="1"/>
  <c r="Q16" i="95"/>
  <c r="Q15" i="95"/>
  <c r="Z12" i="95"/>
  <c r="K25" i="95" l="1"/>
  <c r="K30" i="95"/>
  <c r="K39" i="95"/>
  <c r="K40" i="95"/>
  <c r="T29" i="95"/>
  <c r="U29" i="95" s="1"/>
  <c r="Z29" i="95" s="1"/>
  <c r="V29" i="95"/>
  <c r="L29" i="95"/>
  <c r="V37" i="95"/>
  <c r="V38" i="95"/>
  <c r="U38" i="95"/>
  <c r="V33" i="95"/>
  <c r="T33" i="95"/>
  <c r="T34" i="95" s="1"/>
  <c r="V28" i="95"/>
  <c r="L28" i="95"/>
  <c r="L30" i="95" s="1"/>
  <c r="L24" i="95"/>
  <c r="L23" i="95"/>
  <c r="L25" i="95" s="1"/>
  <c r="T19" i="95"/>
  <c r="L18" i="95"/>
  <c r="M18" i="95" s="1"/>
  <c r="V17" i="95"/>
  <c r="T17" i="95"/>
  <c r="V23" i="95"/>
  <c r="T23" i="95"/>
  <c r="V18" i="95"/>
  <c r="T18" i="95"/>
  <c r="L17" i="95"/>
  <c r="L38" i="95"/>
  <c r="T37" i="95"/>
  <c r="T39" i="95" s="1"/>
  <c r="L37" i="95"/>
  <c r="L33" i="95"/>
  <c r="L34" i="95" s="1"/>
  <c r="V24" i="95"/>
  <c r="T24" i="95"/>
  <c r="M24" i="95"/>
  <c r="V19" i="95"/>
  <c r="L19" i="95"/>
  <c r="T30" i="95" l="1"/>
  <c r="M23" i="95"/>
  <c r="M25" i="95" s="1"/>
  <c r="T25" i="95"/>
  <c r="L20" i="95"/>
  <c r="L40" i="95"/>
  <c r="L39" i="95"/>
  <c r="T40" i="95"/>
  <c r="T20" i="95"/>
  <c r="W29" i="95"/>
  <c r="X29" i="95" s="1"/>
  <c r="AB29" i="95" s="1"/>
  <c r="M29" i="95"/>
  <c r="N29" i="95" s="1"/>
  <c r="N23" i="95"/>
  <c r="AA38" i="95"/>
  <c r="AA24" i="95"/>
  <c r="M19" i="95"/>
  <c r="N19" i="95" s="1"/>
  <c r="N18" i="95"/>
  <c r="U17" i="95"/>
  <c r="U18" i="95"/>
  <c r="Z18" i="95" s="1"/>
  <c r="M17" i="95"/>
  <c r="M38" i="95"/>
  <c r="N38" i="95" s="1"/>
  <c r="M37" i="95"/>
  <c r="M39" i="95" s="1"/>
  <c r="N24" i="95"/>
  <c r="U23" i="95"/>
  <c r="U37" i="95"/>
  <c r="U39" i="95" s="1"/>
  <c r="M33" i="95"/>
  <c r="M34" i="95" s="1"/>
  <c r="Z38" i="95"/>
  <c r="W38" i="95"/>
  <c r="X38" i="95" s="1"/>
  <c r="AB38" i="95" s="1"/>
  <c r="U33" i="95"/>
  <c r="U34" i="95" s="1"/>
  <c r="U28" i="95"/>
  <c r="U30" i="95" s="1"/>
  <c r="M28" i="95"/>
  <c r="U24" i="95"/>
  <c r="Z24" i="95" s="1"/>
  <c r="U19" i="95"/>
  <c r="Z19" i="95" s="1"/>
  <c r="Y38" i="95" l="1"/>
  <c r="U25" i="95"/>
  <c r="W19" i="95"/>
  <c r="X19" i="95" s="1"/>
  <c r="M20" i="95"/>
  <c r="M40" i="95"/>
  <c r="N25" i="95"/>
  <c r="U40" i="95"/>
  <c r="U20" i="95"/>
  <c r="M30" i="95"/>
  <c r="W18" i="95"/>
  <c r="X18" i="95" s="1"/>
  <c r="Y29" i="95"/>
  <c r="W24" i="95"/>
  <c r="X24" i="95" s="1"/>
  <c r="N28" i="95"/>
  <c r="N30" i="95" s="1"/>
  <c r="W23" i="95"/>
  <c r="X23" i="95" s="1"/>
  <c r="AA19" i="95"/>
  <c r="AA18" i="95"/>
  <c r="Z17" i="95"/>
  <c r="W17" i="95"/>
  <c r="X17" i="95" s="1"/>
  <c r="AB17" i="95" s="1"/>
  <c r="Z23" i="95"/>
  <c r="W37" i="95"/>
  <c r="X37" i="95" s="1"/>
  <c r="Z37" i="95"/>
  <c r="Z33" i="95"/>
  <c r="Z28" i="95"/>
  <c r="N33" i="95"/>
  <c r="N34" i="95" s="1"/>
  <c r="AA33" i="95"/>
  <c r="AA28" i="95"/>
  <c r="AA17" i="95"/>
  <c r="AA23" i="95"/>
  <c r="AA37" i="95"/>
  <c r="N37" i="95"/>
  <c r="N39" i="95" s="1"/>
  <c r="N17" i="95"/>
  <c r="W33" i="95"/>
  <c r="X33" i="95" s="1"/>
  <c r="W28" i="95"/>
  <c r="X28" i="95" s="1"/>
  <c r="X34" i="95" l="1"/>
  <c r="AB33" i="95"/>
  <c r="X25" i="95"/>
  <c r="AB23" i="95"/>
  <c r="X39" i="95"/>
  <c r="AB37" i="95"/>
  <c r="Y24" i="95"/>
  <c r="AB24" i="95"/>
  <c r="Y19" i="95"/>
  <c r="AB19" i="95"/>
  <c r="Y18" i="95"/>
  <c r="AB18" i="95"/>
  <c r="X30" i="95"/>
  <c r="Y30" i="95" s="1"/>
  <c r="AB28" i="95"/>
  <c r="X40" i="95"/>
  <c r="X20" i="95"/>
  <c r="Y20" i="95" s="1"/>
  <c r="N40" i="95"/>
  <c r="N20" i="95"/>
  <c r="Y23" i="95"/>
  <c r="Y25" i="95"/>
  <c r="Y17" i="95"/>
  <c r="Y39" i="95"/>
  <c r="Y37" i="95"/>
  <c r="Y34" i="95"/>
  <c r="Y33" i="95"/>
  <c r="Y28" i="95"/>
  <c r="AB40" i="95" l="1"/>
  <c r="Y40" i="95"/>
  <c r="Z40" i="95" s="1"/>
  <c r="AA40" i="95" s="1"/>
</calcChain>
</file>

<file path=xl/sharedStrings.xml><?xml version="1.0" encoding="utf-8"?>
<sst xmlns="http://schemas.openxmlformats.org/spreadsheetml/2006/main" count="315" uniqueCount="193">
  <si>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</si>
  <si>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</si>
  <si>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</si>
  <si>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</si>
  <si>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</si>
  <si>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</si>
  <si>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</si>
  <si>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</si>
  <si>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</si>
  <si>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</si>
  <si>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</si>
  <si>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</si>
  <si>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</si>
  <si>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</si>
  <si>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</si>
  <si>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</si>
  <si>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</si>
  <si>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</si>
  <si>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</si>
  <si>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</si>
  <si>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</si>
  <si>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</si>
  <si>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</si>
  <si>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</si>
  <si>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</si>
  <si>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</si>
  <si>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</si>
  <si>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</si>
  <si>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</si>
  <si>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</si>
  <si>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</si>
  <si>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</si>
  <si>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</si>
  <si>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</si>
  <si>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</si>
  <si>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</si>
  <si>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</si>
  <si>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</si>
  <si>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</si>
  <si>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</si>
  <si>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</si>
  <si>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</si>
  <si>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</si>
  <si>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</si>
  <si>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</si>
  <si>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</si>
  <si>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</si>
  <si>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</si>
  <si>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</si>
  <si>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</si>
  <si>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</si>
  <si>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</si>
  <si>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</si>
  <si>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</si>
  <si>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</si>
  <si>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</si>
  <si>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</si>
  <si>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</si>
  <si>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</si>
  <si>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</si>
  <si>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</si>
  <si>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</si>
  <si>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</si>
  <si>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</si>
  <si>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</si>
  <si>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</si>
  <si>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</si>
  <si>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</si>
  <si>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</si>
  <si>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</si>
  <si>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</si>
  <si>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</si>
  <si>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</si>
  <si>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</si>
  <si>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</si>
  <si>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</si>
  <si>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</si>
  <si>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</si>
  <si>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</si>
  <si>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</si>
  <si>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</si>
  <si>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</si>
  <si>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</si>
  <si>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</si>
  <si>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</si>
  <si>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</si>
  <si>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</si>
  <si>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</si>
  <si>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</si>
  <si>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</si>
  <si>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</si>
  <si>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</si>
  <si>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</si>
  <si>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</si>
  <si>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</si>
  <si>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</si>
  <si>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</si>
  <si>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</si>
  <si>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</si>
  <si>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</si>
  <si>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SUBTOTAL SUBGRUPO</t>
  </si>
  <si>
    <t>OPERACIONAL</t>
  </si>
  <si>
    <t>FAT.CLIENTE</t>
  </si>
  <si>
    <t>SUBTOTAL PLANILHA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</si>
  <si>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</si>
  <si>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</si>
  <si>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</si>
  <si>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</si>
  <si>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</si>
  <si>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</si>
  <si>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</si>
  <si>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</si>
  <si>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</si>
  <si>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>1.1.1</t>
  </si>
  <si>
    <t>2.1.2</t>
  </si>
  <si>
    <t>1.1.3</t>
  </si>
  <si>
    <t xml:space="preserve">INTERNOS </t>
  </si>
  <si>
    <t>FAT.OGGI</t>
  </si>
  <si>
    <t>INTERNO</t>
  </si>
  <si>
    <t>Planejamento</t>
  </si>
  <si>
    <t>Planejamento operacional;</t>
  </si>
  <si>
    <t>Gerenciamento da visita</t>
  </si>
  <si>
    <t>Atendimento e produção;</t>
  </si>
  <si>
    <t>Criação</t>
  </si>
  <si>
    <t>Adaptação arte convite;</t>
  </si>
  <si>
    <t xml:space="preserve">Subtotal INTERNOS </t>
  </si>
  <si>
    <t>2.1</t>
  </si>
  <si>
    <t>STAFF</t>
  </si>
  <si>
    <t>2.1.1</t>
  </si>
  <si>
    <t>Coordenação Presencial</t>
  </si>
  <si>
    <t>Coordenação presencial na fábrica;</t>
  </si>
  <si>
    <t>Recepcionista</t>
  </si>
  <si>
    <t>Recepcionista acompanhando o grupo SP &gt; Indu;</t>
  </si>
  <si>
    <t>Subtotal STAFF</t>
  </si>
  <si>
    <t>3.1</t>
  </si>
  <si>
    <t>A&amp;B</t>
  </si>
  <si>
    <t>3.1.1</t>
  </si>
  <si>
    <t>Welcome Coffee</t>
  </si>
  <si>
    <t>Café da manhã de boas vindas aos visitantes na Fabrica da Lenovo;</t>
  </si>
  <si>
    <t>Subtotal A&amp;B</t>
  </si>
  <si>
    <t>4.1</t>
  </si>
  <si>
    <t>LOGÍSTICA</t>
  </si>
  <si>
    <t>4.1.1</t>
  </si>
  <si>
    <t>Transfer</t>
  </si>
  <si>
    <t>Van executiva para até 15 pessoas (SP &gt; Indu);</t>
  </si>
  <si>
    <t>Subtotal LOGÍSTICA</t>
  </si>
  <si>
    <t>5.1</t>
  </si>
  <si>
    <t>CUSTOS COMPLEMENTARES</t>
  </si>
  <si>
    <t>5.1.1</t>
  </si>
  <si>
    <t>5.1.2</t>
  </si>
  <si>
    <t>Alimentação Equipe</t>
  </si>
  <si>
    <t>Restaurante Caipirão (Coordenador, recepcionista e motorista);</t>
  </si>
  <si>
    <t>Custos operacionais</t>
  </si>
  <si>
    <t>Deslocamento da equipe até o ponto de partida, despesas da viagem, lavagens dos jalecos e de mais necessidades;</t>
  </si>
  <si>
    <t>Subtotal CUSTOS COMPLEMENTARES</t>
  </si>
  <si>
    <t>Marg. Lucro</t>
  </si>
  <si>
    <t>Lucro</t>
  </si>
  <si>
    <t xml:space="preserve">VISITA A FÁBRICA </t>
  </si>
  <si>
    <t xml:space="preserve">FÁBRICA LENOVO - INDAIATUBA </t>
  </si>
  <si>
    <t>GIOVANNI FERREIRA</t>
  </si>
  <si>
    <t>LE_ 250_Visita a fábrica</t>
  </si>
  <si>
    <t>LE_250_Visita a fábrica</t>
  </si>
  <si>
    <t xml:space="preserve">LE_ 250_Visita a fábrica VISITA A FÁBRICA </t>
  </si>
  <si>
    <t>LE_250_VISITA A FÁBRICA_20.05.xlsm</t>
  </si>
  <si>
    <t>08.750.285/0001-90</t>
  </si>
  <si>
    <t>SK COPIADORA E IMPRESSAO DIGITAL LTDA</t>
  </si>
  <si>
    <t>(11) 2905-7107</t>
  </si>
  <si>
    <t>( X ) Depósito</t>
  </si>
  <si>
    <t>27/05/2026</t>
  </si>
  <si>
    <t>( X ) Pessoa Jurídica</t>
  </si>
  <si>
    <t>17/06/26</t>
  </si>
  <si>
    <t>R$ 100,00</t>
  </si>
  <si>
    <t xml:space="preserve">VALOR REFERENTE A IMPRESSÇÃO DE CRDÁPIOS </t>
  </si>
  <si>
    <t>3.1.2</t>
  </si>
  <si>
    <t xml:space="preserve">Almoço restaurante Green House </t>
  </si>
  <si>
    <t>AlmoçoGreen House</t>
  </si>
  <si>
    <t>TOTAL LE_250_Visita a fábrica</t>
  </si>
  <si>
    <t>GIOVANNI</t>
  </si>
  <si>
    <t>KAMYLLE</t>
  </si>
  <si>
    <t>ALERE</t>
  </si>
  <si>
    <t>MOLINA</t>
  </si>
  <si>
    <t>SK - CLAUDIA - GIOVANNI - GREEN HOUSE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</si>
  <si>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</si>
  <si>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</si>
  <si>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</si>
  <si>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</si>
  <si>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</si>
  <si>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</si>
  <si>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</si>
  <si>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</si>
  <si>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</si>
  <si>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t>NOTA DE DÉBITO 264</t>
  </si>
  <si>
    <t>NOTA FISCAL 3002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</si>
</sst>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b/>
      <sz val="12"/>
      <color theme="0"/>
      <name val="Trebuchet MS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0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0" fillId="7" borderId="37" xfId="0" applyFont="1" applyFill="1" applyBorder="1" applyAlignment="1">
      <alignment vertical="center"/>
    </xf>
    <xf numFmtId="0" fontId="12" fillId="7" borderId="37" xfId="0" applyFont="1" applyFill="1" applyBorder="1" applyAlignment="1">
      <alignment horizontal="center" vertical="center"/>
    </xf>
    <xf numFmtId="22" fontId="10" fillId="7" borderId="37" xfId="0" applyNumberFormat="1" applyFont="1" applyFill="1" applyBorder="1" applyAlignment="1">
      <alignment horizontal="center" vertical="center"/>
    </xf>
    <xf numFmtId="0" fontId="14" fillId="7" borderId="38" xfId="0" applyFont="1" applyFill="1" applyBorder="1" applyAlignment="1">
      <alignment horizontal="center" vertical="center" wrapText="1"/>
    </xf>
    <xf numFmtId="0" fontId="14" fillId="7" borderId="39" xfId="0" applyFont="1" applyFill="1" applyBorder="1" applyAlignment="1">
      <alignment horizontal="center" vertical="center" wrapText="1"/>
    </xf>
    <xf numFmtId="0" fontId="18" fillId="0" borderId="0" xfId="0" applyFont="1"/>
    <xf numFmtId="49" fontId="19" fillId="0" borderId="0" xfId="2" applyNumberFormat="1" applyFont="1" applyAlignment="1">
      <alignment horizontal="left" vertical="center" wrapText="1"/>
    </xf>
    <xf numFmtId="0" fontId="19" fillId="0" borderId="0" xfId="2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64" fontId="19" fillId="0" borderId="0" xfId="2" applyNumberFormat="1" applyFont="1" applyAlignment="1">
      <alignment horizontal="left" vertical="center"/>
    </xf>
    <xf numFmtId="164" fontId="19" fillId="0" borderId="57" xfId="2" applyNumberFormat="1" applyFont="1" applyBorder="1" applyAlignment="1" applyProtection="1">
      <alignment horizontal="left" vertical="center"/>
      <protection locked="0"/>
    </xf>
    <xf numFmtId="164" fontId="19" fillId="0" borderId="58" xfId="2" applyNumberFormat="1" applyFont="1" applyBorder="1" applyAlignment="1" applyProtection="1">
      <alignment horizontal="left" vertical="center"/>
      <protection locked="0"/>
    </xf>
    <xf numFmtId="164" fontId="19" fillId="0" borderId="59" xfId="2" applyNumberFormat="1" applyFont="1" applyBorder="1" applyAlignment="1" applyProtection="1">
      <alignment horizontal="left" vertical="center"/>
      <protection locked="0"/>
    </xf>
    <xf numFmtId="164" fontId="19" fillId="0" borderId="60" xfId="2" applyNumberFormat="1" applyFont="1" applyBorder="1" applyAlignment="1" applyProtection="1">
      <alignment horizontal="left" vertical="center"/>
      <protection locked="0"/>
    </xf>
    <xf numFmtId="164" fontId="19" fillId="0" borderId="14" xfId="2" applyNumberFormat="1" applyFont="1" applyBorder="1" applyAlignment="1" applyProtection="1">
      <alignment horizontal="left" vertical="center"/>
      <protection locked="0"/>
    </xf>
    <xf numFmtId="164" fontId="19" fillId="0" borderId="56" xfId="2" applyNumberFormat="1" applyFont="1" applyBorder="1" applyAlignment="1" applyProtection="1">
      <alignment horizontal="left" vertical="center"/>
      <protection locked="0"/>
    </xf>
    <xf numFmtId="49" fontId="18" fillId="0" borderId="0" xfId="0" applyNumberFormat="1" applyFont="1"/>
    <xf numFmtId="0" fontId="18" fillId="0" borderId="0" xfId="1" applyNumberFormat="1" applyFont="1"/>
    <xf numFmtId="165" fontId="21" fillId="5" borderId="36" xfId="4" applyFont="1" applyFill="1" applyBorder="1" applyAlignment="1">
      <alignment horizontal="center" vertical="center" wrapText="1"/>
    </xf>
    <xf numFmtId="168" fontId="22" fillId="0" borderId="5" xfId="1" applyNumberFormat="1" applyFont="1" applyBorder="1"/>
    <xf numFmtId="0" fontId="23" fillId="4" borderId="0" xfId="0" applyFont="1" applyFill="1"/>
    <xf numFmtId="49" fontId="23" fillId="4" borderId="0" xfId="0" applyNumberFormat="1" applyFont="1" applyFill="1"/>
    <xf numFmtId="0" fontId="24" fillId="0" borderId="0" xfId="0" applyFont="1"/>
    <xf numFmtId="0" fontId="25" fillId="0" borderId="40" xfId="0" applyFont="1" applyBorder="1" applyAlignment="1">
      <alignment horizontal="left" vertical="center"/>
    </xf>
    <xf numFmtId="49" fontId="25" fillId="0" borderId="41" xfId="0" applyNumberFormat="1" applyFont="1" applyBorder="1" applyAlignment="1">
      <alignment horizontal="left" vertical="center"/>
    </xf>
    <xf numFmtId="0" fontId="25" fillId="0" borderId="42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 wrapText="1"/>
    </xf>
    <xf numFmtId="0" fontId="19" fillId="5" borderId="48" xfId="3" applyFont="1" applyFill="1" applyBorder="1" applyAlignment="1">
      <alignment horizontal="left" vertical="center"/>
    </xf>
    <xf numFmtId="0" fontId="19" fillId="5" borderId="49" xfId="3" applyFont="1" applyFill="1" applyBorder="1" applyAlignment="1">
      <alignment horizontal="center" vertical="center"/>
    </xf>
    <xf numFmtId="0" fontId="23" fillId="5" borderId="49" xfId="3" applyFont="1" applyFill="1" applyBorder="1" applyAlignment="1">
      <alignment horizontal="center" vertical="center"/>
    </xf>
    <xf numFmtId="169" fontId="23" fillId="5" borderId="49" xfId="3" applyNumberFormat="1" applyFont="1" applyFill="1" applyBorder="1" applyAlignment="1">
      <alignment horizontal="center" vertical="center" wrapText="1"/>
    </xf>
    <xf numFmtId="0" fontId="23" fillId="5" borderId="49" xfId="3" applyFont="1" applyFill="1" applyBorder="1" applyAlignment="1">
      <alignment horizontal="center" vertical="center" wrapText="1"/>
    </xf>
    <xf numFmtId="9" fontId="23" fillId="5" borderId="49" xfId="1" applyFont="1" applyFill="1" applyBorder="1" applyAlignment="1">
      <alignment horizontal="center" vertical="center" wrapText="1"/>
    </xf>
    <xf numFmtId="10" fontId="23" fillId="5" borderId="49" xfId="1" applyNumberFormat="1" applyFont="1" applyFill="1" applyBorder="1" applyAlignment="1">
      <alignment horizontal="center" vertical="center" wrapText="1"/>
    </xf>
    <xf numFmtId="0" fontId="23" fillId="5" borderId="50" xfId="3" applyFont="1" applyFill="1" applyBorder="1" applyAlignment="1">
      <alignment horizontal="center" vertical="center" wrapText="1"/>
    </xf>
    <xf numFmtId="37" fontId="21" fillId="5" borderId="48" xfId="3" applyNumberFormat="1" applyFont="1" applyFill="1" applyBorder="1" applyAlignment="1">
      <alignment horizontal="center" vertical="center"/>
    </xf>
    <xf numFmtId="37" fontId="21" fillId="5" borderId="49" xfId="3" applyNumberFormat="1" applyFont="1" applyFill="1" applyBorder="1" applyAlignment="1">
      <alignment horizontal="center" vertical="center"/>
    </xf>
    <xf numFmtId="40" fontId="21" fillId="5" borderId="49" xfId="4" applyNumberFormat="1" applyFont="1" applyFill="1" applyBorder="1" applyAlignment="1">
      <alignment horizontal="center" vertical="center"/>
    </xf>
    <xf numFmtId="165" fontId="21" fillId="5" borderId="49" xfId="4" applyFont="1" applyFill="1" applyBorder="1" applyAlignment="1">
      <alignment horizontal="right" vertical="center"/>
    </xf>
    <xf numFmtId="40" fontId="21" fillId="5" borderId="49" xfId="4" applyNumberFormat="1" applyFont="1" applyFill="1" applyBorder="1" applyAlignment="1">
      <alignment horizontal="center" vertical="center" wrapText="1"/>
    </xf>
    <xf numFmtId="10" fontId="21" fillId="5" borderId="49" xfId="5" applyNumberFormat="1" applyFont="1" applyFill="1" applyBorder="1" applyAlignment="1">
      <alignment horizontal="center" vertical="center" wrapText="1"/>
    </xf>
    <xf numFmtId="165" fontId="21" fillId="5" borderId="49" xfId="4" applyFont="1" applyFill="1" applyBorder="1" applyAlignment="1">
      <alignment horizontal="center" vertical="center" wrapText="1"/>
    </xf>
    <xf numFmtId="165" fontId="21" fillId="5" borderId="50" xfId="4" applyFont="1" applyFill="1" applyBorder="1" applyAlignment="1">
      <alignment horizontal="center" vertical="center" wrapText="1"/>
    </xf>
    <xf numFmtId="10" fontId="21" fillId="5" borderId="43" xfId="5" applyNumberFormat="1" applyFont="1" applyFill="1" applyBorder="1" applyAlignment="1">
      <alignment horizontal="center" vertical="center" wrapText="1"/>
    </xf>
    <xf numFmtId="10" fontId="21" fillId="5" borderId="44" xfId="5" applyNumberFormat="1" applyFont="1" applyFill="1" applyBorder="1" applyAlignment="1">
      <alignment horizontal="center" vertical="center" wrapText="1"/>
    </xf>
    <xf numFmtId="166" fontId="27" fillId="0" borderId="0" xfId="4" applyNumberFormat="1" applyFont="1" applyFill="1" applyBorder="1" applyAlignment="1">
      <alignment horizontal="center" vertical="center" wrapText="1"/>
    </xf>
    <xf numFmtId="49" fontId="25" fillId="0" borderId="41" xfId="0" applyNumberFormat="1" applyFont="1" applyBorder="1" applyAlignment="1">
      <alignment horizontal="left" vertical="center" wrapText="1"/>
    </xf>
    <xf numFmtId="0" fontId="25" fillId="0" borderId="42" xfId="0" applyFont="1" applyBorder="1" applyAlignment="1">
      <alignment horizontal="left" vertical="center" wrapText="1"/>
    </xf>
    <xf numFmtId="0" fontId="25" fillId="0" borderId="41" xfId="0" applyFont="1" applyBorder="1" applyAlignment="1">
      <alignment horizontal="left" vertical="center" wrapText="1"/>
    </xf>
    <xf numFmtId="0" fontId="28" fillId="0" borderId="0" xfId="0" applyFont="1" applyAlignment="1">
      <alignment horizontal="center"/>
    </xf>
    <xf numFmtId="0" fontId="23" fillId="10" borderId="69" xfId="0" applyFont="1" applyFill="1" applyBorder="1" applyAlignment="1">
      <alignment horizontal="center" vertical="center"/>
    </xf>
    <xf numFmtId="0" fontId="23" fillId="10" borderId="49" xfId="0" applyFont="1" applyFill="1" applyBorder="1" applyAlignment="1">
      <alignment horizontal="center" vertical="center"/>
    </xf>
    <xf numFmtId="0" fontId="23" fillId="10" borderId="64" xfId="0" applyFont="1" applyFill="1" applyBorder="1" applyAlignment="1">
      <alignment horizontal="center" vertical="center"/>
    </xf>
    <xf numFmtId="0" fontId="22" fillId="10" borderId="10" xfId="0" applyFont="1" applyFill="1" applyBorder="1" applyAlignment="1">
      <alignment horizontal="center" vertical="center"/>
    </xf>
    <xf numFmtId="0" fontId="22" fillId="10" borderId="54" xfId="0" applyFont="1" applyFill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25" fillId="0" borderId="46" xfId="0" applyFont="1" applyBorder="1" applyAlignment="1">
      <alignment horizontal="left" vertical="center" wrapText="1"/>
    </xf>
    <xf numFmtId="0" fontId="25" fillId="0" borderId="55" xfId="0" applyFont="1" applyBorder="1" applyAlignment="1">
      <alignment horizontal="left" vertical="center" wrapText="1"/>
    </xf>
    <xf numFmtId="0" fontId="25" fillId="0" borderId="55" xfId="0" applyFont="1" applyBorder="1" applyAlignment="1">
      <alignment horizontal="center" vertical="center"/>
    </xf>
    <xf numFmtId="44" fontId="25" fillId="0" borderId="55" xfId="8" applyFont="1" applyBorder="1" applyAlignment="1">
      <alignment vertical="center"/>
    </xf>
    <xf numFmtId="44" fontId="25" fillId="0" borderId="47" xfId="8" applyFont="1" applyBorder="1" applyAlignment="1">
      <alignment vertical="center"/>
    </xf>
    <xf numFmtId="1" fontId="25" fillId="11" borderId="63" xfId="0" applyNumberFormat="1" applyFont="1" applyFill="1" applyBorder="1" applyAlignment="1">
      <alignment vertical="center"/>
    </xf>
    <xf numFmtId="1" fontId="25" fillId="11" borderId="62" xfId="0" applyNumberFormat="1" applyFont="1" applyFill="1" applyBorder="1" applyAlignment="1">
      <alignment vertical="center"/>
    </xf>
    <xf numFmtId="44" fontId="25" fillId="11" borderId="62" xfId="8" applyFont="1" applyFill="1" applyBorder="1" applyAlignment="1">
      <alignment vertical="center"/>
    </xf>
    <xf numFmtId="44" fontId="25" fillId="13" borderId="62" xfId="8" applyFont="1" applyFill="1" applyBorder="1" applyAlignment="1">
      <alignment vertical="center"/>
    </xf>
    <xf numFmtId="9" fontId="25" fillId="12" borderId="62" xfId="1" applyFont="1" applyFill="1" applyBorder="1" applyAlignment="1">
      <alignment vertical="center"/>
    </xf>
    <xf numFmtId="44" fontId="25" fillId="12" borderId="62" xfId="8" applyFont="1" applyFill="1" applyBorder="1" applyAlignment="1">
      <alignment vertical="center"/>
    </xf>
    <xf numFmtId="44" fontId="25" fillId="12" borderId="47" xfId="8" applyFont="1" applyFill="1" applyBorder="1" applyAlignment="1">
      <alignment vertical="center"/>
    </xf>
    <xf numFmtId="10" fontId="25" fillId="13" borderId="10" xfId="0" applyNumberFormat="1" applyFont="1" applyFill="1" applyBorder="1" applyAlignment="1">
      <alignment horizontal="center" vertical="center"/>
    </xf>
    <xf numFmtId="10" fontId="25" fillId="13" borderId="54" xfId="0" applyNumberFormat="1" applyFont="1" applyFill="1" applyBorder="1" applyAlignment="1">
      <alignment horizontal="center" vertical="center"/>
    </xf>
    <xf numFmtId="0" fontId="25" fillId="0" borderId="67" xfId="0" applyFont="1" applyBorder="1" applyAlignment="1">
      <alignment horizontal="left" vertical="center" wrapText="1"/>
    </xf>
    <xf numFmtId="0" fontId="25" fillId="0" borderId="54" xfId="0" applyFont="1" applyBorder="1" applyAlignment="1">
      <alignment horizontal="left" vertical="center" wrapText="1"/>
    </xf>
    <xf numFmtId="0" fontId="25" fillId="0" borderId="54" xfId="0" applyFont="1" applyBorder="1" applyAlignment="1">
      <alignment horizontal="center" vertical="center"/>
    </xf>
    <xf numFmtId="44" fontId="25" fillId="0" borderId="54" xfId="8" applyFont="1" applyBorder="1" applyAlignment="1">
      <alignment vertical="center"/>
    </xf>
    <xf numFmtId="44" fontId="25" fillId="0" borderId="73" xfId="8" applyFont="1" applyBorder="1" applyAlignment="1">
      <alignment vertical="center"/>
    </xf>
    <xf numFmtId="1" fontId="25" fillId="11" borderId="70" xfId="0" applyNumberFormat="1" applyFont="1" applyFill="1" applyBorder="1" applyAlignment="1">
      <alignment vertical="center"/>
    </xf>
    <xf numFmtId="1" fontId="25" fillId="11" borderId="7" xfId="0" applyNumberFormat="1" applyFont="1" applyFill="1" applyBorder="1" applyAlignment="1">
      <alignment vertical="center"/>
    </xf>
    <xf numFmtId="44" fontId="25" fillId="11" borderId="7" xfId="8" applyFont="1" applyFill="1" applyBorder="1" applyAlignment="1">
      <alignment vertical="center"/>
    </xf>
    <xf numFmtId="44" fontId="25" fillId="13" borderId="7" xfId="8" applyFont="1" applyFill="1" applyBorder="1" applyAlignment="1">
      <alignment vertical="center"/>
    </xf>
    <xf numFmtId="9" fontId="25" fillId="12" borderId="7" xfId="1" applyFont="1" applyFill="1" applyBorder="1" applyAlignment="1">
      <alignment vertical="center"/>
    </xf>
    <xf numFmtId="44" fontId="25" fillId="12" borderId="7" xfId="8" applyFont="1" applyFill="1" applyBorder="1" applyAlignment="1">
      <alignment vertical="center"/>
    </xf>
    <xf numFmtId="44" fontId="25" fillId="12" borderId="73" xfId="8" applyFont="1" applyFill="1" applyBorder="1" applyAlignment="1">
      <alignment vertical="center"/>
    </xf>
    <xf numFmtId="170" fontId="28" fillId="9" borderId="15" xfId="0" applyNumberFormat="1" applyFont="1" applyFill="1" applyBorder="1" applyAlignment="1">
      <alignment horizontal="right"/>
    </xf>
    <xf numFmtId="170" fontId="28" fillId="9" borderId="0" xfId="0" applyNumberFormat="1" applyFont="1" applyFill="1" applyAlignment="1">
      <alignment horizontal="right"/>
    </xf>
    <xf numFmtId="170" fontId="28" fillId="9" borderId="65" xfId="0" applyNumberFormat="1" applyFont="1" applyFill="1" applyBorder="1" applyAlignment="1">
      <alignment horizontal="right"/>
    </xf>
    <xf numFmtId="44" fontId="28" fillId="9" borderId="15" xfId="0" applyNumberFormat="1" applyFont="1" applyFill="1" applyBorder="1" applyAlignment="1">
      <alignment horizontal="right"/>
    </xf>
    <xf numFmtId="44" fontId="23" fillId="13" borderId="15" xfId="0" applyNumberFormat="1" applyFont="1" applyFill="1" applyBorder="1"/>
    <xf numFmtId="0" fontId="18" fillId="12" borderId="15" xfId="0" applyFont="1" applyFill="1" applyBorder="1"/>
    <xf numFmtId="44" fontId="23" fillId="12" borderId="15" xfId="0" applyNumberFormat="1" applyFont="1" applyFill="1" applyBorder="1"/>
    <xf numFmtId="44" fontId="23" fillId="12" borderId="65" xfId="8" applyFont="1" applyFill="1" applyBorder="1"/>
    <xf numFmtId="0" fontId="25" fillId="15" borderId="46" xfId="0" applyFont="1" applyFill="1" applyBorder="1" applyAlignment="1">
      <alignment horizontal="left" vertical="center" wrapText="1"/>
    </xf>
    <xf numFmtId="0" fontId="25" fillId="15" borderId="67" xfId="0" applyFont="1" applyFill="1" applyBorder="1" applyAlignment="1">
      <alignment horizontal="left" vertical="center" wrapText="1"/>
    </xf>
    <xf numFmtId="170" fontId="28" fillId="9" borderId="18" xfId="0" applyNumberFormat="1" applyFont="1" applyFill="1" applyBorder="1" applyAlignment="1">
      <alignment horizontal="right"/>
    </xf>
    <xf numFmtId="44" fontId="28" fillId="9" borderId="0" xfId="0" applyNumberFormat="1" applyFont="1" applyFill="1" applyAlignment="1">
      <alignment horizontal="right"/>
    </xf>
    <xf numFmtId="44" fontId="23" fillId="13" borderId="0" xfId="0" applyNumberFormat="1" applyFont="1" applyFill="1"/>
    <xf numFmtId="0" fontId="18" fillId="12" borderId="0" xfId="0" applyFont="1" applyFill="1"/>
    <xf numFmtId="44" fontId="23" fillId="12" borderId="0" xfId="0" applyNumberFormat="1" applyFont="1" applyFill="1"/>
    <xf numFmtId="44" fontId="23" fillId="12" borderId="18" xfId="8" applyFont="1" applyFill="1" applyBorder="1"/>
    <xf numFmtId="1" fontId="25" fillId="11" borderId="46" xfId="0" applyNumberFormat="1" applyFont="1" applyFill="1" applyBorder="1" applyAlignment="1">
      <alignment vertical="center"/>
    </xf>
    <xf numFmtId="1" fontId="25" fillId="11" borderId="55" xfId="0" applyNumberFormat="1" applyFont="1" applyFill="1" applyBorder="1" applyAlignment="1">
      <alignment vertical="center"/>
    </xf>
    <xf numFmtId="44" fontId="25" fillId="11" borderId="55" xfId="8" applyFont="1" applyFill="1" applyBorder="1" applyAlignment="1">
      <alignment vertical="center"/>
    </xf>
    <xf numFmtId="44" fontId="25" fillId="13" borderId="55" xfId="8" applyFont="1" applyFill="1" applyBorder="1" applyAlignment="1">
      <alignment vertical="center"/>
    </xf>
    <xf numFmtId="9" fontId="25" fillId="12" borderId="55" xfId="1" applyFont="1" applyFill="1" applyBorder="1" applyAlignment="1">
      <alignment vertical="center"/>
    </xf>
    <xf numFmtId="44" fontId="25" fillId="12" borderId="55" xfId="8" applyFont="1" applyFill="1" applyBorder="1" applyAlignment="1">
      <alignment vertical="center"/>
    </xf>
    <xf numFmtId="0" fontId="25" fillId="0" borderId="52" xfId="0" applyFont="1" applyBorder="1" applyAlignment="1">
      <alignment horizontal="left" vertical="center" wrapText="1"/>
    </xf>
    <xf numFmtId="0" fontId="25" fillId="0" borderId="78" xfId="0" applyFont="1" applyBorder="1" applyAlignment="1">
      <alignment horizontal="left" vertical="center" wrapText="1"/>
    </xf>
    <xf numFmtId="0" fontId="25" fillId="15" borderId="54" xfId="0" applyFont="1" applyFill="1" applyBorder="1" applyAlignment="1">
      <alignment horizontal="left" vertical="center" wrapText="1"/>
    </xf>
    <xf numFmtId="44" fontId="25" fillId="12" borderId="54" xfId="8" applyFont="1" applyFill="1" applyBorder="1" applyAlignment="1">
      <alignment vertical="center"/>
    </xf>
    <xf numFmtId="10" fontId="25" fillId="13" borderId="0" xfId="0" applyNumberFormat="1" applyFont="1" applyFill="1" applyAlignment="1">
      <alignment horizontal="center" vertical="center"/>
    </xf>
    <xf numFmtId="0" fontId="25" fillId="0" borderId="51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44" fontId="23" fillId="12" borderId="77" xfId="8" applyFont="1" applyFill="1" applyBorder="1"/>
    <xf numFmtId="10" fontId="25" fillId="13" borderId="33" xfId="0" applyNumberFormat="1" applyFont="1" applyFill="1" applyBorder="1" applyAlignment="1">
      <alignment horizontal="center" vertical="center"/>
    </xf>
    <xf numFmtId="10" fontId="25" fillId="13" borderId="55" xfId="0" applyNumberFormat="1" applyFont="1" applyFill="1" applyBorder="1" applyAlignment="1">
      <alignment horizontal="center" vertical="center"/>
    </xf>
    <xf numFmtId="44" fontId="23" fillId="12" borderId="0" xfId="8" applyFont="1" applyFill="1" applyBorder="1"/>
    <xf numFmtId="44" fontId="28" fillId="14" borderId="11" xfId="8" applyFont="1" applyFill="1" applyBorder="1" applyAlignment="1">
      <alignment horizontal="center"/>
    </xf>
    <xf numFmtId="44" fontId="28" fillId="14" borderId="76" xfId="8" applyFont="1" applyFill="1" applyBorder="1" applyAlignment="1">
      <alignment horizontal="center"/>
    </xf>
    <xf numFmtId="0" fontId="25" fillId="0" borderId="53" xfId="0" applyFont="1" applyBorder="1" applyAlignment="1">
      <alignment horizontal="left" vertical="center" wrapText="1"/>
    </xf>
    <xf numFmtId="0" fontId="28" fillId="14" borderId="61" xfId="0" applyFont="1" applyFill="1" applyBorder="1"/>
    <xf numFmtId="0" fontId="28" fillId="14" borderId="35" xfId="0" applyFont="1" applyFill="1" applyBorder="1"/>
    <xf numFmtId="0" fontId="28" fillId="14" borderId="35" xfId="0" applyFont="1" applyFill="1" applyBorder="1" applyAlignment="1">
      <alignment horizontal="center" vertical="center"/>
    </xf>
    <xf numFmtId="44" fontId="28" fillId="14" borderId="35" xfId="0" applyNumberFormat="1" applyFont="1" applyFill="1" applyBorder="1"/>
    <xf numFmtId="44" fontId="28" fillId="14" borderId="79" xfId="0" applyNumberFormat="1" applyFont="1" applyFill="1" applyBorder="1"/>
    <xf numFmtId="0" fontId="28" fillId="14" borderId="61" xfId="0" applyFont="1" applyFill="1" applyBorder="1" applyAlignment="1">
      <alignment horizontal="center" vertical="center"/>
    </xf>
    <xf numFmtId="9" fontId="28" fillId="14" borderId="14" xfId="1" applyFont="1" applyFill="1" applyBorder="1"/>
    <xf numFmtId="44" fontId="28" fillId="14" borderId="80" xfId="8" applyFont="1" applyFill="1" applyBorder="1"/>
    <xf numFmtId="44" fontId="18" fillId="0" borderId="0" xfId="8" applyFont="1"/>
    <xf numFmtId="44" fontId="26" fillId="5" borderId="46" xfId="8" applyFont="1" applyFill="1" applyBorder="1" applyAlignment="1">
      <alignment horizontal="center" vertical="center" wrapText="1"/>
    </xf>
    <xf numFmtId="44" fontId="27" fillId="5" borderId="47" xfId="8" applyFont="1" applyFill="1" applyBorder="1" applyAlignment="1">
      <alignment horizontal="center" vertical="center" wrapText="1"/>
    </xf>
    <xf numFmtId="44" fontId="29" fillId="0" borderId="54" xfId="8" applyFont="1" applyBorder="1"/>
    <xf numFmtId="44" fontId="30" fillId="0" borderId="54" xfId="8" applyFont="1" applyBorder="1"/>
    <xf numFmtId="0" fontId="22" fillId="0" borderId="0" xfId="0" applyFont="1"/>
    <xf numFmtId="0" fontId="16" fillId="0" borderId="0" xfId="0" applyFont="1"/>
    <xf numFmtId="0" fontId="16" fillId="0" borderId="0" xfId="0" applyFont="1" applyAlignment="1">
      <alignment horizontal="center"/>
    </xf>
    <xf numFmtId="16" fontId="16" fillId="16" borderId="11" xfId="0" applyNumberFormat="1" applyFont="1" applyFill="1" applyBorder="1"/>
    <xf numFmtId="16" fontId="16" fillId="16" borderId="12" xfId="0" applyNumberFormat="1" applyFont="1" applyFill="1" applyBorder="1"/>
    <xf numFmtId="16" fontId="16" fillId="17" borderId="14" xfId="0" applyNumberFormat="1" applyFont="1" applyFill="1" applyBorder="1"/>
    <xf numFmtId="16" fontId="16" fillId="17" borderId="15" xfId="0" applyNumberFormat="1" applyFont="1" applyFill="1" applyBorder="1"/>
    <xf numFmtId="0" fontId="16" fillId="18" borderId="17" xfId="0" applyFont="1" applyFill="1" applyBorder="1" applyAlignment="1">
      <alignment horizontal="right"/>
    </xf>
    <xf numFmtId="0" fontId="16" fillId="18" borderId="0" xfId="0" applyFont="1" applyFill="1" applyAlignment="1">
      <alignment horizontal="right"/>
    </xf>
    <xf numFmtId="0" fontId="31" fillId="19" borderId="14" xfId="0" applyFont="1" applyFill="1" applyBorder="1"/>
    <xf numFmtId="0" fontId="31" fillId="19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7" fillId="20" borderId="54" xfId="0" applyFont="1" applyFill="1" applyBorder="1" applyAlignment="1">
      <alignment horizontal="center"/>
    </xf>
    <xf numFmtId="164" fontId="4" fillId="0" borderId="54" xfId="2" applyNumberFormat="1" applyFont="1" applyBorder="1" applyAlignment="1" applyProtection="1">
      <alignment horizontal="left" vertical="center"/>
      <protection locked="0"/>
    </xf>
    <xf numFmtId="44" fontId="17" fillId="0" borderId="54" xfId="0" applyNumberFormat="1" applyFont="1" applyBorder="1"/>
    <xf numFmtId="9" fontId="17" fillId="0" borderId="54" xfId="1" applyFont="1" applyBorder="1" applyAlignment="1">
      <alignment horizontal="center"/>
    </xf>
    <xf numFmtId="44" fontId="17" fillId="20" borderId="54" xfId="0" applyNumberFormat="1" applyFont="1" applyFill="1" applyBorder="1" applyAlignment="1">
      <alignment horizontal="center"/>
    </xf>
    <xf numFmtId="0" fontId="17" fillId="0" borderId="45" xfId="0" applyFont="1" applyBorder="1"/>
    <xf numFmtId="170" fontId="17" fillId="0" borderId="81" xfId="0" applyNumberFormat="1" applyFont="1" applyBorder="1" applyAlignment="1">
      <alignment horizontal="center"/>
    </xf>
    <xf numFmtId="44" fontId="17" fillId="0" borderId="81" xfId="0" applyNumberFormat="1" applyFont="1" applyBorder="1"/>
    <xf numFmtId="170" fontId="17" fillId="0" borderId="81" xfId="0" applyNumberFormat="1" applyFont="1" applyBorder="1"/>
    <xf numFmtId="9" fontId="17" fillId="0" borderId="44" xfId="1" applyFont="1" applyBorder="1" applyAlignment="1">
      <alignment horizontal="center"/>
    </xf>
    <xf numFmtId="0" fontId="17" fillId="0" borderId="0" xfId="0" applyFont="1"/>
    <xf numFmtId="170" fontId="17" fillId="20" borderId="82" xfId="0" applyNumberFormat="1" applyFont="1" applyFill="1" applyBorder="1" applyAlignment="1">
      <alignment horizontal="center"/>
    </xf>
    <xf numFmtId="44" fontId="17" fillId="20" borderId="54" xfId="0" applyNumberFormat="1" applyFont="1" applyFill="1" applyBorder="1"/>
    <xf numFmtId="170" fontId="17" fillId="20" borderId="54" xfId="0" applyNumberFormat="1" applyFont="1" applyFill="1" applyBorder="1"/>
    <xf numFmtId="9" fontId="17" fillId="0" borderId="83" xfId="1" applyFont="1" applyBorder="1" applyAlignment="1">
      <alignment horizontal="center"/>
    </xf>
    <xf numFmtId="0" fontId="23" fillId="0" borderId="0" xfId="0" applyFont="1" applyAlignment="1">
      <alignment horizontal="left"/>
    </xf>
    <xf numFmtId="44" fontId="18" fillId="0" borderId="0" xfId="0" applyNumberFormat="1" applyFont="1"/>
    <xf numFmtId="9" fontId="22" fillId="0" borderId="0" xfId="1" applyFont="1"/>
    <xf numFmtId="164" fontId="4" fillId="0" borderId="57" xfId="2" applyNumberFormat="1" applyFont="1" applyBorder="1" applyAlignment="1" applyProtection="1">
      <alignment horizontal="left" vertical="center"/>
      <protection locked="0"/>
    </xf>
    <xf numFmtId="164" fontId="4" fillId="0" borderId="58" xfId="2" applyNumberFormat="1" applyFont="1" applyBorder="1" applyAlignment="1" applyProtection="1">
      <alignment horizontal="left" vertical="center"/>
      <protection locked="0"/>
    </xf>
    <xf numFmtId="164" fontId="4" fillId="0" borderId="59" xfId="2" applyNumberFormat="1" applyFont="1" applyBorder="1" applyAlignment="1" applyProtection="1">
      <alignment horizontal="left" vertical="center"/>
      <protection locked="0"/>
    </xf>
    <xf numFmtId="164" fontId="4" fillId="0" borderId="60" xfId="2" applyNumberFormat="1" applyFont="1" applyBorder="1" applyAlignment="1" applyProtection="1">
      <alignment horizontal="left" vertical="center"/>
      <protection locked="0"/>
    </xf>
    <xf numFmtId="164" fontId="4" fillId="0" borderId="14" xfId="2" applyNumberFormat="1" applyFont="1" applyBorder="1" applyAlignment="1" applyProtection="1">
      <alignment horizontal="left" vertical="center"/>
      <protection locked="0"/>
    </xf>
    <xf numFmtId="164" fontId="4" fillId="0" borderId="56" xfId="2" applyNumberFormat="1" applyFont="1" applyBorder="1" applyAlignment="1" applyProtection="1">
      <alignment horizontal="left" vertical="center"/>
      <protection locked="0"/>
    </xf>
    <xf numFmtId="44" fontId="16" fillId="0" borderId="76" xfId="0" applyNumberFormat="1" applyFont="1" applyBorder="1" applyAlignment="1">
      <alignment horizontal="center" vertical="center"/>
    </xf>
    <xf numFmtId="0" fontId="16" fillId="0" borderId="80" xfId="0" applyFont="1" applyBorder="1" applyAlignment="1">
      <alignment horizontal="center" vertical="center"/>
    </xf>
    <xf numFmtId="0" fontId="17" fillId="20" borderId="61" xfId="0" applyFont="1" applyFill="1" applyBorder="1" applyAlignment="1">
      <alignment horizontal="center"/>
    </xf>
    <xf numFmtId="0" fontId="17" fillId="20" borderId="35" xfId="0" applyFont="1" applyFill="1" applyBorder="1" applyAlignment="1">
      <alignment horizontal="center"/>
    </xf>
    <xf numFmtId="0" fontId="17" fillId="20" borderId="79" xfId="0" applyFont="1" applyFill="1" applyBorder="1" applyAlignment="1">
      <alignment horizontal="center"/>
    </xf>
    <xf numFmtId="44" fontId="28" fillId="8" borderId="0" xfId="8" applyFont="1" applyFill="1" applyAlignment="1">
      <alignment horizontal="center"/>
    </xf>
    <xf numFmtId="44" fontId="28" fillId="9" borderId="11" xfId="8" applyFont="1" applyFill="1" applyBorder="1" applyAlignment="1">
      <alignment horizontal="left"/>
    </xf>
    <xf numFmtId="44" fontId="28" fillId="9" borderId="12" xfId="8" applyFont="1" applyFill="1" applyBorder="1" applyAlignment="1">
      <alignment horizontal="left"/>
    </xf>
    <xf numFmtId="0" fontId="28" fillId="9" borderId="71" xfId="0" applyFont="1" applyFill="1" applyBorder="1" applyAlignment="1">
      <alignment horizontal="left"/>
    </xf>
    <xf numFmtId="0" fontId="28" fillId="9" borderId="72" xfId="0" applyFont="1" applyFill="1" applyBorder="1" applyAlignment="1">
      <alignment horizontal="left"/>
    </xf>
    <xf numFmtId="0" fontId="19" fillId="0" borderId="0" xfId="2" applyFont="1" applyAlignment="1">
      <alignment horizontal="left" vertical="center" wrapText="1"/>
    </xf>
    <xf numFmtId="0" fontId="19" fillId="0" borderId="0" xfId="2" applyFont="1" applyAlignment="1">
      <alignment horizontal="left" vertical="top"/>
    </xf>
    <xf numFmtId="0" fontId="21" fillId="2" borderId="3" xfId="3" applyFont="1" applyFill="1" applyBorder="1" applyAlignment="1">
      <alignment horizontal="center" vertical="center"/>
    </xf>
    <xf numFmtId="0" fontId="21" fillId="2" borderId="4" xfId="3" applyFont="1" applyFill="1" applyBorder="1" applyAlignment="1">
      <alignment horizontal="center" vertical="center"/>
    </xf>
    <xf numFmtId="0" fontId="21" fillId="2" borderId="5" xfId="3" applyFont="1" applyFill="1" applyBorder="1" applyAlignment="1">
      <alignment horizontal="center" vertical="center"/>
    </xf>
    <xf numFmtId="0" fontId="28" fillId="8" borderId="51" xfId="0" applyFont="1" applyFill="1" applyBorder="1" applyAlignment="1">
      <alignment horizontal="center"/>
    </xf>
    <xf numFmtId="0" fontId="28" fillId="8" borderId="0" xfId="0" applyFont="1" applyFill="1" applyAlignment="1">
      <alignment horizontal="center"/>
    </xf>
    <xf numFmtId="0" fontId="28" fillId="9" borderId="11" xfId="0" applyFont="1" applyFill="1" applyBorder="1" applyAlignment="1">
      <alignment horizontal="left"/>
    </xf>
    <xf numFmtId="0" fontId="28" fillId="9" borderId="12" xfId="0" applyFont="1" applyFill="1" applyBorder="1" applyAlignment="1">
      <alignment horizontal="left"/>
    </xf>
    <xf numFmtId="0" fontId="28" fillId="9" borderId="68" xfId="0" applyFont="1" applyFill="1" applyBorder="1" applyAlignment="1">
      <alignment horizontal="left"/>
    </xf>
    <xf numFmtId="0" fontId="28" fillId="9" borderId="64" xfId="0" applyFont="1" applyFill="1" applyBorder="1" applyAlignment="1">
      <alignment horizontal="left"/>
    </xf>
    <xf numFmtId="0" fontId="21" fillId="3" borderId="6" xfId="0" applyFont="1" applyFill="1" applyBorder="1" applyAlignment="1">
      <alignment horizontal="center" vertical="center" wrapText="1"/>
    </xf>
    <xf numFmtId="0" fontId="21" fillId="3" borderId="35" xfId="0" applyFont="1" applyFill="1" applyBorder="1" applyAlignment="1">
      <alignment horizontal="center" vertical="center" wrapText="1"/>
    </xf>
    <xf numFmtId="0" fontId="21" fillId="3" borderId="5" xfId="0" applyFont="1" applyFill="1" applyBorder="1" applyAlignment="1">
      <alignment horizontal="center" vertical="center" wrapText="1"/>
    </xf>
    <xf numFmtId="0" fontId="28" fillId="8" borderId="12" xfId="0" applyFont="1" applyFill="1" applyBorder="1" applyAlignment="1">
      <alignment horizontal="center"/>
    </xf>
    <xf numFmtId="0" fontId="28" fillId="9" borderId="63" xfId="0" applyFont="1" applyFill="1" applyBorder="1" applyAlignment="1">
      <alignment horizontal="left"/>
    </xf>
    <xf numFmtId="0" fontId="28" fillId="9" borderId="8" xfId="0" applyFont="1" applyFill="1" applyBorder="1" applyAlignment="1">
      <alignment horizontal="left"/>
    </xf>
    <xf numFmtId="0" fontId="28" fillId="8" borderId="11" xfId="0" applyFont="1" applyFill="1" applyBorder="1" applyAlignment="1">
      <alignment horizontal="center"/>
    </xf>
    <xf numFmtId="0" fontId="28" fillId="8" borderId="64" xfId="0" applyFont="1" applyFill="1" applyBorder="1" applyAlignment="1">
      <alignment horizontal="center"/>
    </xf>
    <xf numFmtId="0" fontId="28" fillId="8" borderId="48" xfId="0" applyFont="1" applyFill="1" applyBorder="1" applyAlignment="1">
      <alignment horizontal="center"/>
    </xf>
    <xf numFmtId="0" fontId="28" fillId="8" borderId="49" xfId="0" applyFont="1" applyFill="1" applyBorder="1" applyAlignment="1">
      <alignment horizontal="center"/>
    </xf>
    <xf numFmtId="0" fontId="28" fillId="8" borderId="50" xfId="0" applyFont="1" applyFill="1" applyBorder="1" applyAlignment="1">
      <alignment horizontal="center"/>
    </xf>
    <xf numFmtId="0" fontId="28" fillId="9" borderId="74" xfId="0" applyFont="1" applyFill="1" applyBorder="1" applyAlignment="1">
      <alignment horizontal="left"/>
    </xf>
    <xf numFmtId="0" fontId="28" fillId="9" borderId="66" xfId="0" applyFont="1" applyFill="1" applyBorder="1" applyAlignment="1">
      <alignment horizontal="left"/>
    </xf>
    <xf numFmtId="0" fontId="28" fillId="9" borderId="75" xfId="0" applyFont="1" applyFill="1" applyBorder="1" applyAlignment="1">
      <alignment horizontal="left"/>
    </xf>
    <xf numFmtId="0" fontId="28" fillId="9" borderId="14" xfId="0" applyFont="1" applyFill="1" applyBorder="1" applyAlignment="1">
      <alignment horizontal="left"/>
    </xf>
    <xf numFmtId="0" fontId="28" fillId="9" borderId="15" xfId="0" applyFont="1" applyFill="1" applyBorder="1" applyAlignment="1">
      <alignment horizontal="left"/>
    </xf>
    <xf numFmtId="0" fontId="10" fillId="7" borderId="37" xfId="0" applyFont="1" applyFill="1" applyBorder="1" applyAlignment="1">
      <alignment horizontal="left" vertical="center"/>
    </xf>
    <xf numFmtId="0" fontId="10" fillId="7" borderId="37" xfId="0" applyFont="1" applyFill="1" applyBorder="1" applyAlignment="1">
      <alignment vertical="center"/>
    </xf>
    <xf numFmtId="0" fontId="10" fillId="7" borderId="0" xfId="0" applyFont="1" applyFill="1" applyAlignment="1">
      <alignment vertical="center"/>
    </xf>
    <xf numFmtId="0" fontId="11" fillId="7" borderId="37" xfId="0" applyFont="1" applyFill="1" applyBorder="1" applyAlignment="1">
      <alignment horizontal="left" vertical="top"/>
    </xf>
    <xf numFmtId="0" fontId="13" fillId="7" borderId="37" xfId="0" applyFont="1" applyFill="1" applyBorder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85E5FF17-B967-4E14-81F6-9B0837C20751}"/>
            </a:ext>
          </a:extLst>
        </xdr:cNvPr>
        <xdr:cNvSpPr/>
      </xdr:nvSpPr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604320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17B0DFF-6A62-4689-A2B2-2CCDEB43F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5442"/>
        </a:xfrm>
        <a:prstGeom prst="rect">
          <a:avLst/>
        </a:prstGeom>
      </xdr:spPr>
    </xdr:pic>
    <xdr:clientData/>
  </xdr:twoCellAnchor>
  <xdr:twoCellAnchor editAs="absolute">
    <xdr:from>
      <xdr:col>33</xdr:col>
      <xdr:colOff>91469</xdr:colOff>
      <xdr:row>0</xdr:row>
      <xdr:rowOff>190500</xdr:rowOff>
    </xdr:from>
    <xdr:to>
      <xdr:col>34</xdr:col>
      <xdr:colOff>462132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528A655D-2D3F-40CE-8109-B275D83C11A6}"/>
            </a:ext>
          </a:extLst>
        </xdr:cNvPr>
        <xdr:cNvSpPr/>
      </xdr:nvSpPr>
      <xdr:spPr bwMode="auto">
        <a:xfrm>
          <a:off x="29657069" y="190500"/>
          <a:ext cx="101201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32</xdr:col>
      <xdr:colOff>166403</xdr:colOff>
      <xdr:row>0</xdr:row>
      <xdr:rowOff>182566</xdr:rowOff>
    </xdr:from>
    <xdr:to>
      <xdr:col>33</xdr:col>
      <xdr:colOff>15266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A49F3CE8-A5B1-4FC3-AACC-4AB4BA8B7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7803" y="182566"/>
          <a:ext cx="433063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8D5C42C-A0B1-4C92-BE08-03D67B6CCF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33</xdr:col>
      <xdr:colOff>91469</xdr:colOff>
      <xdr:row>0</xdr:row>
      <xdr:rowOff>190500</xdr:rowOff>
    </xdr:from>
    <xdr:to>
      <xdr:col>34</xdr:col>
      <xdr:colOff>462132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6F2475F7-1F2D-44F6-9994-77C78120CED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7069" y="190500"/>
          <a:ext cx="101201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142875</xdr:colOff>
      <xdr:row>4</xdr:row>
      <xdr:rowOff>1</xdr:rowOff>
    </xdr:from>
    <xdr:to>
      <xdr:col>11</xdr:col>
      <xdr:colOff>869861</xdr:colOff>
      <xdr:row>9</xdr:row>
      <xdr:rowOff>74319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735006E-24EC-4E25-85E1-E556197B5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48625" y="1571626"/>
          <a:ext cx="2457361" cy="17253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2BC06-AF27-4394-84F9-B8F67C41C267}">
  <dimension ref="A1:F29"/>
  <sheetViews>
    <sheetView showGridLines="0" tabSelected="1" topLeftCell="A13" zoomScaleNormal="100" workbookViewId="0">
      <selection activeCell="C29" sqref="C29:D29"/>
    </sheetView>
  </sheetViews>
  <sheetFormatPr defaultColWidth="8.6640625" defaultRowHeight="16.2" x14ac:dyDescent="0.35"/>
  <cols>
    <col min="1" max="1" width="8.6640625" style="158"/>
    <col min="2" max="2" width="26.109375" style="158" customWidth="1"/>
    <col min="3" max="3" width="35.88671875" style="158" customWidth="1"/>
    <col min="4" max="4" width="20.44140625" style="158" customWidth="1"/>
    <col min="5" max="5" width="18.44140625" style="158" customWidth="1"/>
    <col min="6" max="6" width="11.88671875" style="159" bestFit="1" customWidth="1"/>
    <col min="7" max="7" width="12.88671875" style="158" bestFit="1" customWidth="1"/>
    <col min="8" max="8" width="12.5546875" style="158" bestFit="1" customWidth="1"/>
    <col min="9" max="16384" width="8.6640625" style="158"/>
  </cols>
  <sheetData>
    <row r="1" spans="1:5" s="159" customFormat="1" hidden="1" x14ac:dyDescent="0.35">
      <c r="A1" s="158"/>
      <c r="B1" s="158"/>
      <c r="C1" s="158"/>
      <c r="D1" s="158"/>
      <c r="E1" s="158"/>
    </row>
    <row r="2" spans="1:5" s="159" customFormat="1" hidden="1" x14ac:dyDescent="0.35">
      <c r="A2" s="158"/>
      <c r="B2" s="158"/>
      <c r="C2" s="158"/>
      <c r="D2" s="158"/>
      <c r="E2" s="158"/>
    </row>
    <row r="3" spans="1:5" s="159" customFormat="1" hidden="1" x14ac:dyDescent="0.35">
      <c r="A3" s="158"/>
      <c r="B3" s="158"/>
      <c r="C3" s="160">
        <v>45866</v>
      </c>
      <c r="D3" s="161"/>
      <c r="E3" s="195" t="e">
        <f>SUM(#REF!)</f>
        <v>#REF!</v>
      </c>
    </row>
    <row r="4" spans="1:5" s="159" customFormat="1" ht="15.6" hidden="1" customHeight="1" thickBot="1" x14ac:dyDescent="0.4">
      <c r="A4" s="158"/>
      <c r="B4" s="158"/>
      <c r="C4" s="162">
        <v>45867</v>
      </c>
      <c r="D4" s="163"/>
      <c r="E4" s="196"/>
    </row>
    <row r="5" spans="1:5" s="159" customFormat="1" hidden="1" x14ac:dyDescent="0.35">
      <c r="A5" s="158"/>
      <c r="B5" s="158"/>
      <c r="C5" s="164" t="s">
        <v>182</v>
      </c>
      <c r="D5" s="165"/>
      <c r="E5" s="158"/>
    </row>
    <row r="6" spans="1:5" s="159" customFormat="1" hidden="1" x14ac:dyDescent="0.35">
      <c r="A6" s="158"/>
      <c r="B6" s="158"/>
      <c r="C6" s="164" t="s">
        <v>183</v>
      </c>
      <c r="D6" s="165"/>
      <c r="E6" s="158"/>
    </row>
    <row r="7" spans="1:5" s="159" customFormat="1" ht="16.8" hidden="1" thickBot="1" x14ac:dyDescent="0.4">
      <c r="A7" s="158"/>
      <c r="B7" s="158"/>
      <c r="C7" s="166" t="s">
        <v>42</v>
      </c>
      <c r="D7" s="167"/>
      <c r="E7" s="158"/>
    </row>
    <row r="9" spans="1:5" s="159" customFormat="1" x14ac:dyDescent="0.35">
      <c r="A9" s="158" t="s">
        <v>90</v>
      </c>
      <c r="B9" s="158"/>
      <c r="C9" s="158"/>
      <c r="D9" s="158"/>
      <c r="E9" s="158"/>
    </row>
    <row r="10" spans="1:5" s="159" customFormat="1" ht="24" customHeight="1" x14ac:dyDescent="0.35">
      <c r="A10" s="158"/>
      <c r="B10" s="158"/>
      <c r="C10" s="158"/>
      <c r="D10" s="158"/>
      <c r="E10" s="158"/>
    </row>
    <row r="11" spans="1:5" ht="16.8" thickBot="1" x14ac:dyDescent="0.4"/>
    <row r="12" spans="1:5" s="159" customFormat="1" ht="15" customHeight="1" x14ac:dyDescent="0.35">
      <c r="A12" s="158"/>
      <c r="B12" s="189" t="s">
        <v>105</v>
      </c>
      <c r="C12" s="190" t="s">
        <v>160</v>
      </c>
      <c r="D12" s="168"/>
      <c r="E12" s="158"/>
    </row>
    <row r="13" spans="1:5" s="159" customFormat="1" ht="15" customHeight="1" x14ac:dyDescent="0.35">
      <c r="A13" s="158"/>
      <c r="B13" s="191" t="s">
        <v>106</v>
      </c>
      <c r="C13" s="192" t="s">
        <v>104</v>
      </c>
      <c r="D13" s="168"/>
      <c r="E13" s="158"/>
    </row>
    <row r="14" spans="1:5" s="159" customFormat="1" ht="15" customHeight="1" x14ac:dyDescent="0.35">
      <c r="A14" s="158"/>
      <c r="B14" s="191" t="s">
        <v>107</v>
      </c>
      <c r="C14" s="192" t="s">
        <v>157</v>
      </c>
      <c r="D14" s="169"/>
      <c r="E14" s="158"/>
    </row>
    <row r="15" spans="1:5" s="159" customFormat="1" ht="15" customHeight="1" x14ac:dyDescent="0.35">
      <c r="A15" s="158"/>
      <c r="B15" s="191" t="s">
        <v>108</v>
      </c>
      <c r="C15" s="192" t="s">
        <v>158</v>
      </c>
      <c r="D15" s="169"/>
      <c r="E15" s="158"/>
    </row>
    <row r="16" spans="1:5" s="159" customFormat="1" ht="15" customHeight="1" x14ac:dyDescent="0.35">
      <c r="A16" s="158"/>
      <c r="B16" s="191" t="s">
        <v>109</v>
      </c>
      <c r="C16" s="192">
        <v>20052026</v>
      </c>
      <c r="D16" s="170"/>
      <c r="E16" s="158"/>
    </row>
    <row r="17" spans="2:6" ht="15" customHeight="1" x14ac:dyDescent="0.35">
      <c r="B17" s="191" t="s">
        <v>110</v>
      </c>
      <c r="C17" s="192" t="s">
        <v>159</v>
      </c>
      <c r="D17" s="169"/>
    </row>
    <row r="18" spans="2:6" ht="15" customHeight="1" x14ac:dyDescent="0.35">
      <c r="B18" s="191" t="s">
        <v>111</v>
      </c>
      <c r="C18" s="192" t="s">
        <v>159</v>
      </c>
      <c r="D18" s="169"/>
    </row>
    <row r="19" spans="2:6" ht="15" customHeight="1" thickBot="1" x14ac:dyDescent="0.4">
      <c r="B19" s="193" t="s">
        <v>112</v>
      </c>
      <c r="C19" s="194" t="s">
        <v>161</v>
      </c>
      <c r="D19" s="169"/>
    </row>
    <row r="21" spans="2:6" ht="15.6" customHeight="1" x14ac:dyDescent="0.35">
      <c r="B21" s="171"/>
      <c r="C21" s="171" t="s">
        <v>184</v>
      </c>
      <c r="D21" s="171" t="s">
        <v>185</v>
      </c>
      <c r="E21" s="171" t="s">
        <v>186</v>
      </c>
    </row>
    <row r="22" spans="2:6" x14ac:dyDescent="0.35">
      <c r="B22" s="172" t="s">
        <v>187</v>
      </c>
      <c r="C22" s="173">
        <f>PRINCIPAL!N40</f>
        <v>15674.14315894122</v>
      </c>
      <c r="D22" s="173">
        <f>PRINCIPAL!X40</f>
        <v>4738.54</v>
      </c>
      <c r="E22" s="173">
        <f>C22-D22</f>
        <v>10935.60315894122</v>
      </c>
      <c r="F22" s="174">
        <f>E22*100%/C22</f>
        <v>0.69768427199180394</v>
      </c>
    </row>
    <row r="23" spans="2:6" x14ac:dyDescent="0.35">
      <c r="B23" s="171" t="s">
        <v>42</v>
      </c>
      <c r="C23" s="175">
        <f>SUM(C22:C22)</f>
        <v>15674.14315894122</v>
      </c>
      <c r="D23" s="175">
        <f>SUM(D22:D22)</f>
        <v>4738.54</v>
      </c>
      <c r="E23" s="175">
        <f>C23-D23</f>
        <v>10935.60315894122</v>
      </c>
      <c r="F23" s="174">
        <f t="shared" ref="F23" si="0">E23*100%/C23</f>
        <v>0.69768427199180394</v>
      </c>
    </row>
    <row r="25" spans="2:6" ht="16.8" thickBot="1" x14ac:dyDescent="0.4"/>
    <row r="26" spans="2:6" ht="21.9" customHeight="1" thickBot="1" x14ac:dyDescent="0.4">
      <c r="B26" s="197" t="s">
        <v>188</v>
      </c>
      <c r="C26" s="198"/>
      <c r="D26" s="198"/>
      <c r="E26" s="198"/>
      <c r="F26" s="199"/>
    </row>
    <row r="27" spans="2:6" ht="24.9" customHeight="1" thickBot="1" x14ac:dyDescent="0.4">
      <c r="B27" s="176" t="s">
        <v>191</v>
      </c>
      <c r="C27" s="177">
        <v>8890</v>
      </c>
      <c r="D27" s="178">
        <f>D23</f>
        <v>4738.54</v>
      </c>
      <c r="E27" s="179">
        <f>C27-D27</f>
        <v>4151.46</v>
      </c>
      <c r="F27" s="180">
        <f>E27*100%/C27</f>
        <v>0.46698087739032623</v>
      </c>
    </row>
    <row r="28" spans="2:6" ht="24.9" customHeight="1" thickBot="1" x14ac:dyDescent="0.4">
      <c r="B28" s="176" t="s">
        <v>192</v>
      </c>
      <c r="C28" s="177">
        <v>6784.14</v>
      </c>
      <c r="D28" s="178">
        <f>C28*0.15</f>
        <v>1017.621</v>
      </c>
      <c r="E28" s="179">
        <f>C28-D28</f>
        <v>5766.5190000000002</v>
      </c>
      <c r="F28" s="180">
        <f>E28*100%/C28</f>
        <v>0.85</v>
      </c>
    </row>
    <row r="29" spans="2:6" ht="20.25" customHeight="1" thickBot="1" x14ac:dyDescent="0.4">
      <c r="B29" s="181"/>
      <c r="C29" s="182">
        <f>SUM(C27:C28)</f>
        <v>15674.14</v>
      </c>
      <c r="D29" s="183">
        <f>SUM(D27:D28)</f>
        <v>5756.1610000000001</v>
      </c>
      <c r="E29" s="184">
        <f>C29-D29</f>
        <v>9917.9789999999994</v>
      </c>
      <c r="F29" s="185">
        <f>E29*100%/C29</f>
        <v>0.63276064906910356</v>
      </c>
    </row>
  </sheetData>
  <mergeCells count="2">
    <mergeCell ref="E3:E4"/>
    <mergeCell ref="B26:F26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4189-AE51-493A-AC39-2738153EA2B8}">
  <sheetPr codeName="Planilha15">
    <pageSetUpPr autoPageBreaks="0"/>
  </sheetPr>
  <dimension ref="A1:AD46"/>
  <sheetViews>
    <sheetView showGridLines="0" topLeftCell="B1" zoomScale="50" zoomScaleNormal="50" workbookViewId="0">
      <pane ySplit="1" topLeftCell="A33" activePane="bottomLeft" state="frozen"/>
      <selection pane="bottomLeft" activeCell="G11" sqref="F4:G11"/>
    </sheetView>
  </sheetViews>
  <sheetFormatPr defaultColWidth="8.88671875" defaultRowHeight="23.4" x14ac:dyDescent="0.45"/>
  <cols>
    <col min="1" max="1" width="5.88671875" style="29" hidden="1" customWidth="1"/>
    <col min="2" max="2" width="9.88671875" style="29" customWidth="1"/>
    <col min="3" max="3" width="11" style="29" hidden="1" customWidth="1"/>
    <col min="4" max="4" width="10.5546875" style="29" hidden="1" customWidth="1"/>
    <col min="5" max="5" width="15.109375" style="29" hidden="1" customWidth="1"/>
    <col min="6" max="6" width="29" style="29" customWidth="1"/>
    <col min="7" max="7" width="79.88671875" style="29" customWidth="1"/>
    <col min="8" max="8" width="7.5546875" style="32" hidden="1" customWidth="1"/>
    <col min="9" max="9" width="9.88671875" style="32" hidden="1" customWidth="1"/>
    <col min="10" max="10" width="16.44140625" style="29" hidden="1" customWidth="1"/>
    <col min="11" max="11" width="25.88671875" style="29" customWidth="1"/>
    <col min="12" max="12" width="22.5546875" style="29" customWidth="1"/>
    <col min="13" max="13" width="23.6640625" style="29" customWidth="1"/>
    <col min="14" max="14" width="26.44140625" style="29" bestFit="1" customWidth="1"/>
    <col min="15" max="15" width="19.109375" style="29" hidden="1" customWidth="1"/>
    <col min="16" max="16" width="1.88671875" style="29" hidden="1" customWidth="1"/>
    <col min="17" max="17" width="11.33203125" style="32" bestFit="1" customWidth="1"/>
    <col min="18" max="18" width="8.44140625" style="32" hidden="1" customWidth="1"/>
    <col min="19" max="19" width="17.88671875" style="29" hidden="1" customWidth="1"/>
    <col min="20" max="20" width="26.88671875" style="29" bestFit="1" customWidth="1"/>
    <col min="21" max="21" width="24.6640625" style="29" hidden="1" customWidth="1"/>
    <col min="22" max="22" width="9.6640625" style="29" hidden="1" customWidth="1"/>
    <col min="23" max="23" width="16.109375" style="29" hidden="1" customWidth="1"/>
    <col min="24" max="24" width="27.33203125" style="29" bestFit="1" customWidth="1"/>
    <col min="25" max="25" width="26.6640625" style="29" hidden="1" customWidth="1"/>
    <col min="26" max="26" width="14.6640625" style="29" hidden="1" customWidth="1"/>
    <col min="27" max="27" width="24.6640625" style="29" hidden="1" customWidth="1"/>
    <col min="28" max="28" width="32.6640625" style="152" customWidth="1"/>
    <col min="29" max="29" width="31" style="152" customWidth="1"/>
    <col min="30" max="30" width="38.109375" style="157" customWidth="1"/>
    <col min="31" max="31" width="21.33203125" style="29" customWidth="1"/>
    <col min="32" max="16384" width="8.88671875" style="29"/>
  </cols>
  <sheetData>
    <row r="1" spans="1:30" ht="49.5" customHeight="1" x14ac:dyDescent="0.45">
      <c r="B1" s="30"/>
      <c r="C1" s="31"/>
      <c r="D1" s="31"/>
      <c r="F1" s="205" t="s">
        <v>92</v>
      </c>
      <c r="G1" s="205"/>
    </row>
    <row r="2" spans="1:30" ht="24.75" customHeight="1" x14ac:dyDescent="0.45">
      <c r="B2" s="33"/>
      <c r="D2" s="31"/>
      <c r="F2" s="206" t="s">
        <v>0</v>
      </c>
      <c r="G2" s="206"/>
    </row>
    <row r="3" spans="1:30" ht="24" thickBot="1" x14ac:dyDescent="0.5">
      <c r="B3" s="34"/>
      <c r="F3" s="35"/>
      <c r="G3" s="35"/>
    </row>
    <row r="4" spans="1:30" ht="29.1" customHeight="1" x14ac:dyDescent="0.45">
      <c r="F4" s="36" t="s">
        <v>105</v>
      </c>
      <c r="G4" s="37" t="s">
        <v>160</v>
      </c>
    </row>
    <row r="5" spans="1:30" ht="27.6" customHeight="1" x14ac:dyDescent="0.45">
      <c r="F5" s="38" t="s">
        <v>106</v>
      </c>
      <c r="G5" s="39" t="s">
        <v>104</v>
      </c>
    </row>
    <row r="6" spans="1:30" ht="24.9" customHeight="1" x14ac:dyDescent="0.45">
      <c r="D6" s="29" t="s">
        <v>90</v>
      </c>
      <c r="F6" s="38" t="s">
        <v>107</v>
      </c>
      <c r="G6" s="39" t="s">
        <v>157</v>
      </c>
    </row>
    <row r="7" spans="1:30" ht="25.5" customHeight="1" x14ac:dyDescent="0.45">
      <c r="F7" s="38" t="s">
        <v>108</v>
      </c>
      <c r="G7" s="39" t="s">
        <v>158</v>
      </c>
      <c r="J7" s="29" t="s">
        <v>91</v>
      </c>
    </row>
    <row r="8" spans="1:30" ht="26.1" customHeight="1" x14ac:dyDescent="0.45">
      <c r="F8" s="38" t="s">
        <v>109</v>
      </c>
      <c r="G8" s="39">
        <v>20052026</v>
      </c>
    </row>
    <row r="9" spans="1:30" ht="27.6" customHeight="1" x14ac:dyDescent="0.45">
      <c r="F9" s="38" t="s">
        <v>110</v>
      </c>
      <c r="G9" s="39" t="s">
        <v>159</v>
      </c>
      <c r="J9" s="29" t="s">
        <v>90</v>
      </c>
    </row>
    <row r="10" spans="1:30" ht="27" customHeight="1" x14ac:dyDescent="0.45">
      <c r="F10" s="38" t="s">
        <v>111</v>
      </c>
      <c r="G10" s="39" t="s">
        <v>159</v>
      </c>
    </row>
    <row r="11" spans="1:30" ht="24.6" customHeight="1" thickBot="1" x14ac:dyDescent="0.5">
      <c r="F11" s="40" t="s">
        <v>112</v>
      </c>
      <c r="G11" s="41" t="s">
        <v>161</v>
      </c>
    </row>
    <row r="12" spans="1:30" ht="47.4" hidden="1" thickBot="1" x14ac:dyDescent="0.5">
      <c r="B12" s="42"/>
      <c r="M12" s="43"/>
      <c r="Q12" s="207" t="s">
        <v>1</v>
      </c>
      <c r="R12" s="208"/>
      <c r="S12" s="208"/>
      <c r="T12" s="209"/>
      <c r="U12" s="216" t="s">
        <v>2</v>
      </c>
      <c r="V12" s="217"/>
      <c r="W12" s="217"/>
      <c r="X12" s="218"/>
      <c r="Y12" s="44" t="s">
        <v>48</v>
      </c>
      <c r="Z12" s="45">
        <f>(1/(1-M14))-1</f>
        <v>0.24269914253759173</v>
      </c>
    </row>
    <row r="13" spans="1:30" ht="24" thickBot="1" x14ac:dyDescent="0.5">
      <c r="A13" s="46" t="s">
        <v>4</v>
      </c>
      <c r="B13" s="47" t="s">
        <v>5</v>
      </c>
      <c r="C13" s="46" t="s">
        <v>6</v>
      </c>
      <c r="D13" s="46" t="s">
        <v>7</v>
      </c>
      <c r="E13" s="46" t="s">
        <v>8</v>
      </c>
      <c r="M13" s="48">
        <v>0.81</v>
      </c>
    </row>
    <row r="14" spans="1:30" ht="70.8" thickBot="1" x14ac:dyDescent="0.5">
      <c r="A14" s="49">
        <v>0</v>
      </c>
      <c r="B14" s="50"/>
      <c r="C14" s="51"/>
      <c r="D14" s="52"/>
      <c r="E14" s="52"/>
      <c r="F14" s="53" t="s">
        <v>72</v>
      </c>
      <c r="G14" s="54" t="s">
        <v>73</v>
      </c>
      <c r="H14" s="55" t="s">
        <v>74</v>
      </c>
      <c r="I14" s="55" t="s">
        <v>75</v>
      </c>
      <c r="J14" s="56" t="s">
        <v>76</v>
      </c>
      <c r="K14" s="57" t="s">
        <v>9</v>
      </c>
      <c r="L14" s="58">
        <v>0.08</v>
      </c>
      <c r="M14" s="59">
        <v>0.1953</v>
      </c>
      <c r="N14" s="60" t="s">
        <v>70</v>
      </c>
      <c r="Q14" s="61" t="s">
        <v>77</v>
      </c>
      <c r="R14" s="62" t="s">
        <v>78</v>
      </c>
      <c r="S14" s="63" t="s">
        <v>79</v>
      </c>
      <c r="T14" s="64" t="s">
        <v>80</v>
      </c>
      <c r="U14" s="65" t="s">
        <v>81</v>
      </c>
      <c r="V14" s="66" t="s">
        <v>82</v>
      </c>
      <c r="W14" s="67" t="s">
        <v>83</v>
      </c>
      <c r="X14" s="67" t="s">
        <v>84</v>
      </c>
      <c r="Y14" s="68" t="s">
        <v>85</v>
      </c>
      <c r="Z14" s="69" t="s">
        <v>86</v>
      </c>
      <c r="AA14" s="70" t="s">
        <v>71</v>
      </c>
      <c r="AB14" s="153" t="s">
        <v>87</v>
      </c>
      <c r="AC14" s="154" t="s">
        <v>88</v>
      </c>
      <c r="AD14" s="71"/>
    </row>
    <row r="15" spans="1:30" ht="35.1" customHeight="1" thickBot="1" x14ac:dyDescent="0.5">
      <c r="A15" s="52">
        <v>1</v>
      </c>
      <c r="B15" s="72">
        <v>1</v>
      </c>
      <c r="C15" s="73" t="s">
        <v>93</v>
      </c>
      <c r="D15" s="52"/>
      <c r="E15" s="74"/>
      <c r="F15" s="210" t="s">
        <v>116</v>
      </c>
      <c r="G15" s="211"/>
      <c r="H15" s="211"/>
      <c r="I15" s="211"/>
      <c r="J15" s="211"/>
      <c r="K15" s="211"/>
      <c r="L15" s="211"/>
      <c r="M15" s="211"/>
      <c r="N15" s="211"/>
      <c r="Q15" s="211" t="str">
        <f>IF(F15&lt;&gt;"",F15,"")</f>
        <v xml:space="preserve">INTERNOS </v>
      </c>
      <c r="R15" s="211"/>
      <c r="S15" s="211"/>
      <c r="T15" s="211"/>
      <c r="U15" s="211"/>
      <c r="V15" s="211"/>
      <c r="W15" s="211"/>
      <c r="X15" s="211"/>
      <c r="Y15" s="211"/>
      <c r="AB15" s="200"/>
      <c r="AC15" s="200"/>
      <c r="AD15" s="75"/>
    </row>
    <row r="16" spans="1:30" ht="35.1" customHeight="1" x14ac:dyDescent="0.45">
      <c r="A16" s="52">
        <v>2</v>
      </c>
      <c r="B16" s="72" t="s">
        <v>95</v>
      </c>
      <c r="C16" s="73" t="s">
        <v>94</v>
      </c>
      <c r="D16" s="52"/>
      <c r="E16" s="52"/>
      <c r="F16" s="212" t="s">
        <v>116</v>
      </c>
      <c r="G16" s="213"/>
      <c r="H16" s="213"/>
      <c r="I16" s="213"/>
      <c r="J16" s="213"/>
      <c r="K16" s="214"/>
      <c r="L16" s="76" t="s">
        <v>96</v>
      </c>
      <c r="M16" s="77" t="s">
        <v>97</v>
      </c>
      <c r="N16" s="78" t="s">
        <v>70</v>
      </c>
      <c r="Q16" s="212" t="str">
        <f>IF(F16&lt;&gt;"",F16,"")</f>
        <v xml:space="preserve">INTERNOS </v>
      </c>
      <c r="R16" s="213"/>
      <c r="S16" s="213"/>
      <c r="T16" s="213"/>
      <c r="U16" s="213"/>
      <c r="V16" s="213"/>
      <c r="W16" s="213"/>
      <c r="X16" s="213"/>
      <c r="Y16" s="215"/>
      <c r="Z16" s="79" t="s">
        <v>98</v>
      </c>
      <c r="AA16" s="80" t="s">
        <v>71</v>
      </c>
      <c r="AB16" s="201"/>
      <c r="AC16" s="202"/>
      <c r="AD16" s="81"/>
    </row>
    <row r="17" spans="1:30" ht="99.9" customHeight="1" x14ac:dyDescent="0.45">
      <c r="A17" s="52">
        <v>3</v>
      </c>
      <c r="B17" s="72" t="s">
        <v>113</v>
      </c>
      <c r="C17" s="73" t="s">
        <v>99</v>
      </c>
      <c r="D17" s="52" t="s">
        <v>118</v>
      </c>
      <c r="E17" s="52" t="s">
        <v>117</v>
      </c>
      <c r="F17" s="82" t="s">
        <v>119</v>
      </c>
      <c r="G17" s="83" t="s">
        <v>120</v>
      </c>
      <c r="H17" s="84">
        <v>1</v>
      </c>
      <c r="I17" s="84">
        <v>1</v>
      </c>
      <c r="J17" s="85">
        <v>2242</v>
      </c>
      <c r="K17" s="85">
        <f>IF(F17&lt;&gt;"",H17*I17*J17,"")</f>
        <v>2242</v>
      </c>
      <c r="L17" s="85">
        <f>IF(K17&lt;&gt;"",IF(D17="INTERNO",0,K17*$L$14),"")</f>
        <v>0</v>
      </c>
      <c r="M17" s="85">
        <f>IF(K17&lt;&gt;"",IF(E17="FAT.OGGI",SUM(K17:L17)*(1/(1-$M$14)-1),L17*(1/(1-$M$14)-1)),"")</f>
        <v>544.13147756928061</v>
      </c>
      <c r="N17" s="86">
        <f>SUM(K17:M17)</f>
        <v>2786.1314775692808</v>
      </c>
      <c r="Q17" s="87">
        <f t="shared" ref="Q17:R19" si="0">IF(H17&lt;&gt;"",H17,"")</f>
        <v>1</v>
      </c>
      <c r="R17" s="88">
        <f t="shared" si="0"/>
        <v>1</v>
      </c>
      <c r="S17" s="89">
        <v>0</v>
      </c>
      <c r="T17" s="89">
        <f>IF(Q17&lt;&gt;"",Q17*R17*S17,"")</f>
        <v>0</v>
      </c>
      <c r="U17" s="90">
        <f>IF(Q17&lt;&gt;"",K17-T17,"")</f>
        <v>2242</v>
      </c>
      <c r="V17" s="91">
        <f>IF(Q17&lt;&gt;"",0%,"")</f>
        <v>0</v>
      </c>
      <c r="W17" s="92">
        <f>IF(Q17&lt;&gt;"",V17*U17,"")</f>
        <v>0</v>
      </c>
      <c r="X17" s="92">
        <f>IF(Q17&lt;&gt;"",W17+T17,"")</f>
        <v>0</v>
      </c>
      <c r="Y17" s="93">
        <f>IF(Q17&lt;&gt;"",X17+M17,"")</f>
        <v>544.13147756928061</v>
      </c>
      <c r="Z17" s="94">
        <f>IF(Q17&lt;&gt;"",U17/K17,"")</f>
        <v>1</v>
      </c>
      <c r="AA17" s="95" t="e">
        <f>T17/$T$20</f>
        <v>#DIV/0!</v>
      </c>
      <c r="AB17" s="155">
        <f>X17-AC17</f>
        <v>0</v>
      </c>
      <c r="AC17" s="156"/>
    </row>
    <row r="18" spans="1:30" ht="99.9" customHeight="1" x14ac:dyDescent="0.45">
      <c r="A18" s="52">
        <v>4</v>
      </c>
      <c r="B18" s="72" t="s">
        <v>89</v>
      </c>
      <c r="C18" s="73" t="s">
        <v>99</v>
      </c>
      <c r="D18" s="52" t="s">
        <v>118</v>
      </c>
      <c r="E18" s="52" t="s">
        <v>117</v>
      </c>
      <c r="F18" s="82" t="s">
        <v>121</v>
      </c>
      <c r="G18" s="83" t="s">
        <v>122</v>
      </c>
      <c r="H18" s="84">
        <v>1</v>
      </c>
      <c r="I18" s="84">
        <v>1</v>
      </c>
      <c r="J18" s="85">
        <v>2006</v>
      </c>
      <c r="K18" s="85">
        <f>IF(F18&lt;&gt;"",H18*I18*J18,"")</f>
        <v>2006</v>
      </c>
      <c r="L18" s="85">
        <f>IF(K18&lt;&gt;"",IF(D18="INTERNO",0,K18*$L$14),"")</f>
        <v>0</v>
      </c>
      <c r="M18" s="85">
        <f>IF(K18&lt;&gt;"",IF(E18="FAT.OGGI",SUM(K18:L18)*(1/(1-$M$14)-1),L18*(1/(1-$M$14)-1)),"")</f>
        <v>486.85447993040901</v>
      </c>
      <c r="N18" s="86">
        <f>SUM(K18:M18)</f>
        <v>2492.8544799304091</v>
      </c>
      <c r="Q18" s="87">
        <f t="shared" si="0"/>
        <v>1</v>
      </c>
      <c r="R18" s="88">
        <f t="shared" si="0"/>
        <v>1</v>
      </c>
      <c r="S18" s="89"/>
      <c r="T18" s="89">
        <f>IF(Q18&lt;&gt;"",Q18*R18*S18,"")</f>
        <v>0</v>
      </c>
      <c r="U18" s="90">
        <f>IF(Q18&lt;&gt;"",K18-T18,"")</f>
        <v>2006</v>
      </c>
      <c r="V18" s="91">
        <f>IF(Q18&lt;&gt;"",0%,"")</f>
        <v>0</v>
      </c>
      <c r="W18" s="92">
        <f>IF(Q18&lt;&gt;"",V18*U18,"")</f>
        <v>0</v>
      </c>
      <c r="X18" s="92">
        <f>IF(Q18&lt;&gt;"",W18+T18,"")</f>
        <v>0</v>
      </c>
      <c r="Y18" s="93">
        <f>IF(Q18&lt;&gt;"",X18+M18,"")</f>
        <v>486.85447993040901</v>
      </c>
      <c r="Z18" s="94">
        <f>IF(Q18&lt;&gt;"",U18/K18,"")</f>
        <v>1</v>
      </c>
      <c r="AA18" s="95" t="e">
        <f>T18/$T$20</f>
        <v>#DIV/0!</v>
      </c>
      <c r="AB18" s="155">
        <f t="shared" ref="AB18:AB38" si="1">X18-AC18</f>
        <v>0</v>
      </c>
      <c r="AC18" s="156"/>
    </row>
    <row r="19" spans="1:30" ht="99.9" customHeight="1" x14ac:dyDescent="0.45">
      <c r="A19" s="52">
        <v>5</v>
      </c>
      <c r="B19" s="72" t="s">
        <v>115</v>
      </c>
      <c r="C19" s="73" t="s">
        <v>99</v>
      </c>
      <c r="D19" s="52" t="s">
        <v>118</v>
      </c>
      <c r="E19" s="52" t="s">
        <v>117</v>
      </c>
      <c r="F19" s="96" t="s">
        <v>123</v>
      </c>
      <c r="G19" s="97" t="s">
        <v>124</v>
      </c>
      <c r="H19" s="98">
        <v>1</v>
      </c>
      <c r="I19" s="98">
        <v>1</v>
      </c>
      <c r="J19" s="99">
        <v>500</v>
      </c>
      <c r="K19" s="99">
        <f>IF(F19&lt;&gt;"",H19*I19*J19,"")</f>
        <v>500</v>
      </c>
      <c r="L19" s="99">
        <f>IF(K19&lt;&gt;"",IF(D19="INTERNO",0,K19*$L$14),"")</f>
        <v>0</v>
      </c>
      <c r="M19" s="99">
        <f>IF(K19&lt;&gt;"",IF(E19="FAT.OGGI",SUM(K19:L19)*(1/(1-$M$14)-1),L19*(1/(1-$M$14)-1)),"")</f>
        <v>121.34957126879587</v>
      </c>
      <c r="N19" s="100">
        <f>SUM(K19:M19)</f>
        <v>621.3495712687959</v>
      </c>
      <c r="Q19" s="101">
        <f t="shared" si="0"/>
        <v>1</v>
      </c>
      <c r="R19" s="102">
        <f t="shared" si="0"/>
        <v>1</v>
      </c>
      <c r="S19" s="103"/>
      <c r="T19" s="103">
        <f>IF(Q19&lt;&gt;"",Q19*R19*S19,"")</f>
        <v>0</v>
      </c>
      <c r="U19" s="104">
        <f>IF(Q19&lt;&gt;"",K19-T19,"")</f>
        <v>500</v>
      </c>
      <c r="V19" s="105">
        <f>IF(Q19&lt;&gt;"",0%,"")</f>
        <v>0</v>
      </c>
      <c r="W19" s="106">
        <f>IF(Q19&lt;&gt;"",V19*U19,"")</f>
        <v>0</v>
      </c>
      <c r="X19" s="106">
        <f>IF(Q19&lt;&gt;"",W19+T19,"")</f>
        <v>0</v>
      </c>
      <c r="Y19" s="107">
        <f>IF(Q19&lt;&gt;"",X19+M19,"")</f>
        <v>121.34957126879587</v>
      </c>
      <c r="Z19" s="94">
        <f>IF(Q19&lt;&gt;"",U19/K19,"")</f>
        <v>1</v>
      </c>
      <c r="AA19" s="95" t="e">
        <f>T19/$T$20</f>
        <v>#DIV/0!</v>
      </c>
      <c r="AB19" s="155">
        <f t="shared" si="1"/>
        <v>0</v>
      </c>
      <c r="AC19" s="156"/>
    </row>
    <row r="20" spans="1:30" ht="35.1" customHeight="1" thickBot="1" x14ac:dyDescent="0.5">
      <c r="A20" s="52">
        <v>6</v>
      </c>
      <c r="B20" s="72"/>
      <c r="C20" s="73" t="s">
        <v>100</v>
      </c>
      <c r="D20" s="52"/>
      <c r="E20" s="52"/>
      <c r="F20" s="203" t="s">
        <v>125</v>
      </c>
      <c r="G20" s="204"/>
      <c r="H20" s="204"/>
      <c r="I20" s="204"/>
      <c r="J20" s="204"/>
      <c r="K20" s="108">
        <f>SUM(K17:K19)</f>
        <v>4748</v>
      </c>
      <c r="L20" s="109">
        <f>SUM(L17:L19)</f>
        <v>0</v>
      </c>
      <c r="M20" s="109">
        <f>SUM(M17:M19)</f>
        <v>1152.3355287684856</v>
      </c>
      <c r="N20" s="110">
        <f>SUM(N17:N19)</f>
        <v>5900.3355287684863</v>
      </c>
      <c r="Q20" s="203" t="s">
        <v>125</v>
      </c>
      <c r="R20" s="204"/>
      <c r="S20" s="204"/>
      <c r="T20" s="111">
        <f>SUM(T17:T19)</f>
        <v>0</v>
      </c>
      <c r="U20" s="112">
        <f>SUM(U17:U19)</f>
        <v>4748</v>
      </c>
      <c r="V20" s="113"/>
      <c r="W20" s="113"/>
      <c r="X20" s="114">
        <f>SUM(X17:X19)</f>
        <v>0</v>
      </c>
      <c r="Y20" s="115">
        <f>IF(Q20&lt;&gt;"",X20+M20,"")</f>
        <v>1152.3355287684856</v>
      </c>
      <c r="AB20" s="155"/>
      <c r="AC20" s="156"/>
    </row>
    <row r="21" spans="1:30" ht="35.1" customHeight="1" thickBot="1" x14ac:dyDescent="0.5">
      <c r="A21" s="52">
        <v>7</v>
      </c>
      <c r="B21" s="72">
        <v>2</v>
      </c>
      <c r="C21" s="73" t="s">
        <v>93</v>
      </c>
      <c r="D21" s="52"/>
      <c r="E21" s="74"/>
      <c r="F21" s="210" t="s">
        <v>127</v>
      </c>
      <c r="G21" s="211"/>
      <c r="H21" s="211"/>
      <c r="I21" s="211"/>
      <c r="J21" s="211"/>
      <c r="K21" s="211"/>
      <c r="L21" s="211"/>
      <c r="M21" s="211"/>
      <c r="N21" s="211"/>
      <c r="Q21" s="219" t="str">
        <f>IF(F21&lt;&gt;"",F21,"")</f>
        <v>STAFF</v>
      </c>
      <c r="R21" s="219"/>
      <c r="S21" s="219"/>
      <c r="T21" s="219"/>
      <c r="U21" s="219"/>
      <c r="V21" s="219"/>
      <c r="W21" s="219"/>
      <c r="X21" s="219"/>
      <c r="Y21" s="219"/>
      <c r="AB21" s="155"/>
      <c r="AC21" s="156"/>
    </row>
    <row r="22" spans="1:30" ht="35.1" customHeight="1" x14ac:dyDescent="0.45">
      <c r="A22" s="52">
        <v>8</v>
      </c>
      <c r="B22" s="72" t="s">
        <v>126</v>
      </c>
      <c r="C22" s="73" t="s">
        <v>94</v>
      </c>
      <c r="D22" s="52"/>
      <c r="E22" s="52"/>
      <c r="F22" s="212" t="s">
        <v>127</v>
      </c>
      <c r="G22" s="213"/>
      <c r="H22" s="213"/>
      <c r="I22" s="213"/>
      <c r="J22" s="213"/>
      <c r="K22" s="214"/>
      <c r="L22" s="76" t="s">
        <v>96</v>
      </c>
      <c r="M22" s="77" t="s">
        <v>97</v>
      </c>
      <c r="N22" s="78" t="s">
        <v>70</v>
      </c>
      <c r="Q22" s="212" t="str">
        <f>IF(F22&lt;&gt;"",F22,"")</f>
        <v>STAFF</v>
      </c>
      <c r="R22" s="213"/>
      <c r="S22" s="213"/>
      <c r="T22" s="213"/>
      <c r="U22" s="213"/>
      <c r="V22" s="213"/>
      <c r="W22" s="213"/>
      <c r="X22" s="213"/>
      <c r="Y22" s="215"/>
      <c r="Z22" s="79" t="s">
        <v>98</v>
      </c>
      <c r="AA22" s="80" t="s">
        <v>71</v>
      </c>
      <c r="AB22" s="155"/>
      <c r="AC22" s="156"/>
    </row>
    <row r="23" spans="1:30" ht="99.9" customHeight="1" x14ac:dyDescent="0.45">
      <c r="A23" s="52">
        <v>9</v>
      </c>
      <c r="B23" s="72" t="s">
        <v>128</v>
      </c>
      <c r="C23" s="73" t="s">
        <v>99</v>
      </c>
      <c r="D23" s="52" t="s">
        <v>101</v>
      </c>
      <c r="E23" s="52" t="s">
        <v>102</v>
      </c>
      <c r="F23" s="116" t="s">
        <v>129</v>
      </c>
      <c r="G23" s="83" t="s">
        <v>130</v>
      </c>
      <c r="H23" s="84">
        <v>1</v>
      </c>
      <c r="I23" s="84">
        <v>1</v>
      </c>
      <c r="J23" s="85">
        <v>900</v>
      </c>
      <c r="K23" s="85">
        <f>IF(F23&lt;&gt;"",H23*I23*J23,"")</f>
        <v>900</v>
      </c>
      <c r="L23" s="85">
        <f>IF(K23&lt;&gt;"",IF(D23="INTERNO",0,K23*$L$14),"")</f>
        <v>72</v>
      </c>
      <c r="M23" s="85">
        <f>IF(K23&lt;&gt;"",IF(E23="FAT.OGGI",SUM(K23:L23)*(1/(1-$M$14)-1),L23*(1/(1-$M$14)-1)),"")</f>
        <v>17.474338262706603</v>
      </c>
      <c r="N23" s="86">
        <f>SUM(K23:M23)</f>
        <v>989.47433826270662</v>
      </c>
      <c r="Q23" s="87">
        <f>IF(H23&lt;&gt;"",H23,"")</f>
        <v>1</v>
      </c>
      <c r="R23" s="88">
        <f>IF(I23&lt;&gt;"",I23,"")</f>
        <v>1</v>
      </c>
      <c r="S23" s="89">
        <v>500</v>
      </c>
      <c r="T23" s="89">
        <f>IF(Q23&lt;&gt;"",Q23*R23*S23,"")</f>
        <v>500</v>
      </c>
      <c r="U23" s="90">
        <f>IF(Q23&lt;&gt;"",K23-T23,"")</f>
        <v>400</v>
      </c>
      <c r="V23" s="91">
        <f>IF(Q23&lt;&gt;"",0%,"")</f>
        <v>0</v>
      </c>
      <c r="W23" s="92">
        <f>IF(Q23&lt;&gt;"",V23*U23,"")</f>
        <v>0</v>
      </c>
      <c r="X23" s="92">
        <f>IF(Q23&lt;&gt;"",W23+T23,"")</f>
        <v>500</v>
      </c>
      <c r="Y23" s="93">
        <f>IF(Q23&lt;&gt;"",X23+M23,"")</f>
        <v>517.47433826270662</v>
      </c>
      <c r="Z23" s="94">
        <f>IF(Q23&lt;&gt;"",U23/K23,"")</f>
        <v>0.44444444444444442</v>
      </c>
      <c r="AA23" s="95">
        <f>T23/$T$25</f>
        <v>0.52631578947368418</v>
      </c>
      <c r="AB23" s="155">
        <f t="shared" si="1"/>
        <v>0</v>
      </c>
      <c r="AC23" s="156">
        <v>500</v>
      </c>
      <c r="AD23" s="157" t="s">
        <v>177</v>
      </c>
    </row>
    <row r="24" spans="1:30" ht="99.9" customHeight="1" x14ac:dyDescent="0.45">
      <c r="A24" s="52">
        <v>10</v>
      </c>
      <c r="B24" s="72" t="s">
        <v>114</v>
      </c>
      <c r="C24" s="73" t="s">
        <v>99</v>
      </c>
      <c r="D24" s="52" t="s">
        <v>101</v>
      </c>
      <c r="E24" s="52" t="s">
        <v>102</v>
      </c>
      <c r="F24" s="117" t="s">
        <v>131</v>
      </c>
      <c r="G24" s="97" t="s">
        <v>132</v>
      </c>
      <c r="H24" s="98">
        <v>1</v>
      </c>
      <c r="I24" s="98">
        <v>1</v>
      </c>
      <c r="J24" s="99">
        <v>800</v>
      </c>
      <c r="K24" s="99">
        <f>IF(F24&lt;&gt;"",H24*I24*J24,"")</f>
        <v>800</v>
      </c>
      <c r="L24" s="99">
        <f>IF(K24&lt;&gt;"",IF(D24="INTERNO",0,K24*$L$14),"")</f>
        <v>64</v>
      </c>
      <c r="M24" s="99">
        <f>IF(K24&lt;&gt;"",IF(E24="FAT.OGGI",SUM(K24:L24)*(1/(1-$M$14)-1),L24*(1/(1-$M$14)-1)),"")</f>
        <v>15.532745122405871</v>
      </c>
      <c r="N24" s="100">
        <f>SUM(K24:M24)</f>
        <v>879.53274512240591</v>
      </c>
      <c r="Q24" s="101">
        <f>IF(H24&lt;&gt;"",H24,"")</f>
        <v>1</v>
      </c>
      <c r="R24" s="102">
        <f>IF(I24&lt;&gt;"",I24,"")</f>
        <v>1</v>
      </c>
      <c r="S24" s="103">
        <v>450</v>
      </c>
      <c r="T24" s="103">
        <f>IF(Q24&lt;&gt;"",Q24*R24*S24,"")</f>
        <v>450</v>
      </c>
      <c r="U24" s="104">
        <f>IF(Q24&lt;&gt;"",K24-T24,"")</f>
        <v>350</v>
      </c>
      <c r="V24" s="105">
        <f>IF(Q24&lt;&gt;"",0%,"")</f>
        <v>0</v>
      </c>
      <c r="W24" s="106">
        <f>IF(Q24&lt;&gt;"",V24*U24,"")</f>
        <v>0</v>
      </c>
      <c r="X24" s="106">
        <f>IF(Q24&lt;&gt;"",W24+T24,"")</f>
        <v>450</v>
      </c>
      <c r="Y24" s="107">
        <f>IF(Q24&lt;&gt;"",X24+M24,"")</f>
        <v>465.53274512240586</v>
      </c>
      <c r="Z24" s="94">
        <f>IF(Q24&lt;&gt;"",U24/K24,"")</f>
        <v>0.4375</v>
      </c>
      <c r="AA24" s="95">
        <f>T24/$T$25</f>
        <v>0.47368421052631576</v>
      </c>
      <c r="AB24" s="155">
        <f t="shared" si="1"/>
        <v>0</v>
      </c>
      <c r="AC24" s="156">
        <v>450</v>
      </c>
      <c r="AD24" s="157" t="s">
        <v>178</v>
      </c>
    </row>
    <row r="25" spans="1:30" ht="35.1" customHeight="1" thickBot="1" x14ac:dyDescent="0.5">
      <c r="A25" s="52">
        <v>11</v>
      </c>
      <c r="B25" s="72"/>
      <c r="C25" s="73" t="s">
        <v>100</v>
      </c>
      <c r="D25" s="52"/>
      <c r="E25" s="52"/>
      <c r="F25" s="220" t="s">
        <v>133</v>
      </c>
      <c r="G25" s="221"/>
      <c r="H25" s="221"/>
      <c r="I25" s="221"/>
      <c r="J25" s="221"/>
      <c r="K25" s="109">
        <f>SUM(K23:K24)</f>
        <v>1700</v>
      </c>
      <c r="L25" s="109">
        <f>SUM(L23:L24)</f>
        <v>136</v>
      </c>
      <c r="M25" s="109">
        <f>SUM(M23:M24)</f>
        <v>33.007083385112473</v>
      </c>
      <c r="N25" s="118">
        <f>SUM(N23:N24)</f>
        <v>1869.0070833851125</v>
      </c>
      <c r="Q25" s="220" t="s">
        <v>133</v>
      </c>
      <c r="R25" s="221"/>
      <c r="S25" s="221"/>
      <c r="T25" s="119">
        <f>SUM(T23:T24)</f>
        <v>950</v>
      </c>
      <c r="U25" s="120">
        <f>SUM(U23:U24)</f>
        <v>750</v>
      </c>
      <c r="V25" s="121"/>
      <c r="W25" s="121"/>
      <c r="X25" s="122">
        <f>SUM(X23:X24)</f>
        <v>950</v>
      </c>
      <c r="Y25" s="123">
        <f>IF(Q25&lt;&gt;"",X25+M25,"")</f>
        <v>983.00708338511242</v>
      </c>
      <c r="AB25" s="155"/>
      <c r="AC25" s="156"/>
    </row>
    <row r="26" spans="1:30" ht="35.1" customHeight="1" thickBot="1" x14ac:dyDescent="0.5">
      <c r="A26" s="52">
        <v>12</v>
      </c>
      <c r="B26" s="72">
        <v>3</v>
      </c>
      <c r="C26" s="73" t="s">
        <v>93</v>
      </c>
      <c r="D26" s="52"/>
      <c r="E26" s="52"/>
      <c r="F26" s="222" t="s">
        <v>135</v>
      </c>
      <c r="G26" s="219"/>
      <c r="H26" s="219"/>
      <c r="I26" s="219"/>
      <c r="J26" s="219"/>
      <c r="K26" s="219"/>
      <c r="L26" s="219"/>
      <c r="M26" s="219"/>
      <c r="N26" s="223"/>
      <c r="Q26" s="224" t="str">
        <f>IF(F26&lt;&gt;"",F26,"")</f>
        <v>A&amp;B</v>
      </c>
      <c r="R26" s="225"/>
      <c r="S26" s="225"/>
      <c r="T26" s="225"/>
      <c r="U26" s="225"/>
      <c r="V26" s="225"/>
      <c r="W26" s="225"/>
      <c r="X26" s="225"/>
      <c r="Y26" s="226"/>
      <c r="AB26" s="155"/>
      <c r="AC26" s="156"/>
    </row>
    <row r="27" spans="1:30" ht="35.1" customHeight="1" x14ac:dyDescent="0.45">
      <c r="A27" s="52">
        <v>13</v>
      </c>
      <c r="B27" s="72" t="s">
        <v>134</v>
      </c>
      <c r="C27" s="73" t="s">
        <v>94</v>
      </c>
      <c r="D27" s="52"/>
      <c r="E27" s="52"/>
      <c r="F27" s="212" t="s">
        <v>135</v>
      </c>
      <c r="G27" s="213"/>
      <c r="H27" s="213"/>
      <c r="I27" s="213"/>
      <c r="J27" s="213"/>
      <c r="K27" s="214"/>
      <c r="L27" s="76" t="s">
        <v>96</v>
      </c>
      <c r="M27" s="77" t="s">
        <v>97</v>
      </c>
      <c r="N27" s="78" t="s">
        <v>70</v>
      </c>
      <c r="Q27" s="227" t="str">
        <f>IF(F27&lt;&gt;"",F27,"")</f>
        <v>A&amp;B</v>
      </c>
      <c r="R27" s="228"/>
      <c r="S27" s="228"/>
      <c r="T27" s="228"/>
      <c r="U27" s="228"/>
      <c r="V27" s="228"/>
      <c r="W27" s="228"/>
      <c r="X27" s="228"/>
      <c r="Y27" s="229"/>
      <c r="Z27" s="79" t="s">
        <v>98</v>
      </c>
      <c r="AA27" s="80" t="s">
        <v>71</v>
      </c>
      <c r="AB27" s="155"/>
      <c r="AC27" s="156"/>
    </row>
    <row r="28" spans="1:30" ht="99.9" customHeight="1" x14ac:dyDescent="0.45">
      <c r="A28" s="52">
        <v>14</v>
      </c>
      <c r="B28" s="72" t="s">
        <v>136</v>
      </c>
      <c r="C28" s="73" t="s">
        <v>99</v>
      </c>
      <c r="D28" s="52" t="s">
        <v>101</v>
      </c>
      <c r="E28" s="52" t="s">
        <v>102</v>
      </c>
      <c r="F28" s="116" t="s">
        <v>137</v>
      </c>
      <c r="G28" s="83" t="s">
        <v>138</v>
      </c>
      <c r="H28" s="84">
        <v>1</v>
      </c>
      <c r="I28" s="84">
        <v>1</v>
      </c>
      <c r="J28" s="85">
        <v>850</v>
      </c>
      <c r="K28" s="85">
        <f>IF(F28&lt;&gt;"",H28*I28*J28,"")</f>
        <v>850</v>
      </c>
      <c r="L28" s="85">
        <f>IF(K28&lt;&gt;"",IF(D28="INTERNO",0,K28*$L$14),"")</f>
        <v>68</v>
      </c>
      <c r="M28" s="85">
        <f>IF(K28&lt;&gt;"",IF(E28="FAT.OGGI",SUM(K28:L28)*(1/(1-$M$14)-1),L28*(1/(1-$M$14)-1)),"")</f>
        <v>16.503541692556237</v>
      </c>
      <c r="N28" s="86">
        <f>SUM(K28:M28)</f>
        <v>934.50354169255627</v>
      </c>
      <c r="Q28" s="124">
        <f>IF(H28&lt;&gt;"",H28,"")</f>
        <v>1</v>
      </c>
      <c r="R28" s="125">
        <f>IF(I28&lt;&gt;"",I28,"")</f>
        <v>1</v>
      </c>
      <c r="S28" s="126">
        <v>850</v>
      </c>
      <c r="T28" s="126">
        <v>819.91</v>
      </c>
      <c r="U28" s="127">
        <f>IF(Q28&lt;&gt;"",K28-T28,"")</f>
        <v>30.090000000000032</v>
      </c>
      <c r="V28" s="128">
        <f>IF(Q28&lt;&gt;"",0%,"")</f>
        <v>0</v>
      </c>
      <c r="W28" s="129">
        <f>IF(Q28&lt;&gt;"",V28*U28,"")</f>
        <v>0</v>
      </c>
      <c r="X28" s="129">
        <f>IF(Q28&lt;&gt;"",W28+T28,"")</f>
        <v>819.91</v>
      </c>
      <c r="Y28" s="93">
        <f>IF(Q28&lt;&gt;"",X28+M28,"")</f>
        <v>836.41354169255624</v>
      </c>
      <c r="Z28" s="94">
        <f>IF(Q28&lt;&gt;"",U28/K28,"")</f>
        <v>3.5400000000000036E-2</v>
      </c>
      <c r="AA28" s="95">
        <f>T28/$T$30</f>
        <v>1</v>
      </c>
      <c r="AB28" s="155">
        <f t="shared" si="1"/>
        <v>0</v>
      </c>
      <c r="AC28" s="156">
        <v>819.91</v>
      </c>
      <c r="AD28" s="157" t="s">
        <v>179</v>
      </c>
    </row>
    <row r="29" spans="1:30" ht="99.9" customHeight="1" x14ac:dyDescent="0.45">
      <c r="A29" s="130">
        <v>15</v>
      </c>
      <c r="B29" s="72" t="s">
        <v>173</v>
      </c>
      <c r="C29" s="131" t="s">
        <v>99</v>
      </c>
      <c r="D29" s="130" t="s">
        <v>101</v>
      </c>
      <c r="E29" s="130" t="s">
        <v>102</v>
      </c>
      <c r="F29" s="132" t="s">
        <v>175</v>
      </c>
      <c r="G29" s="97" t="s">
        <v>174</v>
      </c>
      <c r="H29" s="98">
        <v>10</v>
      </c>
      <c r="I29" s="98">
        <v>1</v>
      </c>
      <c r="J29" s="99">
        <v>242</v>
      </c>
      <c r="K29" s="99">
        <f>IF(F29&lt;&gt;"",H29*I29*J29,"")</f>
        <v>2420</v>
      </c>
      <c r="L29" s="99">
        <f>IF(K29&lt;&gt;"",IF(D29="INTERNO",0,K29*$L$14),"")</f>
        <v>193.6</v>
      </c>
      <c r="M29" s="99">
        <f>IF(K29&lt;&gt;"",IF(E29="FAT.OGGI",SUM(K29:L29)*(1/(1-$M$14)-1),L29*(1/(1-$M$14)-1)),"")</f>
        <v>46.98655399527776</v>
      </c>
      <c r="N29" s="99">
        <f>SUM(K29:M29)</f>
        <v>2660.5865539952779</v>
      </c>
      <c r="Q29" s="102">
        <f>IF(H29&lt;&gt;"",H29,"")</f>
        <v>10</v>
      </c>
      <c r="R29" s="102">
        <f>IF(I29&lt;&gt;"",I29,"")</f>
        <v>1</v>
      </c>
      <c r="S29" s="103"/>
      <c r="T29" s="103">
        <f>IF(Q29&lt;&gt;"",Q29*R29*S29,"")</f>
        <v>0</v>
      </c>
      <c r="U29" s="104">
        <f>IF(Q29&lt;&gt;"",K29-T29,"")</f>
        <v>2420</v>
      </c>
      <c r="V29" s="105">
        <f>IF(Q29&lt;&gt;"",0%,"")</f>
        <v>0</v>
      </c>
      <c r="W29" s="106">
        <f>IF(Q29&lt;&gt;"",V29*U29,"")</f>
        <v>0</v>
      </c>
      <c r="X29" s="106">
        <f>IF(Q29&lt;&gt;"",W29+T29,"")</f>
        <v>0</v>
      </c>
      <c r="Y29" s="133">
        <f>IF(Q29&lt;&gt;"",X29+M29,"")</f>
        <v>46.98655399527776</v>
      </c>
      <c r="Z29" s="95">
        <f>IF(Q29&lt;&gt;"",U29/K29,"")</f>
        <v>1</v>
      </c>
      <c r="AA29" s="134"/>
      <c r="AB29" s="155">
        <f t="shared" si="1"/>
        <v>0</v>
      </c>
      <c r="AC29" s="156"/>
    </row>
    <row r="30" spans="1:30" ht="35.1" customHeight="1" thickBot="1" x14ac:dyDescent="0.5">
      <c r="A30" s="135">
        <v>16</v>
      </c>
      <c r="B30" s="72"/>
      <c r="C30" s="136" t="s">
        <v>100</v>
      </c>
      <c r="D30" s="135"/>
      <c r="E30" s="135"/>
      <c r="F30" s="230" t="s">
        <v>139</v>
      </c>
      <c r="G30" s="231"/>
      <c r="H30" s="231"/>
      <c r="I30" s="231"/>
      <c r="J30" s="231"/>
      <c r="K30" s="108">
        <f>SUM(K28:K29)</f>
        <v>3270</v>
      </c>
      <c r="L30" s="109">
        <f>SUM(L28:L29)</f>
        <v>261.60000000000002</v>
      </c>
      <c r="M30" s="109">
        <f>SUM(M28:M29)</f>
        <v>63.490095687834</v>
      </c>
      <c r="N30" s="110">
        <f>SUM(N28:N29)</f>
        <v>3595.090095687834</v>
      </c>
      <c r="Q30" s="230" t="s">
        <v>139</v>
      </c>
      <c r="R30" s="231"/>
      <c r="S30" s="231"/>
      <c r="T30" s="111">
        <f>SUM(T28:T29)</f>
        <v>819.91</v>
      </c>
      <c r="U30" s="112">
        <f>SUM(U28:U29)</f>
        <v>2450.09</v>
      </c>
      <c r="V30" s="113"/>
      <c r="W30" s="113"/>
      <c r="X30" s="114">
        <f>SUM(X28:X29)</f>
        <v>819.91</v>
      </c>
      <c r="Y30" s="137">
        <f>IF(Q30&lt;&gt;"",X30+M30,"")</f>
        <v>883.40009568783398</v>
      </c>
      <c r="AB30" s="155"/>
      <c r="AC30" s="156"/>
    </row>
    <row r="31" spans="1:30" ht="35.1" customHeight="1" thickBot="1" x14ac:dyDescent="0.5">
      <c r="A31" s="52">
        <v>17</v>
      </c>
      <c r="B31" s="72">
        <v>4</v>
      </c>
      <c r="C31" s="73" t="s">
        <v>93</v>
      </c>
      <c r="D31" s="52"/>
      <c r="E31" s="74"/>
      <c r="F31" s="210" t="s">
        <v>141</v>
      </c>
      <c r="G31" s="211"/>
      <c r="H31" s="211"/>
      <c r="I31" s="211"/>
      <c r="J31" s="211"/>
      <c r="K31" s="211"/>
      <c r="L31" s="211"/>
      <c r="M31" s="211"/>
      <c r="N31" s="211"/>
      <c r="Q31" s="219" t="str">
        <f>IF(F31&lt;&gt;"",F31,"")</f>
        <v>LOGÍSTICA</v>
      </c>
      <c r="R31" s="219"/>
      <c r="S31" s="219"/>
      <c r="T31" s="219"/>
      <c r="U31" s="219"/>
      <c r="V31" s="219"/>
      <c r="W31" s="219"/>
      <c r="X31" s="219"/>
      <c r="Y31" s="219"/>
      <c r="AB31" s="155"/>
      <c r="AC31" s="156"/>
    </row>
    <row r="32" spans="1:30" ht="35.1" customHeight="1" x14ac:dyDescent="0.45">
      <c r="A32" s="52">
        <v>18</v>
      </c>
      <c r="B32" s="72" t="s">
        <v>140</v>
      </c>
      <c r="C32" s="73" t="s">
        <v>94</v>
      </c>
      <c r="D32" s="52"/>
      <c r="E32" s="52"/>
      <c r="F32" s="212" t="s">
        <v>141</v>
      </c>
      <c r="G32" s="213"/>
      <c r="H32" s="213"/>
      <c r="I32" s="213"/>
      <c r="J32" s="213"/>
      <c r="K32" s="214"/>
      <c r="L32" s="76" t="s">
        <v>96</v>
      </c>
      <c r="M32" s="77" t="s">
        <v>97</v>
      </c>
      <c r="N32" s="78" t="s">
        <v>70</v>
      </c>
      <c r="Q32" s="212" t="str">
        <f>IF(F32&lt;&gt;"",F32,"")</f>
        <v>LOGÍSTICA</v>
      </c>
      <c r="R32" s="213"/>
      <c r="S32" s="213"/>
      <c r="T32" s="213"/>
      <c r="U32" s="213"/>
      <c r="V32" s="213"/>
      <c r="W32" s="213"/>
      <c r="X32" s="213"/>
      <c r="Y32" s="215"/>
      <c r="Z32" s="79" t="s">
        <v>98</v>
      </c>
      <c r="AA32" s="80" t="s">
        <v>71</v>
      </c>
      <c r="AB32" s="155"/>
      <c r="AC32" s="156"/>
    </row>
    <row r="33" spans="1:30" ht="99.9" customHeight="1" x14ac:dyDescent="0.45">
      <c r="A33" s="52">
        <v>19</v>
      </c>
      <c r="B33" s="72" t="s">
        <v>142</v>
      </c>
      <c r="C33" s="73" t="s">
        <v>99</v>
      </c>
      <c r="D33" s="52" t="s">
        <v>101</v>
      </c>
      <c r="E33" s="52" t="s">
        <v>102</v>
      </c>
      <c r="F33" s="117" t="s">
        <v>143</v>
      </c>
      <c r="G33" s="97" t="s">
        <v>144</v>
      </c>
      <c r="H33" s="98">
        <v>1</v>
      </c>
      <c r="I33" s="98">
        <v>1</v>
      </c>
      <c r="J33" s="99">
        <v>2200</v>
      </c>
      <c r="K33" s="99">
        <f>IF(F33&lt;&gt;"",H33*I33*J33,"")</f>
        <v>2200</v>
      </c>
      <c r="L33" s="99">
        <f>IF(K33&lt;&gt;"",IF(D33="INTERNO",0,K33*$L$14),"")</f>
        <v>176</v>
      </c>
      <c r="M33" s="99">
        <f>IF(K33&lt;&gt;"",IF(E33="FAT.OGGI",SUM(K33:L33)*(1/(1-$M$14)-1),L33*(1/(1-$M$14)-1)),"")</f>
        <v>42.715049086616148</v>
      </c>
      <c r="N33" s="100">
        <f>SUM(K33:M33)</f>
        <v>2418.7150490866161</v>
      </c>
      <c r="Q33" s="101">
        <f>IF(H33&lt;&gt;"",H33,"")</f>
        <v>1</v>
      </c>
      <c r="R33" s="102">
        <f>IF(I33&lt;&gt;"",I33,"")</f>
        <v>1</v>
      </c>
      <c r="S33" s="103">
        <v>1900</v>
      </c>
      <c r="T33" s="103">
        <f>IF(Q33&lt;&gt;"",Q33*R33*S33,"")</f>
        <v>1900</v>
      </c>
      <c r="U33" s="104">
        <f>IF(Q33&lt;&gt;"",K33-T33,"")</f>
        <v>300</v>
      </c>
      <c r="V33" s="105">
        <f>IF(Q33&lt;&gt;"",0%,"")</f>
        <v>0</v>
      </c>
      <c r="W33" s="106">
        <f>IF(Q33&lt;&gt;"",V33*U33,"")</f>
        <v>0</v>
      </c>
      <c r="X33" s="106">
        <f>IF(Q33&lt;&gt;"",W33+T33,"")</f>
        <v>1900</v>
      </c>
      <c r="Y33" s="107">
        <f>IF(Q33&lt;&gt;"",X33+M33,"")</f>
        <v>1942.7150490866161</v>
      </c>
      <c r="Z33" s="94">
        <f>IF(Q33&lt;&gt;"",U33/K33,"")</f>
        <v>0.13636363636363635</v>
      </c>
      <c r="AA33" s="95">
        <f>T33/$T$34</f>
        <v>1</v>
      </c>
      <c r="AB33" s="155">
        <f t="shared" si="1"/>
        <v>0</v>
      </c>
      <c r="AC33" s="156">
        <v>1900</v>
      </c>
      <c r="AD33" s="157" t="s">
        <v>180</v>
      </c>
    </row>
    <row r="34" spans="1:30" ht="35.1" customHeight="1" thickBot="1" x14ac:dyDescent="0.5">
      <c r="A34" s="52">
        <v>20</v>
      </c>
      <c r="B34" s="72"/>
      <c r="C34" s="73" t="s">
        <v>100</v>
      </c>
      <c r="D34" s="52"/>
      <c r="E34" s="52"/>
      <c r="F34" s="203" t="s">
        <v>145</v>
      </c>
      <c r="G34" s="204"/>
      <c r="H34" s="204"/>
      <c r="I34" s="204"/>
      <c r="J34" s="204"/>
      <c r="K34" s="108">
        <f>SUM(K33:K33)</f>
        <v>2200</v>
      </c>
      <c r="L34" s="109">
        <f>SUM(L33:L33)</f>
        <v>176</v>
      </c>
      <c r="M34" s="109">
        <f>SUM(M33:M33)</f>
        <v>42.715049086616148</v>
      </c>
      <c r="N34" s="110">
        <f>SUM(N33:N33)</f>
        <v>2418.7150490866161</v>
      </c>
      <c r="Q34" s="203" t="s">
        <v>145</v>
      </c>
      <c r="R34" s="204"/>
      <c r="S34" s="204"/>
      <c r="T34" s="111">
        <f>SUM(T33:T33)</f>
        <v>1900</v>
      </c>
      <c r="U34" s="112">
        <f>SUM(U33:U33)</f>
        <v>300</v>
      </c>
      <c r="V34" s="113"/>
      <c r="W34" s="113"/>
      <c r="X34" s="114">
        <f>SUM(X33:X33)</f>
        <v>1900</v>
      </c>
      <c r="Y34" s="115">
        <f>IF(Q34&lt;&gt;"",X34+M34,"")</f>
        <v>1942.7150490866161</v>
      </c>
      <c r="AB34" s="155"/>
      <c r="AC34" s="156"/>
    </row>
    <row r="35" spans="1:30" ht="35.1" customHeight="1" thickBot="1" x14ac:dyDescent="0.5">
      <c r="A35" s="52">
        <v>21</v>
      </c>
      <c r="B35" s="72">
        <v>5</v>
      </c>
      <c r="C35" s="73" t="s">
        <v>93</v>
      </c>
      <c r="D35" s="52"/>
      <c r="E35" s="74"/>
      <c r="F35" s="210" t="s">
        <v>147</v>
      </c>
      <c r="G35" s="211"/>
      <c r="H35" s="211"/>
      <c r="I35" s="211"/>
      <c r="J35" s="211"/>
      <c r="K35" s="211"/>
      <c r="L35" s="211"/>
      <c r="M35" s="211"/>
      <c r="N35" s="211"/>
      <c r="Q35" s="219" t="str">
        <f>IF(F35&lt;&gt;"",F35,"")</f>
        <v>CUSTOS COMPLEMENTARES</v>
      </c>
      <c r="R35" s="219"/>
      <c r="S35" s="219"/>
      <c r="T35" s="219"/>
      <c r="U35" s="219"/>
      <c r="V35" s="219"/>
      <c r="W35" s="219"/>
      <c r="X35" s="219"/>
      <c r="Y35" s="219"/>
      <c r="AB35" s="155"/>
      <c r="AC35" s="156"/>
    </row>
    <row r="36" spans="1:30" ht="35.1" customHeight="1" x14ac:dyDescent="0.45">
      <c r="A36" s="52">
        <v>22</v>
      </c>
      <c r="B36" s="72" t="s">
        <v>146</v>
      </c>
      <c r="C36" s="73" t="s">
        <v>94</v>
      </c>
      <c r="D36" s="52"/>
      <c r="E36" s="52"/>
      <c r="F36" s="212" t="s">
        <v>147</v>
      </c>
      <c r="G36" s="213"/>
      <c r="H36" s="213"/>
      <c r="I36" s="213"/>
      <c r="J36" s="213"/>
      <c r="K36" s="214"/>
      <c r="L36" s="76" t="s">
        <v>96</v>
      </c>
      <c r="M36" s="77" t="s">
        <v>97</v>
      </c>
      <c r="N36" s="78" t="s">
        <v>70</v>
      </c>
      <c r="Q36" s="212" t="str">
        <f>IF(F36&lt;&gt;"",F36,"")</f>
        <v>CUSTOS COMPLEMENTARES</v>
      </c>
      <c r="R36" s="213"/>
      <c r="S36" s="213"/>
      <c r="T36" s="213"/>
      <c r="U36" s="213"/>
      <c r="V36" s="213"/>
      <c r="W36" s="213"/>
      <c r="X36" s="213"/>
      <c r="Y36" s="215"/>
      <c r="Z36" s="79" t="s">
        <v>98</v>
      </c>
      <c r="AA36" s="80" t="s">
        <v>71</v>
      </c>
      <c r="AB36" s="155"/>
      <c r="AC36" s="156"/>
    </row>
    <row r="37" spans="1:30" ht="99.9" customHeight="1" x14ac:dyDescent="0.45">
      <c r="A37" s="52">
        <v>23</v>
      </c>
      <c r="B37" s="72" t="s">
        <v>148</v>
      </c>
      <c r="C37" s="73" t="s">
        <v>99</v>
      </c>
      <c r="D37" s="52" t="s">
        <v>101</v>
      </c>
      <c r="E37" s="52" t="s">
        <v>102</v>
      </c>
      <c r="F37" s="116" t="s">
        <v>150</v>
      </c>
      <c r="G37" s="83" t="s">
        <v>151</v>
      </c>
      <c r="H37" s="84">
        <v>3</v>
      </c>
      <c r="I37" s="84">
        <v>1</v>
      </c>
      <c r="J37" s="85">
        <v>140</v>
      </c>
      <c r="K37" s="85">
        <f>IF(F37&lt;&gt;"",H37*I37*J37,"")</f>
        <v>420</v>
      </c>
      <c r="L37" s="85">
        <f>IF(K37&lt;&gt;"",IF(D37="INTERNO",0,K37*$L$14),"")</f>
        <v>33.6</v>
      </c>
      <c r="M37" s="85">
        <f>IF(K37&lt;&gt;"",IF(E38="FAT.OGGI",SUM(K37:L37)*(1/(1-$M$14)-1),L37*(1/(1-$M$14)-1)),"")</f>
        <v>8.1546911892630831</v>
      </c>
      <c r="N37" s="86">
        <f>SUM(K37:M37)</f>
        <v>461.7546911892631</v>
      </c>
      <c r="Q37" s="87">
        <f>IF(H37&lt;&gt;"",H37,"")</f>
        <v>3</v>
      </c>
      <c r="R37" s="88">
        <f>IF(I37&lt;&gt;"",I37,"")</f>
        <v>1</v>
      </c>
      <c r="S37" s="89">
        <v>0</v>
      </c>
      <c r="T37" s="89">
        <f>IF(Q37&lt;&gt;"",Q37*R37*S37,"")</f>
        <v>0</v>
      </c>
      <c r="U37" s="90">
        <f>IF(Q37&lt;&gt;"",K37-T37,"")</f>
        <v>420</v>
      </c>
      <c r="V37" s="91">
        <f>IF(Q37&lt;&gt;"",0%,"")</f>
        <v>0</v>
      </c>
      <c r="W37" s="92">
        <f>IF(Q37&lt;&gt;"",V37*U37,"")</f>
        <v>0</v>
      </c>
      <c r="X37" s="92">
        <f>IF(Q37&lt;&gt;"",W37+T37,"")</f>
        <v>0</v>
      </c>
      <c r="Y37" s="93">
        <f>IF(Q37&lt;&gt;"",X37+M37,"")</f>
        <v>8.1546911892630831</v>
      </c>
      <c r="Z37" s="94">
        <f>IF(Q37&lt;&gt;"",U37/K37,"")</f>
        <v>1</v>
      </c>
      <c r="AA37" s="95">
        <f>T37/$T$39</f>
        <v>0</v>
      </c>
      <c r="AB37" s="155">
        <f t="shared" si="1"/>
        <v>0</v>
      </c>
      <c r="AC37" s="156"/>
    </row>
    <row r="38" spans="1:30" ht="99.9" customHeight="1" thickBot="1" x14ac:dyDescent="0.5">
      <c r="A38" s="52">
        <v>24</v>
      </c>
      <c r="B38" s="72" t="s">
        <v>149</v>
      </c>
      <c r="C38" s="73" t="s">
        <v>99</v>
      </c>
      <c r="D38" s="52" t="s">
        <v>101</v>
      </c>
      <c r="E38" s="52" t="s">
        <v>102</v>
      </c>
      <c r="F38" s="117" t="s">
        <v>152</v>
      </c>
      <c r="G38" s="97" t="s">
        <v>153</v>
      </c>
      <c r="H38" s="98">
        <v>1</v>
      </c>
      <c r="I38" s="98">
        <v>1</v>
      </c>
      <c r="J38" s="99">
        <v>1300</v>
      </c>
      <c r="K38" s="99">
        <f>IF(F38&lt;&gt;"",H38*I38*J38,"")</f>
        <v>1300</v>
      </c>
      <c r="L38" s="99">
        <f>IF(K38&lt;&gt;"",IF(D38="INTERNO",0,K38*$L$14),"")</f>
        <v>104</v>
      </c>
      <c r="M38" s="85">
        <f>IF(K38&lt;&gt;"",IF(E39="FAT.OGGI",SUM(K38:L38)*(1/(1-$M$14)-1),L38*(1/(1-$M$14)-1)),"")</f>
        <v>25.240710823909538</v>
      </c>
      <c r="N38" s="100">
        <f>SUM(K38:M38)</f>
        <v>1429.2407108239095</v>
      </c>
      <c r="Q38" s="101">
        <f>IF(H38&lt;&gt;"",H38,"")</f>
        <v>1</v>
      </c>
      <c r="R38" s="102">
        <f>IF(I38&lt;&gt;"",I38,"")</f>
        <v>1</v>
      </c>
      <c r="S38" s="103">
        <v>1018.4</v>
      </c>
      <c r="T38" s="103">
        <v>1068.6300000000001</v>
      </c>
      <c r="U38" s="104">
        <f>IF(Q38&lt;&gt;"",K38-T38,"")</f>
        <v>231.36999999999989</v>
      </c>
      <c r="V38" s="105">
        <f>IF(Q38&lt;&gt;"",0%,"")</f>
        <v>0</v>
      </c>
      <c r="W38" s="106">
        <f>IF(Q38&lt;&gt;"",V38*U38,"")</f>
        <v>0</v>
      </c>
      <c r="X38" s="106">
        <f>IF(Q38&lt;&gt;"",W38+T38,"")</f>
        <v>1068.6300000000001</v>
      </c>
      <c r="Y38" s="107">
        <f>IF(Q38&lt;&gt;"",X38+M38,"")</f>
        <v>1093.8707108239096</v>
      </c>
      <c r="Z38" s="138">
        <f>IF(Q38&lt;&gt;"",U38/K38,"")</f>
        <v>0.177976923076923</v>
      </c>
      <c r="AA38" s="139">
        <f>T38/$T$39</f>
        <v>1</v>
      </c>
      <c r="AB38" s="155">
        <f t="shared" si="1"/>
        <v>0</v>
      </c>
      <c r="AC38" s="156">
        <f>150+508.4+100+260.23+50</f>
        <v>1068.6300000000001</v>
      </c>
      <c r="AD38" s="157" t="s">
        <v>181</v>
      </c>
    </row>
    <row r="39" spans="1:30" ht="35.1" customHeight="1" thickBot="1" x14ac:dyDescent="0.5">
      <c r="A39" s="52">
        <v>25</v>
      </c>
      <c r="B39" s="72"/>
      <c r="C39" s="73" t="s">
        <v>100</v>
      </c>
      <c r="D39" s="52"/>
      <c r="E39" s="52"/>
      <c r="F39" s="220" t="s">
        <v>154</v>
      </c>
      <c r="G39" s="221"/>
      <c r="H39" s="221"/>
      <c r="I39" s="221"/>
      <c r="J39" s="221"/>
      <c r="K39" s="109">
        <f>SUM(K37:K38)</f>
        <v>1720</v>
      </c>
      <c r="L39" s="109">
        <f>SUM(L37:L38)</f>
        <v>137.6</v>
      </c>
      <c r="M39" s="109">
        <f>SUM(M37:M38)</f>
        <v>33.395402013172621</v>
      </c>
      <c r="N39" s="118">
        <f>SUM(N37:N38)</f>
        <v>1890.9954020131727</v>
      </c>
      <c r="Q39" s="220" t="s">
        <v>154</v>
      </c>
      <c r="R39" s="221"/>
      <c r="S39" s="221"/>
      <c r="T39" s="119">
        <f>SUM(T37:T38)</f>
        <v>1068.6300000000001</v>
      </c>
      <c r="U39" s="120">
        <f>SUM(U37:U38)</f>
        <v>651.36999999999989</v>
      </c>
      <c r="V39" s="121"/>
      <c r="W39" s="121"/>
      <c r="X39" s="122">
        <f>SUM(X37:X38)</f>
        <v>1068.6300000000001</v>
      </c>
      <c r="Y39" s="140">
        <f>IF(Q39&lt;&gt;"",X39+M39,"")</f>
        <v>1102.0254020131727</v>
      </c>
      <c r="Z39" s="141" t="s">
        <v>155</v>
      </c>
      <c r="AA39" s="142" t="s">
        <v>156</v>
      </c>
      <c r="AB39" s="155"/>
      <c r="AC39" s="156"/>
    </row>
    <row r="40" spans="1:30" ht="35.1" customHeight="1" thickBot="1" x14ac:dyDescent="0.5">
      <c r="A40" s="143">
        <v>34</v>
      </c>
      <c r="C40" s="130" t="s">
        <v>103</v>
      </c>
      <c r="D40" s="130"/>
      <c r="E40" s="130"/>
      <c r="F40" s="144" t="s">
        <v>176</v>
      </c>
      <c r="G40" s="145"/>
      <c r="H40" s="146"/>
      <c r="I40" s="146"/>
      <c r="J40" s="145"/>
      <c r="K40" s="147">
        <f>SUM(K17:K19)+SUM(K23:K24)+SUM(K28:K29)+SUM(K33:K33)+SUM(K37:K38)</f>
        <v>13638</v>
      </c>
      <c r="L40" s="147">
        <f>SUM(L17:L19)+SUM(L23:L24)+SUM(L28:L29)+SUM(L33:L33)+SUM(L37:L38)</f>
        <v>711.2</v>
      </c>
      <c r="M40" s="147">
        <f>SUM(M17:M19)+SUM(M23:M24)+SUM(M28:M29)+SUM(M33:M33)+SUM(M37:M38)</f>
        <v>1324.9431589412206</v>
      </c>
      <c r="N40" s="148">
        <f>SUM(N17:N19)+SUM(N23:N24)+SUM(N28:N29)+SUM(N33:N33)+SUM(N37:N38)</f>
        <v>15674.14315894122</v>
      </c>
      <c r="Q40" s="149" t="s">
        <v>42</v>
      </c>
      <c r="R40" s="146"/>
      <c r="S40" s="145"/>
      <c r="T40" s="147">
        <f>SUM(T17:T19)+SUM(T23:T24)+SUM(T28:T29)+SUM(T33:T33)+SUM(T37:T38)</f>
        <v>4738.54</v>
      </c>
      <c r="U40" s="147">
        <f>SUM(U17:U19)+SUM(U23:U24)+SUM(U28:U29)+SUM(U33:U33)+SUM(U37:U38)</f>
        <v>8899.4599999999991</v>
      </c>
      <c r="V40" s="145"/>
      <c r="W40" s="145"/>
      <c r="X40" s="147">
        <f>SUM(X17:X19)+SUM(X23:X24)+SUM(X28:X29)+SUM(X33:X33)+SUM(X37:X38)</f>
        <v>4738.54</v>
      </c>
      <c r="Y40" s="148">
        <f>SUM(Y17:Y19)+SUM(Y23:Y24)+SUM(Y28:Y29)+SUM(Y33:Y33)+SUM(Y37:Y38)</f>
        <v>6063.4831589412206</v>
      </c>
      <c r="Z40" s="150">
        <f>IF(Q40&lt;&gt;"",(N40-Y40)/N40,"")</f>
        <v>0.61315377195069554</v>
      </c>
      <c r="AA40" s="151">
        <f>IF(Z40&lt;&gt;"",(N40-Y40),"")</f>
        <v>9610.66</v>
      </c>
      <c r="AB40" s="155">
        <f>SUM(AB17:AB39)</f>
        <v>0</v>
      </c>
      <c r="AC40" s="156">
        <f>SUM(AC17:AC39)</f>
        <v>4738.54</v>
      </c>
    </row>
    <row r="43" spans="1:30" x14ac:dyDescent="0.45">
      <c r="AB43" s="29"/>
      <c r="AC43" s="186" t="s">
        <v>189</v>
      </c>
    </row>
    <row r="44" spans="1:30" x14ac:dyDescent="0.45">
      <c r="AB44" s="187">
        <f>N40</f>
        <v>15674.14315894122</v>
      </c>
      <c r="AC44" s="186" t="s">
        <v>190</v>
      </c>
    </row>
    <row r="45" spans="1:30" x14ac:dyDescent="0.45">
      <c r="AB45" s="187">
        <f>D40-N40</f>
        <v>-15674.14315894122</v>
      </c>
      <c r="AC45" s="186" t="s">
        <v>186</v>
      </c>
    </row>
    <row r="46" spans="1:30" x14ac:dyDescent="0.45">
      <c r="AB46" s="188" t="e">
        <f>AB45*100%/D40</f>
        <v>#DIV/0!</v>
      </c>
      <c r="AC46" s="157"/>
    </row>
  </sheetData>
  <autoFilter ref="A1:AD14" xr:uid="{107B9E09-8154-459A-AE62-6A4242823A27}">
    <filterColumn colId="5" showButton="0"/>
  </autoFilter>
  <mergeCells count="36">
    <mergeCell ref="F35:N35"/>
    <mergeCell ref="Q35:Y35"/>
    <mergeCell ref="F36:K36"/>
    <mergeCell ref="Q36:Y36"/>
    <mergeCell ref="F39:J39"/>
    <mergeCell ref="Q39:S39"/>
    <mergeCell ref="F31:N31"/>
    <mergeCell ref="Q31:Y31"/>
    <mergeCell ref="F32:K32"/>
    <mergeCell ref="Q32:Y32"/>
    <mergeCell ref="F34:J34"/>
    <mergeCell ref="Q34:S34"/>
    <mergeCell ref="F26:N26"/>
    <mergeCell ref="Q26:Y26"/>
    <mergeCell ref="F27:K27"/>
    <mergeCell ref="Q27:Y27"/>
    <mergeCell ref="F30:J30"/>
    <mergeCell ref="Q30:S30"/>
    <mergeCell ref="F21:N21"/>
    <mergeCell ref="Q21:Y21"/>
    <mergeCell ref="F22:K22"/>
    <mergeCell ref="Q22:Y22"/>
    <mergeCell ref="F25:J25"/>
    <mergeCell ref="Q25:S25"/>
    <mergeCell ref="AB15:AC15"/>
    <mergeCell ref="AB16:AC16"/>
    <mergeCell ref="F20:J20"/>
    <mergeCell ref="Q20:S20"/>
    <mergeCell ref="F1:G1"/>
    <mergeCell ref="F2:G2"/>
    <mergeCell ref="Q12:T12"/>
    <mergeCell ref="F15:N15"/>
    <mergeCell ref="Q15:Y15"/>
    <mergeCell ref="F16:K16"/>
    <mergeCell ref="Q16:Y16"/>
    <mergeCell ref="U12:X12"/>
  </mergeCells>
  <dataValidations count="3">
    <dataValidation type="list" allowBlank="1" showInputMessage="1" showErrorMessage="1" sqref="E17:E19 E23:E24 E33 E37:E38 E28:E29" xr:uid="{4368B94E-5CBC-4E17-B8C3-C725D94164E8}">
      <formula1>"FAT.OGGI,FAT.CLIENTE"</formula1>
    </dataValidation>
    <dataValidation type="list" allowBlank="1" showInputMessage="1" showErrorMessage="1" sqref="D17:D19 D23:D24 D33 D37:D38 D28:D29 D40" xr:uid="{EA34C78E-AF04-4D1F-8F59-2218581A745B}">
      <formula1>"INTERNO,OPERACIONAL"</formula1>
    </dataValidation>
    <dataValidation type="list" allowBlank="1" showInputMessage="1" showErrorMessage="1" sqref="E40" xr:uid="{EBD709EF-B9E4-43BC-954E-EFD67EFDA4A7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33" t="s">
        <v>10</v>
      </c>
      <c r="B1" s="233"/>
      <c r="C1" s="233"/>
      <c r="D1" s="235" t="s">
        <v>50</v>
      </c>
      <c r="E1" s="235"/>
      <c r="F1" s="235"/>
      <c r="G1" s="235"/>
      <c r="H1" s="235"/>
      <c r="I1" s="235"/>
      <c r="J1" s="24" t="s">
        <v>10</v>
      </c>
      <c r="K1" s="24" t="s">
        <v>10</v>
      </c>
      <c r="L1" s="24" t="s">
        <v>10</v>
      </c>
      <c r="M1" s="24" t="s">
        <v>10</v>
      </c>
      <c r="N1" s="24" t="s">
        <v>10</v>
      </c>
      <c r="O1" s="25" t="s">
        <v>10</v>
      </c>
    </row>
    <row r="2" spans="1:15" x14ac:dyDescent="0.3">
      <c r="A2" s="234"/>
      <c r="B2" s="234"/>
      <c r="C2" s="234"/>
      <c r="D2" s="233" t="s">
        <v>51</v>
      </c>
      <c r="E2" s="233"/>
      <c r="F2" s="233"/>
      <c r="G2" s="233"/>
      <c r="H2" s="233"/>
      <c r="I2" s="233"/>
      <c r="J2" s="24"/>
      <c r="K2" s="24"/>
      <c r="L2" s="24"/>
      <c r="M2" s="24"/>
      <c r="N2" s="24"/>
      <c r="O2" s="236" t="s">
        <v>52</v>
      </c>
    </row>
    <row r="3" spans="1:15" x14ac:dyDescent="0.3">
      <c r="A3" s="234"/>
      <c r="B3" s="234"/>
      <c r="C3" s="234"/>
      <c r="D3" s="233" t="s">
        <v>53</v>
      </c>
      <c r="E3" s="233"/>
      <c r="F3" s="233"/>
      <c r="G3" s="233"/>
      <c r="H3" s="233"/>
      <c r="I3" s="233"/>
      <c r="J3" s="24"/>
      <c r="K3" s="24"/>
      <c r="L3" s="24"/>
      <c r="M3" s="24"/>
      <c r="N3" s="24"/>
      <c r="O3" s="237"/>
    </row>
    <row r="4" spans="1:15" x14ac:dyDescent="0.3">
      <c r="A4" s="234"/>
      <c r="B4" s="234"/>
      <c r="C4" s="234"/>
      <c r="D4" s="233" t="s">
        <v>54</v>
      </c>
      <c r="E4" s="233"/>
      <c r="F4" s="233"/>
      <c r="G4" s="233"/>
      <c r="H4" s="233"/>
      <c r="I4" s="233"/>
      <c r="J4" s="24"/>
      <c r="K4" s="24"/>
      <c r="L4" s="24"/>
      <c r="M4" s="24"/>
      <c r="N4" s="24"/>
      <c r="O4" s="237"/>
    </row>
    <row r="5" spans="1:15" x14ac:dyDescent="0.3">
      <c r="A5" s="234"/>
      <c r="B5" s="234"/>
      <c r="C5" s="234"/>
      <c r="D5" s="233" t="s">
        <v>55</v>
      </c>
      <c r="E5" s="233"/>
      <c r="F5" s="233"/>
      <c r="G5" s="233"/>
      <c r="H5" s="233"/>
      <c r="I5" s="233"/>
      <c r="J5" s="24"/>
      <c r="K5" s="24"/>
      <c r="L5" s="24"/>
      <c r="M5" s="24"/>
      <c r="N5" s="24"/>
      <c r="O5" s="237"/>
    </row>
    <row r="6" spans="1:15" x14ac:dyDescent="0.3">
      <c r="A6" s="234"/>
      <c r="B6" s="234"/>
      <c r="C6" s="23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37"/>
    </row>
    <row r="7" spans="1:15" x14ac:dyDescent="0.3">
      <c r="A7" s="234"/>
      <c r="B7" s="234"/>
      <c r="C7" s="234"/>
      <c r="D7" s="233" t="s">
        <v>56</v>
      </c>
      <c r="E7" s="233"/>
      <c r="F7" s="233"/>
      <c r="G7" s="233"/>
      <c r="H7" s="233"/>
      <c r="I7" s="233"/>
      <c r="J7" s="24"/>
      <c r="K7" s="24"/>
      <c r="L7" s="24"/>
      <c r="M7" s="24"/>
      <c r="N7" s="24"/>
      <c r="O7" s="26">
        <v>45264.482613275461</v>
      </c>
    </row>
    <row r="8" spans="1:15" x14ac:dyDescent="0.3">
      <c r="A8" s="232" t="s">
        <v>57</v>
      </c>
      <c r="B8" s="232"/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</row>
    <row r="9" spans="1:15" ht="27.6" x14ac:dyDescent="0.3">
      <c r="A9" s="27" t="s">
        <v>58</v>
      </c>
      <c r="B9" s="27" t="s">
        <v>59</v>
      </c>
      <c r="C9" s="27" t="s">
        <v>60</v>
      </c>
      <c r="D9" s="27" t="s">
        <v>47</v>
      </c>
      <c r="E9" s="27" t="s">
        <v>61</v>
      </c>
      <c r="F9" s="27" t="s">
        <v>62</v>
      </c>
      <c r="G9" s="27" t="s">
        <v>33</v>
      </c>
      <c r="H9" s="27" t="s">
        <v>63</v>
      </c>
      <c r="I9" s="27" t="s">
        <v>64</v>
      </c>
      <c r="J9" s="27" t="s">
        <v>62</v>
      </c>
      <c r="K9" s="27" t="s">
        <v>65</v>
      </c>
      <c r="L9" s="27" t="s">
        <v>66</v>
      </c>
      <c r="M9" s="27" t="s">
        <v>67</v>
      </c>
      <c r="N9" s="27" t="s">
        <v>68</v>
      </c>
      <c r="O9" s="28" t="s">
        <v>69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41" t="s">
        <v>3</v>
      </c>
      <c r="C2" s="242"/>
      <c r="D2" s="242"/>
      <c r="E2" s="242"/>
      <c r="F2" s="242"/>
      <c r="G2" s="242"/>
      <c r="H2" s="242"/>
      <c r="I2" s="242"/>
      <c r="J2" s="242"/>
      <c r="K2" s="242"/>
      <c r="L2" s="243"/>
    </row>
    <row r="3" spans="2:12" ht="47.4" customHeight="1" thickBot="1" x14ac:dyDescent="0.35">
      <c r="B3" s="244" t="s">
        <v>11</v>
      </c>
      <c r="C3" s="245"/>
      <c r="D3" s="245"/>
      <c r="E3" s="245"/>
      <c r="F3" s="245"/>
      <c r="G3" s="245"/>
      <c r="H3" s="245"/>
      <c r="I3" s="245"/>
      <c r="J3" s="245"/>
      <c r="K3" s="245"/>
      <c r="L3" s="246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47" t="s">
        <v>12</v>
      </c>
      <c r="D6" s="247"/>
      <c r="E6" s="247"/>
      <c r="F6" s="247"/>
      <c r="G6" s="247"/>
      <c r="H6" s="247"/>
      <c r="I6" s="247"/>
      <c r="J6" s="247"/>
      <c r="K6" s="24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248" t="s">
        <v>168</v>
      </c>
      <c r="E8" s="249"/>
      <c r="F8" s="249"/>
      <c r="G8" s="249"/>
      <c r="H8" s="249"/>
      <c r="I8" s="249"/>
      <c r="J8" s="249"/>
      <c r="K8" s="250"/>
      <c r="L8" s="5"/>
    </row>
    <row r="9" spans="2:12" x14ac:dyDescent="0.3">
      <c r="B9" s="4"/>
      <c r="C9" s="7" t="s">
        <v>14</v>
      </c>
      <c r="D9" s="238" t="s">
        <v>15</v>
      </c>
      <c r="E9" s="239"/>
      <c r="F9" s="239"/>
      <c r="G9" s="239"/>
      <c r="H9" s="239"/>
      <c r="I9" s="239"/>
      <c r="J9" s="239"/>
      <c r="K9" s="240"/>
      <c r="L9" s="5"/>
    </row>
    <row r="10" spans="2:12" x14ac:dyDescent="0.3">
      <c r="B10" s="4"/>
      <c r="C10" s="7" t="s">
        <v>16</v>
      </c>
      <c r="D10" s="238" t="s">
        <v>104</v>
      </c>
      <c r="E10" s="239"/>
      <c r="F10" s="239"/>
      <c r="G10" s="239"/>
      <c r="H10" s="239"/>
      <c r="I10" s="239"/>
      <c r="J10" s="239"/>
      <c r="K10" s="240"/>
      <c r="L10" s="5"/>
    </row>
    <row r="11" spans="2:12" x14ac:dyDescent="0.3">
      <c r="B11" s="4"/>
      <c r="C11" s="7" t="s">
        <v>17</v>
      </c>
      <c r="D11" s="238" t="s">
        <v>162</v>
      </c>
      <c r="E11" s="239"/>
      <c r="F11" s="239"/>
      <c r="G11" s="239"/>
      <c r="H11" s="239"/>
      <c r="I11" s="239"/>
      <c r="J11" s="239"/>
      <c r="K11" s="240"/>
      <c r="L11" s="5"/>
    </row>
    <row r="12" spans="2:12" x14ac:dyDescent="0.3">
      <c r="B12" s="4"/>
      <c r="C12" s="10" t="s">
        <v>18</v>
      </c>
      <c r="D12" s="251" t="s">
        <v>163</v>
      </c>
      <c r="E12" s="252"/>
      <c r="F12" s="252"/>
      <c r="G12" s="252"/>
      <c r="H12" s="253"/>
      <c r="I12" s="11" t="s">
        <v>19</v>
      </c>
      <c r="J12" s="251" t="s">
        <v>149</v>
      </c>
      <c r="K12" s="253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47" t="s">
        <v>20</v>
      </c>
      <c r="D16" s="247"/>
      <c r="E16" s="247"/>
      <c r="F16" s="247"/>
      <c r="G16" s="247"/>
      <c r="H16" s="247"/>
      <c r="I16" s="247"/>
      <c r="J16" s="247"/>
      <c r="K16" s="24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54" t="s">
        <v>169</v>
      </c>
      <c r="E18" s="254"/>
      <c r="F18" s="254"/>
      <c r="G18" s="255"/>
      <c r="H18" s="254" t="s">
        <v>21</v>
      </c>
      <c r="I18" s="254"/>
      <c r="J18" s="254"/>
      <c r="K18" s="255"/>
      <c r="L18" s="5"/>
    </row>
    <row r="19" spans="2:12" x14ac:dyDescent="0.3">
      <c r="B19" s="4"/>
      <c r="C19" s="15" t="s">
        <v>22</v>
      </c>
      <c r="D19" s="256" t="s">
        <v>165</v>
      </c>
      <c r="E19" s="257"/>
      <c r="F19" s="257"/>
      <c r="G19" s="257"/>
      <c r="H19" s="257"/>
      <c r="I19" s="257"/>
      <c r="J19" s="257"/>
      <c r="K19" s="258"/>
      <c r="L19" s="5"/>
    </row>
    <row r="20" spans="2:12" x14ac:dyDescent="0.3">
      <c r="B20" s="4"/>
      <c r="C20" s="7" t="s">
        <v>23</v>
      </c>
      <c r="D20" s="238"/>
      <c r="E20" s="239"/>
      <c r="F20" s="239"/>
      <c r="G20" s="239"/>
      <c r="H20" s="239"/>
      <c r="I20" s="239"/>
      <c r="J20" s="239"/>
      <c r="K20" s="240"/>
      <c r="L20" s="5"/>
    </row>
    <row r="21" spans="2:12" x14ac:dyDescent="0.3">
      <c r="B21" s="4"/>
      <c r="C21" s="7" t="s">
        <v>24</v>
      </c>
      <c r="D21" s="238" t="s">
        <v>10</v>
      </c>
      <c r="E21" s="240"/>
      <c r="F21" s="7" t="s">
        <v>49</v>
      </c>
      <c r="G21" s="16" t="s">
        <v>10</v>
      </c>
      <c r="H21" s="7" t="s">
        <v>25</v>
      </c>
      <c r="I21" s="8" t="s">
        <v>10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238" t="s">
        <v>164</v>
      </c>
      <c r="E22" s="239"/>
      <c r="F22" s="239"/>
      <c r="G22" s="240"/>
      <c r="H22" s="7" t="s">
        <v>28</v>
      </c>
      <c r="I22" s="238"/>
      <c r="J22" s="239"/>
      <c r="K22" s="240"/>
      <c r="L22" s="5"/>
    </row>
    <row r="23" spans="2:12" x14ac:dyDescent="0.3">
      <c r="B23" s="4"/>
      <c r="C23" s="10" t="s">
        <v>29</v>
      </c>
      <c r="D23" s="251" t="s">
        <v>166</v>
      </c>
      <c r="E23" s="252"/>
      <c r="F23" s="252"/>
      <c r="G23" s="253"/>
      <c r="H23" s="10" t="s">
        <v>30</v>
      </c>
      <c r="I23" s="251" t="s">
        <v>10</v>
      </c>
      <c r="J23" s="252"/>
      <c r="K23" s="253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47" t="s">
        <v>20</v>
      </c>
      <c r="D27" s="247"/>
      <c r="E27" s="247"/>
      <c r="F27" s="247"/>
      <c r="G27" s="247"/>
      <c r="H27" s="247"/>
      <c r="I27" s="247"/>
      <c r="J27" s="247"/>
      <c r="K27" s="247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259" t="s">
        <v>32</v>
      </c>
      <c r="E29" s="255"/>
      <c r="F29" s="259" t="s">
        <v>33</v>
      </c>
      <c r="G29" s="255"/>
      <c r="H29" s="260" t="s">
        <v>34</v>
      </c>
      <c r="I29" s="260"/>
      <c r="J29" s="260"/>
      <c r="K29" s="261"/>
      <c r="L29" s="5"/>
    </row>
    <row r="30" spans="2:12" x14ac:dyDescent="0.3">
      <c r="B30" s="4"/>
      <c r="C30" s="17" t="s">
        <v>35</v>
      </c>
      <c r="D30" s="262" t="s">
        <v>170</v>
      </c>
      <c r="E30" s="263"/>
      <c r="F30" s="264" t="s">
        <v>171</v>
      </c>
      <c r="G30" s="265"/>
      <c r="H30" s="18" t="s">
        <v>36</v>
      </c>
      <c r="I30" s="259" t="s">
        <v>167</v>
      </c>
      <c r="J30" s="255"/>
      <c r="K30" s="6" t="s">
        <v>37</v>
      </c>
      <c r="L30" s="5"/>
    </row>
    <row r="31" spans="2:12" x14ac:dyDescent="0.3">
      <c r="B31" s="4"/>
      <c r="C31" s="17" t="s">
        <v>38</v>
      </c>
      <c r="D31" s="262" t="s">
        <v>10</v>
      </c>
      <c r="E31" s="263"/>
      <c r="F31" s="264" t="s">
        <v>10</v>
      </c>
      <c r="G31" s="265"/>
      <c r="H31" s="17" t="s">
        <v>36</v>
      </c>
      <c r="I31" s="268" t="s">
        <v>39</v>
      </c>
      <c r="J31" s="269"/>
      <c r="K31" s="7" t="s">
        <v>37</v>
      </c>
      <c r="L31" s="5"/>
    </row>
    <row r="32" spans="2:12" x14ac:dyDescent="0.3">
      <c r="B32" s="4"/>
      <c r="C32" s="17" t="s">
        <v>40</v>
      </c>
      <c r="D32" s="262" t="s">
        <v>10</v>
      </c>
      <c r="E32" s="263"/>
      <c r="F32" s="264" t="s">
        <v>10</v>
      </c>
      <c r="G32" s="265"/>
      <c r="H32" s="17" t="s">
        <v>36</v>
      </c>
      <c r="I32" s="268" t="s">
        <v>39</v>
      </c>
      <c r="J32" s="269"/>
      <c r="K32" s="7" t="s">
        <v>37</v>
      </c>
      <c r="L32" s="5"/>
    </row>
    <row r="33" spans="2:12" x14ac:dyDescent="0.3">
      <c r="B33" s="4"/>
      <c r="C33" s="19" t="s">
        <v>41</v>
      </c>
      <c r="D33" s="262" t="s">
        <v>10</v>
      </c>
      <c r="E33" s="263"/>
      <c r="F33" s="266" t="s">
        <v>10</v>
      </c>
      <c r="G33" s="267"/>
      <c r="H33" s="17" t="s">
        <v>36</v>
      </c>
      <c r="I33" s="268" t="s">
        <v>39</v>
      </c>
      <c r="J33" s="269"/>
      <c r="K33" s="7" t="s">
        <v>37</v>
      </c>
      <c r="L33" s="5"/>
    </row>
    <row r="34" spans="2:12" x14ac:dyDescent="0.3">
      <c r="B34" s="4"/>
      <c r="C34" s="270" t="s">
        <v>42</v>
      </c>
      <c r="D34" s="271"/>
      <c r="E34" s="272"/>
      <c r="F34" s="273" t="s">
        <v>171</v>
      </c>
      <c r="G34" s="274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47" t="s">
        <v>43</v>
      </c>
      <c r="D38" s="247"/>
      <c r="E38" s="247"/>
      <c r="F38" s="247"/>
      <c r="G38" s="247"/>
      <c r="H38" s="247"/>
      <c r="I38" s="247"/>
      <c r="J38" s="247"/>
      <c r="K38" s="247"/>
      <c r="L38" s="5"/>
    </row>
    <row r="39" spans="2:12" x14ac:dyDescent="0.3">
      <c r="B39" s="4"/>
      <c r="C39" s="278" t="s">
        <v>172</v>
      </c>
      <c r="D39" s="278"/>
      <c r="E39" s="278"/>
      <c r="F39" s="278"/>
      <c r="G39" s="278"/>
      <c r="H39" s="278"/>
      <c r="I39" s="278"/>
      <c r="J39" s="278"/>
      <c r="K39" s="278"/>
      <c r="L39" s="5"/>
    </row>
    <row r="40" spans="2:12" x14ac:dyDescent="0.3">
      <c r="B40" s="4"/>
      <c r="C40" s="278"/>
      <c r="D40" s="278"/>
      <c r="E40" s="278"/>
      <c r="F40" s="278"/>
      <c r="G40" s="278"/>
      <c r="H40" s="278"/>
      <c r="I40" s="278"/>
      <c r="J40" s="278"/>
      <c r="K40" s="278"/>
      <c r="L40" s="5"/>
    </row>
    <row r="41" spans="2:12" x14ac:dyDescent="0.3">
      <c r="B41" s="4"/>
      <c r="C41" s="278"/>
      <c r="D41" s="278"/>
      <c r="E41" s="278"/>
      <c r="F41" s="278"/>
      <c r="G41" s="278"/>
      <c r="H41" s="278"/>
      <c r="I41" s="278"/>
      <c r="J41" s="278"/>
      <c r="K41" s="278"/>
      <c r="L41" s="5"/>
    </row>
    <row r="42" spans="2:12" x14ac:dyDescent="0.3">
      <c r="B42" s="4"/>
      <c r="C42" s="278"/>
      <c r="D42" s="278"/>
      <c r="E42" s="278"/>
      <c r="F42" s="278"/>
      <c r="G42" s="278"/>
      <c r="H42" s="278"/>
      <c r="I42" s="278"/>
      <c r="J42" s="278"/>
      <c r="K42" s="278"/>
      <c r="L42" s="5"/>
    </row>
    <row r="43" spans="2:12" x14ac:dyDescent="0.3">
      <c r="B43" s="4"/>
      <c r="C43" s="278"/>
      <c r="D43" s="278"/>
      <c r="E43" s="278"/>
      <c r="F43" s="278"/>
      <c r="G43" s="278"/>
      <c r="H43" s="278"/>
      <c r="I43" s="278"/>
      <c r="J43" s="278"/>
      <c r="K43" s="278"/>
      <c r="L43" s="5"/>
    </row>
    <row r="44" spans="2:12" x14ac:dyDescent="0.3">
      <c r="B44" s="4"/>
      <c r="C44" s="278"/>
      <c r="D44" s="278"/>
      <c r="E44" s="278"/>
      <c r="F44" s="278"/>
      <c r="G44" s="278"/>
      <c r="H44" s="278"/>
      <c r="I44" s="278"/>
      <c r="J44" s="278"/>
      <c r="K44" s="278"/>
      <c r="L44" s="5"/>
    </row>
    <row r="45" spans="2:12" x14ac:dyDescent="0.3">
      <c r="B45" s="4"/>
      <c r="C45" s="279"/>
      <c r="D45" s="279"/>
      <c r="E45" s="279"/>
      <c r="F45" s="279"/>
      <c r="G45" s="279"/>
      <c r="H45" s="279"/>
      <c r="I45" s="279"/>
      <c r="J45" s="279"/>
      <c r="K45" s="279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75" t="s">
        <v>44</v>
      </c>
      <c r="C48" s="276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77" t="s">
        <v>45</v>
      </c>
      <c r="D51" s="277"/>
      <c r="E51" s="277"/>
      <c r="F51" s="277"/>
      <c r="H51" s="277" t="s">
        <v>46</v>
      </c>
      <c r="I51" s="277"/>
      <c r="J51" s="277"/>
      <c r="K51" s="277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PRINCIPAL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2026-07-20T14:11:31Z</cp:lastPrinted>
  <dcterms:created xsi:type="dcterms:W3CDTF">2023-09-21T21:02:20Z</dcterms:created>
  <dcterms:modified xsi:type="dcterms:W3CDTF">2026-07-29T13:31:36Z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