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5 maio\OK\"/>
    </mc:Choice>
  </mc:AlternateContent>
  <xr:revisionPtr revIDLastSave="0" documentId="13_ncr:1_{BD960860-90E0-4C7F-9706-ACDACFF2B257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118" r:id="rId1"/>
    <sheet name="INTERNO" sheetId="105" r:id="rId2"/>
    <sheet name="EVENTO" sheetId="111" r:id="rId3"/>
    <sheet name="EXTRAS EVENTO" sheetId="119" r:id="rId4"/>
    <sheet name="EXTRAS" sheetId="117" r:id="rId5"/>
    <sheet name="Almarena by Melia " sheetId="113" r:id="rId6"/>
    <sheet name="OPCIONAIS" sheetId="112" r:id="rId7"/>
    <sheet name="Solicitações de Pagamento" sheetId="4" r:id="rId8"/>
    <sheet name="TOTAL" sheetId="109" r:id="rId9"/>
    <sheet name="CRONO (2)" sheetId="115" r:id="rId10"/>
    <sheet name="CRONO" sheetId="114" r:id="rId11"/>
    <sheet name="ItensOrc" sheetId="76" state="hidden" r:id="rId12"/>
    <sheet name="Template SP" sheetId="3" state="hidden" r:id="rId13"/>
  </sheets>
  <definedNames>
    <definedName name="_xlnm._FilterDatabase" localSheetId="5" hidden="1">'Almarena by Melia '!#REF!</definedName>
    <definedName name="_xlnm._FilterDatabase" localSheetId="10" hidden="1">CRONO!#REF!</definedName>
    <definedName name="_xlnm._FilterDatabase" localSheetId="9" hidden="1">'CRONO (2)'!#REF!</definedName>
    <definedName name="_xlnm._FilterDatabase" localSheetId="2" hidden="1">EVENTO!$A$17:$AM$17</definedName>
    <definedName name="_xlnm._FilterDatabase" localSheetId="4" hidden="1">EXTRAS!#REF!</definedName>
    <definedName name="_xlnm._FilterDatabase" localSheetId="3" hidden="1">'EXTRAS EVENTO'!#REF!</definedName>
    <definedName name="_xlnm._FilterDatabase" localSheetId="1" hidden="1">INTERNO!#REF!</definedName>
    <definedName name="_xlnm._FilterDatabase" localSheetId="6" hidden="1">OPCIONAIS!#REF!</definedName>
    <definedName name="_xlnm._FilterDatabase" localSheetId="8" hidden="1">TOTAL!#REF!</definedName>
    <definedName name="_xleta.N" hidden="1" xlm="1">#NAME?</definedName>
    <definedName name="_xleta.SUM" hidden="1" xlm="1">#NAME?</definedName>
    <definedName name="itensorc_desconto" localSheetId="11">ItensOrc!$M:$M</definedName>
    <definedName name="itensorc_desconto">#REF!</definedName>
    <definedName name="itensorc_descricao" localSheetId="11">ItensOrc!$D:$D</definedName>
    <definedName name="itensorc_descricao">#REF!</definedName>
    <definedName name="itensorc_encargos" localSheetId="11">ItensOrc!$N:$N</definedName>
    <definedName name="itensorc_encargos">#REF!</definedName>
    <definedName name="itensorc_especifica" localSheetId="11">ItensOrc!$O:$O</definedName>
    <definedName name="itensorc_especifica">#REF!</definedName>
    <definedName name="itensorc_item" localSheetId="11">ItensOrc!$C:$C</definedName>
    <definedName name="itensorc_item">#REF!</definedName>
    <definedName name="itensorc_lancamento" localSheetId="11">ItensOrc!$B:$B</definedName>
    <definedName name="itensorc_lancamento">#REF!</definedName>
    <definedName name="itensorc_percentualhonorarios" localSheetId="11">ItensOrc!$L:$L</definedName>
    <definedName name="itensorc_percentualhonorarios">#REF!</definedName>
    <definedName name="itensorc_quantidade" localSheetId="11">ItensOrc!$E:$E</definedName>
    <definedName name="itensorc_quantidade">#REF!</definedName>
    <definedName name="itensorc_situacao" localSheetId="11">ItensOrc!$H:$H</definedName>
    <definedName name="itensorc_situacao">#REF!</definedName>
    <definedName name="itensorc_subtipo" localSheetId="11">ItensOrc!$K:$K</definedName>
    <definedName name="itensorc_subtipo">#REF!</definedName>
    <definedName name="itensorc_tiporeceita" localSheetId="11">ItensOrc!$A:$A</definedName>
    <definedName name="itensorc_tiporeceita">#REF!</definedName>
    <definedName name="itensorc_valor" localSheetId="11">ItensOrc!$G:$G</definedName>
    <definedName name="itensorc_valor">#REF!</definedName>
    <definedName name="itensorc_valorfornecedor" localSheetId="11">ItensOrc!$I:$I</definedName>
    <definedName name="itensorc_valorfornecedor">#REF!</definedName>
    <definedName name="itensorc_valorfornecedorunitario" localSheetId="11">ItensOrc!$J:$J</definedName>
    <definedName name="itensorc_valorfornecedorunitario">#REF!</definedName>
    <definedName name="itensorc_valorunitario" localSheetId="11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2" i="118" l="1"/>
  <c r="E34" i="118"/>
  <c r="E33" i="118"/>
  <c r="E32" i="118"/>
  <c r="E27" i="118"/>
  <c r="D32" i="118"/>
  <c r="D34" i="118"/>
  <c r="D33" i="118"/>
  <c r="E35" i="118"/>
  <c r="C35" i="118"/>
  <c r="D35" i="118"/>
  <c r="C27" i="118"/>
  <c r="D27" i="118"/>
  <c r="C24" i="118"/>
  <c r="E24" i="118" s="1"/>
  <c r="F24" i="118" s="1"/>
  <c r="L32" i="119"/>
  <c r="L33" i="119" s="1"/>
  <c r="Q26" i="119"/>
  <c r="T26" i="119" s="1"/>
  <c r="K26" i="119"/>
  <c r="J26" i="119"/>
  <c r="Q25" i="119"/>
  <c r="K25" i="119"/>
  <c r="J25" i="119"/>
  <c r="Q24" i="119"/>
  <c r="K24" i="119"/>
  <c r="L24" i="119" s="1"/>
  <c r="M24" i="119" s="1"/>
  <c r="V23" i="119"/>
  <c r="T23" i="119"/>
  <c r="Q23" i="119"/>
  <c r="U23" i="119" s="1"/>
  <c r="K23" i="119"/>
  <c r="J23" i="119"/>
  <c r="V22" i="119"/>
  <c r="T22" i="119"/>
  <c r="R22" i="119"/>
  <c r="Q22" i="119"/>
  <c r="J22" i="119"/>
  <c r="K22" i="119" s="1"/>
  <c r="T21" i="119"/>
  <c r="R21" i="119"/>
  <c r="Q21" i="119"/>
  <c r="K21" i="119"/>
  <c r="R20" i="119"/>
  <c r="Q20" i="119"/>
  <c r="K20" i="119"/>
  <c r="J20" i="119"/>
  <c r="Q19" i="119"/>
  <c r="J19" i="119"/>
  <c r="K19" i="119" s="1"/>
  <c r="V18" i="119"/>
  <c r="R18" i="119"/>
  <c r="T18" i="119" s="1"/>
  <c r="Q18" i="119"/>
  <c r="U18" i="119" s="1"/>
  <c r="W18" i="119" s="1"/>
  <c r="X18" i="119" s="1"/>
  <c r="K18" i="119"/>
  <c r="V17" i="119"/>
  <c r="T17" i="119"/>
  <c r="R17" i="119"/>
  <c r="Q17" i="119"/>
  <c r="J17" i="119"/>
  <c r="K17" i="119" s="1"/>
  <c r="Q16" i="119"/>
  <c r="Q15" i="119"/>
  <c r="M14" i="119"/>
  <c r="Z12" i="119"/>
  <c r="M10" i="119"/>
  <c r="K28" i="119" l="1"/>
  <c r="K27" i="119"/>
  <c r="L17" i="119"/>
  <c r="U17" i="119"/>
  <c r="Z17" i="119" s="1"/>
  <c r="L19" i="119"/>
  <c r="M19" i="119" s="1"/>
  <c r="N19" i="119" s="1"/>
  <c r="U22" i="119"/>
  <c r="W22" i="119" s="1"/>
  <c r="X22" i="119" s="1"/>
  <c r="L22" i="119"/>
  <c r="M22" i="119" s="1"/>
  <c r="N22" i="119" s="1"/>
  <c r="M20" i="119"/>
  <c r="Z22" i="119"/>
  <c r="L34" i="119"/>
  <c r="L35" i="119" s="1"/>
  <c r="U26" i="119"/>
  <c r="W23" i="119"/>
  <c r="X23" i="119" s="1"/>
  <c r="N24" i="119"/>
  <c r="T25" i="119"/>
  <c r="V26" i="119"/>
  <c r="U21" i="119"/>
  <c r="Z21" i="119" s="1"/>
  <c r="L23" i="119"/>
  <c r="M23" i="119" s="1"/>
  <c r="N23" i="119" s="1"/>
  <c r="U25" i="119"/>
  <c r="Z25" i="119" s="1"/>
  <c r="W26" i="119"/>
  <c r="V21" i="119"/>
  <c r="W21" i="119" s="1"/>
  <c r="X21" i="119" s="1"/>
  <c r="Y21" i="119" s="1"/>
  <c r="T24" i="119"/>
  <c r="V25" i="119"/>
  <c r="L26" i="119"/>
  <c r="N26" i="119" s="1"/>
  <c r="X26" i="119"/>
  <c r="Y26" i="119" s="1"/>
  <c r="L18" i="119"/>
  <c r="M18" i="119" s="1"/>
  <c r="T20" i="119"/>
  <c r="Z18" i="119"/>
  <c r="T19" i="119"/>
  <c r="L21" i="119"/>
  <c r="N21" i="119" s="1"/>
  <c r="Z23" i="119"/>
  <c r="U24" i="119"/>
  <c r="Z24" i="119" s="1"/>
  <c r="W25" i="119"/>
  <c r="M26" i="119"/>
  <c r="M21" i="119"/>
  <c r="V24" i="119"/>
  <c r="L25" i="119"/>
  <c r="M25" i="119" s="1"/>
  <c r="X25" i="119"/>
  <c r="Y25" i="119" s="1"/>
  <c r="Z26" i="119"/>
  <c r="V20" i="119"/>
  <c r="V19" i="119"/>
  <c r="L20" i="119"/>
  <c r="L36" i="119" l="1"/>
  <c r="L37" i="119" s="1"/>
  <c r="L38" i="119" s="1"/>
  <c r="L39" i="119" s="1"/>
  <c r="L40" i="119" s="1"/>
  <c r="Y22" i="119"/>
  <c r="Y18" i="119"/>
  <c r="N18" i="119"/>
  <c r="Y23" i="119"/>
  <c r="AA19" i="119"/>
  <c r="L28" i="119"/>
  <c r="L27" i="119"/>
  <c r="T27" i="119"/>
  <c r="AA20" i="119"/>
  <c r="AA24" i="119"/>
  <c r="U27" i="119"/>
  <c r="W24" i="119"/>
  <c r="X24" i="119" s="1"/>
  <c r="Y24" i="119" s="1"/>
  <c r="W17" i="119"/>
  <c r="X17" i="119" s="1"/>
  <c r="N20" i="119"/>
  <c r="N25" i="119"/>
  <c r="U19" i="119"/>
  <c r="Z19" i="119" s="1"/>
  <c r="AA25" i="119"/>
  <c r="U20" i="119"/>
  <c r="U28" i="119" s="1"/>
  <c r="T28" i="119"/>
  <c r="M17" i="119"/>
  <c r="M28" i="119" l="1"/>
  <c r="M27" i="119"/>
  <c r="N17" i="119"/>
  <c r="Z20" i="119"/>
  <c r="W20" i="119"/>
  <c r="X20" i="119" s="1"/>
  <c r="Y20" i="119" s="1"/>
  <c r="AA22" i="119"/>
  <c r="AA17" i="119"/>
  <c r="AA18" i="119"/>
  <c r="AA26" i="119"/>
  <c r="AA21" i="119"/>
  <c r="AA23" i="119"/>
  <c r="Y17" i="119"/>
  <c r="W19" i="119"/>
  <c r="X19" i="119" s="1"/>
  <c r="Y19" i="119" s="1"/>
  <c r="Y28" i="119" l="1"/>
  <c r="X27" i="119"/>
  <c r="Y27" i="119" s="1"/>
  <c r="X28" i="119"/>
  <c r="N28" i="119"/>
  <c r="N27" i="119"/>
  <c r="F34" i="118" l="1"/>
  <c r="F33" i="118"/>
  <c r="AL19" i="105"/>
  <c r="AL21" i="105" s="1"/>
  <c r="AK17" i="113"/>
  <c r="AL26" i="111"/>
  <c r="AM17" i="117"/>
  <c r="AL18" i="113"/>
  <c r="C22" i="118"/>
  <c r="AN21" i="117"/>
  <c r="AL24" i="113"/>
  <c r="C26" i="118"/>
  <c r="C25" i="118"/>
  <c r="AK36" i="112"/>
  <c r="AK18" i="112"/>
  <c r="AK19" i="112"/>
  <c r="AK20" i="112"/>
  <c r="AK21" i="112"/>
  <c r="AK22" i="112"/>
  <c r="AK23" i="112"/>
  <c r="AK24" i="112"/>
  <c r="AK25" i="112"/>
  <c r="AK26" i="112"/>
  <c r="AK27" i="112"/>
  <c r="AK28" i="112"/>
  <c r="AK29" i="112"/>
  <c r="AK30" i="112"/>
  <c r="AK31" i="112"/>
  <c r="AK32" i="112"/>
  <c r="AK33" i="112"/>
  <c r="AK34" i="112"/>
  <c r="AK35" i="112"/>
  <c r="AK17" i="112"/>
  <c r="AL49" i="111"/>
  <c r="E3" i="118"/>
  <c r="R41" i="111"/>
  <c r="AL27" i="113" l="1"/>
  <c r="J18" i="117"/>
  <c r="J17" i="117"/>
  <c r="T21" i="117"/>
  <c r="N21" i="117"/>
  <c r="M21" i="117"/>
  <c r="L21" i="117"/>
  <c r="K21" i="117"/>
  <c r="T20" i="117"/>
  <c r="N20" i="117"/>
  <c r="M20" i="117"/>
  <c r="L20" i="117"/>
  <c r="K20" i="117"/>
  <c r="K18" i="117"/>
  <c r="R18" i="117"/>
  <c r="Q18" i="117"/>
  <c r="J19" i="117"/>
  <c r="K17" i="117"/>
  <c r="R19" i="117"/>
  <c r="Q19" i="117"/>
  <c r="V19" i="117" s="1"/>
  <c r="K19" i="117"/>
  <c r="R17" i="117"/>
  <c r="Q17" i="117"/>
  <c r="Q16" i="117"/>
  <c r="Q15" i="117"/>
  <c r="M14" i="117"/>
  <c r="Z12" i="117"/>
  <c r="M10" i="117"/>
  <c r="AA19" i="117" l="1"/>
  <c r="AA18" i="117"/>
  <c r="L18" i="117"/>
  <c r="M18" i="117" s="1"/>
  <c r="N18" i="117" s="1"/>
  <c r="V18" i="117"/>
  <c r="U18" i="117"/>
  <c r="Z18" i="117" s="1"/>
  <c r="U19" i="117"/>
  <c r="Z19" i="117" s="1"/>
  <c r="W19" i="117"/>
  <c r="X19" i="117" s="1"/>
  <c r="AM19" i="117" s="1"/>
  <c r="L17" i="117"/>
  <c r="V17" i="117"/>
  <c r="L19" i="117"/>
  <c r="M19" i="117" s="1"/>
  <c r="U17" i="117"/>
  <c r="R24" i="111"/>
  <c r="Q24" i="111"/>
  <c r="K24" i="111"/>
  <c r="W17" i="117" l="1"/>
  <c r="X17" i="117" s="1"/>
  <c r="U20" i="117"/>
  <c r="U21" i="117"/>
  <c r="W18" i="117"/>
  <c r="X18" i="117" s="1"/>
  <c r="Y19" i="117"/>
  <c r="N19" i="117"/>
  <c r="Z17" i="117"/>
  <c r="AA17" i="117"/>
  <c r="M17" i="117"/>
  <c r="L24" i="111"/>
  <c r="V24" i="111"/>
  <c r="Y17" i="117" l="1"/>
  <c r="Y18" i="117"/>
  <c r="Y21" i="117" s="1"/>
  <c r="Z21" i="117" s="1"/>
  <c r="AA21" i="117" s="1"/>
  <c r="AM18" i="117"/>
  <c r="X20" i="117"/>
  <c r="Y20" i="117" s="1"/>
  <c r="X21" i="117"/>
  <c r="D25" i="118" s="1"/>
  <c r="AM21" i="117"/>
  <c r="AA24" i="111"/>
  <c r="U24" i="111"/>
  <c r="Z24" i="111" s="1"/>
  <c r="N17" i="117"/>
  <c r="S51" i="111"/>
  <c r="T51" i="111" s="1"/>
  <c r="E25" i="118" l="1"/>
  <c r="W24" i="111"/>
  <c r="X24" i="111" s="1"/>
  <c r="AK24" i="111" s="1"/>
  <c r="S54" i="111"/>
  <c r="S55" i="111" s="1"/>
  <c r="S52" i="111"/>
  <c r="S53" i="111" s="1"/>
  <c r="F25" i="118" l="1"/>
  <c r="V27" i="111"/>
  <c r="R27" i="111"/>
  <c r="K27" i="111"/>
  <c r="K26" i="111"/>
  <c r="L26" i="111" s="1"/>
  <c r="V26" i="111"/>
  <c r="R26" i="111"/>
  <c r="Q23" i="111"/>
  <c r="K23" i="111"/>
  <c r="U27" i="111" l="1"/>
  <c r="Z27" i="111" s="1"/>
  <c r="L27" i="111"/>
  <c r="U26" i="111"/>
  <c r="Z26" i="111" s="1"/>
  <c r="L23" i="111"/>
  <c r="V23" i="111"/>
  <c r="U23" i="111" l="1"/>
  <c r="Z23" i="111" s="1"/>
  <c r="W27" i="111"/>
  <c r="X27" i="111" s="1"/>
  <c r="AK27" i="111" s="1"/>
  <c r="W26" i="111"/>
  <c r="X26" i="111" s="1"/>
  <c r="AK26" i="111" s="1"/>
  <c r="W23" i="111" l="1"/>
  <c r="X23" i="111" s="1"/>
  <c r="AK23" i="111" s="1"/>
  <c r="R18" i="113"/>
  <c r="Q18" i="113"/>
  <c r="K18" i="113"/>
  <c r="L18" i="113" s="1"/>
  <c r="R36" i="111"/>
  <c r="Q36" i="111"/>
  <c r="K36" i="111"/>
  <c r="R32" i="111"/>
  <c r="Q32" i="111"/>
  <c r="K32" i="111"/>
  <c r="R18" i="111"/>
  <c r="Q18" i="111"/>
  <c r="K18" i="111"/>
  <c r="L18" i="111" s="1"/>
  <c r="V18" i="113" l="1"/>
  <c r="L36" i="111"/>
  <c r="V36" i="111"/>
  <c r="L32" i="111"/>
  <c r="M32" i="111" s="1"/>
  <c r="N32" i="111" s="1"/>
  <c r="AA32" i="111"/>
  <c r="V32" i="111"/>
  <c r="U18" i="111"/>
  <c r="V18" i="111"/>
  <c r="U36" i="111" l="1"/>
  <c r="Z36" i="111" s="1"/>
  <c r="U18" i="113"/>
  <c r="U32" i="111"/>
  <c r="Z32" i="111" s="1"/>
  <c r="Z18" i="111"/>
  <c r="W18" i="111"/>
  <c r="X18" i="111" s="1"/>
  <c r="AK18" i="111" s="1"/>
  <c r="W36" i="111" l="1"/>
  <c r="X36" i="111" s="1"/>
  <c r="AK36" i="111" s="1"/>
  <c r="Z18" i="113"/>
  <c r="W18" i="113"/>
  <c r="X18" i="113" s="1"/>
  <c r="AK18" i="113" s="1"/>
  <c r="W32" i="111"/>
  <c r="X32" i="111" s="1"/>
  <c r="Y32" i="111" l="1"/>
  <c r="AK32" i="111"/>
  <c r="J19" i="113"/>
  <c r="K19" i="113" s="1"/>
  <c r="L19" i="113" s="1"/>
  <c r="J20" i="113"/>
  <c r="K20" i="113" s="1"/>
  <c r="L20" i="113" s="1"/>
  <c r="J21" i="113"/>
  <c r="J17" i="113"/>
  <c r="K17" i="113" s="1"/>
  <c r="R19" i="113"/>
  <c r="V19" i="113"/>
  <c r="R20" i="113"/>
  <c r="V21" i="113"/>
  <c r="R25" i="113"/>
  <c r="Q25" i="113"/>
  <c r="V25" i="113" s="1"/>
  <c r="K25" i="113"/>
  <c r="L25" i="113" s="1"/>
  <c r="R24" i="113"/>
  <c r="Q24" i="113"/>
  <c r="K24" i="113"/>
  <c r="Q23" i="113"/>
  <c r="R21" i="113"/>
  <c r="K21" i="113"/>
  <c r="L21" i="113" s="1"/>
  <c r="R17" i="113"/>
  <c r="Q17" i="113"/>
  <c r="Q16" i="113"/>
  <c r="Q15" i="113"/>
  <c r="M14" i="113"/>
  <c r="M18" i="113" s="1"/>
  <c r="Z12" i="113"/>
  <c r="M10" i="113"/>
  <c r="Q30" i="111"/>
  <c r="K30" i="111"/>
  <c r="R31" i="111"/>
  <c r="Q31" i="111"/>
  <c r="K31" i="111"/>
  <c r="J32" i="112"/>
  <c r="K32" i="112" s="1"/>
  <c r="Q32" i="112"/>
  <c r="R32" i="112"/>
  <c r="J33" i="112"/>
  <c r="K33" i="112" s="1"/>
  <c r="Q33" i="112"/>
  <c r="V33" i="112" s="1"/>
  <c r="R33" i="112"/>
  <c r="R18" i="112"/>
  <c r="Q18" i="112"/>
  <c r="J18" i="112"/>
  <c r="K18" i="112" s="1"/>
  <c r="R24" i="112"/>
  <c r="Q24" i="112"/>
  <c r="K24" i="112"/>
  <c r="L24" i="112" s="1"/>
  <c r="K26" i="112"/>
  <c r="L26" i="112" s="1"/>
  <c r="R23" i="112"/>
  <c r="Q23" i="112"/>
  <c r="V23" i="112" s="1"/>
  <c r="K23" i="112"/>
  <c r="R26" i="112"/>
  <c r="Q26" i="112"/>
  <c r="R25" i="112"/>
  <c r="Q25" i="112"/>
  <c r="K25" i="112"/>
  <c r="L25" i="112" s="1"/>
  <c r="K33" i="111" l="1"/>
  <c r="L31" i="111"/>
  <c r="N18" i="113"/>
  <c r="Y18" i="113"/>
  <c r="M19" i="113"/>
  <c r="N19" i="113" s="1"/>
  <c r="U19" i="113"/>
  <c r="M20" i="113"/>
  <c r="N20" i="113" s="1"/>
  <c r="U20" i="113"/>
  <c r="Z20" i="113" s="1"/>
  <c r="V20" i="113"/>
  <c r="K22" i="113"/>
  <c r="T33" i="112"/>
  <c r="K27" i="113"/>
  <c r="T32" i="112"/>
  <c r="K26" i="113"/>
  <c r="U25" i="113"/>
  <c r="Z25" i="113" s="1"/>
  <c r="U21" i="113"/>
  <c r="Z21" i="113" s="1"/>
  <c r="V17" i="113"/>
  <c r="M25" i="113"/>
  <c r="N25" i="113" s="1"/>
  <c r="U24" i="113"/>
  <c r="L24" i="113"/>
  <c r="V24" i="113"/>
  <c r="L17" i="113"/>
  <c r="M21" i="113"/>
  <c r="N21" i="113" s="1"/>
  <c r="L30" i="111"/>
  <c r="U31" i="111"/>
  <c r="V32" i="112"/>
  <c r="V31" i="111"/>
  <c r="L33" i="112"/>
  <c r="U33" i="112"/>
  <c r="W33" i="112" s="1"/>
  <c r="X33" i="112" s="1"/>
  <c r="L32" i="112"/>
  <c r="U32" i="112"/>
  <c r="W32" i="112" s="1"/>
  <c r="X32" i="112" s="1"/>
  <c r="L18" i="112"/>
  <c r="T18" i="112"/>
  <c r="V18" i="112"/>
  <c r="T26" i="112"/>
  <c r="AA26" i="112" s="1"/>
  <c r="V24" i="112"/>
  <c r="T24" i="112"/>
  <c r="AA24" i="112" s="1"/>
  <c r="T23" i="112"/>
  <c r="U23" i="112" s="1"/>
  <c r="Z23" i="112" s="1"/>
  <c r="AA23" i="112"/>
  <c r="L23" i="112"/>
  <c r="V26" i="112"/>
  <c r="T25" i="112"/>
  <c r="AA25" i="112" s="1"/>
  <c r="V25" i="112"/>
  <c r="L33" i="111" l="1"/>
  <c r="W20" i="113"/>
  <c r="X20" i="113" s="1"/>
  <c r="AK20" i="113" s="1"/>
  <c r="Y20" i="113"/>
  <c r="T22" i="113"/>
  <c r="AA21" i="113" s="1"/>
  <c r="W19" i="113"/>
  <c r="X19" i="113" s="1"/>
  <c r="Z19" i="113"/>
  <c r="M17" i="113"/>
  <c r="M22" i="113" s="1"/>
  <c r="L22" i="113"/>
  <c r="U17" i="113"/>
  <c r="U22" i="113" s="1"/>
  <c r="T27" i="113"/>
  <c r="D26" i="118" s="1"/>
  <c r="T26" i="113"/>
  <c r="M24" i="113"/>
  <c r="L26" i="113"/>
  <c r="L27" i="113"/>
  <c r="Z24" i="113"/>
  <c r="W21" i="113"/>
  <c r="X21" i="113" s="1"/>
  <c r="W31" i="111"/>
  <c r="X31" i="111" s="1"/>
  <c r="AK31" i="111" s="1"/>
  <c r="Z31" i="111"/>
  <c r="AA31" i="111"/>
  <c r="W24" i="113"/>
  <c r="X24" i="113" s="1"/>
  <c r="AK24" i="113" s="1"/>
  <c r="U26" i="113"/>
  <c r="W25" i="113"/>
  <c r="X25" i="113" s="1"/>
  <c r="Z33" i="112"/>
  <c r="Z32" i="112"/>
  <c r="U18" i="112"/>
  <c r="U24" i="112"/>
  <c r="Z24" i="112" s="1"/>
  <c r="W23" i="112"/>
  <c r="X23" i="112" s="1"/>
  <c r="U26" i="112"/>
  <c r="U25" i="112"/>
  <c r="E26" i="118" l="1"/>
  <c r="F26" i="118" s="1"/>
  <c r="Y21" i="113"/>
  <c r="AK21" i="113"/>
  <c r="Y19" i="113"/>
  <c r="AK19" i="113"/>
  <c r="Y25" i="113"/>
  <c r="AK25" i="113"/>
  <c r="AA20" i="113"/>
  <c r="AA18" i="113"/>
  <c r="AA19" i="113"/>
  <c r="N17" i="113"/>
  <c r="N22" i="113" s="1"/>
  <c r="W17" i="113"/>
  <c r="X17" i="113" s="1"/>
  <c r="AK27" i="113" s="1"/>
  <c r="Z17" i="113"/>
  <c r="U27" i="113"/>
  <c r="M26" i="113"/>
  <c r="M27" i="113"/>
  <c r="Y24" i="113"/>
  <c r="N24" i="113"/>
  <c r="AA17" i="113"/>
  <c r="AA24" i="113"/>
  <c r="W18" i="112"/>
  <c r="X18" i="112" s="1"/>
  <c r="Z18" i="112"/>
  <c r="W24" i="112"/>
  <c r="X24" i="112" s="1"/>
  <c r="Z26" i="112"/>
  <c r="W26" i="112"/>
  <c r="X26" i="112" s="1"/>
  <c r="Z25" i="112"/>
  <c r="W25" i="112"/>
  <c r="X25" i="112" s="1"/>
  <c r="X22" i="113" l="1"/>
  <c r="Y22" i="113" s="1"/>
  <c r="Y17" i="113"/>
  <c r="X27" i="113"/>
  <c r="Y27" i="113" s="1"/>
  <c r="D18" i="109" s="1"/>
  <c r="X26" i="113"/>
  <c r="Y26" i="113" s="1"/>
  <c r="N27" i="113"/>
  <c r="C18" i="109" s="1"/>
  <c r="N26" i="113"/>
  <c r="R35" i="112"/>
  <c r="Q35" i="112"/>
  <c r="J35" i="112"/>
  <c r="K35" i="112" s="1"/>
  <c r="L35" i="112" s="1"/>
  <c r="R34" i="112"/>
  <c r="Q34" i="112"/>
  <c r="V34" i="112" s="1"/>
  <c r="J34" i="112"/>
  <c r="K34" i="112" s="1"/>
  <c r="K22" i="112"/>
  <c r="K21" i="112"/>
  <c r="R30" i="112"/>
  <c r="Q30" i="112"/>
  <c r="K30" i="112"/>
  <c r="R31" i="112"/>
  <c r="Q31" i="112"/>
  <c r="K31" i="112"/>
  <c r="R29" i="112"/>
  <c r="Q29" i="112"/>
  <c r="K29" i="112"/>
  <c r="L29" i="112" s="1"/>
  <c r="R28" i="112"/>
  <c r="Q28" i="112"/>
  <c r="K28" i="112"/>
  <c r="R22" i="112"/>
  <c r="Q22" i="112"/>
  <c r="K41" i="111"/>
  <c r="R27" i="112"/>
  <c r="Q27" i="112"/>
  <c r="K27" i="112"/>
  <c r="R21" i="112"/>
  <c r="Q21" i="112"/>
  <c r="R20" i="112"/>
  <c r="Q20" i="112"/>
  <c r="K20" i="112"/>
  <c r="R19" i="112"/>
  <c r="Q19" i="112"/>
  <c r="K19" i="112"/>
  <c r="R17" i="112"/>
  <c r="Q17" i="112"/>
  <c r="V17" i="112" s="1"/>
  <c r="K17" i="112"/>
  <c r="L17" i="112" s="1"/>
  <c r="Q16" i="112"/>
  <c r="Q15" i="112"/>
  <c r="M14" i="112"/>
  <c r="M31" i="111" s="1"/>
  <c r="Z12" i="112"/>
  <c r="M10" i="112"/>
  <c r="R25" i="111"/>
  <c r="K25" i="111"/>
  <c r="K28" i="111" s="1"/>
  <c r="R47" i="111"/>
  <c r="Q47" i="111"/>
  <c r="Q46" i="111"/>
  <c r="Q45" i="111"/>
  <c r="R42" i="111"/>
  <c r="Q42" i="111"/>
  <c r="K42" i="111"/>
  <c r="Q41" i="111"/>
  <c r="Q40" i="111"/>
  <c r="Q39" i="111"/>
  <c r="Q35" i="111"/>
  <c r="K35" i="111"/>
  <c r="K37" i="111" s="1"/>
  <c r="Q34" i="111"/>
  <c r="Q29" i="111"/>
  <c r="Q22" i="111"/>
  <c r="R20" i="111"/>
  <c r="Q20" i="111"/>
  <c r="K20" i="111"/>
  <c r="Q19" i="111"/>
  <c r="K19" i="111"/>
  <c r="Q17" i="111"/>
  <c r="K17" i="111"/>
  <c r="Q16" i="111"/>
  <c r="Q15" i="111"/>
  <c r="M14" i="111"/>
  <c r="Z12" i="111"/>
  <c r="M10" i="111"/>
  <c r="M27" i="111" l="1"/>
  <c r="Y27" i="111" s="1"/>
  <c r="M24" i="111"/>
  <c r="K21" i="111"/>
  <c r="K38" i="111"/>
  <c r="K44" i="111"/>
  <c r="K43" i="111"/>
  <c r="K49" i="111"/>
  <c r="K48" i="111"/>
  <c r="M26" i="111"/>
  <c r="M23" i="111"/>
  <c r="M18" i="111"/>
  <c r="N18" i="111" s="1"/>
  <c r="M36" i="111"/>
  <c r="M30" i="111"/>
  <c r="M33" i="111" s="1"/>
  <c r="L25" i="111"/>
  <c r="M25" i="111" s="1"/>
  <c r="E18" i="109"/>
  <c r="F18" i="109" s="1"/>
  <c r="N31" i="111"/>
  <c r="Y31" i="111"/>
  <c r="M18" i="112"/>
  <c r="N18" i="112" s="1"/>
  <c r="M32" i="112"/>
  <c r="M33" i="112"/>
  <c r="M23" i="112"/>
  <c r="Y23" i="112" s="1"/>
  <c r="M24" i="112"/>
  <c r="N23" i="112"/>
  <c r="M25" i="112"/>
  <c r="N25" i="112" s="1"/>
  <c r="M26" i="112"/>
  <c r="L34" i="112"/>
  <c r="M34" i="112" s="1"/>
  <c r="N34" i="112" s="1"/>
  <c r="T34" i="112"/>
  <c r="U34" i="112" s="1"/>
  <c r="Z34" i="112" s="1"/>
  <c r="M35" i="112"/>
  <c r="N35" i="112" s="1"/>
  <c r="T35" i="112"/>
  <c r="U35" i="112" s="1"/>
  <c r="Z35" i="112" s="1"/>
  <c r="V35" i="112"/>
  <c r="L30" i="112"/>
  <c r="M30" i="112" s="1"/>
  <c r="N30" i="112" s="1"/>
  <c r="V30" i="112"/>
  <c r="T30" i="112"/>
  <c r="U30" i="112" s="1"/>
  <c r="Z30" i="112" s="1"/>
  <c r="L31" i="112"/>
  <c r="T31" i="112"/>
  <c r="U31" i="112" s="1"/>
  <c r="V31" i="112"/>
  <c r="M29" i="112"/>
  <c r="N29" i="112" s="1"/>
  <c r="T29" i="112"/>
  <c r="U29" i="112" s="1"/>
  <c r="Z29" i="112" s="1"/>
  <c r="V29" i="112"/>
  <c r="L28" i="112"/>
  <c r="M28" i="112" s="1"/>
  <c r="T28" i="112"/>
  <c r="U28" i="112" s="1"/>
  <c r="V28" i="112"/>
  <c r="L22" i="112"/>
  <c r="V22" i="112"/>
  <c r="T22" i="112"/>
  <c r="T27" i="112"/>
  <c r="U27" i="112" s="1"/>
  <c r="Z27" i="112" s="1"/>
  <c r="T17" i="112"/>
  <c r="U17" i="112" s="1"/>
  <c r="W17" i="112" s="1"/>
  <c r="X17" i="112" s="1"/>
  <c r="V27" i="112"/>
  <c r="L27" i="112"/>
  <c r="L19" i="112"/>
  <c r="M19" i="112" s="1"/>
  <c r="L20" i="112"/>
  <c r="L21" i="112"/>
  <c r="M21" i="112" s="1"/>
  <c r="N21" i="112" s="1"/>
  <c r="T19" i="112"/>
  <c r="V19" i="112"/>
  <c r="V20" i="112"/>
  <c r="T21" i="112"/>
  <c r="M17" i="112"/>
  <c r="N17" i="112" s="1"/>
  <c r="V21" i="112"/>
  <c r="T20" i="112"/>
  <c r="U20" i="112" s="1"/>
  <c r="V25" i="111"/>
  <c r="V41" i="111"/>
  <c r="V20" i="111"/>
  <c r="L19" i="111"/>
  <c r="L35" i="111"/>
  <c r="L37" i="111" s="1"/>
  <c r="L17" i="111"/>
  <c r="L41" i="111"/>
  <c r="V17" i="111"/>
  <c r="T17" i="111"/>
  <c r="L20" i="111"/>
  <c r="V30" i="111"/>
  <c r="T30" i="111"/>
  <c r="T33" i="111" s="1"/>
  <c r="V47" i="111"/>
  <c r="V42" i="111"/>
  <c r="T19" i="111"/>
  <c r="L42" i="111"/>
  <c r="T35" i="111"/>
  <c r="T37" i="111" s="1"/>
  <c r="V19" i="111"/>
  <c r="V35" i="111"/>
  <c r="N27" i="111" l="1"/>
  <c r="T38" i="111"/>
  <c r="T21" i="111"/>
  <c r="T43" i="111"/>
  <c r="T44" i="111"/>
  <c r="N24" i="111"/>
  <c r="Y24" i="111"/>
  <c r="M28" i="111"/>
  <c r="T28" i="111"/>
  <c r="AA27" i="111" s="1"/>
  <c r="L28" i="111"/>
  <c r="L43" i="111"/>
  <c r="L44" i="111"/>
  <c r="L38" i="111"/>
  <c r="L21" i="111"/>
  <c r="L49" i="111"/>
  <c r="L48" i="111"/>
  <c r="T49" i="111"/>
  <c r="T48" i="111"/>
  <c r="N23" i="111"/>
  <c r="U17" i="111"/>
  <c r="M17" i="111"/>
  <c r="N26" i="111"/>
  <c r="Y26" i="111"/>
  <c r="N30" i="111"/>
  <c r="N33" i="111" s="1"/>
  <c r="Y23" i="111"/>
  <c r="AA35" i="111"/>
  <c r="M19" i="111"/>
  <c r="N19" i="111" s="1"/>
  <c r="Y18" i="111"/>
  <c r="Y36" i="111"/>
  <c r="N36" i="111"/>
  <c r="U20" i="111"/>
  <c r="W20" i="111" s="1"/>
  <c r="X20" i="111" s="1"/>
  <c r="AK20" i="111" s="1"/>
  <c r="M20" i="111"/>
  <c r="N20" i="111" s="1"/>
  <c r="N25" i="111"/>
  <c r="U25" i="111"/>
  <c r="W25" i="111" s="1"/>
  <c r="X25" i="111" s="1"/>
  <c r="AK25" i="111" s="1"/>
  <c r="M42" i="111"/>
  <c r="U42" i="111"/>
  <c r="W42" i="111" s="1"/>
  <c r="X42" i="111" s="1"/>
  <c r="AK42" i="111" s="1"/>
  <c r="Y18" i="112"/>
  <c r="M47" i="111"/>
  <c r="N32" i="112"/>
  <c r="Y32" i="112"/>
  <c r="Y33" i="112"/>
  <c r="N33" i="112"/>
  <c r="Y25" i="112"/>
  <c r="N24" i="112"/>
  <c r="Y24" i="112"/>
  <c r="W35" i="112"/>
  <c r="X35" i="112" s="1"/>
  <c r="Y35" i="112" s="1"/>
  <c r="N26" i="112"/>
  <c r="Y26" i="112"/>
  <c r="U41" i="111"/>
  <c r="AA35" i="112"/>
  <c r="W34" i="112"/>
  <c r="X34" i="112" s="1"/>
  <c r="Y34" i="112" s="1"/>
  <c r="AA34" i="112"/>
  <c r="W29" i="112"/>
  <c r="X29" i="112" s="1"/>
  <c r="Y29" i="112" s="1"/>
  <c r="Z31" i="112"/>
  <c r="W31" i="112"/>
  <c r="X31" i="112" s="1"/>
  <c r="W30" i="112"/>
  <c r="X30" i="112" s="1"/>
  <c r="Y30" i="112" s="1"/>
  <c r="Z28" i="112"/>
  <c r="W28" i="112"/>
  <c r="X28" i="112" s="1"/>
  <c r="Y28" i="112" s="1"/>
  <c r="M31" i="112"/>
  <c r="N28" i="112"/>
  <c r="W27" i="112"/>
  <c r="X27" i="112" s="1"/>
  <c r="U22" i="112"/>
  <c r="M22" i="112"/>
  <c r="N22" i="112" s="1"/>
  <c r="Z17" i="112"/>
  <c r="N19" i="112"/>
  <c r="Z20" i="112"/>
  <c r="W20" i="112"/>
  <c r="X20" i="112" s="1"/>
  <c r="U19" i="112"/>
  <c r="Y17" i="112"/>
  <c r="U21" i="112"/>
  <c r="M27" i="112"/>
  <c r="M20" i="112"/>
  <c r="AA20" i="112"/>
  <c r="U35" i="111"/>
  <c r="U37" i="111" s="1"/>
  <c r="AA30" i="111"/>
  <c r="M41" i="111"/>
  <c r="M35" i="111"/>
  <c r="M37" i="111" s="1"/>
  <c r="U47" i="111"/>
  <c r="U30" i="111"/>
  <c r="U33" i="111" s="1"/>
  <c r="U19" i="111"/>
  <c r="AA42" i="111" l="1"/>
  <c r="AA47" i="111"/>
  <c r="U28" i="111"/>
  <c r="U38" i="111"/>
  <c r="U21" i="111"/>
  <c r="M43" i="111"/>
  <c r="M44" i="111"/>
  <c r="N28" i="111"/>
  <c r="M38" i="111"/>
  <c r="M21" i="111"/>
  <c r="U44" i="111"/>
  <c r="U43" i="111"/>
  <c r="M48" i="111"/>
  <c r="M49" i="111"/>
  <c r="U49" i="111"/>
  <c r="U48" i="111"/>
  <c r="W17" i="111"/>
  <c r="X17" i="111" s="1"/>
  <c r="AK17" i="111" s="1"/>
  <c r="N17" i="111"/>
  <c r="Z17" i="111"/>
  <c r="AA23" i="111"/>
  <c r="AA26" i="111"/>
  <c r="X28" i="111"/>
  <c r="Z41" i="111"/>
  <c r="Z19" i="111"/>
  <c r="AA18" i="111"/>
  <c r="AA36" i="111"/>
  <c r="AA20" i="111"/>
  <c r="Y20" i="111"/>
  <c r="Z20" i="111"/>
  <c r="Y25" i="111"/>
  <c r="Z25" i="111"/>
  <c r="N42" i="111"/>
  <c r="Y42" i="111"/>
  <c r="Z42" i="111"/>
  <c r="N47" i="111"/>
  <c r="AA18" i="112"/>
  <c r="AA32" i="112"/>
  <c r="AA33" i="112"/>
  <c r="AA41" i="111"/>
  <c r="W41" i="111"/>
  <c r="X41" i="111" s="1"/>
  <c r="AK41" i="111" s="1"/>
  <c r="Y31" i="112"/>
  <c r="N31" i="112"/>
  <c r="AA30" i="112"/>
  <c r="AA28" i="112"/>
  <c r="AA29" i="112"/>
  <c r="AA31" i="112"/>
  <c r="Y27" i="112"/>
  <c r="AA22" i="112"/>
  <c r="W22" i="112"/>
  <c r="X22" i="112" s="1"/>
  <c r="Y22" i="112" s="1"/>
  <c r="Z22" i="112"/>
  <c r="N27" i="112"/>
  <c r="Z35" i="111"/>
  <c r="AA27" i="112"/>
  <c r="AA21" i="112"/>
  <c r="AA17" i="112"/>
  <c r="Z21" i="112"/>
  <c r="W21" i="112"/>
  <c r="X21" i="112" s="1"/>
  <c r="Y21" i="112" s="1"/>
  <c r="Z19" i="112"/>
  <c r="W19" i="112"/>
  <c r="X19" i="112" s="1"/>
  <c r="AA19" i="112"/>
  <c r="N20" i="112"/>
  <c r="Y20" i="112"/>
  <c r="AA25" i="111"/>
  <c r="N41" i="111"/>
  <c r="W30" i="111"/>
  <c r="X30" i="111" s="1"/>
  <c r="W35" i="111"/>
  <c r="X35" i="111" s="1"/>
  <c r="N35" i="111"/>
  <c r="N37" i="111" s="1"/>
  <c r="AA17" i="111"/>
  <c r="W47" i="111"/>
  <c r="X47" i="111" s="1"/>
  <c r="AK47" i="111" s="1"/>
  <c r="Z47" i="111"/>
  <c r="Z30" i="111"/>
  <c r="AA19" i="111"/>
  <c r="W19" i="111"/>
  <c r="X19" i="111" s="1"/>
  <c r="AK19" i="111" s="1"/>
  <c r="X37" i="111" l="1"/>
  <c r="Y37" i="111" s="1"/>
  <c r="AK35" i="111"/>
  <c r="X33" i="111"/>
  <c r="AK30" i="111"/>
  <c r="Y17" i="111"/>
  <c r="X21" i="111"/>
  <c r="Y21" i="111" s="1"/>
  <c r="X38" i="111"/>
  <c r="Y38" i="111" s="1"/>
  <c r="N44" i="111"/>
  <c r="N43" i="111"/>
  <c r="X44" i="111"/>
  <c r="Y44" i="111" s="1"/>
  <c r="X43" i="111"/>
  <c r="Y43" i="111" s="1"/>
  <c r="N38" i="111"/>
  <c r="N21" i="111"/>
  <c r="N48" i="111"/>
  <c r="N49" i="111"/>
  <c r="X48" i="111"/>
  <c r="Y48" i="111" s="1"/>
  <c r="X49" i="111"/>
  <c r="D23" i="118" s="1"/>
  <c r="Y33" i="111"/>
  <c r="Y41" i="111"/>
  <c r="Y19" i="111"/>
  <c r="Y30" i="111"/>
  <c r="Y35" i="111"/>
  <c r="Y19" i="112"/>
  <c r="Y28" i="111"/>
  <c r="Y47" i="111"/>
  <c r="AK49" i="111" l="1"/>
  <c r="C17" i="109"/>
  <c r="C23" i="118"/>
  <c r="Y49" i="111"/>
  <c r="D17" i="109" s="1"/>
  <c r="E17" i="109" s="1"/>
  <c r="F17" i="109" s="1"/>
  <c r="E23" i="118" l="1"/>
  <c r="F23" i="118" s="1"/>
  <c r="Z49" i="111"/>
  <c r="AA49" i="111" s="1"/>
  <c r="K18" i="105" l="1"/>
  <c r="L18" i="105" s="1"/>
  <c r="R18" i="105" l="1"/>
  <c r="Q18" i="105"/>
  <c r="T18" i="105" l="1"/>
  <c r="V18" i="105"/>
  <c r="U18" i="105" l="1"/>
  <c r="W18" i="105" s="1"/>
  <c r="X18" i="105" s="1"/>
  <c r="AK18" i="105" s="1"/>
  <c r="Z18" i="105" l="1"/>
  <c r="K19" i="105"/>
  <c r="K17" i="105"/>
  <c r="R19" i="105"/>
  <c r="Q19" i="105"/>
  <c r="R17" i="105"/>
  <c r="Q17" i="105"/>
  <c r="V17" i="105" s="1"/>
  <c r="Q16" i="105"/>
  <c r="Q15" i="105"/>
  <c r="M14" i="105"/>
  <c r="M18" i="105" s="1"/>
  <c r="Z12" i="105"/>
  <c r="M10" i="105"/>
  <c r="K21" i="105" l="1"/>
  <c r="K20" i="105"/>
  <c r="N18" i="105"/>
  <c r="Y18" i="105"/>
  <c r="T17" i="105"/>
  <c r="T21" i="105" s="1"/>
  <c r="L17" i="105"/>
  <c r="L19" i="105"/>
  <c r="M19" i="105" s="1"/>
  <c r="V19" i="105"/>
  <c r="L21" i="105" l="1"/>
  <c r="L20" i="105"/>
  <c r="U19" i="105"/>
  <c r="W19" i="105" s="1"/>
  <c r="X19" i="105" s="1"/>
  <c r="AK19" i="105" s="1"/>
  <c r="T20" i="105"/>
  <c r="U17" i="105"/>
  <c r="N19" i="105"/>
  <c r="M17" i="105"/>
  <c r="M20" i="105" l="1"/>
  <c r="M21" i="105"/>
  <c r="Y19" i="105"/>
  <c r="Z19" i="105"/>
  <c r="U20" i="105"/>
  <c r="U21" i="105"/>
  <c r="W17" i="105"/>
  <c r="X17" i="105" s="1"/>
  <c r="X21" i="105" s="1"/>
  <c r="D22" i="118" s="1"/>
  <c r="N17" i="105"/>
  <c r="N21" i="105" s="1"/>
  <c r="Z17" i="105"/>
  <c r="Y17" i="105" l="1"/>
  <c r="Y21" i="105" s="1"/>
  <c r="D16" i="109" s="1"/>
  <c r="X20" i="105"/>
  <c r="Y20" i="105" s="1"/>
  <c r="AK17" i="105"/>
  <c r="AK21" i="105" s="1"/>
  <c r="N20" i="105"/>
  <c r="F35" i="118" l="1"/>
  <c r="C16" i="109"/>
  <c r="D19" i="109"/>
  <c r="Z21" i="105"/>
  <c r="AA21" i="105" s="1"/>
  <c r="E22" i="118" l="1"/>
  <c r="F27" i="118" s="1"/>
  <c r="C19" i="109"/>
  <c r="E19" i="109" s="1"/>
  <c r="F19" i="109" s="1"/>
  <c r="E16" i="109"/>
  <c r="F16" i="109" s="1"/>
  <c r="F22" i="118" l="1"/>
</calcChain>
</file>

<file path=xl/sharedStrings.xml><?xml version="1.0" encoding="utf-8"?>
<sst xmlns="http://schemas.openxmlformats.org/spreadsheetml/2006/main" count="1176" uniqueCount="383">
  <si>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</si>
  <si>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</si>
  <si>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</si>
  <si>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</si>
  <si>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</si>
  <si>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</si>
  <si>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</si>
  <si>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</si>
  <si>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</si>
  <si>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</si>
  <si>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</si>
  <si>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</si>
  <si>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</si>
  <si>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</si>
  <si>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</si>
  <si>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</si>
  <si>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</si>
  <si>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</si>
  <si>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</si>
  <si>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</si>
  <si>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</si>
  <si>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</si>
  <si>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</si>
  <si>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</si>
  <si>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</si>
  <si>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</si>
  <si>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</si>
  <si>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</si>
  <si>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</si>
  <si>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</si>
  <si>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</si>
  <si>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</si>
  <si>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</si>
  <si>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</si>
  <si>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</si>
  <si>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</si>
  <si>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</si>
  <si>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</si>
  <si>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</si>
  <si>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</si>
  <si>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</si>
  <si>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</si>
  <si>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</si>
  <si>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</si>
  <si>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</si>
  <si>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</si>
  <si>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</si>
  <si>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</si>
  <si>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</si>
  <si>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</si>
  <si>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</si>
  <si>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</si>
  <si>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</si>
  <si>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</si>
  <si>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</si>
  <si>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</si>
  <si>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</si>
  <si>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</si>
  <si>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</si>
  <si>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</si>
  <si>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</si>
  <si>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</si>
  <si>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</si>
  <si>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</si>
  <si>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</si>
  <si>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</si>
  <si>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</si>
  <si>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</si>
  <si>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</si>
  <si>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</si>
  <si>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PAGAMENTOS</t>
  </si>
  <si>
    <t>Solicitado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</si>
  <si>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</si>
  <si>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</si>
  <si>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</si>
  <si>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</si>
  <si>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</si>
  <si>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</si>
  <si>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</si>
  <si>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</si>
  <si>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</si>
  <si>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</si>
  <si>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</si>
  <si>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</si>
  <si>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</si>
  <si>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</si>
  <si>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</si>
  <si>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</si>
  <si>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</si>
  <si>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</si>
  <si>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</si>
  <si>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</si>
  <si>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</si>
  <si>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</si>
  <si>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</si>
  <si>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</si>
  <si>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</si>
  <si>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</si>
  <si>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</si>
  <si>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</si>
  <si>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</si>
  <si>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</si>
  <si>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</si>
  <si>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</si>
  <si>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</si>
  <si>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</si>
  <si>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</si>
  <si>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</si>
  <si>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</si>
  <si>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</si>
  <si>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</si>
  <si>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</si>
  <si>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</si>
  <si>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</si>
  <si>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</si>
  <si>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</si>
  <si>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</si>
  <si>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</si>
  <si>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</si>
  <si>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</si>
  <si>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</si>
  <si>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</si>
  <si>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</si>
  <si>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</si>
  <si>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</si>
  <si>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</si>
  <si>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</si>
  <si>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>( X ) Pessoa Jurídica</t>
  </si>
  <si>
    <t>ORÇAMENTO 5.1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</si>
  <si>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</si>
  <si>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</si>
  <si>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</si>
  <si>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</si>
  <si>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</si>
  <si>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</si>
  <si>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</si>
  <si>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</si>
  <si>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</si>
  <si>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</si>
  <si>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</si>
  <si>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</si>
  <si>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</si>
  <si>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</si>
  <si>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</si>
  <si>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</si>
  <si>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</si>
  <si>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</si>
  <si>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</si>
  <si>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</si>
  <si>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</si>
  <si>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Vazio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</si>
  <si>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</si>
  <si>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</si>
  <si>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</si>
  <si>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</si>
  <si>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</si>
  <si>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</si>
  <si>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</si>
  <si>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</si>
  <si>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</si>
  <si>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</si>
  <si>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</si>
  <si>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</si>
  <si>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</si>
  <si>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</si>
  <si>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</si>
  <si>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</si>
  <si>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>SUBGRUPO</t>
  </si>
  <si>
    <t>AGENCIAMENTO</t>
  </si>
  <si>
    <t>IMPOSTOS</t>
  </si>
  <si>
    <t>Marg.</t>
  </si>
  <si>
    <t>ITEM</t>
  </si>
  <si>
    <t>GRUPO</t>
  </si>
  <si>
    <t>1.1</t>
  </si>
  <si>
    <t>1.1.1</t>
  </si>
  <si>
    <t>1.1.3</t>
  </si>
  <si>
    <t>INTERNOS</t>
  </si>
  <si>
    <t>INTERNO</t>
  </si>
  <si>
    <t>Produtor executivo dedicado, responsável pela pré-produção, implementação do projeto e pós produção</t>
  </si>
  <si>
    <t>FAT.OGGI</t>
  </si>
  <si>
    <t>2.1</t>
  </si>
  <si>
    <t>2.1.1</t>
  </si>
  <si>
    <t>SUBTOTAL SUBGRUPO</t>
  </si>
  <si>
    <t>Subtotal HOTEL</t>
  </si>
  <si>
    <t>Subtotal INTERNO</t>
  </si>
  <si>
    <t>OPERACIONAL</t>
  </si>
  <si>
    <t>2.1.2</t>
  </si>
  <si>
    <t>3.1</t>
  </si>
  <si>
    <t>3.1.1</t>
  </si>
  <si>
    <t>SUBTOTAL PLANILHA</t>
  </si>
  <si>
    <t xml:space="preserve">TOTAL </t>
  </si>
  <si>
    <t>Marg. Lucro</t>
  </si>
  <si>
    <t>Lucro</t>
  </si>
  <si>
    <t>CLIENTE:  LACTALIS</t>
  </si>
  <si>
    <t>ATENDIMENTO: NILSON MIGUEL</t>
  </si>
  <si>
    <t>Subtotal HOTEL - PERÍODO DE 13 A 14 DE JANEIRO</t>
  </si>
  <si>
    <t>ORÇAMENTO 5.0</t>
  </si>
  <si>
    <t>FAT.CLIENTE</t>
  </si>
  <si>
    <t>PRODUTOR: PATRICK SILVA</t>
  </si>
  <si>
    <t>CÓDIGO DO JOB: L_061</t>
  </si>
  <si>
    <t>EVENTO: CAMPANHA DE INCENTIVO</t>
  </si>
  <si>
    <t>DATA: 26 à 29/03/2026</t>
  </si>
  <si>
    <t>NOME PLANILHA: L_061_Campanha de Incentivo_Buenos Aires_DPA</t>
  </si>
  <si>
    <t>LOCAL: BUENOS AIRES</t>
  </si>
  <si>
    <t xml:space="preserve">Atendimento </t>
  </si>
  <si>
    <t>Atendimento ao cliente, reuniões, alinhamento e fluxo interno;</t>
  </si>
  <si>
    <t>Desdobramento de Peças (Criação)</t>
  </si>
  <si>
    <t>Produtor Executivo</t>
  </si>
  <si>
    <t>LOGISTICA</t>
  </si>
  <si>
    <t xml:space="preserve">ÁEREO </t>
  </si>
  <si>
    <t>Passagem aérea (São Paulo)</t>
  </si>
  <si>
    <t>Passagem aérea (Rio de Janeiro)</t>
  </si>
  <si>
    <t xml:space="preserve">Subtotal ÁEREO </t>
  </si>
  <si>
    <t>1.2</t>
  </si>
  <si>
    <t>1.2.1</t>
  </si>
  <si>
    <t>1.2.2</t>
  </si>
  <si>
    <t>HOSPEDAGEM</t>
  </si>
  <si>
    <t>Subtotal HOSPEDAGEM</t>
  </si>
  <si>
    <t>GIFT</t>
  </si>
  <si>
    <t>Cartão ou aporte $</t>
  </si>
  <si>
    <t>Peças digitais como: Save the date, É amanha...</t>
  </si>
  <si>
    <t>TRANSFER</t>
  </si>
  <si>
    <t>JANTAR</t>
  </si>
  <si>
    <t>GUIA</t>
  </si>
  <si>
    <t>TOUR DAY</t>
  </si>
  <si>
    <t>ALMOÇO</t>
  </si>
  <si>
    <t>Dia 02 - 27/03</t>
  </si>
  <si>
    <t>Dia 01 - 26/03</t>
  </si>
  <si>
    <t>Dia 03 - 28/03</t>
  </si>
  <si>
    <t>Dia 04 - 29/03</t>
  </si>
  <si>
    <t>COORDENADOR LOCAL ACOMPANHANDO O GRUPO FULL TIME
ESTE VALOR INCLUI TODAS AS DESPESAS DO PROFISSIONAL</t>
  </si>
  <si>
    <t>COORDENADOR LOCAL</t>
  </si>
  <si>
    <t>ITENS COMPLEMENTARES</t>
  </si>
  <si>
    <t>Itens Complementares</t>
  </si>
  <si>
    <t>SEGURO VIAGEM</t>
  </si>
  <si>
    <t>HERO 150
Despesas médicas e hospitalares totais USD 150.000,00</t>
  </si>
  <si>
    <t>SUBTOTAL GRUPO</t>
  </si>
  <si>
    <t>Subtotal ITENS COMPLEMENTARES</t>
  </si>
  <si>
    <t>Subtotal Itens Complementares</t>
  </si>
  <si>
    <t>2.3.2</t>
  </si>
  <si>
    <t>2.3.4</t>
  </si>
  <si>
    <t>2.3.5</t>
  </si>
  <si>
    <t>Subtotal EXPERIÊNCIA</t>
  </si>
  <si>
    <t>Subtotal Dia 01 - 26/03</t>
  </si>
  <si>
    <t>Subtotal Dia 02 - 27/03</t>
  </si>
  <si>
    <t>Subtotal Dia 03 - 28/03</t>
  </si>
  <si>
    <t>Subtotal Dia 04 - 29/03</t>
  </si>
  <si>
    <t>Subtotal LOGISTICA</t>
  </si>
  <si>
    <t>EXPERIÊNCIAS</t>
  </si>
  <si>
    <t>EVENTO</t>
  </si>
  <si>
    <t>OPCIONAIS</t>
  </si>
  <si>
    <t>Lãs Cañas</t>
  </si>
  <si>
    <t>La Dorita (Palermo / Botánico)
Uma das parrillas mais populares, preços moderados e menus fartos.</t>
  </si>
  <si>
    <t>Caldén del Soho
Ótima opção para quem quer carne de excelente qualidade sem gastar muito.</t>
  </si>
  <si>
    <t>Buono Italian Kitchen (Sheraton BA)
Apesar de estar em um hotel, mantém preços moderados e boa oferta de massas e pratos italianos.</t>
  </si>
  <si>
    <t>ATRAÇÕES</t>
  </si>
  <si>
    <t>1.1.4</t>
  </si>
  <si>
    <t>1.1.5</t>
  </si>
  <si>
    <t>1.1.6</t>
  </si>
  <si>
    <t>1.1.7</t>
  </si>
  <si>
    <t>1.1.8</t>
  </si>
  <si>
    <t>1.1.9</t>
  </si>
  <si>
    <t>1.1.10</t>
  </si>
  <si>
    <t>1.1.13</t>
  </si>
  <si>
    <t>1.1.14</t>
  </si>
  <si>
    <t>1.3</t>
  </si>
  <si>
    <t>1.3.1</t>
  </si>
  <si>
    <t>1.3.2</t>
  </si>
  <si>
    <t>1.4</t>
  </si>
  <si>
    <t>1.4.1</t>
  </si>
  <si>
    <t>Almarena by Melia - Puerto Madeira</t>
  </si>
  <si>
    <t>ÔNIBUS EXECUTIVO</t>
  </si>
  <si>
    <t>Almarena Madero Urbano - Puerto Madero</t>
  </si>
  <si>
    <t>DIA 01- 26/03</t>
  </si>
  <si>
    <t>DIA 02- 27/03</t>
  </si>
  <si>
    <t>DIA 03 - 28/03</t>
  </si>
  <si>
    <t>DIA 04 - 29/03</t>
  </si>
  <si>
    <t>Transfer Aeroporto - Hotel</t>
  </si>
  <si>
    <t>Jantar</t>
  </si>
  <si>
    <t>Café no Hotel</t>
  </si>
  <si>
    <t xml:space="preserve">City tour </t>
  </si>
  <si>
    <t>Almoço</t>
  </si>
  <si>
    <t>Transfer Hotel - Restaurante</t>
  </si>
  <si>
    <t>Transfer Hotel - Passeio</t>
  </si>
  <si>
    <t>Passeio Barco</t>
  </si>
  <si>
    <t>Transfer Hotel - Aeroporto</t>
  </si>
  <si>
    <t xml:space="preserve">Aéreo ARG &gt; BRA </t>
  </si>
  <si>
    <t>Aéreo BRA &gt; ARG</t>
  </si>
  <si>
    <t>Passagem aérea: GIG &gt; BUE &gt; GIG 
AEROLINEAS ARGENTINAS
Ida: 26/03 | 09:55 &gt; 13:20 - Retorno: 29/03 | 15:55 &gt; 18:50
Classe economica | tarifa promocional | não reembolsável</t>
  </si>
  <si>
    <t>PASSEIO</t>
  </si>
  <si>
    <t>PASSEIO/ALMOÇO</t>
  </si>
  <si>
    <t>Quarto Single, contempla 03 diárias c/ café da manha;</t>
  </si>
  <si>
    <t>Quarto Duplo, contempla 03 diárias c/ café da manha;</t>
  </si>
  <si>
    <t>1.3.3</t>
  </si>
  <si>
    <t>1.4.2</t>
  </si>
  <si>
    <t>PRODUTOR: PATRICK SILVA/LUIZA TAVORA</t>
  </si>
  <si>
    <t>PLANILHA DE INVESTIMENTO</t>
  </si>
  <si>
    <t>1.2.3</t>
  </si>
  <si>
    <t>1.2.4</t>
  </si>
  <si>
    <t>1.2.5</t>
  </si>
  <si>
    <t>MICRO ÔNIBUS EXECUTIVO HOTEL &gt; RESTAURANTE &gt; HOTEL (5H)</t>
  </si>
  <si>
    <t>MICRO ÔNIBUS EXECUTIVO HOTEL &gt; RESTAURANTE &gt; HOTEL (3H)</t>
  </si>
  <si>
    <t>RESTAURANTE ROCK&amp;RIBS</t>
  </si>
  <si>
    <t>MICRO EXECUTIVO HOTEL &gt; RESTAURANTE &gt; HOTEL (5H)</t>
  </si>
  <si>
    <t>ALMOÇO ESTILO CAMPO</t>
  </si>
  <si>
    <t>ÔNIBUS EXECUTIVO HOTEL &gt; RESTAURANTE &gt; AEROPORTO</t>
  </si>
  <si>
    <t>ÔNIBUS EXECUTIVO AEROPORTO &gt; RESTAURANTE &gt; HOTEL</t>
  </si>
  <si>
    <t>CITY TOUR BUENOS AIRES</t>
  </si>
  <si>
    <t>Hospedagem (Rio de Janeiro)</t>
  </si>
  <si>
    <t>Passagem aérea: GIG &gt; VIX 
Rio Aeroporto Hotel Galeao
Check-in: 25/03 | Check-out: 26/03
Quarto Deluxe TWIN com 2 Camas de Solteiro</t>
  </si>
  <si>
    <t>Passagem aérea ida
Atos | Paulo</t>
  </si>
  <si>
    <t>Passagem aérea Volta
Atos | Paulo</t>
  </si>
  <si>
    <t>EXTRA</t>
  </si>
  <si>
    <t>Subtotal EXTRA</t>
  </si>
  <si>
    <t>VÍDEO</t>
  </si>
  <si>
    <t>STUDIO ROCA</t>
  </si>
  <si>
    <t>VENDA</t>
  </si>
  <si>
    <t xml:space="preserve">CUSTO </t>
  </si>
  <si>
    <t>LUCRO</t>
  </si>
  <si>
    <t>NOTAS EMITIDAS</t>
  </si>
  <si>
    <t>EXTRAS</t>
  </si>
  <si>
    <t>ALMARENA BY MELIA</t>
  </si>
  <si>
    <r>
      <rPr>
        <b/>
        <sz val="16"/>
        <color theme="1"/>
        <rFont val="Trebuchet MS"/>
        <family val="2"/>
      </rPr>
      <t>PUERTO CRISTAL</t>
    </r>
    <r>
      <rPr>
        <sz val="16"/>
        <color theme="1"/>
        <rFont val="Trebuchet MS"/>
        <family val="2"/>
      </rPr>
      <t xml:space="preserve">
O valor é por pessoa e inclui: Taça de champagne de recepção,1 agua mineral o refrigerante por pessoa, café o chá e serviço de mesa.</t>
    </r>
  </si>
  <si>
    <r>
      <t>CITY TOUR BUENOS AIRES - 4 horas de duração</t>
    </r>
    <r>
      <rPr>
        <sz val="16"/>
        <color theme="1"/>
        <rFont val="Trebuchet MS"/>
        <family val="2"/>
      </rPr>
      <t xml:space="preserve">
O tour inicia no Caminito, em La Boca, passando pelo Valle Iberlucea e Calle Magallanes. Em seguida, visitamos San Telmo e a Estátua da Mafalda, continuando até o Estádio La Bombonera. O percurso segue pela Avenida de Mayo e pelo Mercado de San Telmo.
Depois, seguimos para Puerto Madero e a Ponte da Mulher, e então para a Plaza de Mayo, onde veremos externamente a Casa Rosada, a Catedral Metropolitana e o Cabildo.
Continuamos para o Rosedal de Palermo, o Cemitério da Recoleta, a livraria El Ateneo Grand Splendid e finalizamos na escultura Floralis Genérica.
Inclui transfer coletivo in/out e guia.</t>
    </r>
  </si>
  <si>
    <r>
      <rPr>
        <b/>
        <sz val="16"/>
        <rFont val="Trebuchet MS"/>
        <family val="2"/>
      </rPr>
      <t>EL GRAN PARAISO</t>
    </r>
    <r>
      <rPr>
        <sz val="16"/>
        <rFont val="Trebuchet MS"/>
        <family val="2"/>
      </rPr>
      <t xml:space="preserve">
Menu de 3 tempos + vinho + bebidas não alcoolica</t>
    </r>
  </si>
  <si>
    <r>
      <rPr>
        <b/>
        <sz val="16"/>
        <color theme="1"/>
        <rFont val="Trebuchet MS"/>
        <family val="2"/>
      </rPr>
      <t>EXPERIÊNCIA FUTEBOL BOCA JR</t>
    </r>
    <r>
      <rPr>
        <sz val="16"/>
        <color theme="1"/>
        <rFont val="Trebuchet MS"/>
        <family val="2"/>
      </rPr>
      <t xml:space="preserve">
Visita guiada pelas instalações do Estádio do Club Atlético Boca Juniors. Duração: 1 hora.</t>
    </r>
  </si>
  <si>
    <r>
      <t xml:space="preserve">JANTAR LA FERNETERIA (Bellas Artes)
</t>
    </r>
    <r>
      <rPr>
        <sz val="16"/>
        <rFont val="Trebuchet MS"/>
        <family val="2"/>
      </rPr>
      <t>Menu de 3 tempos (entradas family style para compartilhar + prato principal à escolha + sobremesa)
Bebidas alcoólicas (2) 
Água e refrigerantes
Limonada clássica / suco de laranja 
Café ou chá.</t>
    </r>
  </si>
  <si>
    <r>
      <t xml:space="preserve">Tour a Tigre de barco
</t>
    </r>
    <r>
      <rPr>
        <sz val="16"/>
        <color theme="1"/>
        <rFont val="Trebuchet MS"/>
        <family val="2"/>
      </rPr>
      <t xml:space="preserve">Tour de ida e volta com almoço no Vivanco
Entrada: presunto, mesclun de folhas verdes e salada caprese. 
Prato Principal: canelones de verdura e ricota com molho bechamel e fileto; pesca do dia com guarnição à escolha; baby beef com batatas fritas.
Sobremesa: taça gelada Vivanco (frutos vermelhos, chantili, pedacinhos de brownie, suspiros, sorvete de creme americano e molho de chocolate).
Bebidas: água mineral ou de sabores, refrigerante, taça de vinho tinto, branco ou cerveja. </t>
    </r>
  </si>
  <si>
    <r>
      <rPr>
        <b/>
        <sz val="16"/>
        <color theme="1"/>
        <rFont val="Trebuchet MS"/>
        <family val="2"/>
      </rPr>
      <t>JANTAR MADERO TANGO</t>
    </r>
    <r>
      <rPr>
        <sz val="16"/>
        <color theme="1"/>
        <rFont val="Trebuchet MS"/>
        <family val="2"/>
      </rPr>
      <t xml:space="preserve">
Inclui: mesa para o show com acesso, menu de 3 tempos com escolha entre 8 opções, bebidas sem álcool como água e refrigerantes, cerveja, vinho e champanhe.
Obs: Transfer oferecido pelo Madero Tango, sujeito a disponilidade de lugares </t>
    </r>
  </si>
  <si>
    <r>
      <t xml:space="preserve">Considerando valor de </t>
    </r>
    <r>
      <rPr>
        <b/>
        <sz val="16"/>
        <color rgb="FFFF0000"/>
        <rFont val="Trebuchet MS"/>
        <family val="2"/>
      </rPr>
      <t>US 150</t>
    </r>
    <r>
      <rPr>
        <b/>
        <sz val="16"/>
        <color theme="1"/>
        <rFont val="Trebuchet MS"/>
        <family val="2"/>
      </rPr>
      <t xml:space="preserve"> </t>
    </r>
    <r>
      <rPr>
        <sz val="16"/>
        <color theme="1"/>
        <rFont val="Trebuchet MS"/>
        <family val="2"/>
      </rPr>
      <t>depositado no cartão internacional ou aporte em moeda local (pesos ou dolares) - Considerando tarifa praticada + IOF 5%; (NOMAD, WISE)</t>
    </r>
  </si>
  <si>
    <r>
      <t xml:space="preserve">Passagem aérea: VIX &gt; GIG 
GOL
Ida: 25/03 | 21:05 &gt; 22:15
</t>
    </r>
    <r>
      <rPr>
        <sz val="16"/>
        <rFont val="Trebuchet MS"/>
        <family val="2"/>
      </rPr>
      <t>Classe economica | tarifa promocional | não reembolsável</t>
    </r>
  </si>
  <si>
    <r>
      <t xml:space="preserve">Passagem aérea: GIG &gt; VIX 
GOL
Retorno: 29/03 | 19:20 &gt; 20:30
</t>
    </r>
    <r>
      <rPr>
        <sz val="16"/>
        <rFont val="Trebuchet MS"/>
        <family val="2"/>
      </rPr>
      <t>Classe economica | tarifa promocional | não reembolsável</t>
    </r>
  </si>
  <si>
    <r>
      <t xml:space="preserve">Passagem aérea: GRU &gt; BUE &gt; GRU
AEROLINEAS ARGENTINAS
Ida: 26/03 | 10:40 &gt; 13:40 - Retorno: 29/03 | 14:05 &gt; 16:50
</t>
    </r>
    <r>
      <rPr>
        <sz val="16"/>
        <rFont val="Trebuchet MS"/>
        <family val="2"/>
      </rPr>
      <t>Classe economica | tarifa promocional | não reembolsável</t>
    </r>
  </si>
  <si>
    <r>
      <t xml:space="preserve">Passagem aérea: GRU &gt; BUE &gt; GRU
AEROLINEAS ARGENTINAS
</t>
    </r>
    <r>
      <rPr>
        <sz val="16"/>
        <color rgb="FFFF0000"/>
        <rFont val="Trebuchet MS"/>
        <family val="2"/>
      </rPr>
      <t>Tarifa Variável</t>
    </r>
  </si>
  <si>
    <r>
      <rPr>
        <b/>
        <sz val="16"/>
        <color theme="1"/>
        <rFont val="Trebuchet MS"/>
        <family val="2"/>
      </rPr>
      <t>THE ARGENTINE EXPERIENCE</t>
    </r>
    <r>
      <rPr>
        <sz val="16"/>
        <color theme="1"/>
        <rFont val="Trebuchet MS"/>
        <family val="2"/>
      </rPr>
      <t xml:space="preserve">
PATAGONIAN TROUT TARTARE: alcaparras, cream cheese, cebola e truta
Degustação de carnes: Osso buco braseado lentamente e filé mignon macio, acompanhados de batatas baby com manteiga de alho e cogumelos, berinjelas com molho de coentro e salada fresca.
Momento Hands On: Aprenda a fazer empanadas e prepare seu próprio chimichurri + 5 vinhos diferentes (aluguel de 5 taças)
Recordação em um prato: Provoleta grelhada, bolinhos salgados de acelga e fainá (pão plano de grão-de-bico).
Aperitivos: Chouriço em rodelas, rolinho de morcela e entraña grelhada.
Mate Tasting + Alfajores
Degustação de sobremesas -Chocotorta, panquecas de doce de leite e clássico de doce com queijo.</t>
    </r>
  </si>
  <si>
    <r>
      <rPr>
        <b/>
        <sz val="16"/>
        <color theme="1"/>
        <rFont val="Trebuchet MS"/>
        <family val="2"/>
      </rPr>
      <t>JANTAR THE LIBRARY LOUNGE (HOTEL FAENA)</t>
    </r>
    <r>
      <rPr>
        <sz val="16"/>
        <color theme="1"/>
        <rFont val="Trebuchet MS"/>
        <family val="2"/>
      </rPr>
      <t xml:space="preserve">
Seleção de finger food, entrada, prato principal e sobremesa
Bebidas não alcoólicas e cafeteria
Open Bar por 3 horas.
Espaço setorizado</t>
    </r>
  </si>
  <si>
    <r>
      <rPr>
        <b/>
        <sz val="16"/>
        <color theme="1"/>
        <rFont val="Trebuchet MS"/>
        <family val="2"/>
      </rPr>
      <t>JANTAR ESTANCIA VIGIL</t>
    </r>
    <r>
      <rPr>
        <sz val="16"/>
        <color theme="1"/>
        <rFont val="Trebuchet MS"/>
        <family val="2"/>
      </rPr>
      <t xml:space="preserve">
Recepção com taça de vinho no espaço El Mercado
Jantar com menu de 3 tempos em espaço privativo na vinícola, com vista para os vinhedos
Harmonização Linha de 3 Vinhos DV Catena Le Exploratore
Água com e sem gás + serviço de cafeteria Nespresso</t>
    </r>
  </si>
  <si>
    <r>
      <rPr>
        <b/>
        <sz val="16"/>
        <color theme="1"/>
        <rFont val="Trebuchet MS"/>
        <family val="2"/>
      </rPr>
      <t>TOUR FULL DAY – BODEGA GAMBOA</t>
    </r>
    <r>
      <rPr>
        <sz val="16"/>
        <color theme="1"/>
        <rFont val="Trebuchet MS"/>
        <family val="2"/>
      </rPr>
      <t xml:space="preserve">
Taça de boas-vindas + Blending Class na cava + passeio pelo vinhedo + visita à vinícola + almoço na Casa Gamboa (menu de 3 tempos com acompanhamentos e mesa de doces + harmonização com 5 taças + bebidas não alcoólicas e café).</t>
    </r>
  </si>
  <si>
    <r>
      <t xml:space="preserve">Madero Tango
</t>
    </r>
    <r>
      <rPr>
        <sz val="16"/>
        <color theme="1"/>
        <rFont val="Trebuchet MS"/>
        <family val="2"/>
      </rPr>
      <t>Espetáculo - Esta modalidade dará acesso ao espetáculo no Madero Tango em mesas compartilhadas para até 10 pessoas em um lateral do palco, mas sem o serviço de comidas ou bebidas incluídas.</t>
    </r>
  </si>
  <si>
    <r>
      <t xml:space="preserve">Madero Tango
</t>
    </r>
    <r>
      <rPr>
        <sz val="16"/>
        <color theme="1"/>
        <rFont val="Trebuchet MS"/>
        <family val="2"/>
      </rPr>
      <t>Espetáculo e cena Last Minute - Sem local pré-determinado e um jantar que consiste em um menu fixo de:
Entrada: empanada de carne com molho jawa.
Prato principal: milanesa de frango com purê de batatas ao limão.
Sobremesa: pudim de baunilha com caramelo.
1 bebida a escolher entre água, refrigerante ou uma taça de vinho</t>
    </r>
    <r>
      <rPr>
        <b/>
        <sz val="16"/>
        <color theme="1"/>
        <rFont val="Trebuchet MS"/>
        <family val="2"/>
      </rPr>
      <t>.</t>
    </r>
  </si>
  <si>
    <r>
      <t xml:space="preserve">Tango Porteño
</t>
    </r>
    <r>
      <rPr>
        <sz val="16"/>
        <color theme="1"/>
        <rFont val="Trebuchet MS"/>
        <family val="2"/>
      </rPr>
      <t xml:space="preserve">Espetáculo </t>
    </r>
  </si>
  <si>
    <r>
      <t xml:space="preserve">Tango Porteño
</t>
    </r>
    <r>
      <rPr>
        <sz val="16"/>
        <color theme="1"/>
        <rFont val="Trebuchet MS"/>
        <family val="2"/>
      </rPr>
      <t xml:space="preserve">Espetáculo preferencial - Transfer coletivo in/out hotel. 
Ingresso do espetáculo. 
Open bar (água, vinho, cerveja e refrigerantes) e duas empanadas (carne ou presunto e queijo) por pessoa. </t>
    </r>
  </si>
  <si>
    <r>
      <t xml:space="preserve">Tango Porteño
</t>
    </r>
    <r>
      <rPr>
        <sz val="16"/>
        <color theme="1"/>
        <rFont val="Trebuchet MS"/>
        <family val="2"/>
      </rPr>
      <t>Espetáculo + jantar menu Platea  (estimativa USD 100 por pessoa)
Transfer coletivo in/out hotel. 
Ingresso do espetáculo. 
Open bar (água, vinho, cerveja e refrigerantes) e um jantar menu Platea de três pratos.</t>
    </r>
  </si>
  <si>
    <r>
      <rPr>
        <b/>
        <sz val="16"/>
        <color theme="1"/>
        <rFont val="Trebuchet MS"/>
        <family val="2"/>
      </rPr>
      <t>EXPERIÊNCIA FUTEBOL BOCA JR</t>
    </r>
    <r>
      <rPr>
        <sz val="16"/>
        <color theme="1"/>
        <rFont val="Trebuchet MS"/>
        <family val="2"/>
      </rPr>
      <t xml:space="preserve">
Almoço no El Gran Paraíso – Menu de 3 tempos + vinho + bebidas não alcoolica</t>
    </r>
  </si>
  <si>
    <r>
      <rPr>
        <b/>
        <sz val="16"/>
        <color theme="1"/>
        <rFont val="Trebuchet MS"/>
        <family val="2"/>
      </rPr>
      <t>EXPERIÊNCIA FUTEBOL RIVER PLATE</t>
    </r>
    <r>
      <rPr>
        <sz val="16"/>
        <color theme="1"/>
        <rFont val="Trebuchet MS"/>
        <family val="2"/>
      </rPr>
      <t xml:space="preserve">
Percurso privado conduzido por guias do Museu River, no qual serão visitados o anel interno do estádio, o vestiário visitante, o túnel e a saída para o campo de jogo.</t>
    </r>
  </si>
  <si>
    <r>
      <rPr>
        <b/>
        <sz val="16"/>
        <color theme="1"/>
        <rFont val="Trebuchet MS"/>
        <family val="2"/>
      </rPr>
      <t xml:space="preserve">EXPERIÊNCIA FUTEBOL RIVER PLATE </t>
    </r>
    <r>
      <rPr>
        <sz val="16"/>
        <color theme="1"/>
        <rFont val="Trebuchet MS"/>
        <family val="2"/>
      </rPr>
      <t xml:space="preserve">
Almoço no Restaurante La Banda - Menu de 3 tempos + 2 bebidas não alcoolicas + café.</t>
    </r>
  </si>
  <si>
    <t>SAKURA</t>
  </si>
  <si>
    <t>ISABELA</t>
  </si>
  <si>
    <t>CAROL IGLEZIAS</t>
  </si>
  <si>
    <t>FOURPAY</t>
  </si>
  <si>
    <t>MARCUS VINICIUS</t>
  </si>
  <si>
    <t>FIDEICOMISSO MADERO (PAGO NO CARTÃO DO SERGIO)</t>
  </si>
  <si>
    <t xml:space="preserve">LUIZA FERNANDA - NILSON - CAROL - SK COPIADORA </t>
  </si>
  <si>
    <t xml:space="preserve">LCA VIAGENS </t>
  </si>
  <si>
    <t>NOTA DE DÉBITO 16</t>
  </si>
  <si>
    <t>NOTA FISCAL 2925</t>
  </si>
  <si>
    <t>NOTA FISCAL 2578</t>
  </si>
  <si>
    <t>EXTRAS EVENTO</t>
  </si>
  <si>
    <t>Assento</t>
  </si>
  <si>
    <t>Compra de assentos marcados</t>
  </si>
  <si>
    <t>Cartão Adicional</t>
  </si>
  <si>
    <t>Cartão Adicional de R$ 2000,00</t>
  </si>
  <si>
    <t>Puerto Cristal</t>
  </si>
  <si>
    <t>Bebidas extras</t>
  </si>
  <si>
    <t xml:space="preserve">El Gran Paraiso </t>
  </si>
  <si>
    <t>La Ferneteria</t>
  </si>
  <si>
    <t>Bebidas Extras</t>
  </si>
  <si>
    <t>Almoço no Barco</t>
  </si>
  <si>
    <t>Liberação cardápio no almoço do barco</t>
  </si>
  <si>
    <t xml:space="preserve">Transfer </t>
  </si>
  <si>
    <t>Adicional Bagagem (cortesia)</t>
  </si>
  <si>
    <t>Compra de águas</t>
  </si>
  <si>
    <t>Compra de águas para os quartos</t>
  </si>
  <si>
    <t>Alfajor</t>
  </si>
  <si>
    <t xml:space="preserve">Compra de Alfajor </t>
  </si>
  <si>
    <t>INTEGRALIZAÇÃO</t>
  </si>
  <si>
    <t>IMPOSTO LOCAL</t>
  </si>
  <si>
    <t>IRRF/IOF</t>
  </si>
  <si>
    <t>CUSTO FINANCEIRO</t>
  </si>
  <si>
    <t>TAXA LCA</t>
  </si>
  <si>
    <t>TOTAL GERAL</t>
  </si>
  <si>
    <t>CÂMBIO HOJE R$ 5,55</t>
  </si>
  <si>
    <r>
      <t xml:space="preserve">Adicional do transfers - 6h extras confoirme ajuste da programação
</t>
    </r>
    <r>
      <rPr>
        <sz val="16"/>
        <color rgb="FFFF0000"/>
        <rFont val="Trebuchet MS"/>
        <family val="2"/>
      </rPr>
      <t xml:space="preserve">Programação contratada: 26 horas totais 
• 26/03 – Excedente de 3 horas (retorno ao hotel às 01:00, conforme ajuste de programação) JANTAR ROCK &amp; RIBS - MENU CLASSIC - Das 19:00 as 22:00: estava programado para sair as 19h00 do hotel, mas solicitado para sair as 21h00, foi avisado sobre as horas adicionais.
• 27/03 – Excedente de 3 horas (retorno ao hotel às 01:00, conforme ajuste de programação) aqui também excedeu a hora programada: JANTAR LA FERNETERIA - Das 20:00 as 22:00, e o grupo ficou após o horário delimitado.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</si>
</sst>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  <numFmt numFmtId="171" formatCode="0.0%"/>
    <numFmt numFmtId="172" formatCode="_-[$USD]\ * #,##0.00_-;\-[$USD]\ * #,##0.00_-;_-[$USD]\ * &quot;-&quot;??_-;_-@_-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b/>
      <sz val="13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2"/>
      <color theme="0"/>
      <name val="Trebuchet MS"/>
      <family val="2"/>
    </font>
    <font>
      <b/>
      <sz val="16"/>
      <color theme="0"/>
      <name val="Trebuchet MS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Trebuchet MS"/>
      <family val="2"/>
    </font>
    <font>
      <b/>
      <sz val="16"/>
      <color theme="1"/>
      <name val="Gadugi"/>
      <family val="2"/>
    </font>
    <font>
      <b/>
      <sz val="16"/>
      <color theme="1"/>
      <name val="Trebuchet MS"/>
      <family val="2"/>
    </font>
    <font>
      <b/>
      <sz val="16"/>
      <color indexed="63"/>
      <name val="Trebuchet MS"/>
      <family val="2"/>
    </font>
    <font>
      <sz val="16"/>
      <color theme="0"/>
      <name val="Calibri"/>
      <family val="2"/>
      <scheme val="minor"/>
    </font>
    <font>
      <sz val="16"/>
      <color theme="1"/>
      <name val="Trebuchet MS"/>
      <family val="2"/>
    </font>
    <font>
      <b/>
      <sz val="16"/>
      <color rgb="FFFF0000"/>
      <name val="Trebuchet MS"/>
      <family val="2"/>
    </font>
    <font>
      <b/>
      <sz val="16"/>
      <color rgb="FF00B050"/>
      <name val="Trebuchet MS"/>
      <family val="2"/>
    </font>
    <font>
      <b/>
      <sz val="16"/>
      <color rgb="FFFF000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6"/>
      <name val="Trebuchet MS"/>
      <family val="2"/>
    </font>
    <font>
      <b/>
      <sz val="16"/>
      <name val="Calibri"/>
      <family val="2"/>
      <scheme val="minor"/>
    </font>
    <font>
      <sz val="16"/>
      <color theme="4"/>
      <name val="Trebuchet MS"/>
      <family val="2"/>
    </font>
    <font>
      <sz val="16"/>
      <color rgb="FF000000"/>
      <name val="Aptos Narrow"/>
      <family val="2"/>
    </font>
    <font>
      <sz val="16"/>
      <color rgb="FFFF0000"/>
      <name val="Trebuchet MS"/>
      <family val="2"/>
    </font>
    <font>
      <sz val="16"/>
      <color rgb="FF92D050"/>
      <name val="Trebuchet MS"/>
      <family val="2"/>
    </font>
    <font>
      <sz val="16"/>
      <color rgb="FF00B0F0"/>
      <name val="Trebuchet MS"/>
      <family val="2"/>
    </font>
    <font>
      <b/>
      <sz val="16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b/>
      <sz val="12"/>
      <color rgb="FFFF0000"/>
      <name val="Trebuchet MS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2E6FE3"/>
        <bgColor indexed="64"/>
      </patternFill>
    </fill>
  </fills>
  <borders count="119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13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0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35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11" fillId="4" borderId="35" xfId="0" applyFont="1" applyFill="1" applyBorder="1"/>
    <xf numFmtId="0" fontId="11" fillId="4" borderId="36" xfId="0" applyFont="1" applyFill="1" applyBorder="1"/>
    <xf numFmtId="164" fontId="6" fillId="0" borderId="0" xfId="2" applyNumberFormat="1" applyFont="1" applyAlignment="1">
      <alignment horizontal="left" vertical="center"/>
    </xf>
    <xf numFmtId="0" fontId="15" fillId="8" borderId="42" xfId="0" applyFont="1" applyFill="1" applyBorder="1" applyAlignment="1">
      <alignment vertical="center"/>
    </xf>
    <xf numFmtId="0" fontId="17" fillId="8" borderId="42" xfId="0" applyFont="1" applyFill="1" applyBorder="1" applyAlignment="1">
      <alignment horizontal="center" vertical="center"/>
    </xf>
    <xf numFmtId="22" fontId="15" fillId="8" borderId="42" xfId="0" applyNumberFormat="1" applyFont="1" applyFill="1" applyBorder="1" applyAlignment="1">
      <alignment horizontal="center" vertical="center"/>
    </xf>
    <xf numFmtId="0" fontId="19" fillId="8" borderId="43" xfId="0" applyFont="1" applyFill="1" applyBorder="1" applyAlignment="1">
      <alignment horizontal="center" vertical="center" wrapText="1"/>
    </xf>
    <xf numFmtId="0" fontId="19" fillId="8" borderId="44" xfId="0" applyFont="1" applyFill="1" applyBorder="1" applyAlignment="1">
      <alignment horizontal="center" vertical="center" wrapText="1"/>
    </xf>
    <xf numFmtId="0" fontId="0" fillId="9" borderId="45" xfId="0" applyFill="1" applyBorder="1" applyAlignment="1">
      <alignment vertical="center"/>
    </xf>
    <xf numFmtId="0" fontId="0" fillId="9" borderId="45" xfId="0" applyFill="1" applyBorder="1" applyAlignment="1">
      <alignment horizontal="right" vertical="center"/>
    </xf>
    <xf numFmtId="4" fontId="0" fillId="9" borderId="45" xfId="0" applyNumberFormat="1" applyFill="1" applyBorder="1" applyAlignment="1">
      <alignment horizontal="right" vertical="center"/>
    </xf>
    <xf numFmtId="9" fontId="0" fillId="9" borderId="45" xfId="0" applyNumberFormat="1" applyFill="1" applyBorder="1" applyAlignment="1">
      <alignment horizontal="right" vertical="center"/>
    </xf>
    <xf numFmtId="0" fontId="0" fillId="9" borderId="46" xfId="0" applyFill="1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45" xfId="0" applyBorder="1" applyAlignment="1">
      <alignment horizontal="right" vertical="center"/>
    </xf>
    <xf numFmtId="4" fontId="0" fillId="0" borderId="45" xfId="0" applyNumberFormat="1" applyBorder="1" applyAlignment="1">
      <alignment horizontal="right" vertical="center"/>
    </xf>
    <xf numFmtId="9" fontId="0" fillId="0" borderId="45" xfId="0" applyNumberFormat="1" applyBorder="1" applyAlignment="1">
      <alignment horizontal="right" vertical="center"/>
    </xf>
    <xf numFmtId="0" fontId="0" fillId="0" borderId="46" xfId="0" applyBorder="1" applyAlignment="1">
      <alignment vertical="center"/>
    </xf>
    <xf numFmtId="0" fontId="0" fillId="0" borderId="46" xfId="0" applyBorder="1" applyAlignment="1">
      <alignment vertical="center" wrapText="1"/>
    </xf>
    <xf numFmtId="0" fontId="0" fillId="9" borderId="46" xfId="0" applyFill="1" applyBorder="1" applyAlignment="1">
      <alignment vertical="center" wrapText="1"/>
    </xf>
    <xf numFmtId="0" fontId="0" fillId="9" borderId="47" xfId="0" applyFill="1" applyBorder="1" applyAlignment="1">
      <alignment vertical="center"/>
    </xf>
    <xf numFmtId="0" fontId="0" fillId="9" borderId="47" xfId="0" applyFill="1" applyBorder="1" applyAlignment="1">
      <alignment horizontal="right" vertical="center"/>
    </xf>
    <xf numFmtId="4" fontId="0" fillId="9" borderId="47" xfId="0" applyNumberFormat="1" applyFill="1" applyBorder="1" applyAlignment="1">
      <alignment horizontal="right" vertical="center"/>
    </xf>
    <xf numFmtId="9" fontId="0" fillId="9" borderId="47" xfId="0" applyNumberFormat="1" applyFill="1" applyBorder="1" applyAlignment="1">
      <alignment horizontal="right" vertical="center"/>
    </xf>
    <xf numFmtId="0" fontId="0" fillId="9" borderId="48" xfId="0" applyFill="1" applyBorder="1" applyAlignment="1">
      <alignment vertical="center"/>
    </xf>
    <xf numFmtId="164" fontId="6" fillId="0" borderId="20" xfId="2" applyNumberFormat="1" applyFont="1" applyBorder="1" applyAlignment="1" applyProtection="1">
      <alignment horizontal="left" vertical="center"/>
      <protection locked="0"/>
    </xf>
    <xf numFmtId="164" fontId="6" fillId="0" borderId="22" xfId="2" applyNumberFormat="1" applyFont="1" applyBorder="1" applyAlignment="1" applyProtection="1">
      <alignment horizontal="left" vertical="center"/>
      <protection locked="0"/>
    </xf>
    <xf numFmtId="164" fontId="6" fillId="0" borderId="31" xfId="2" applyNumberFormat="1" applyFont="1" applyBorder="1" applyAlignment="1" applyProtection="1">
      <alignment horizontal="left" vertical="center"/>
      <protection locked="0"/>
    </xf>
    <xf numFmtId="164" fontId="6" fillId="0" borderId="32" xfId="2" applyNumberFormat="1" applyFont="1" applyBorder="1" applyAlignment="1" applyProtection="1">
      <alignment horizontal="left" vertical="center"/>
      <protection locked="0"/>
    </xf>
    <xf numFmtId="0" fontId="7" fillId="0" borderId="25" xfId="2" applyFont="1" applyBorder="1" applyAlignment="1" applyProtection="1">
      <alignment horizontal="left" vertical="center"/>
      <protection locked="0"/>
    </xf>
    <xf numFmtId="0" fontId="6" fillId="0" borderId="25" xfId="2" applyFont="1" applyBorder="1" applyAlignment="1" applyProtection="1">
      <alignment horizontal="left" vertical="center"/>
      <protection locked="0"/>
    </xf>
    <xf numFmtId="14" fontId="7" fillId="0" borderId="32" xfId="2" applyNumberFormat="1" applyFont="1" applyBorder="1" applyAlignment="1" applyProtection="1">
      <alignment horizontal="left" vertical="center"/>
      <protection locked="0"/>
    </xf>
    <xf numFmtId="164" fontId="6" fillId="0" borderId="39" xfId="2" applyNumberFormat="1" applyFont="1" applyBorder="1" applyAlignment="1" applyProtection="1">
      <alignment horizontal="left" vertical="center"/>
      <protection locked="0"/>
    </xf>
    <xf numFmtId="0" fontId="6" fillId="0" borderId="29" xfId="2" applyFont="1" applyBorder="1" applyAlignment="1" applyProtection="1">
      <alignment horizontal="left" vertical="center"/>
      <protection locked="0"/>
    </xf>
    <xf numFmtId="0" fontId="24" fillId="17" borderId="6" xfId="0" applyFont="1" applyFill="1" applyBorder="1"/>
    <xf numFmtId="0" fontId="24" fillId="17" borderId="37" xfId="0" applyFont="1" applyFill="1" applyBorder="1"/>
    <xf numFmtId="44" fontId="24" fillId="17" borderId="37" xfId="0" applyNumberFormat="1" applyFont="1" applyFill="1" applyBorder="1"/>
    <xf numFmtId="44" fontId="24" fillId="17" borderId="80" xfId="0" applyNumberFormat="1" applyFont="1" applyFill="1" applyBorder="1"/>
    <xf numFmtId="9" fontId="24" fillId="17" borderId="15" xfId="1" applyFont="1" applyFill="1" applyBorder="1"/>
    <xf numFmtId="0" fontId="24" fillId="17" borderId="37" xfId="0" applyFont="1" applyFill="1" applyBorder="1" applyAlignment="1">
      <alignment horizontal="center" vertical="center"/>
    </xf>
    <xf numFmtId="164" fontId="14" fillId="0" borderId="31" xfId="2" applyNumberFormat="1" applyFont="1" applyBorder="1" applyAlignment="1" applyProtection="1">
      <alignment horizontal="left" vertical="center"/>
      <protection locked="0"/>
    </xf>
    <xf numFmtId="44" fontId="24" fillId="17" borderId="83" xfId="0" applyNumberFormat="1" applyFont="1" applyFill="1" applyBorder="1"/>
    <xf numFmtId="44" fontId="24" fillId="17" borderId="85" xfId="8" applyFont="1" applyFill="1" applyBorder="1"/>
    <xf numFmtId="0" fontId="0" fillId="0" borderId="0" xfId="0" applyAlignment="1">
      <alignment vertical="center"/>
    </xf>
    <xf numFmtId="0" fontId="26" fillId="0" borderId="78" xfId="0" applyFont="1" applyBorder="1" applyAlignment="1">
      <alignment vertical="center"/>
    </xf>
    <xf numFmtId="170" fontId="28" fillId="0" borderId="0" xfId="0" applyNumberFormat="1" applyFont="1" applyAlignment="1">
      <alignment vertical="center"/>
    </xf>
    <xf numFmtId="170" fontId="26" fillId="0" borderId="88" xfId="0" applyNumberFormat="1" applyFont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170" fontId="26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4" fillId="17" borderId="6" xfId="0" applyFont="1" applyFill="1" applyBorder="1" applyAlignment="1">
      <alignment horizontal="center" vertical="center"/>
    </xf>
    <xf numFmtId="44" fontId="24" fillId="17" borderId="105" xfId="0" applyNumberFormat="1" applyFont="1" applyFill="1" applyBorder="1"/>
    <xf numFmtId="9" fontId="24" fillId="17" borderId="14" xfId="1" applyFont="1" applyFill="1" applyBorder="1"/>
    <xf numFmtId="44" fontId="24" fillId="17" borderId="107" xfId="8" applyFont="1" applyFill="1" applyBorder="1"/>
    <xf numFmtId="0" fontId="26" fillId="0" borderId="71" xfId="0" applyFont="1" applyBorder="1" applyAlignment="1">
      <alignment horizontal="left" vertical="center"/>
    </xf>
    <xf numFmtId="170" fontId="26" fillId="0" borderId="7" xfId="0" applyNumberFormat="1" applyFont="1" applyBorder="1" applyAlignment="1">
      <alignment horizontal="center" vertical="center"/>
    </xf>
    <xf numFmtId="0" fontId="26" fillId="19" borderId="80" xfId="0" applyFont="1" applyFill="1" applyBorder="1" applyAlignment="1">
      <alignment vertical="center"/>
    </xf>
    <xf numFmtId="170" fontId="26" fillId="19" borderId="86" xfId="0" applyNumberFormat="1" applyFont="1" applyFill="1" applyBorder="1" applyAlignment="1">
      <alignment horizontal="center" vertical="center"/>
    </xf>
    <xf numFmtId="170" fontId="26" fillId="19" borderId="109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left"/>
    </xf>
    <xf numFmtId="170" fontId="29" fillId="0" borderId="0" xfId="0" applyNumberFormat="1" applyFont="1" applyAlignment="1">
      <alignment horizontal="right"/>
    </xf>
    <xf numFmtId="9" fontId="28" fillId="0" borderId="0" xfId="1" applyFont="1" applyAlignment="1">
      <alignment horizontal="center" vertical="center"/>
    </xf>
    <xf numFmtId="0" fontId="25" fillId="18" borderId="11" xfId="0" applyFont="1" applyFill="1" applyBorder="1" applyAlignment="1">
      <alignment horizontal="center" vertical="center"/>
    </xf>
    <xf numFmtId="170" fontId="26" fillId="0" borderId="66" xfId="0" applyNumberFormat="1" applyFont="1" applyBorder="1" applyAlignment="1">
      <alignment horizontal="center" vertical="center"/>
    </xf>
    <xf numFmtId="0" fontId="0" fillId="0" borderId="66" xfId="0" applyBorder="1"/>
    <xf numFmtId="0" fontId="26" fillId="0" borderId="66" xfId="0" applyFont="1" applyBorder="1" applyAlignment="1">
      <alignment horizontal="center" vertical="center"/>
    </xf>
    <xf numFmtId="0" fontId="30" fillId="0" borderId="0" xfId="0" applyFont="1"/>
    <xf numFmtId="170" fontId="26" fillId="19" borderId="110" xfId="0" applyNumberFormat="1" applyFont="1" applyFill="1" applyBorder="1" applyAlignment="1">
      <alignment horizontal="center" vertical="center"/>
    </xf>
    <xf numFmtId="0" fontId="26" fillId="20" borderId="82" xfId="0" applyFont="1" applyFill="1" applyBorder="1" applyAlignment="1">
      <alignment horizontal="left" vertical="center"/>
    </xf>
    <xf numFmtId="170" fontId="26" fillId="0" borderId="87" xfId="0" applyNumberFormat="1" applyFont="1" applyBorder="1" applyAlignment="1">
      <alignment horizontal="center" vertical="center"/>
    </xf>
    <xf numFmtId="170" fontId="26" fillId="19" borderId="111" xfId="0" applyNumberFormat="1" applyFont="1" applyFill="1" applyBorder="1" applyAlignment="1">
      <alignment horizontal="center" vertical="center"/>
    </xf>
    <xf numFmtId="44" fontId="24" fillId="17" borderId="112" xfId="0" applyNumberFormat="1" applyFont="1" applyFill="1" applyBorder="1"/>
    <xf numFmtId="44" fontId="24" fillId="17" borderId="113" xfId="8" applyFont="1" applyFill="1" applyBorder="1"/>
    <xf numFmtId="0" fontId="21" fillId="0" borderId="0" xfId="0" applyFont="1"/>
    <xf numFmtId="0" fontId="21" fillId="0" borderId="0" xfId="0" applyFont="1" applyAlignment="1">
      <alignment horizontal="center"/>
    </xf>
    <xf numFmtId="16" fontId="21" fillId="22" borderId="11" xfId="0" applyNumberFormat="1" applyFont="1" applyFill="1" applyBorder="1"/>
    <xf numFmtId="16" fontId="21" fillId="22" borderId="12" xfId="0" applyNumberFormat="1" applyFont="1" applyFill="1" applyBorder="1"/>
    <xf numFmtId="16" fontId="21" fillId="23" borderId="14" xfId="0" applyNumberFormat="1" applyFont="1" applyFill="1" applyBorder="1"/>
    <xf numFmtId="16" fontId="21" fillId="23" borderId="15" xfId="0" applyNumberFormat="1" applyFont="1" applyFill="1" applyBorder="1"/>
    <xf numFmtId="0" fontId="21" fillId="24" borderId="17" xfId="0" applyFont="1" applyFill="1" applyBorder="1" applyAlignment="1">
      <alignment horizontal="right"/>
    </xf>
    <xf numFmtId="0" fontId="21" fillId="24" borderId="0" xfId="0" applyFont="1" applyFill="1" applyAlignment="1">
      <alignment horizontal="right"/>
    </xf>
    <xf numFmtId="0" fontId="23" fillId="25" borderId="14" xfId="0" applyFont="1" applyFill="1" applyBorder="1"/>
    <xf numFmtId="0" fontId="23" fillId="25" borderId="15" xfId="0" applyFont="1" applyFill="1" applyBorder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0" fontId="22" fillId="26" borderId="66" xfId="0" applyFont="1" applyFill="1" applyBorder="1" applyAlignment="1">
      <alignment horizontal="center"/>
    </xf>
    <xf numFmtId="164" fontId="4" fillId="0" borderId="66" xfId="2" applyNumberFormat="1" applyFont="1" applyBorder="1" applyAlignment="1" applyProtection="1">
      <alignment horizontal="left" vertical="center"/>
      <protection locked="0"/>
    </xf>
    <xf numFmtId="44" fontId="22" fillId="0" borderId="66" xfId="0" applyNumberFormat="1" applyFont="1" applyBorder="1"/>
    <xf numFmtId="9" fontId="22" fillId="0" borderId="66" xfId="1" applyFont="1" applyBorder="1" applyAlignment="1">
      <alignment horizontal="center"/>
    </xf>
    <xf numFmtId="44" fontId="22" fillId="26" borderId="66" xfId="0" applyNumberFormat="1" applyFont="1" applyFill="1" applyBorder="1" applyAlignment="1">
      <alignment horizontal="center"/>
    </xf>
    <xf numFmtId="0" fontId="22" fillId="0" borderId="53" xfId="0" applyFont="1" applyBorder="1"/>
    <xf numFmtId="170" fontId="22" fillId="0" borderId="115" xfId="0" applyNumberFormat="1" applyFont="1" applyBorder="1" applyAlignment="1">
      <alignment horizontal="center"/>
    </xf>
    <xf numFmtId="44" fontId="22" fillId="0" borderId="115" xfId="0" applyNumberFormat="1" applyFont="1" applyBorder="1"/>
    <xf numFmtId="9" fontId="22" fillId="0" borderId="52" xfId="1" applyFont="1" applyBorder="1" applyAlignment="1">
      <alignment horizontal="center"/>
    </xf>
    <xf numFmtId="0" fontId="22" fillId="0" borderId="116" xfId="0" applyFont="1" applyBorder="1"/>
    <xf numFmtId="170" fontId="22" fillId="0" borderId="117" xfId="0" applyNumberFormat="1" applyFont="1" applyBorder="1" applyAlignment="1">
      <alignment horizontal="center"/>
    </xf>
    <xf numFmtId="170" fontId="22" fillId="0" borderId="115" xfId="0" applyNumberFormat="1" applyFont="1" applyBorder="1"/>
    <xf numFmtId="9" fontId="22" fillId="0" borderId="118" xfId="1" applyFont="1" applyBorder="1" applyAlignment="1">
      <alignment horizontal="center"/>
    </xf>
    <xf numFmtId="0" fontId="22" fillId="0" borderId="0" xfId="0" applyFont="1"/>
    <xf numFmtId="170" fontId="22" fillId="26" borderId="70" xfId="0" applyNumberFormat="1" applyFont="1" applyFill="1" applyBorder="1" applyAlignment="1">
      <alignment horizontal="center"/>
    </xf>
    <xf numFmtId="44" fontId="22" fillId="26" borderId="66" xfId="0" applyNumberFormat="1" applyFont="1" applyFill="1" applyBorder="1"/>
    <xf numFmtId="170" fontId="22" fillId="26" borderId="66" xfId="0" applyNumberFormat="1" applyFont="1" applyFill="1" applyBorder="1"/>
    <xf numFmtId="164" fontId="4" fillId="0" borderId="20" xfId="2" applyNumberFormat="1" applyFont="1" applyBorder="1" applyAlignment="1" applyProtection="1">
      <alignment horizontal="left" vertical="center"/>
      <protection locked="0"/>
    </xf>
    <xf numFmtId="164" fontId="4" fillId="0" borderId="22" xfId="2" applyNumberFormat="1" applyFont="1" applyBorder="1" applyAlignment="1" applyProtection="1">
      <alignment horizontal="left" vertical="center"/>
      <protection locked="0"/>
    </xf>
    <xf numFmtId="164" fontId="4" fillId="0" borderId="31" xfId="2" applyNumberFormat="1" applyFont="1" applyBorder="1" applyAlignment="1" applyProtection="1">
      <alignment horizontal="left" vertical="center"/>
      <protection locked="0"/>
    </xf>
    <xf numFmtId="164" fontId="4" fillId="0" borderId="32" xfId="2" applyNumberFormat="1" applyFont="1" applyBorder="1" applyAlignment="1" applyProtection="1">
      <alignment horizontal="left" vertical="center"/>
      <protection locked="0"/>
    </xf>
    <xf numFmtId="0" fontId="4" fillId="0" borderId="25" xfId="2" applyFont="1" applyBorder="1" applyAlignment="1" applyProtection="1">
      <alignment horizontal="left" vertical="center"/>
      <protection locked="0"/>
    </xf>
    <xf numFmtId="164" fontId="22" fillId="0" borderId="31" xfId="2" applyNumberFormat="1" applyFont="1" applyBorder="1" applyAlignment="1" applyProtection="1">
      <alignment horizontal="left" vertical="center"/>
      <protection locked="0"/>
    </xf>
    <xf numFmtId="14" fontId="4" fillId="0" borderId="32" xfId="2" applyNumberFormat="1" applyFont="1" applyBorder="1" applyAlignment="1" applyProtection="1">
      <alignment horizontal="left" vertical="center"/>
      <protection locked="0"/>
    </xf>
    <xf numFmtId="164" fontId="4" fillId="0" borderId="39" xfId="2" applyNumberFormat="1" applyFont="1" applyBorder="1" applyAlignment="1" applyProtection="1">
      <alignment horizontal="left" vertical="center"/>
      <protection locked="0"/>
    </xf>
    <xf numFmtId="0" fontId="4" fillId="0" borderId="29" xfId="2" applyFont="1" applyBorder="1" applyAlignment="1" applyProtection="1">
      <alignment horizontal="left" vertical="center"/>
      <protection locked="0"/>
    </xf>
    <xf numFmtId="0" fontId="29" fillId="0" borderId="0" xfId="0" applyFont="1"/>
    <xf numFmtId="49" fontId="31" fillId="0" borderId="0" xfId="2" applyNumberFormat="1" applyFont="1" applyAlignment="1">
      <alignment horizontal="left" vertical="center" wrapText="1"/>
    </xf>
    <xf numFmtId="0" fontId="31" fillId="0" borderId="0" xfId="2" applyFont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164" fontId="31" fillId="0" borderId="0" xfId="2" applyNumberFormat="1" applyFont="1" applyAlignment="1">
      <alignment horizontal="left" vertical="center"/>
    </xf>
    <xf numFmtId="164" fontId="31" fillId="0" borderId="20" xfId="2" applyNumberFormat="1" applyFont="1" applyBorder="1" applyAlignment="1" applyProtection="1">
      <alignment horizontal="left" vertical="center"/>
      <protection locked="0"/>
    </xf>
    <xf numFmtId="164" fontId="31" fillId="0" borderId="22" xfId="2" applyNumberFormat="1" applyFont="1" applyBorder="1" applyAlignment="1" applyProtection="1">
      <alignment horizontal="left" vertical="center"/>
      <protection locked="0"/>
    </xf>
    <xf numFmtId="164" fontId="31" fillId="0" borderId="31" xfId="2" applyNumberFormat="1" applyFont="1" applyBorder="1" applyAlignment="1" applyProtection="1">
      <alignment horizontal="left" vertical="center"/>
      <protection locked="0"/>
    </xf>
    <xf numFmtId="164" fontId="31" fillId="0" borderId="32" xfId="2" applyNumberFormat="1" applyFont="1" applyBorder="1" applyAlignment="1" applyProtection="1">
      <alignment horizontal="left" vertical="center"/>
      <protection locked="0"/>
    </xf>
    <xf numFmtId="0" fontId="31" fillId="0" borderId="25" xfId="2" applyFont="1" applyBorder="1" applyAlignment="1" applyProtection="1">
      <alignment horizontal="left" vertical="center"/>
      <protection locked="0"/>
    </xf>
    <xf numFmtId="164" fontId="33" fillId="0" borderId="31" xfId="2" applyNumberFormat="1" applyFont="1" applyBorder="1" applyAlignment="1" applyProtection="1">
      <alignment horizontal="left" vertical="center"/>
      <protection locked="0"/>
    </xf>
    <xf numFmtId="14" fontId="31" fillId="0" borderId="32" xfId="2" applyNumberFormat="1" applyFont="1" applyBorder="1" applyAlignment="1" applyProtection="1">
      <alignment horizontal="left" vertical="center"/>
      <protection locked="0"/>
    </xf>
    <xf numFmtId="164" fontId="31" fillId="0" borderId="39" xfId="2" applyNumberFormat="1" applyFont="1" applyBorder="1" applyAlignment="1" applyProtection="1">
      <alignment horizontal="left" vertical="center"/>
      <protection locked="0"/>
    </xf>
    <xf numFmtId="0" fontId="31" fillId="0" borderId="29" xfId="2" applyFont="1" applyBorder="1" applyAlignment="1" applyProtection="1">
      <alignment horizontal="left" vertical="center"/>
      <protection locked="0"/>
    </xf>
    <xf numFmtId="49" fontId="29" fillId="0" borderId="0" xfId="0" applyNumberFormat="1" applyFont="1"/>
    <xf numFmtId="0" fontId="29" fillId="0" borderId="0" xfId="1" applyNumberFormat="1" applyFont="1"/>
    <xf numFmtId="165" fontId="34" fillId="6" borderId="38" xfId="4" applyFont="1" applyFill="1" applyBorder="1" applyAlignment="1">
      <alignment horizontal="center" vertical="center" wrapText="1"/>
    </xf>
    <xf numFmtId="168" fontId="30" fillId="0" borderId="5" xfId="1" applyNumberFormat="1" applyFont="1" applyBorder="1"/>
    <xf numFmtId="166" fontId="34" fillId="0" borderId="40" xfId="4" applyNumberFormat="1" applyFont="1" applyBorder="1" applyAlignment="1">
      <alignment horizontal="center" vertical="center" wrapText="1"/>
    </xf>
    <xf numFmtId="0" fontId="33" fillId="5" borderId="0" xfId="0" applyFont="1" applyFill="1"/>
    <xf numFmtId="49" fontId="33" fillId="5" borderId="0" xfId="0" applyNumberFormat="1" applyFont="1" applyFill="1"/>
    <xf numFmtId="0" fontId="35" fillId="0" borderId="0" xfId="0" applyFont="1"/>
    <xf numFmtId="0" fontId="36" fillId="0" borderId="49" xfId="0" applyFont="1" applyBorder="1" applyAlignment="1">
      <alignment horizontal="left" vertical="center"/>
    </xf>
    <xf numFmtId="49" fontId="36" fillId="0" borderId="50" xfId="0" applyNumberFormat="1" applyFont="1" applyBorder="1" applyAlignment="1">
      <alignment horizontal="left" vertical="center"/>
    </xf>
    <xf numFmtId="0" fontId="36" fillId="0" borderId="51" xfId="0" applyFont="1" applyBorder="1" applyAlignment="1">
      <alignment horizontal="left" vertical="center"/>
    </xf>
    <xf numFmtId="0" fontId="36" fillId="0" borderId="49" xfId="0" applyFont="1" applyBorder="1" applyAlignment="1">
      <alignment horizontal="left" vertical="center" wrapText="1"/>
    </xf>
    <xf numFmtId="0" fontId="31" fillId="6" borderId="57" xfId="3" applyFont="1" applyFill="1" applyBorder="1" applyAlignment="1">
      <alignment horizontal="left" vertical="center"/>
    </xf>
    <xf numFmtId="0" fontId="31" fillId="6" borderId="58" xfId="3" applyFont="1" applyFill="1" applyBorder="1" applyAlignment="1">
      <alignment horizontal="center" vertical="center"/>
    </xf>
    <xf numFmtId="0" fontId="33" fillId="6" borderId="58" xfId="3" applyFont="1" applyFill="1" applyBorder="1" applyAlignment="1">
      <alignment horizontal="center" vertical="center"/>
    </xf>
    <xf numFmtId="169" fontId="33" fillId="6" borderId="58" xfId="3" applyNumberFormat="1" applyFont="1" applyFill="1" applyBorder="1" applyAlignment="1">
      <alignment horizontal="center" vertical="center" wrapText="1"/>
    </xf>
    <xf numFmtId="0" fontId="33" fillId="6" borderId="59" xfId="3" applyFont="1" applyFill="1" applyBorder="1" applyAlignment="1">
      <alignment horizontal="center" vertical="center" wrapText="1"/>
    </xf>
    <xf numFmtId="171" fontId="33" fillId="6" borderId="57" xfId="1" applyNumberFormat="1" applyFont="1" applyFill="1" applyBorder="1" applyAlignment="1">
      <alignment horizontal="center" vertical="center" wrapText="1"/>
    </xf>
    <xf numFmtId="10" fontId="33" fillId="6" borderId="58" xfId="1" applyNumberFormat="1" applyFont="1" applyFill="1" applyBorder="1" applyAlignment="1">
      <alignment horizontal="center" vertical="center" wrapText="1"/>
    </xf>
    <xf numFmtId="0" fontId="33" fillId="6" borderId="60" xfId="3" applyFont="1" applyFill="1" applyBorder="1" applyAlignment="1">
      <alignment horizontal="center" vertical="center" wrapText="1"/>
    </xf>
    <xf numFmtId="37" fontId="34" fillId="6" borderId="57" xfId="3" applyNumberFormat="1" applyFont="1" applyFill="1" applyBorder="1" applyAlignment="1">
      <alignment horizontal="center" vertical="center"/>
    </xf>
    <xf numFmtId="37" fontId="34" fillId="6" borderId="58" xfId="3" applyNumberFormat="1" applyFont="1" applyFill="1" applyBorder="1" applyAlignment="1">
      <alignment horizontal="center" vertical="center"/>
    </xf>
    <xf numFmtId="40" fontId="34" fillId="6" borderId="58" xfId="4" applyNumberFormat="1" applyFont="1" applyFill="1" applyBorder="1" applyAlignment="1">
      <alignment horizontal="center" vertical="center"/>
    </xf>
    <xf numFmtId="165" fontId="34" fillId="6" borderId="58" xfId="4" applyFont="1" applyFill="1" applyBorder="1" applyAlignment="1">
      <alignment horizontal="right" vertical="center"/>
    </xf>
    <xf numFmtId="40" fontId="34" fillId="6" borderId="58" xfId="4" applyNumberFormat="1" applyFont="1" applyFill="1" applyBorder="1" applyAlignment="1">
      <alignment horizontal="center" vertical="center" wrapText="1"/>
    </xf>
    <xf numFmtId="10" fontId="34" fillId="6" borderId="58" xfId="5" applyNumberFormat="1" applyFont="1" applyFill="1" applyBorder="1" applyAlignment="1">
      <alignment horizontal="center" vertical="center" wrapText="1"/>
    </xf>
    <xf numFmtId="165" fontId="34" fillId="6" borderId="58" xfId="4" applyFont="1" applyFill="1" applyBorder="1" applyAlignment="1">
      <alignment horizontal="center" vertical="center" wrapText="1"/>
    </xf>
    <xf numFmtId="165" fontId="34" fillId="6" borderId="60" xfId="4" applyFont="1" applyFill="1" applyBorder="1" applyAlignment="1">
      <alignment horizontal="center" vertical="center" wrapText="1"/>
    </xf>
    <xf numFmtId="10" fontId="34" fillId="6" borderId="67" xfId="5" applyNumberFormat="1" applyFont="1" applyFill="1" applyBorder="1" applyAlignment="1">
      <alignment horizontal="center" vertical="center" wrapText="1"/>
    </xf>
    <xf numFmtId="10" fontId="34" fillId="6" borderId="60" xfId="5" applyNumberFormat="1" applyFont="1" applyFill="1" applyBorder="1" applyAlignment="1">
      <alignment horizontal="center" vertical="center" wrapText="1"/>
    </xf>
    <xf numFmtId="165" fontId="34" fillId="6" borderId="53" xfId="4" applyFont="1" applyFill="1" applyBorder="1" applyAlignment="1">
      <alignment horizontal="center" vertical="center" wrapText="1"/>
    </xf>
    <xf numFmtId="165" fontId="34" fillId="6" borderId="52" xfId="4" applyFont="1" applyFill="1" applyBorder="1" applyAlignment="1">
      <alignment horizontal="center" vertical="center" wrapText="1"/>
    </xf>
    <xf numFmtId="37" fontId="34" fillId="6" borderId="3" xfId="3" applyNumberFormat="1" applyFont="1" applyFill="1" applyBorder="1" applyAlignment="1">
      <alignment horizontal="center" vertical="center"/>
    </xf>
    <xf numFmtId="40" fontId="34" fillId="6" borderId="54" xfId="4" applyNumberFormat="1" applyFont="1" applyFill="1" applyBorder="1" applyAlignment="1">
      <alignment horizontal="center" vertical="center"/>
    </xf>
    <xf numFmtId="166" fontId="37" fillId="6" borderId="55" xfId="4" applyNumberFormat="1" applyFont="1" applyFill="1" applyBorder="1" applyAlignment="1">
      <alignment horizontal="center" vertical="center" wrapText="1"/>
    </xf>
    <xf numFmtId="166" fontId="38" fillId="6" borderId="56" xfId="4" applyNumberFormat="1" applyFont="1" applyFill="1" applyBorder="1" applyAlignment="1">
      <alignment horizontal="center" vertical="center" wrapText="1"/>
    </xf>
    <xf numFmtId="0" fontId="36" fillId="0" borderId="61" xfId="0" applyFont="1" applyBorder="1" applyAlignment="1">
      <alignment horizontal="left" vertical="center" wrapText="1"/>
    </xf>
    <xf numFmtId="49" fontId="36" fillId="0" borderId="50" xfId="0" applyNumberFormat="1" applyFont="1" applyBorder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36" fillId="0" borderId="51" xfId="0" applyFont="1" applyBorder="1" applyAlignment="1">
      <alignment horizontal="left" vertical="center" wrapText="1"/>
    </xf>
    <xf numFmtId="0" fontId="33" fillId="12" borderId="59" xfId="0" applyFont="1" applyFill="1" applyBorder="1" applyAlignment="1">
      <alignment horizontal="center" vertical="center"/>
    </xf>
    <xf numFmtId="0" fontId="33" fillId="12" borderId="58" xfId="0" applyFont="1" applyFill="1" applyBorder="1" applyAlignment="1">
      <alignment horizontal="center" vertical="center"/>
    </xf>
    <xf numFmtId="0" fontId="33" fillId="12" borderId="84" xfId="0" applyFont="1" applyFill="1" applyBorder="1" applyAlignment="1">
      <alignment horizontal="center" vertical="center"/>
    </xf>
    <xf numFmtId="0" fontId="30" fillId="12" borderId="10" xfId="0" applyFont="1" applyFill="1" applyBorder="1" applyAlignment="1">
      <alignment horizontal="center" vertical="center"/>
    </xf>
    <xf numFmtId="0" fontId="30" fillId="12" borderId="66" xfId="0" applyFont="1" applyFill="1" applyBorder="1" applyAlignment="1">
      <alignment horizontal="center" vertical="center"/>
    </xf>
    <xf numFmtId="0" fontId="29" fillId="0" borderId="0" xfId="0" applyFont="1" applyAlignment="1">
      <alignment horizontal="left" vertical="center" wrapText="1"/>
    </xf>
    <xf numFmtId="0" fontId="29" fillId="0" borderId="61" xfId="0" applyFont="1" applyBorder="1" applyAlignment="1">
      <alignment horizontal="left" vertical="center" wrapText="1"/>
    </xf>
    <xf numFmtId="0" fontId="36" fillId="0" borderId="55" xfId="0" applyFont="1" applyBorder="1" applyAlignment="1">
      <alignment horizontal="left" vertical="center" wrapText="1"/>
    </xf>
    <xf numFmtId="0" fontId="36" fillId="0" borderId="68" xfId="0" applyFont="1" applyBorder="1" applyAlignment="1">
      <alignment horizontal="left" vertical="center" wrapText="1"/>
    </xf>
    <xf numFmtId="0" fontId="36" fillId="0" borderId="68" xfId="0" applyFont="1" applyBorder="1" applyAlignment="1">
      <alignment horizontal="center" vertical="center"/>
    </xf>
    <xf numFmtId="44" fontId="36" fillId="0" borderId="68" xfId="8" applyFont="1" applyFill="1" applyBorder="1" applyAlignment="1">
      <alignment vertical="center"/>
    </xf>
    <xf numFmtId="44" fontId="36" fillId="0" borderId="68" xfId="8" applyFont="1" applyBorder="1" applyAlignment="1">
      <alignment vertical="center"/>
    </xf>
    <xf numFmtId="44" fontId="36" fillId="0" borderId="56" xfId="8" applyFont="1" applyBorder="1" applyAlignment="1">
      <alignment vertical="center"/>
    </xf>
    <xf numFmtId="1" fontId="36" fillId="13" borderId="73" xfId="0" applyNumberFormat="1" applyFont="1" applyFill="1" applyBorder="1" applyAlignment="1">
      <alignment horizontal="center" vertical="center"/>
    </xf>
    <xf numFmtId="1" fontId="36" fillId="13" borderId="65" xfId="0" applyNumberFormat="1" applyFont="1" applyFill="1" applyBorder="1" applyAlignment="1">
      <alignment horizontal="center" vertical="center"/>
    </xf>
    <xf numFmtId="44" fontId="36" fillId="13" borderId="65" xfId="8" applyFont="1" applyFill="1" applyBorder="1" applyAlignment="1">
      <alignment vertical="center"/>
    </xf>
    <xf numFmtId="44" fontId="36" fillId="15" borderId="65" xfId="8" applyFont="1" applyFill="1" applyBorder="1" applyAlignment="1">
      <alignment vertical="center"/>
    </xf>
    <xf numFmtId="9" fontId="36" fillId="14" borderId="65" xfId="1" applyFont="1" applyFill="1" applyBorder="1" applyAlignment="1">
      <alignment vertical="center"/>
    </xf>
    <xf numFmtId="44" fontId="36" fillId="14" borderId="65" xfId="8" applyFont="1" applyFill="1" applyBorder="1" applyAlignment="1">
      <alignment vertical="center"/>
    </xf>
    <xf numFmtId="44" fontId="36" fillId="14" borderId="56" xfId="8" applyFont="1" applyFill="1" applyBorder="1" applyAlignment="1">
      <alignment vertical="center"/>
    </xf>
    <xf numFmtId="10" fontId="36" fillId="15" borderId="10" xfId="0" applyNumberFormat="1" applyFont="1" applyFill="1" applyBorder="1" applyAlignment="1">
      <alignment horizontal="center" vertical="center"/>
    </xf>
    <xf numFmtId="10" fontId="36" fillId="15" borderId="0" xfId="0" applyNumberFormat="1" applyFont="1" applyFill="1" applyAlignment="1">
      <alignment horizontal="center" vertical="center"/>
    </xf>
    <xf numFmtId="44" fontId="39" fillId="0" borderId="66" xfId="8" applyFont="1" applyBorder="1"/>
    <xf numFmtId="44" fontId="40" fillId="0" borderId="66" xfId="8" applyFont="1" applyBorder="1"/>
    <xf numFmtId="0" fontId="36" fillId="0" borderId="62" xfId="0" applyFont="1" applyBorder="1" applyAlignment="1">
      <alignment horizontal="left" vertical="center" wrapText="1"/>
    </xf>
    <xf numFmtId="0" fontId="36" fillId="0" borderId="64" xfId="0" applyFont="1" applyBorder="1" applyAlignment="1">
      <alignment horizontal="left" vertical="center" wrapText="1"/>
    </xf>
    <xf numFmtId="0" fontId="36" fillId="11" borderId="71" xfId="2" applyFont="1" applyFill="1" applyBorder="1" applyAlignment="1">
      <alignment vertical="center" wrapText="1"/>
    </xf>
    <xf numFmtId="0" fontId="36" fillId="11" borderId="66" xfId="2" applyFont="1" applyFill="1" applyBorder="1" applyAlignment="1">
      <alignment horizontal="left" vertical="center" wrapText="1"/>
    </xf>
    <xf numFmtId="0" fontId="41" fillId="11" borderId="66" xfId="2" quotePrefix="1" applyFont="1" applyFill="1" applyBorder="1" applyAlignment="1">
      <alignment horizontal="center" vertical="center"/>
    </xf>
    <xf numFmtId="3" fontId="41" fillId="11" borderId="66" xfId="2" quotePrefix="1" applyNumberFormat="1" applyFont="1" applyFill="1" applyBorder="1" applyAlignment="1">
      <alignment horizontal="center" vertical="center"/>
    </xf>
    <xf numFmtId="44" fontId="41" fillId="11" borderId="66" xfId="10" quotePrefix="1" applyFont="1" applyFill="1" applyBorder="1" applyAlignment="1">
      <alignment horizontal="right" vertical="center"/>
    </xf>
    <xf numFmtId="44" fontId="36" fillId="0" borderId="66" xfId="8" applyFont="1" applyBorder="1" applyAlignment="1">
      <alignment vertical="center"/>
    </xf>
    <xf numFmtId="44" fontId="36" fillId="0" borderId="77" xfId="8" applyFont="1" applyBorder="1" applyAlignment="1">
      <alignment vertical="center"/>
    </xf>
    <xf numFmtId="1" fontId="36" fillId="13" borderId="72" xfId="0" applyNumberFormat="1" applyFont="1" applyFill="1" applyBorder="1" applyAlignment="1">
      <alignment horizontal="center" vertical="center"/>
    </xf>
    <xf numFmtId="1" fontId="36" fillId="13" borderId="7" xfId="0" applyNumberFormat="1" applyFont="1" applyFill="1" applyBorder="1" applyAlignment="1">
      <alignment horizontal="center" vertical="center"/>
    </xf>
    <xf numFmtId="44" fontId="36" fillId="13" borderId="7" xfId="8" applyFont="1" applyFill="1" applyBorder="1" applyAlignment="1">
      <alignment vertical="center"/>
    </xf>
    <xf numFmtId="44" fontId="36" fillId="15" borderId="7" xfId="8" applyFont="1" applyFill="1" applyBorder="1" applyAlignment="1">
      <alignment vertical="center"/>
    </xf>
    <xf numFmtId="9" fontId="36" fillId="14" borderId="7" xfId="1" applyFont="1" applyFill="1" applyBorder="1" applyAlignment="1">
      <alignment vertical="center"/>
    </xf>
    <xf numFmtId="44" fontId="36" fillId="14" borderId="7" xfId="8" applyFont="1" applyFill="1" applyBorder="1" applyAlignment="1">
      <alignment vertical="center"/>
    </xf>
    <xf numFmtId="44" fontId="36" fillId="14" borderId="77" xfId="8" applyFont="1" applyFill="1" applyBorder="1" applyAlignment="1">
      <alignment vertical="center"/>
    </xf>
    <xf numFmtId="0" fontId="36" fillId="0" borderId="89" xfId="0" applyFont="1" applyBorder="1" applyAlignment="1">
      <alignment horizontal="left" vertical="center" wrapText="1"/>
    </xf>
    <xf numFmtId="0" fontId="36" fillId="0" borderId="70" xfId="0" applyFont="1" applyBorder="1" applyAlignment="1">
      <alignment horizontal="left" vertical="center" wrapText="1"/>
    </xf>
    <xf numFmtId="0" fontId="36" fillId="0" borderId="70" xfId="0" applyFont="1" applyBorder="1" applyAlignment="1">
      <alignment horizontal="center" vertical="center"/>
    </xf>
    <xf numFmtId="0" fontId="36" fillId="11" borderId="70" xfId="0" applyFont="1" applyFill="1" applyBorder="1" applyAlignment="1">
      <alignment horizontal="center" vertical="center"/>
    </xf>
    <xf numFmtId="44" fontId="36" fillId="0" borderId="70" xfId="8" applyFont="1" applyFill="1" applyBorder="1" applyAlignment="1">
      <alignment vertical="center"/>
    </xf>
    <xf numFmtId="44" fontId="36" fillId="0" borderId="70" xfId="8" applyFont="1" applyBorder="1" applyAlignment="1">
      <alignment vertical="center"/>
    </xf>
    <xf numFmtId="44" fontId="36" fillId="0" borderId="90" xfId="8" applyFont="1" applyBorder="1" applyAlignment="1">
      <alignment vertical="center"/>
    </xf>
    <xf numFmtId="1" fontId="36" fillId="13" borderId="91" xfId="0" applyNumberFormat="1" applyFont="1" applyFill="1" applyBorder="1" applyAlignment="1">
      <alignment horizontal="center" vertical="center"/>
    </xf>
    <xf numFmtId="1" fontId="36" fillId="13" borderId="39" xfId="0" applyNumberFormat="1" applyFont="1" applyFill="1" applyBorder="1" applyAlignment="1">
      <alignment horizontal="center" vertical="center"/>
    </xf>
    <xf numFmtId="44" fontId="36" fillId="13" borderId="39" xfId="8" applyFont="1" applyFill="1" applyBorder="1" applyAlignment="1">
      <alignment vertical="center"/>
    </xf>
    <xf numFmtId="44" fontId="36" fillId="15" borderId="39" xfId="8" applyFont="1" applyFill="1" applyBorder="1" applyAlignment="1">
      <alignment vertical="center"/>
    </xf>
    <xf numFmtId="9" fontId="36" fillId="14" borderId="39" xfId="1" applyFont="1" applyFill="1" applyBorder="1" applyAlignment="1">
      <alignment vertical="center"/>
    </xf>
    <xf numFmtId="44" fontId="36" fillId="14" borderId="39" xfId="8" applyFont="1" applyFill="1" applyBorder="1" applyAlignment="1">
      <alignment vertical="center"/>
    </xf>
    <xf numFmtId="44" fontId="36" fillId="14" borderId="90" xfId="8" applyFont="1" applyFill="1" applyBorder="1" applyAlignment="1">
      <alignment vertical="center"/>
    </xf>
    <xf numFmtId="170" fontId="24" fillId="10" borderId="15" xfId="0" applyNumberFormat="1" applyFont="1" applyFill="1" applyBorder="1" applyAlignment="1">
      <alignment horizontal="right"/>
    </xf>
    <xf numFmtId="170" fontId="24" fillId="10" borderId="85" xfId="0" applyNumberFormat="1" applyFont="1" applyFill="1" applyBorder="1" applyAlignment="1">
      <alignment horizontal="right"/>
    </xf>
    <xf numFmtId="44" fontId="24" fillId="10" borderId="15" xfId="0" applyNumberFormat="1" applyFont="1" applyFill="1" applyBorder="1" applyAlignment="1">
      <alignment horizontal="right"/>
    </xf>
    <xf numFmtId="44" fontId="33" fillId="15" borderId="15" xfId="0" applyNumberFormat="1" applyFont="1" applyFill="1" applyBorder="1"/>
    <xf numFmtId="0" fontId="29" fillId="14" borderId="15" xfId="0" applyFont="1" applyFill="1" applyBorder="1"/>
    <xf numFmtId="44" fontId="33" fillId="14" borderId="15" xfId="0" applyNumberFormat="1" applyFont="1" applyFill="1" applyBorder="1"/>
    <xf numFmtId="44" fontId="33" fillId="14" borderId="85" xfId="8" applyFont="1" applyFill="1" applyBorder="1"/>
    <xf numFmtId="44" fontId="24" fillId="17" borderId="0" xfId="8" applyFont="1" applyFill="1" applyBorder="1" applyAlignment="1">
      <alignment horizontal="center"/>
    </xf>
    <xf numFmtId="44" fontId="24" fillId="17" borderId="81" xfId="8" applyFont="1" applyFill="1" applyBorder="1" applyAlignment="1">
      <alignment horizontal="center"/>
    </xf>
    <xf numFmtId="49" fontId="36" fillId="0" borderId="63" xfId="0" applyNumberFormat="1" applyFont="1" applyBorder="1" applyAlignment="1">
      <alignment horizontal="left" vertical="center" wrapText="1"/>
    </xf>
    <xf numFmtId="49" fontId="42" fillId="0" borderId="0" xfId="2" applyNumberFormat="1" applyFont="1" applyAlignment="1">
      <alignment horizontal="left" vertical="center" wrapText="1"/>
    </xf>
    <xf numFmtId="0" fontId="42" fillId="0" borderId="0" xfId="2" applyFont="1" applyAlignment="1">
      <alignment horizontal="left" vertical="center" wrapText="1"/>
    </xf>
    <xf numFmtId="0" fontId="30" fillId="0" borderId="0" xfId="0" applyFont="1" applyAlignment="1">
      <alignment horizontal="center"/>
    </xf>
    <xf numFmtId="0" fontId="30" fillId="5" borderId="0" xfId="0" applyFont="1" applyFill="1"/>
    <xf numFmtId="49" fontId="30" fillId="5" borderId="0" xfId="0" applyNumberFormat="1" applyFont="1" applyFill="1"/>
    <xf numFmtId="0" fontId="29" fillId="0" borderId="49" xfId="0" applyFont="1" applyBorder="1" applyAlignment="1">
      <alignment horizontal="left" vertical="center"/>
    </xf>
    <xf numFmtId="49" fontId="29" fillId="0" borderId="50" xfId="0" applyNumberFormat="1" applyFont="1" applyBorder="1" applyAlignment="1">
      <alignment horizontal="left" vertical="center"/>
    </xf>
    <xf numFmtId="0" fontId="29" fillId="0" borderId="51" xfId="0" applyFont="1" applyBorder="1" applyAlignment="1">
      <alignment horizontal="left" vertical="center"/>
    </xf>
    <xf numFmtId="0" fontId="29" fillId="0" borderId="49" xfId="0" applyFont="1" applyBorder="1" applyAlignment="1">
      <alignment horizontal="left" vertical="center" wrapText="1"/>
    </xf>
    <xf numFmtId="0" fontId="29" fillId="0" borderId="94" xfId="0" applyFont="1" applyBorder="1" applyAlignment="1">
      <alignment horizontal="left" vertical="center" wrapText="1"/>
    </xf>
    <xf numFmtId="0" fontId="29" fillId="0" borderId="99" xfId="0" applyFont="1" applyBorder="1" applyAlignment="1">
      <alignment horizontal="left" vertical="center" wrapText="1"/>
    </xf>
    <xf numFmtId="44" fontId="33" fillId="12" borderId="88" xfId="8" applyFont="1" applyFill="1" applyBorder="1" applyAlignment="1">
      <alignment horizontal="center" vertical="center"/>
    </xf>
    <xf numFmtId="44" fontId="33" fillId="12" borderId="95" xfId="8" applyFont="1" applyFill="1" applyBorder="1" applyAlignment="1">
      <alignment horizontal="center" vertical="center"/>
    </xf>
    <xf numFmtId="44" fontId="33" fillId="12" borderId="84" xfId="8" applyFont="1" applyFill="1" applyBorder="1" applyAlignment="1">
      <alignment horizontal="center" vertical="center"/>
    </xf>
    <xf numFmtId="10" fontId="33" fillId="12" borderId="10" xfId="0" applyNumberFormat="1" applyFont="1" applyFill="1" applyBorder="1" applyAlignment="1">
      <alignment horizontal="center" vertical="center"/>
    </xf>
    <xf numFmtId="10" fontId="33" fillId="12" borderId="66" xfId="0" applyNumberFormat="1" applyFont="1" applyFill="1" applyBorder="1" applyAlignment="1">
      <alignment horizontal="center" vertical="center"/>
    </xf>
    <xf numFmtId="1" fontId="36" fillId="13" borderId="71" xfId="0" applyNumberFormat="1" applyFont="1" applyFill="1" applyBorder="1" applyAlignment="1">
      <alignment horizontal="center" vertical="center"/>
    </xf>
    <xf numFmtId="1" fontId="36" fillId="13" borderId="66" xfId="0" applyNumberFormat="1" applyFont="1" applyFill="1" applyBorder="1" applyAlignment="1">
      <alignment horizontal="center" vertical="center"/>
    </xf>
    <xf numFmtId="44" fontId="36" fillId="13" borderId="66" xfId="8" applyFont="1" applyFill="1" applyBorder="1" applyAlignment="1">
      <alignment vertical="center"/>
    </xf>
    <xf numFmtId="44" fontId="36" fillId="15" borderId="66" xfId="8" applyFont="1" applyFill="1" applyBorder="1" applyAlignment="1">
      <alignment vertical="center"/>
    </xf>
    <xf numFmtId="9" fontId="36" fillId="14" borderId="66" xfId="1" applyFont="1" applyFill="1" applyBorder="1" applyAlignment="1">
      <alignment vertical="center"/>
    </xf>
    <xf numFmtId="44" fontId="36" fillId="14" borderId="66" xfId="8" applyFont="1" applyFill="1" applyBorder="1" applyAlignment="1">
      <alignment vertical="center"/>
    </xf>
    <xf numFmtId="10" fontId="36" fillId="15" borderId="66" xfId="0" applyNumberFormat="1" applyFont="1" applyFill="1" applyBorder="1" applyAlignment="1">
      <alignment horizontal="center" vertical="center"/>
    </xf>
    <xf numFmtId="44" fontId="41" fillId="13" borderId="66" xfId="8" applyFont="1" applyFill="1" applyBorder="1" applyAlignment="1">
      <alignment vertical="center"/>
    </xf>
    <xf numFmtId="0" fontId="36" fillId="0" borderId="71" xfId="0" applyFont="1" applyBorder="1" applyAlignment="1">
      <alignment horizontal="left" vertical="center" wrapText="1"/>
    </xf>
    <xf numFmtId="0" fontId="33" fillId="0" borderId="66" xfId="0" applyFont="1" applyBorder="1" applyAlignment="1">
      <alignment horizontal="left" vertical="center" wrapText="1"/>
    </xf>
    <xf numFmtId="0" fontId="36" fillId="0" borderId="66" xfId="0" applyFont="1" applyBorder="1" applyAlignment="1">
      <alignment horizontal="center" vertical="center"/>
    </xf>
    <xf numFmtId="0" fontId="29" fillId="0" borderId="62" xfId="0" applyFont="1" applyBorder="1" applyAlignment="1">
      <alignment horizontal="left" vertical="center" wrapText="1"/>
    </xf>
    <xf numFmtId="0" fontId="29" fillId="0" borderId="64" xfId="0" applyFont="1" applyBorder="1" applyAlignment="1">
      <alignment horizontal="left" vertical="center" wrapText="1"/>
    </xf>
    <xf numFmtId="170" fontId="24" fillId="10" borderId="102" xfId="8" applyNumberFormat="1" applyFont="1" applyFill="1" applyBorder="1" applyAlignment="1">
      <alignment horizontal="right"/>
    </xf>
    <xf numFmtId="170" fontId="24" fillId="10" borderId="103" xfId="8" applyNumberFormat="1" applyFont="1" applyFill="1" applyBorder="1" applyAlignment="1">
      <alignment horizontal="right"/>
    </xf>
    <xf numFmtId="170" fontId="24" fillId="10" borderId="69" xfId="8" applyNumberFormat="1" applyFont="1" applyFill="1" applyBorder="1" applyAlignment="1">
      <alignment horizontal="right"/>
    </xf>
    <xf numFmtId="170" fontId="24" fillId="10" borderId="18" xfId="8" applyNumberFormat="1" applyFont="1" applyFill="1" applyBorder="1" applyAlignment="1">
      <alignment horizontal="right"/>
    </xf>
    <xf numFmtId="44" fontId="24" fillId="10" borderId="68" xfId="8" applyFont="1" applyFill="1" applyBorder="1" applyAlignment="1">
      <alignment horizontal="right"/>
    </xf>
    <xf numFmtId="44" fontId="33" fillId="15" borderId="68" xfId="8" applyFont="1" applyFill="1" applyBorder="1" applyAlignment="1">
      <alignment vertical="center"/>
    </xf>
    <xf numFmtId="9" fontId="36" fillId="14" borderId="68" xfId="1" applyFont="1" applyFill="1" applyBorder="1" applyAlignment="1">
      <alignment vertical="center"/>
    </xf>
    <xf numFmtId="44" fontId="36" fillId="14" borderId="68" xfId="8" applyFont="1" applyFill="1" applyBorder="1" applyAlignment="1">
      <alignment vertical="center"/>
    </xf>
    <xf numFmtId="44" fontId="33" fillId="14" borderId="68" xfId="8" applyFont="1" applyFill="1" applyBorder="1" applyAlignment="1">
      <alignment vertical="center"/>
    </xf>
    <xf numFmtId="44" fontId="33" fillId="14" borderId="56" xfId="8" applyFont="1" applyFill="1" applyBorder="1" applyAlignment="1">
      <alignment vertical="center"/>
    </xf>
    <xf numFmtId="49" fontId="29" fillId="0" borderId="50" xfId="0" applyNumberFormat="1" applyFont="1" applyBorder="1" applyAlignment="1">
      <alignment horizontal="left" vertical="center" wrapText="1"/>
    </xf>
    <xf numFmtId="0" fontId="33" fillId="0" borderId="68" xfId="0" applyFont="1" applyBorder="1" applyAlignment="1">
      <alignment horizontal="left" vertical="center" wrapText="1"/>
    </xf>
    <xf numFmtId="0" fontId="41" fillId="0" borderId="66" xfId="0" applyFont="1" applyBorder="1" applyAlignment="1">
      <alignment horizontal="left" vertical="center" wrapText="1"/>
    </xf>
    <xf numFmtId="0" fontId="31" fillId="0" borderId="66" xfId="0" applyFont="1" applyBorder="1" applyAlignment="1">
      <alignment horizontal="left" vertical="center" wrapText="1"/>
    </xf>
    <xf numFmtId="0" fontId="36" fillId="0" borderId="66" xfId="0" applyFont="1" applyBorder="1" applyAlignment="1">
      <alignment horizontal="left" vertical="center" wrapText="1"/>
    </xf>
    <xf numFmtId="170" fontId="24" fillId="10" borderId="15" xfId="8" applyNumberFormat="1" applyFont="1" applyFill="1" applyBorder="1" applyAlignment="1">
      <alignment horizontal="right"/>
    </xf>
    <xf numFmtId="170" fontId="24" fillId="10" borderId="107" xfId="8" applyNumberFormat="1" applyFont="1" applyFill="1" applyBorder="1" applyAlignment="1">
      <alignment horizontal="right"/>
    </xf>
    <xf numFmtId="44" fontId="24" fillId="10" borderId="100" xfId="8" applyFont="1" applyFill="1" applyBorder="1" applyAlignment="1">
      <alignment horizontal="right"/>
    </xf>
    <xf numFmtId="44" fontId="33" fillId="15" borderId="100" xfId="8" applyFont="1" applyFill="1" applyBorder="1" applyAlignment="1">
      <alignment vertical="center"/>
    </xf>
    <xf numFmtId="9" fontId="36" fillId="14" borderId="100" xfId="1" applyFont="1" applyFill="1" applyBorder="1" applyAlignment="1">
      <alignment vertical="center"/>
    </xf>
    <xf numFmtId="44" fontId="36" fillId="14" borderId="100" xfId="8" applyFont="1" applyFill="1" applyBorder="1" applyAlignment="1">
      <alignment vertical="center"/>
    </xf>
    <xf numFmtId="44" fontId="33" fillId="14" borderId="100" xfId="8" applyFont="1" applyFill="1" applyBorder="1" applyAlignment="1">
      <alignment vertical="center"/>
    </xf>
    <xf numFmtId="44" fontId="33" fillId="14" borderId="79" xfId="8" applyFont="1" applyFill="1" applyBorder="1" applyAlignment="1">
      <alignment vertical="center"/>
    </xf>
    <xf numFmtId="10" fontId="36" fillId="15" borderId="9" xfId="0" applyNumberFormat="1" applyFont="1" applyFill="1" applyBorder="1" applyAlignment="1">
      <alignment horizontal="center" vertical="center"/>
    </xf>
    <xf numFmtId="44" fontId="24" fillId="16" borderId="0" xfId="8" applyFont="1" applyFill="1" applyBorder="1" applyAlignment="1">
      <alignment horizontal="right"/>
    </xf>
    <xf numFmtId="44" fontId="24" fillId="16" borderId="18" xfId="8" applyFont="1" applyFill="1" applyBorder="1" applyAlignment="1">
      <alignment horizontal="right"/>
    </xf>
    <xf numFmtId="44" fontId="24" fillId="16" borderId="69" xfId="8" applyFont="1" applyFill="1" applyBorder="1" applyAlignment="1">
      <alignment horizontal="right"/>
    </xf>
    <xf numFmtId="44" fontId="33" fillId="15" borderId="69" xfId="8" applyFont="1" applyFill="1" applyBorder="1" applyAlignment="1">
      <alignment vertical="center"/>
    </xf>
    <xf numFmtId="9" fontId="36" fillId="14" borderId="69" xfId="1" applyFont="1" applyFill="1" applyBorder="1" applyAlignment="1">
      <alignment vertical="center"/>
    </xf>
    <xf numFmtId="44" fontId="36" fillId="14" borderId="69" xfId="8" applyFont="1" applyFill="1" applyBorder="1" applyAlignment="1">
      <alignment vertical="center"/>
    </xf>
    <xf numFmtId="44" fontId="33" fillId="14" borderId="69" xfId="8" applyFont="1" applyFill="1" applyBorder="1" applyAlignment="1">
      <alignment vertical="center"/>
    </xf>
    <xf numFmtId="44" fontId="33" fillId="14" borderId="101" xfId="8" applyFont="1" applyFill="1" applyBorder="1" applyAlignment="1">
      <alignment vertical="center"/>
    </xf>
    <xf numFmtId="0" fontId="29" fillId="0" borderId="51" xfId="0" applyFont="1" applyBorder="1" applyAlignment="1">
      <alignment horizontal="left" vertical="center" wrapText="1"/>
    </xf>
    <xf numFmtId="10" fontId="36" fillId="15" borderId="98" xfId="0" applyNumberFormat="1" applyFont="1" applyFill="1" applyBorder="1" applyAlignment="1">
      <alignment horizontal="center" vertical="center"/>
    </xf>
    <xf numFmtId="170" fontId="33" fillId="12" borderId="59" xfId="8" applyNumberFormat="1" applyFont="1" applyFill="1" applyBorder="1" applyAlignment="1">
      <alignment horizontal="center" vertical="center"/>
    </xf>
    <xf numFmtId="170" fontId="33" fillId="12" borderId="58" xfId="8" applyNumberFormat="1" applyFont="1" applyFill="1" applyBorder="1" applyAlignment="1">
      <alignment horizontal="center" vertical="center"/>
    </xf>
    <xf numFmtId="170" fontId="24" fillId="12" borderId="84" xfId="8" applyNumberFormat="1" applyFont="1" applyFill="1" applyBorder="1" applyAlignment="1">
      <alignment horizontal="center" vertical="center"/>
    </xf>
    <xf numFmtId="44" fontId="43" fillId="13" borderId="66" xfId="8" applyFont="1" applyFill="1" applyBorder="1" applyAlignment="1">
      <alignment vertical="center"/>
    </xf>
    <xf numFmtId="170" fontId="24" fillId="10" borderId="85" xfId="8" applyNumberFormat="1" applyFont="1" applyFill="1" applyBorder="1" applyAlignment="1">
      <alignment horizontal="right"/>
    </xf>
    <xf numFmtId="44" fontId="24" fillId="10" borderId="66" xfId="8" applyFont="1" applyFill="1" applyBorder="1" applyAlignment="1">
      <alignment horizontal="right"/>
    </xf>
    <xf numFmtId="44" fontId="33" fillId="15" borderId="66" xfId="8" applyFont="1" applyFill="1" applyBorder="1" applyAlignment="1">
      <alignment vertical="center"/>
    </xf>
    <xf numFmtId="44" fontId="33" fillId="14" borderId="66" xfId="8" applyFont="1" applyFill="1" applyBorder="1" applyAlignment="1">
      <alignment vertical="center"/>
    </xf>
    <xf numFmtId="44" fontId="33" fillId="14" borderId="77" xfId="8" applyFont="1" applyFill="1" applyBorder="1" applyAlignment="1">
      <alignment vertical="center"/>
    </xf>
    <xf numFmtId="170" fontId="24" fillId="16" borderId="15" xfId="8" applyNumberFormat="1" applyFont="1" applyFill="1" applyBorder="1" applyAlignment="1">
      <alignment horizontal="right"/>
    </xf>
    <xf numFmtId="170" fontId="24" fillId="16" borderId="85" xfId="8" applyNumberFormat="1" applyFont="1" applyFill="1" applyBorder="1" applyAlignment="1">
      <alignment horizontal="right"/>
    </xf>
    <xf numFmtId="44" fontId="24" fillId="16" borderId="100" xfId="8" applyFont="1" applyFill="1" applyBorder="1" applyAlignment="1">
      <alignment horizontal="right"/>
    </xf>
    <xf numFmtId="10" fontId="36" fillId="15" borderId="33" xfId="0" applyNumberFormat="1" applyFont="1" applyFill="1" applyBorder="1" applyAlignment="1">
      <alignment horizontal="center" vertical="center"/>
    </xf>
    <xf numFmtId="170" fontId="24" fillId="10" borderId="0" xfId="0" applyNumberFormat="1" applyFont="1" applyFill="1" applyAlignment="1">
      <alignment horizontal="right"/>
    </xf>
    <xf numFmtId="170" fontId="24" fillId="10" borderId="18" xfId="0" applyNumberFormat="1" applyFont="1" applyFill="1" applyBorder="1" applyAlignment="1">
      <alignment horizontal="right"/>
    </xf>
    <xf numFmtId="44" fontId="24" fillId="10" borderId="0" xfId="0" applyNumberFormat="1" applyFont="1" applyFill="1" applyAlignment="1">
      <alignment horizontal="right"/>
    </xf>
    <xf numFmtId="44" fontId="33" fillId="15" borderId="0" xfId="0" applyNumberFormat="1" applyFont="1" applyFill="1"/>
    <xf numFmtId="0" fontId="29" fillId="14" borderId="0" xfId="0" applyFont="1" applyFill="1"/>
    <xf numFmtId="44" fontId="33" fillId="14" borderId="0" xfId="0" applyNumberFormat="1" applyFont="1" applyFill="1"/>
    <xf numFmtId="44" fontId="33" fillId="14" borderId="0" xfId="8" applyFont="1" applyFill="1" applyBorder="1"/>
    <xf numFmtId="44" fontId="24" fillId="17" borderId="11" xfId="8" applyFont="1" applyFill="1" applyBorder="1" applyAlignment="1">
      <alignment horizontal="center"/>
    </xf>
    <xf numFmtId="44" fontId="24" fillId="17" borderId="106" xfId="8" applyFont="1" applyFill="1" applyBorder="1" applyAlignment="1">
      <alignment horizontal="center"/>
    </xf>
    <xf numFmtId="44" fontId="29" fillId="0" borderId="0" xfId="0" applyNumberFormat="1" applyFont="1"/>
    <xf numFmtId="0" fontId="42" fillId="0" borderId="0" xfId="0" applyFont="1" applyAlignment="1">
      <alignment horizontal="left"/>
    </xf>
    <xf numFmtId="10" fontId="36" fillId="15" borderId="71" xfId="0" applyNumberFormat="1" applyFont="1" applyFill="1" applyBorder="1" applyAlignment="1">
      <alignment horizontal="center" vertical="center"/>
    </xf>
    <xf numFmtId="170" fontId="24" fillId="10" borderId="0" xfId="8" applyNumberFormat="1" applyFont="1" applyFill="1" applyBorder="1" applyAlignment="1">
      <alignment horizontal="right"/>
    </xf>
    <xf numFmtId="44" fontId="33" fillId="14" borderId="65" xfId="8" applyFont="1" applyFill="1" applyBorder="1" applyAlignment="1">
      <alignment vertical="center"/>
    </xf>
    <xf numFmtId="44" fontId="24" fillId="17" borderId="89" xfId="8" applyFont="1" applyFill="1" applyBorder="1" applyAlignment="1">
      <alignment horizontal="center"/>
    </xf>
    <xf numFmtId="44" fontId="24" fillId="17" borderId="114" xfId="8" applyFont="1" applyFill="1" applyBorder="1" applyAlignment="1">
      <alignment horizontal="center"/>
    </xf>
    <xf numFmtId="0" fontId="36" fillId="0" borderId="63" xfId="0" applyFont="1" applyBorder="1" applyAlignment="1">
      <alignment horizontal="left" vertical="center" wrapText="1"/>
    </xf>
    <xf numFmtId="8" fontId="44" fillId="21" borderId="113" xfId="0" applyNumberFormat="1" applyFont="1" applyFill="1" applyBorder="1" applyAlignment="1">
      <alignment horizontal="center" vertical="center"/>
    </xf>
    <xf numFmtId="44" fontId="33" fillId="12" borderId="39" xfId="8" applyFont="1" applyFill="1" applyBorder="1" applyAlignment="1">
      <alignment horizontal="center" vertical="center"/>
    </xf>
    <xf numFmtId="44" fontId="33" fillId="12" borderId="70" xfId="8" applyFont="1" applyFill="1" applyBorder="1" applyAlignment="1">
      <alignment horizontal="center" vertical="center"/>
    </xf>
    <xf numFmtId="44" fontId="33" fillId="12" borderId="18" xfId="8" applyFont="1" applyFill="1" applyBorder="1" applyAlignment="1">
      <alignment horizontal="center" vertical="center"/>
    </xf>
    <xf numFmtId="10" fontId="36" fillId="15" borderId="77" xfId="0" applyNumberFormat="1" applyFont="1" applyFill="1" applyBorder="1" applyAlignment="1">
      <alignment horizontal="center" vertical="center"/>
    </xf>
    <xf numFmtId="0" fontId="33" fillId="0" borderId="55" xfId="0" applyFont="1" applyBorder="1" applyAlignment="1">
      <alignment horizontal="left" vertical="center" wrapText="1"/>
    </xf>
    <xf numFmtId="0" fontId="36" fillId="0" borderId="82" xfId="0" applyFont="1" applyBorder="1" applyAlignment="1">
      <alignment horizontal="left" vertical="center" wrapText="1"/>
    </xf>
    <xf numFmtId="0" fontId="36" fillId="0" borderId="100" xfId="0" applyFont="1" applyBorder="1" applyAlignment="1">
      <alignment horizontal="left" vertical="center" wrapText="1"/>
    </xf>
    <xf numFmtId="0" fontId="36" fillId="0" borderId="100" xfId="0" applyFont="1" applyBorder="1" applyAlignment="1">
      <alignment horizontal="center" vertical="center"/>
    </xf>
    <xf numFmtId="44" fontId="36" fillId="0" borderId="100" xfId="8" applyFont="1" applyBorder="1" applyAlignment="1">
      <alignment vertical="center"/>
    </xf>
    <xf numFmtId="44" fontId="36" fillId="0" borderId="79" xfId="8" applyFont="1" applyBorder="1" applyAlignment="1">
      <alignment vertical="center"/>
    </xf>
    <xf numFmtId="0" fontId="30" fillId="0" borderId="0" xfId="0" applyFont="1" applyAlignment="1">
      <alignment horizontal="left"/>
    </xf>
    <xf numFmtId="0" fontId="29" fillId="0" borderId="66" xfId="0" applyFont="1" applyBorder="1"/>
    <xf numFmtId="9" fontId="22" fillId="26" borderId="66" xfId="1" applyFont="1" applyFill="1" applyBorder="1" applyAlignment="1">
      <alignment horizontal="center"/>
    </xf>
    <xf numFmtId="0" fontId="24" fillId="17" borderId="11" xfId="0" applyFont="1" applyFill="1" applyBorder="1"/>
    <xf numFmtId="0" fontId="24" fillId="17" borderId="12" xfId="0" applyFont="1" applyFill="1" applyBorder="1"/>
    <xf numFmtId="0" fontId="24" fillId="17" borderId="12" xfId="0" applyFont="1" applyFill="1" applyBorder="1" applyAlignment="1">
      <alignment horizontal="center" vertical="center"/>
    </xf>
    <xf numFmtId="44" fontId="24" fillId="17" borderId="12" xfId="0" applyNumberFormat="1" applyFont="1" applyFill="1" applyBorder="1"/>
    <xf numFmtId="44" fontId="24" fillId="17" borderId="84" xfId="0" applyNumberFormat="1" applyFont="1" applyFill="1" applyBorder="1"/>
    <xf numFmtId="0" fontId="24" fillId="17" borderId="11" xfId="0" applyFont="1" applyFill="1" applyBorder="1" applyAlignment="1">
      <alignment horizontal="center" vertical="center"/>
    </xf>
    <xf numFmtId="168" fontId="30" fillId="0" borderId="112" xfId="1" applyNumberFormat="1" applyFont="1" applyBorder="1"/>
    <xf numFmtId="0" fontId="33" fillId="6" borderId="115" xfId="3" applyFont="1" applyFill="1" applyBorder="1" applyAlignment="1">
      <alignment horizontal="center" vertical="center" wrapText="1"/>
    </xf>
    <xf numFmtId="171" fontId="33" fillId="6" borderId="67" xfId="1" applyNumberFormat="1" applyFont="1" applyFill="1" applyBorder="1" applyAlignment="1">
      <alignment horizontal="center" vertical="center" wrapText="1"/>
    </xf>
    <xf numFmtId="44" fontId="46" fillId="13" borderId="66" xfId="8" applyFont="1" applyFill="1" applyBorder="1" applyAlignment="1">
      <alignment vertical="center"/>
    </xf>
    <xf numFmtId="44" fontId="47" fillId="13" borderId="66" xfId="8" applyFont="1" applyFill="1" applyBorder="1" applyAlignment="1">
      <alignment vertical="center"/>
    </xf>
    <xf numFmtId="44" fontId="41" fillId="27" borderId="66" xfId="8" applyFont="1" applyFill="1" applyBorder="1" applyAlignment="1">
      <alignment vertical="center"/>
    </xf>
    <xf numFmtId="170" fontId="24" fillId="10" borderId="114" xfId="8" applyNumberFormat="1" applyFont="1" applyFill="1" applyBorder="1" applyAlignment="1">
      <alignment horizontal="right"/>
    </xf>
    <xf numFmtId="44" fontId="24" fillId="17" borderId="108" xfId="8" applyFont="1" applyFill="1" applyBorder="1" applyAlignment="1">
      <alignment horizontal="center"/>
    </xf>
    <xf numFmtId="44" fontId="24" fillId="17" borderId="6" xfId="8" applyFont="1" applyFill="1" applyBorder="1" applyAlignment="1">
      <alignment horizontal="center"/>
    </xf>
    <xf numFmtId="44" fontId="24" fillId="17" borderId="112" xfId="8" applyFont="1" applyFill="1" applyBorder="1" applyAlignment="1">
      <alignment horizontal="center"/>
    </xf>
    <xf numFmtId="0" fontId="48" fillId="28" borderId="0" xfId="0" applyFont="1" applyFill="1" applyAlignment="1">
      <alignment horizontal="left" vertical="center"/>
    </xf>
    <xf numFmtId="0" fontId="49" fillId="28" borderId="0" xfId="0" applyFont="1" applyFill="1" applyAlignment="1">
      <alignment horizontal="left" vertical="center"/>
    </xf>
    <xf numFmtId="172" fontId="48" fillId="28" borderId="0" xfId="8" applyNumberFormat="1" applyFont="1" applyFill="1" applyBorder="1" applyAlignment="1">
      <alignment horizontal="left" vertical="center"/>
    </xf>
    <xf numFmtId="171" fontId="49" fillId="28" borderId="0" xfId="0" applyNumberFormat="1" applyFont="1" applyFill="1" applyAlignment="1">
      <alignment vertical="center"/>
    </xf>
    <xf numFmtId="0" fontId="49" fillId="28" borderId="0" xfId="0" applyFont="1" applyFill="1" applyAlignment="1">
      <alignment vertical="center"/>
    </xf>
    <xf numFmtId="172" fontId="48" fillId="28" borderId="0" xfId="8" applyNumberFormat="1" applyFont="1" applyFill="1" applyAlignment="1">
      <alignment horizontal="left" vertical="center"/>
    </xf>
    <xf numFmtId="171" fontId="49" fillId="28" borderId="0" xfId="5" applyNumberFormat="1" applyFont="1" applyFill="1" applyAlignment="1">
      <alignment vertical="center"/>
    </xf>
    <xf numFmtId="0" fontId="49" fillId="28" borderId="0" xfId="0" applyFont="1" applyFill="1" applyAlignment="1">
      <alignment horizontal="right" vertical="center"/>
    </xf>
    <xf numFmtId="44" fontId="48" fillId="28" borderId="0" xfId="8" applyFont="1" applyFill="1" applyBorder="1" applyAlignment="1">
      <alignment horizontal="left" vertical="center"/>
    </xf>
    <xf numFmtId="170" fontId="50" fillId="0" borderId="115" xfId="0" applyNumberFormat="1" applyFont="1" applyBorder="1"/>
    <xf numFmtId="170" fontId="21" fillId="0" borderId="0" xfId="0" applyNumberFormat="1" applyFont="1"/>
    <xf numFmtId="44" fontId="21" fillId="0" borderId="0" xfId="0" applyNumberFormat="1" applyFont="1"/>
    <xf numFmtId="44" fontId="21" fillId="0" borderId="84" xfId="0" applyNumberFormat="1" applyFont="1" applyBorder="1" applyAlignment="1">
      <alignment horizontal="center" vertical="center"/>
    </xf>
    <xf numFmtId="0" fontId="21" fillId="0" borderId="113" xfId="0" applyFont="1" applyBorder="1" applyAlignment="1">
      <alignment horizontal="center" vertical="center"/>
    </xf>
    <xf numFmtId="0" fontId="22" fillId="26" borderId="6" xfId="0" applyFont="1" applyFill="1" applyBorder="1" applyAlignment="1">
      <alignment horizontal="center"/>
    </xf>
    <xf numFmtId="0" fontId="22" fillId="26" borderId="37" xfId="0" applyFont="1" applyFill="1" applyBorder="1" applyAlignment="1">
      <alignment horizontal="center"/>
    </xf>
    <xf numFmtId="0" fontId="22" fillId="26" borderId="112" xfId="0" applyFont="1" applyFill="1" applyBorder="1" applyAlignment="1">
      <alignment horizontal="center"/>
    </xf>
    <xf numFmtId="0" fontId="31" fillId="0" borderId="0" xfId="2" applyFont="1" applyAlignment="1">
      <alignment horizontal="left" vertical="center" wrapText="1"/>
    </xf>
    <xf numFmtId="0" fontId="31" fillId="0" borderId="0" xfId="2" applyFont="1" applyAlignment="1">
      <alignment horizontal="left" vertical="top"/>
    </xf>
    <xf numFmtId="0" fontId="34" fillId="2" borderId="3" xfId="3" applyFont="1" applyFill="1" applyBorder="1" applyAlignment="1">
      <alignment horizontal="center" vertical="center"/>
    </xf>
    <xf numFmtId="0" fontId="34" fillId="2" borderId="4" xfId="3" applyFont="1" applyFill="1" applyBorder="1" applyAlignment="1">
      <alignment horizontal="center" vertical="center"/>
    </xf>
    <xf numFmtId="0" fontId="34" fillId="2" borderId="5" xfId="3" applyFont="1" applyFill="1" applyBorder="1" applyAlignment="1">
      <alignment horizontal="center" vertical="center"/>
    </xf>
    <xf numFmtId="0" fontId="24" fillId="17" borderId="6" xfId="0" applyFont="1" applyFill="1" applyBorder="1" applyAlignment="1">
      <alignment horizontal="left"/>
    </xf>
    <xf numFmtId="0" fontId="24" fillId="17" borderId="37" xfId="0" applyFont="1" applyFill="1" applyBorder="1" applyAlignment="1">
      <alignment horizontal="left"/>
    </xf>
    <xf numFmtId="166" fontId="34" fillId="0" borderId="40" xfId="4" applyNumberFormat="1" applyFont="1" applyBorder="1" applyAlignment="1">
      <alignment horizontal="center" vertical="center" wrapText="1"/>
    </xf>
    <xf numFmtId="166" fontId="34" fillId="0" borderId="41" xfId="4" applyNumberFormat="1" applyFont="1" applyBorder="1" applyAlignment="1">
      <alignment horizontal="center" vertical="center" wrapText="1"/>
    </xf>
    <xf numFmtId="0" fontId="24" fillId="16" borderId="17" xfId="0" applyFont="1" applyFill="1" applyBorder="1" applyAlignment="1">
      <alignment horizontal="center"/>
    </xf>
    <xf numFmtId="0" fontId="24" fillId="16" borderId="0" xfId="0" applyFont="1" applyFill="1" applyAlignment="1">
      <alignment horizontal="center"/>
    </xf>
    <xf numFmtId="0" fontId="24" fillId="16" borderId="18" xfId="0" applyFont="1" applyFill="1" applyBorder="1" applyAlignment="1">
      <alignment horizontal="center"/>
    </xf>
    <xf numFmtId="0" fontId="24" fillId="10" borderId="11" xfId="0" applyFont="1" applyFill="1" applyBorder="1" applyAlignment="1">
      <alignment horizontal="left"/>
    </xf>
    <xf numFmtId="0" fontId="24" fillId="10" borderId="12" xfId="0" applyFont="1" applyFill="1" applyBorder="1" applyAlignment="1">
      <alignment horizontal="left"/>
    </xf>
    <xf numFmtId="0" fontId="24" fillId="10" borderId="67" xfId="0" applyFont="1" applyFill="1" applyBorder="1" applyAlignment="1">
      <alignment horizontal="left"/>
    </xf>
    <xf numFmtId="0" fontId="24" fillId="10" borderId="84" xfId="0" applyFont="1" applyFill="1" applyBorder="1" applyAlignment="1">
      <alignment horizontal="left"/>
    </xf>
    <xf numFmtId="0" fontId="34" fillId="3" borderId="6" xfId="0" applyFont="1" applyFill="1" applyBorder="1" applyAlignment="1">
      <alignment horizontal="center" vertical="center" wrapText="1"/>
    </xf>
    <xf numFmtId="0" fontId="34" fillId="3" borderId="37" xfId="0" applyFont="1" applyFill="1" applyBorder="1" applyAlignment="1">
      <alignment horizontal="center" vertical="center" wrapText="1"/>
    </xf>
    <xf numFmtId="0" fontId="34" fillId="3" borderId="5" xfId="0" applyFont="1" applyFill="1" applyBorder="1" applyAlignment="1">
      <alignment horizontal="center" vertical="center" wrapText="1"/>
    </xf>
    <xf numFmtId="166" fontId="34" fillId="4" borderId="6" xfId="4" applyNumberFormat="1" applyFont="1" applyFill="1" applyBorder="1" applyAlignment="1">
      <alignment horizontal="center" vertical="center" wrapText="1"/>
    </xf>
    <xf numFmtId="166" fontId="34" fillId="4" borderId="37" xfId="4" applyNumberFormat="1" applyFont="1" applyFill="1" applyBorder="1" applyAlignment="1">
      <alignment horizontal="center" vertical="center" wrapText="1"/>
    </xf>
    <xf numFmtId="166" fontId="34" fillId="4" borderId="5" xfId="4" applyNumberFormat="1" applyFont="1" applyFill="1" applyBorder="1" applyAlignment="1">
      <alignment horizontal="center" vertical="center" wrapText="1"/>
    </xf>
    <xf numFmtId="166" fontId="34" fillId="4" borderId="17" xfId="4" applyNumberFormat="1" applyFont="1" applyFill="1" applyBorder="1" applyAlignment="1">
      <alignment horizontal="center" vertical="center" wrapText="1"/>
    </xf>
    <xf numFmtId="166" fontId="34" fillId="4" borderId="0" xfId="4" applyNumberFormat="1" applyFont="1" applyFill="1" applyBorder="1" applyAlignment="1">
      <alignment horizontal="center" vertical="center" wrapText="1"/>
    </xf>
    <xf numFmtId="0" fontId="24" fillId="10" borderId="14" xfId="0" applyFont="1" applyFill="1" applyBorder="1" applyAlignment="1">
      <alignment horizontal="left"/>
    </xf>
    <xf numFmtId="0" fontId="24" fillId="10" borderId="15" xfId="0" applyFont="1" applyFill="1" applyBorder="1" applyAlignment="1">
      <alignment horizontal="left"/>
    </xf>
    <xf numFmtId="1" fontId="24" fillId="16" borderId="108" xfId="0" applyNumberFormat="1" applyFont="1" applyFill="1" applyBorder="1" applyAlignment="1">
      <alignment horizontal="center"/>
    </xf>
    <xf numFmtId="1" fontId="24" fillId="16" borderId="69" xfId="0" applyNumberFormat="1" applyFont="1" applyFill="1" applyBorder="1" applyAlignment="1">
      <alignment horizontal="center"/>
    </xf>
    <xf numFmtId="1" fontId="24" fillId="10" borderId="78" xfId="0" applyNumberFormat="1" applyFont="1" applyFill="1" applyBorder="1" applyAlignment="1">
      <alignment horizontal="left"/>
    </xf>
    <xf numFmtId="1" fontId="24" fillId="10" borderId="95" xfId="0" applyNumberFormat="1" applyFont="1" applyFill="1" applyBorder="1" applyAlignment="1">
      <alignment horizontal="left"/>
    </xf>
    <xf numFmtId="1" fontId="24" fillId="10" borderId="11" xfId="0" applyNumberFormat="1" applyFont="1" applyFill="1" applyBorder="1" applyAlignment="1">
      <alignment horizontal="left"/>
    </xf>
    <xf numFmtId="1" fontId="24" fillId="10" borderId="12" xfId="0" applyNumberFormat="1" applyFont="1" applyFill="1" applyBorder="1" applyAlignment="1">
      <alignment horizontal="left"/>
    </xf>
    <xf numFmtId="1" fontId="24" fillId="10" borderId="84" xfId="0" applyNumberFormat="1" applyFont="1" applyFill="1" applyBorder="1" applyAlignment="1">
      <alignment horizontal="left"/>
    </xf>
    <xf numFmtId="0" fontId="24" fillId="10" borderId="17" xfId="0" applyFont="1" applyFill="1" applyBorder="1" applyAlignment="1">
      <alignment horizontal="left"/>
    </xf>
    <xf numFmtId="0" fontId="24" fillId="10" borderId="0" xfId="0" applyFont="1" applyFill="1" applyAlignment="1">
      <alignment horizontal="left"/>
    </xf>
    <xf numFmtId="1" fontId="24" fillId="10" borderId="71" xfId="0" applyNumberFormat="1" applyFont="1" applyFill="1" applyBorder="1" applyAlignment="1">
      <alignment horizontal="left"/>
    </xf>
    <xf numFmtId="1" fontId="24" fillId="10" borderId="66" xfId="0" applyNumberFormat="1" applyFont="1" applyFill="1" applyBorder="1" applyAlignment="1">
      <alignment horizontal="left"/>
    </xf>
    <xf numFmtId="0" fontId="24" fillId="16" borderId="6" xfId="0" applyFont="1" applyFill="1" applyBorder="1" applyAlignment="1">
      <alignment horizontal="left"/>
    </xf>
    <xf numFmtId="0" fontId="24" fillId="16" borderId="37" xfId="0" applyFont="1" applyFill="1" applyBorder="1" applyAlignment="1">
      <alignment horizontal="left"/>
    </xf>
    <xf numFmtId="1" fontId="24" fillId="16" borderId="82" xfId="0" applyNumberFormat="1" applyFont="1" applyFill="1" applyBorder="1" applyAlignment="1">
      <alignment horizontal="left"/>
    </xf>
    <xf numFmtId="1" fontId="24" fillId="16" borderId="100" xfId="0" applyNumberFormat="1" applyFont="1" applyFill="1" applyBorder="1" applyAlignment="1">
      <alignment horizontal="left"/>
    </xf>
    <xf numFmtId="1" fontId="24" fillId="16" borderId="17" xfId="0" applyNumberFormat="1" applyFont="1" applyFill="1" applyBorder="1" applyAlignment="1">
      <alignment horizontal="center"/>
    </xf>
    <xf numFmtId="1" fontId="24" fillId="16" borderId="0" xfId="0" applyNumberFormat="1" applyFont="1" applyFill="1" applyAlignment="1">
      <alignment horizontal="center"/>
    </xf>
    <xf numFmtId="1" fontId="24" fillId="16" borderId="18" xfId="0" applyNumberFormat="1" applyFont="1" applyFill="1" applyBorder="1" applyAlignment="1">
      <alignment horizontal="center"/>
    </xf>
    <xf numFmtId="0" fontId="24" fillId="16" borderId="17" xfId="0" applyFont="1" applyFill="1" applyBorder="1" applyAlignment="1">
      <alignment horizontal="left"/>
    </xf>
    <xf numFmtId="0" fontId="24" fillId="16" borderId="0" xfId="0" applyFont="1" applyFill="1" applyAlignment="1">
      <alignment horizontal="left"/>
    </xf>
    <xf numFmtId="1" fontId="24" fillId="16" borderId="108" xfId="0" applyNumberFormat="1" applyFont="1" applyFill="1" applyBorder="1" applyAlignment="1">
      <alignment horizontal="left"/>
    </xf>
    <xf numFmtId="1" fontId="24" fillId="16" borderId="69" xfId="0" applyNumberFormat="1" applyFont="1" applyFill="1" applyBorder="1" applyAlignment="1">
      <alignment horizontal="left"/>
    </xf>
    <xf numFmtId="0" fontId="24" fillId="16" borderId="11" xfId="0" applyFont="1" applyFill="1" applyBorder="1" applyAlignment="1">
      <alignment horizontal="center"/>
    </xf>
    <xf numFmtId="0" fontId="24" fillId="16" borderId="12" xfId="0" applyFont="1" applyFill="1" applyBorder="1" applyAlignment="1">
      <alignment horizontal="center"/>
    </xf>
    <xf numFmtId="0" fontId="24" fillId="16" borderId="84" xfId="0" applyFont="1" applyFill="1" applyBorder="1" applyAlignment="1">
      <alignment horizontal="center"/>
    </xf>
    <xf numFmtId="1" fontId="24" fillId="16" borderId="78" xfId="0" applyNumberFormat="1" applyFont="1" applyFill="1" applyBorder="1" applyAlignment="1">
      <alignment horizontal="center"/>
    </xf>
    <xf numFmtId="1" fontId="24" fillId="16" borderId="95" xfId="0" applyNumberFormat="1" applyFont="1" applyFill="1" applyBorder="1" applyAlignment="1">
      <alignment horizontal="center"/>
    </xf>
    <xf numFmtId="1" fontId="24" fillId="16" borderId="104" xfId="0" applyNumberFormat="1" applyFont="1" applyFill="1" applyBorder="1" applyAlignment="1">
      <alignment horizontal="center"/>
    </xf>
    <xf numFmtId="1" fontId="24" fillId="10" borderId="77" xfId="0" applyNumberFormat="1" applyFont="1" applyFill="1" applyBorder="1" applyAlignment="1">
      <alignment horizontal="left"/>
    </xf>
    <xf numFmtId="0" fontId="24" fillId="10" borderId="73" xfId="0" applyFont="1" applyFill="1" applyBorder="1" applyAlignment="1">
      <alignment horizontal="left"/>
    </xf>
    <xf numFmtId="0" fontId="24" fillId="10" borderId="8" xfId="0" applyFont="1" applyFill="1" applyBorder="1" applyAlignment="1">
      <alignment horizontal="left"/>
    </xf>
    <xf numFmtId="1" fontId="24" fillId="10" borderId="73" xfId="0" applyNumberFormat="1" applyFont="1" applyFill="1" applyBorder="1" applyAlignment="1">
      <alignment horizontal="left"/>
    </xf>
    <xf numFmtId="1" fontId="24" fillId="10" borderId="8" xfId="0" applyNumberFormat="1" applyFont="1" applyFill="1" applyBorder="1" applyAlignment="1">
      <alignment horizontal="left"/>
    </xf>
    <xf numFmtId="1" fontId="24" fillId="10" borderId="33" xfId="0" applyNumberFormat="1" applyFont="1" applyFill="1" applyBorder="1" applyAlignment="1">
      <alignment horizontal="left"/>
    </xf>
    <xf numFmtId="0" fontId="24" fillId="10" borderId="93" xfId="0" applyFont="1" applyFill="1" applyBorder="1" applyAlignment="1">
      <alignment horizontal="left"/>
    </xf>
    <xf numFmtId="0" fontId="24" fillId="10" borderId="92" xfId="0" applyFont="1" applyFill="1" applyBorder="1" applyAlignment="1">
      <alignment horizontal="left"/>
    </xf>
    <xf numFmtId="0" fontId="24" fillId="10" borderId="96" xfId="0" applyFont="1" applyFill="1" applyBorder="1" applyAlignment="1">
      <alignment horizontal="left"/>
    </xf>
    <xf numFmtId="1" fontId="24" fillId="10" borderId="104" xfId="0" applyNumberFormat="1" applyFont="1" applyFill="1" applyBorder="1" applyAlignment="1">
      <alignment horizontal="left"/>
    </xf>
    <xf numFmtId="1" fontId="24" fillId="10" borderId="74" xfId="0" applyNumberFormat="1" applyFont="1" applyFill="1" applyBorder="1" applyAlignment="1">
      <alignment horizontal="left"/>
    </xf>
    <xf numFmtId="1" fontId="24" fillId="10" borderId="75" xfId="0" applyNumberFormat="1" applyFont="1" applyFill="1" applyBorder="1" applyAlignment="1">
      <alignment horizontal="left"/>
    </xf>
    <xf numFmtId="1" fontId="24" fillId="10" borderId="76" xfId="0" applyNumberFormat="1" applyFont="1" applyFill="1" applyBorder="1" applyAlignment="1">
      <alignment horizontal="left"/>
    </xf>
    <xf numFmtId="1" fontId="24" fillId="16" borderId="101" xfId="0" applyNumberFormat="1" applyFont="1" applyFill="1" applyBorder="1" applyAlignment="1">
      <alignment horizontal="center"/>
    </xf>
    <xf numFmtId="0" fontId="24" fillId="16" borderId="78" xfId="0" applyFont="1" applyFill="1" applyBorder="1" applyAlignment="1">
      <alignment horizontal="center"/>
    </xf>
    <xf numFmtId="0" fontId="24" fillId="16" borderId="95" xfId="0" applyFont="1" applyFill="1" applyBorder="1" applyAlignment="1">
      <alignment horizontal="center"/>
    </xf>
    <xf numFmtId="0" fontId="24" fillId="16" borderId="106" xfId="0" applyFont="1" applyFill="1" applyBorder="1" applyAlignment="1">
      <alignment horizontal="center"/>
    </xf>
    <xf numFmtId="0" fontId="24" fillId="10" borderId="71" xfId="0" applyFont="1" applyFill="1" applyBorder="1" applyAlignment="1">
      <alignment horizontal="left"/>
    </xf>
    <xf numFmtId="0" fontId="24" fillId="10" borderId="66" xfId="0" applyFont="1" applyFill="1" applyBorder="1" applyAlignment="1">
      <alignment horizontal="left"/>
    </xf>
    <xf numFmtId="0" fontId="24" fillId="10" borderId="77" xfId="0" applyFont="1" applyFill="1" applyBorder="1" applyAlignment="1">
      <alignment horizontal="left"/>
    </xf>
    <xf numFmtId="0" fontId="34" fillId="3" borderId="112" xfId="0" applyFont="1" applyFill="1" applyBorder="1" applyAlignment="1">
      <alignment horizontal="center" vertical="center" wrapText="1"/>
    </xf>
    <xf numFmtId="166" fontId="34" fillId="4" borderId="112" xfId="4" applyNumberFormat="1" applyFont="1" applyFill="1" applyBorder="1" applyAlignment="1">
      <alignment horizontal="center" vertical="center" wrapText="1"/>
    </xf>
    <xf numFmtId="1" fontId="24" fillId="10" borderId="55" xfId="0" applyNumberFormat="1" applyFont="1" applyFill="1" applyBorder="1" applyAlignment="1">
      <alignment horizontal="left"/>
    </xf>
    <xf numFmtId="1" fontId="24" fillId="10" borderId="68" xfId="0" applyNumberFormat="1" applyFont="1" applyFill="1" applyBorder="1" applyAlignment="1">
      <alignment horizontal="left"/>
    </xf>
    <xf numFmtId="0" fontId="34" fillId="2" borderId="112" xfId="3" applyFont="1" applyFill="1" applyBorder="1" applyAlignment="1">
      <alignment horizontal="center" vertical="center"/>
    </xf>
    <xf numFmtId="0" fontId="24" fillId="16" borderId="104" xfId="0" applyFont="1" applyFill="1" applyBorder="1" applyAlignment="1">
      <alignment horizontal="center"/>
    </xf>
    <xf numFmtId="0" fontId="24" fillId="10" borderId="91" xfId="0" applyFont="1" applyFill="1" applyBorder="1" applyAlignment="1">
      <alignment horizontal="left"/>
    </xf>
    <xf numFmtId="0" fontId="24" fillId="10" borderId="97" xfId="0" applyFont="1" applyFill="1" applyBorder="1" applyAlignment="1">
      <alignment horizontal="left"/>
    </xf>
    <xf numFmtId="0" fontId="24" fillId="10" borderId="98" xfId="0" applyFont="1" applyFill="1" applyBorder="1" applyAlignment="1">
      <alignment horizontal="left"/>
    </xf>
    <xf numFmtId="0" fontId="24" fillId="16" borderId="14" xfId="0" applyFont="1" applyFill="1" applyBorder="1" applyAlignment="1">
      <alignment horizontal="left"/>
    </xf>
    <xf numFmtId="0" fontId="24" fillId="16" borderId="15" xfId="0" applyFont="1" applyFill="1" applyBorder="1" applyAlignment="1">
      <alignment horizontal="left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25" fillId="18" borderId="6" xfId="0" applyFont="1" applyFill="1" applyBorder="1" applyAlignment="1">
      <alignment horizontal="center" vertical="center"/>
    </xf>
    <xf numFmtId="0" fontId="25" fillId="18" borderId="80" xfId="0" applyFont="1" applyFill="1" applyBorder="1" applyAlignment="1">
      <alignment horizontal="center" vertical="center"/>
    </xf>
    <xf numFmtId="164" fontId="14" fillId="0" borderId="0" xfId="2" applyNumberFormat="1" applyFont="1" applyAlignment="1" applyProtection="1">
      <alignment horizontal="left" vertical="center"/>
      <protection locked="0"/>
    </xf>
    <xf numFmtId="164" fontId="6" fillId="0" borderId="0" xfId="2" applyNumberFormat="1" applyFont="1" applyAlignment="1" applyProtection="1">
      <alignment horizontal="left" vertical="center"/>
      <protection locked="0"/>
    </xf>
    <xf numFmtId="0" fontId="15" fillId="8" borderId="42" xfId="0" applyFont="1" applyFill="1" applyBorder="1" applyAlignment="1">
      <alignment horizontal="left" vertical="center"/>
    </xf>
    <xf numFmtId="0" fontId="15" fillId="8" borderId="42" xfId="0" applyFont="1" applyFill="1" applyBorder="1" applyAlignment="1">
      <alignment vertical="center"/>
    </xf>
    <xf numFmtId="0" fontId="15" fillId="8" borderId="0" xfId="0" applyFont="1" applyFill="1" applyAlignment="1">
      <alignment vertical="center"/>
    </xf>
    <xf numFmtId="0" fontId="16" fillId="8" borderId="42" xfId="0" applyFont="1" applyFill="1" applyBorder="1" applyAlignment="1">
      <alignment horizontal="left" vertical="top"/>
    </xf>
    <xf numFmtId="0" fontId="18" fillId="8" borderId="42" xfId="0" applyFont="1" applyFill="1" applyBorder="1" applyAlignment="1">
      <alignment horizontal="center" vertical="center" wrapText="1"/>
    </xf>
    <xf numFmtId="0" fontId="18" fillId="8" borderId="0" xfId="0" applyFont="1" applyFill="1" applyAlignment="1">
      <alignment horizontal="center" vertical="center" wrapText="1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9" fillId="0" borderId="11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CCCC"/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24832</xdr:colOff>
      <xdr:row>0</xdr:row>
      <xdr:rowOff>139700</xdr:rowOff>
    </xdr:from>
    <xdr:to>
      <xdr:col>5</xdr:col>
      <xdr:colOff>966674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90FEBAFD-2E43-45A4-AD08-3818C619ACEF}"/>
            </a:ext>
          </a:extLst>
        </xdr:cNvPr>
        <xdr:cNvSpPr/>
      </xdr:nvSpPr>
      <xdr:spPr bwMode="auto">
        <a:xfrm>
          <a:off x="673893" y="139700"/>
          <a:ext cx="985385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2</xdr:col>
      <xdr:colOff>0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F12CC40E-B75F-490B-B22A-0E1CA27D0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405604" cy="375442"/>
        </a:xfrm>
        <a:prstGeom prst="rect">
          <a:avLst/>
        </a:prstGeom>
      </xdr:spPr>
    </xdr:pic>
    <xdr:clientData/>
  </xdr:twoCellAnchor>
  <xdr:twoCellAnchor editAs="absolute">
    <xdr:from>
      <xdr:col>48</xdr:col>
      <xdr:colOff>43090</xdr:colOff>
      <xdr:row>0</xdr:row>
      <xdr:rowOff>190500</xdr:rowOff>
    </xdr:from>
    <xdr:to>
      <xdr:col>49</xdr:col>
      <xdr:colOff>344283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8674"/>
            </a:ext>
            <a:ext uri="{FF2B5EF4-FFF2-40B4-BE49-F238E27FC236}">
              <a16:creationId xmlns:a16="http://schemas.microsoft.com/office/drawing/2014/main" id="{5374160F-F6EE-433E-B6F5-7F4FD3B6AF91}"/>
            </a:ext>
          </a:extLst>
        </xdr:cNvPr>
        <xdr:cNvSpPr/>
      </xdr:nvSpPr>
      <xdr:spPr bwMode="auto">
        <a:xfrm>
          <a:off x="29748389" y="190500"/>
          <a:ext cx="989716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47</xdr:col>
      <xdr:colOff>150585</xdr:colOff>
      <xdr:row>0</xdr:row>
      <xdr:rowOff>182566</xdr:rowOff>
    </xdr:from>
    <xdr:to>
      <xdr:col>47</xdr:col>
      <xdr:colOff>579208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4269C661-4421-4F03-8DC2-600A3D42D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49913" y="182566"/>
          <a:ext cx="431798" cy="362742"/>
        </a:xfrm>
        <a:prstGeom prst="rect">
          <a:avLst/>
        </a:prstGeom>
      </xdr:spPr>
    </xdr:pic>
    <xdr:clientData/>
  </xdr:twoCellAnchor>
  <xdr:oneCellAnchor>
    <xdr:from>
      <xdr:col>10</xdr:col>
      <xdr:colOff>1589769</xdr:colOff>
      <xdr:row>2</xdr:row>
      <xdr:rowOff>121331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92F4CA0F-3CBD-4278-AA2C-1F5B5EB5F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42376" y="1060224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2</xdr:col>
      <xdr:colOff>0</xdr:colOff>
      <xdr:row>0</xdr:row>
      <xdr:rowOff>114300</xdr:rowOff>
    </xdr:from>
    <xdr:to>
      <xdr:col>5</xdr:col>
      <xdr:colOff>892356</xdr:colOff>
      <xdr:row>1</xdr:row>
      <xdr:rowOff>48895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DA5CCEA0-0C0C-4273-8023-76657717AD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114300"/>
          <a:ext cx="903242" cy="5632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47</xdr:col>
      <xdr:colOff>538571</xdr:colOff>
      <xdr:row>0</xdr:row>
      <xdr:rowOff>152400</xdr:rowOff>
    </xdr:from>
    <xdr:to>
      <xdr:col>49</xdr:col>
      <xdr:colOff>336821</xdr:colOff>
      <xdr:row>1</xdr:row>
      <xdr:rowOff>102235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D217D222-5F52-423D-8271-92A04CB7946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31549" y="152400"/>
          <a:ext cx="1095919" cy="5784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664368</xdr:colOff>
      <xdr:row>0</xdr:row>
      <xdr:rowOff>149225</xdr:rowOff>
    </xdr:from>
    <xdr:to>
      <xdr:col>5</xdr:col>
      <xdr:colOff>764835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70DB3A9D-2B5D-4F85-8DDF-6BFBA1AF1A43}"/>
            </a:ext>
          </a:extLst>
        </xdr:cNvPr>
        <xdr:cNvSpPr/>
      </xdr:nvSpPr>
      <xdr:spPr bwMode="auto">
        <a:xfrm>
          <a:off x="645318" y="142875"/>
          <a:ext cx="944110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649285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5AF6577F-01AD-4CDE-B578-F65CBB84D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7029" cy="372267"/>
        </a:xfrm>
        <a:prstGeom prst="rect">
          <a:avLst/>
        </a:prstGeom>
      </xdr:spPr>
    </xdr:pic>
    <xdr:clientData/>
  </xdr:twoCellAnchor>
  <xdr:twoCellAnchor editAs="absolute">
    <xdr:from>
      <xdr:col>44</xdr:col>
      <xdr:colOff>550181</xdr:colOff>
      <xdr:row>0</xdr:row>
      <xdr:rowOff>190500</xdr:rowOff>
    </xdr:from>
    <xdr:to>
      <xdr:col>46</xdr:col>
      <xdr:colOff>403701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8674"/>
            </a:ext>
            <a:ext uri="{FF2B5EF4-FFF2-40B4-BE49-F238E27FC236}">
              <a16:creationId xmlns:a16="http://schemas.microsoft.com/office/drawing/2014/main" id="{A7E181E8-5FA5-49D4-8870-1B4BF87BACF3}"/>
            </a:ext>
          </a:extLst>
        </xdr:cNvPr>
        <xdr:cNvSpPr/>
      </xdr:nvSpPr>
      <xdr:spPr bwMode="auto">
        <a:xfrm>
          <a:off x="28385860" y="190500"/>
          <a:ext cx="998334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44</xdr:col>
      <xdr:colOff>205919</xdr:colOff>
      <xdr:row>0</xdr:row>
      <xdr:rowOff>185741</xdr:rowOff>
    </xdr:from>
    <xdr:to>
      <xdr:col>44</xdr:col>
      <xdr:colOff>548364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B7FF2F7B-8F16-49A2-8108-06C3DECD7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67212" y="179391"/>
          <a:ext cx="342445" cy="362742"/>
        </a:xfrm>
        <a:prstGeom prst="rect">
          <a:avLst/>
        </a:prstGeom>
      </xdr:spPr>
    </xdr:pic>
    <xdr:clientData/>
  </xdr:twoCellAnchor>
  <xdr:oneCellAnchor>
    <xdr:from>
      <xdr:col>11</xdr:col>
      <xdr:colOff>492125</xdr:colOff>
      <xdr:row>2</xdr:row>
      <xdr:rowOff>210230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EB242196-D487-4603-A65B-7669E35CA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74375" y="1162730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1</xdr:col>
      <xdr:colOff>660400</xdr:colOff>
      <xdr:row>0</xdr:row>
      <xdr:rowOff>114300</xdr:rowOff>
    </xdr:from>
    <xdr:to>
      <xdr:col>5</xdr:col>
      <xdr:colOff>669652</xdr:colOff>
      <xdr:row>1</xdr:row>
      <xdr:rowOff>52070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54A38E77-09C9-468A-90EA-3CCD6B415B8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14300"/>
          <a:ext cx="887367" cy="56007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44</xdr:col>
      <xdr:colOff>517252</xdr:colOff>
      <xdr:row>0</xdr:row>
      <xdr:rowOff>152400</xdr:rowOff>
    </xdr:from>
    <xdr:to>
      <xdr:col>46</xdr:col>
      <xdr:colOff>377189</xdr:colOff>
      <xdr:row>1</xdr:row>
      <xdr:rowOff>111760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D2AF6922-19F3-486B-BF32-B06C77781B3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75370" y="152400"/>
          <a:ext cx="1072787" cy="5816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92868</xdr:colOff>
      <xdr:row>0</xdr:row>
      <xdr:rowOff>142875</xdr:rowOff>
    </xdr:from>
    <xdr:to>
      <xdr:col>5</xdr:col>
      <xdr:colOff>1031535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019FC06D-A34D-4279-A182-FC4E78D7702F}"/>
            </a:ext>
          </a:extLst>
        </xdr:cNvPr>
        <xdr:cNvSpPr/>
      </xdr:nvSpPr>
      <xdr:spPr bwMode="auto">
        <a:xfrm>
          <a:off x="645318" y="146050"/>
          <a:ext cx="947285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5</xdr:col>
      <xdr:colOff>74610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91798B00-5A3B-4080-A321-F150ADF49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7029" cy="375442"/>
        </a:xfrm>
        <a:prstGeom prst="rect">
          <a:avLst/>
        </a:prstGeom>
      </xdr:spPr>
    </xdr:pic>
    <xdr:clientData/>
  </xdr:twoCellAnchor>
  <xdr:twoCellAnchor editAs="absolute">
    <xdr:from>
      <xdr:col>55</xdr:col>
      <xdr:colOff>586014</xdr:colOff>
      <xdr:row>0</xdr:row>
      <xdr:rowOff>190500</xdr:rowOff>
    </xdr:from>
    <xdr:to>
      <xdr:col>57</xdr:col>
      <xdr:colOff>316616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8674"/>
            </a:ext>
            <a:ext uri="{FF2B5EF4-FFF2-40B4-BE49-F238E27FC236}">
              <a16:creationId xmlns:a16="http://schemas.microsoft.com/office/drawing/2014/main" id="{DA6DF52C-4B62-44FE-B52D-D7C66415D9A6}"/>
            </a:ext>
          </a:extLst>
        </xdr:cNvPr>
        <xdr:cNvSpPr/>
      </xdr:nvSpPr>
      <xdr:spPr bwMode="auto">
        <a:xfrm>
          <a:off x="28466596" y="190500"/>
          <a:ext cx="962502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55</xdr:col>
      <xdr:colOff>167366</xdr:colOff>
      <xdr:row>0</xdr:row>
      <xdr:rowOff>179391</xdr:rowOff>
    </xdr:from>
    <xdr:to>
      <xdr:col>55</xdr:col>
      <xdr:colOff>509811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257BCC7C-3CF0-40AE-AE74-38A2A2AEE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47948" y="182566"/>
          <a:ext cx="342445" cy="362742"/>
        </a:xfrm>
        <a:prstGeom prst="rect">
          <a:avLst/>
        </a:prstGeom>
      </xdr:spPr>
    </xdr:pic>
    <xdr:clientData/>
  </xdr:twoCellAnchor>
  <xdr:oneCellAnchor>
    <xdr:from>
      <xdr:col>10</xdr:col>
      <xdr:colOff>600981</xdr:colOff>
      <xdr:row>1</xdr:row>
      <xdr:rowOff>302758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9A7185D9-C3FD-4D62-AECB-4C5C8B8C5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61160" y="928687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5</xdr:col>
      <xdr:colOff>76200</xdr:colOff>
      <xdr:row>0</xdr:row>
      <xdr:rowOff>114300</xdr:rowOff>
    </xdr:from>
    <xdr:to>
      <xdr:col>5</xdr:col>
      <xdr:colOff>963567</xdr:colOff>
      <xdr:row>1</xdr:row>
      <xdr:rowOff>45720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85F7C169-FBE1-488F-99B1-87F2FFB9B5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14300"/>
          <a:ext cx="890542" cy="5632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55</xdr:col>
      <xdr:colOff>481874</xdr:colOff>
      <xdr:row>0</xdr:row>
      <xdr:rowOff>152400</xdr:rowOff>
    </xdr:from>
    <xdr:to>
      <xdr:col>57</xdr:col>
      <xdr:colOff>280579</xdr:colOff>
      <xdr:row>1</xdr:row>
      <xdr:rowOff>105410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8FD49D88-47B2-4B61-B0F6-1CDB05A4118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59281" y="152400"/>
          <a:ext cx="1033780" cy="58483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35718</xdr:colOff>
      <xdr:row>0</xdr:row>
      <xdr:rowOff>139700</xdr:rowOff>
    </xdr:from>
    <xdr:to>
      <xdr:col>5</xdr:col>
      <xdr:colOff>983003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30D761F3-3923-4B23-9271-11BE752F2078}"/>
            </a:ext>
          </a:extLst>
        </xdr:cNvPr>
        <xdr:cNvSpPr/>
      </xdr:nvSpPr>
      <xdr:spPr bwMode="auto">
        <a:xfrm>
          <a:off x="670718" y="139700"/>
          <a:ext cx="998085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2</xdr:col>
      <xdr:colOff>0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33FF023E-3C4B-4FEE-AB25-3B40DD66B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402429" cy="375442"/>
        </a:xfrm>
        <a:prstGeom prst="rect">
          <a:avLst/>
        </a:prstGeom>
      </xdr:spPr>
    </xdr:pic>
    <xdr:clientData/>
  </xdr:twoCellAnchor>
  <xdr:twoCellAnchor editAs="absolute">
    <xdr:from>
      <xdr:col>48</xdr:col>
      <xdr:colOff>164646</xdr:colOff>
      <xdr:row>0</xdr:row>
      <xdr:rowOff>190500</xdr:rowOff>
    </xdr:from>
    <xdr:to>
      <xdr:col>49</xdr:col>
      <xdr:colOff>517548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8674"/>
            </a:ext>
            <a:ext uri="{FF2B5EF4-FFF2-40B4-BE49-F238E27FC236}">
              <a16:creationId xmlns:a16="http://schemas.microsoft.com/office/drawing/2014/main" id="{3C06CC95-64C0-46C3-BD47-C0A8DBC551FA}"/>
            </a:ext>
          </a:extLst>
        </xdr:cNvPr>
        <xdr:cNvSpPr/>
      </xdr:nvSpPr>
      <xdr:spPr bwMode="auto">
        <a:xfrm>
          <a:off x="29662210" y="190500"/>
          <a:ext cx="1071359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47</xdr:col>
      <xdr:colOff>355598</xdr:colOff>
      <xdr:row>0</xdr:row>
      <xdr:rowOff>182566</xdr:rowOff>
    </xdr:from>
    <xdr:to>
      <xdr:col>48</xdr:col>
      <xdr:colOff>88443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08B53086-2B0F-4BF6-8FAB-A20EBF924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43562" y="182566"/>
          <a:ext cx="342445" cy="362742"/>
        </a:xfrm>
        <a:prstGeom prst="rect">
          <a:avLst/>
        </a:prstGeom>
      </xdr:spPr>
    </xdr:pic>
    <xdr:clientData/>
  </xdr:twoCellAnchor>
  <xdr:oneCellAnchor>
    <xdr:from>
      <xdr:col>12</xdr:col>
      <xdr:colOff>396875</xdr:colOff>
      <xdr:row>4</xdr:row>
      <xdr:rowOff>153080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88C27B90-03BE-4D5B-80AA-65F128581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6675" y="1575480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5</xdr:col>
      <xdr:colOff>19050</xdr:colOff>
      <xdr:row>0</xdr:row>
      <xdr:rowOff>114300</xdr:rowOff>
    </xdr:from>
    <xdr:to>
      <xdr:col>5</xdr:col>
      <xdr:colOff>903242</xdr:colOff>
      <xdr:row>1</xdr:row>
      <xdr:rowOff>48895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C193422D-2E08-481F-A0F4-B41D0D1E9A2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050" y="114300"/>
          <a:ext cx="915942" cy="5632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48</xdr:col>
      <xdr:colOff>57331</xdr:colOff>
      <xdr:row>0</xdr:row>
      <xdr:rowOff>152400</xdr:rowOff>
    </xdr:from>
    <xdr:to>
      <xdr:col>49</xdr:col>
      <xdr:colOff>481511</xdr:colOff>
      <xdr:row>1</xdr:row>
      <xdr:rowOff>102235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667D6C86-8CB6-4138-98B7-B9727655EF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54895" y="152400"/>
          <a:ext cx="1142637" cy="5784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645318</xdr:colOff>
      <xdr:row>0</xdr:row>
      <xdr:rowOff>142875</xdr:rowOff>
    </xdr:from>
    <xdr:to>
      <xdr:col>5</xdr:col>
      <xdr:colOff>808378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EC0484F0-FE9B-42E3-9A22-F478541D57A1}"/>
            </a:ext>
          </a:extLst>
        </xdr:cNvPr>
        <xdr:cNvSpPr/>
      </xdr:nvSpPr>
      <xdr:spPr bwMode="auto">
        <a:xfrm>
          <a:off x="645318" y="142875"/>
          <a:ext cx="944110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627060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632859FC-5E79-4058-8A9E-9FA153219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7029" cy="372267"/>
        </a:xfrm>
        <a:prstGeom prst="rect">
          <a:avLst/>
        </a:prstGeom>
      </xdr:spPr>
    </xdr:pic>
    <xdr:clientData/>
  </xdr:twoCellAnchor>
  <xdr:twoCellAnchor editAs="absolute">
    <xdr:from>
      <xdr:col>45</xdr:col>
      <xdr:colOff>458560</xdr:colOff>
      <xdr:row>0</xdr:row>
      <xdr:rowOff>190500</xdr:rowOff>
    </xdr:from>
    <xdr:to>
      <xdr:col>47</xdr:col>
      <xdr:colOff>247219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8674"/>
            </a:ext>
            <a:ext uri="{FF2B5EF4-FFF2-40B4-BE49-F238E27FC236}">
              <a16:creationId xmlns:a16="http://schemas.microsoft.com/office/drawing/2014/main" id="{40F95C73-3ACB-4BA6-B6D8-A4F21B810CEE}"/>
            </a:ext>
          </a:extLst>
        </xdr:cNvPr>
        <xdr:cNvSpPr/>
      </xdr:nvSpPr>
      <xdr:spPr bwMode="auto">
        <a:xfrm>
          <a:off x="28385860" y="190500"/>
          <a:ext cx="998334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45</xdr:col>
      <xdr:colOff>39912</xdr:colOff>
      <xdr:row>0</xdr:row>
      <xdr:rowOff>179391</xdr:rowOff>
    </xdr:from>
    <xdr:to>
      <xdr:col>45</xdr:col>
      <xdr:colOff>382357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A51A8CDF-BF02-4B84-A044-88B74FEA9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67212" y="179391"/>
          <a:ext cx="342445" cy="362742"/>
        </a:xfrm>
        <a:prstGeom prst="rect">
          <a:avLst/>
        </a:prstGeom>
      </xdr:spPr>
    </xdr:pic>
    <xdr:clientData/>
  </xdr:twoCellAnchor>
  <xdr:oneCellAnchor>
    <xdr:from>
      <xdr:col>11</xdr:col>
      <xdr:colOff>911225</xdr:colOff>
      <xdr:row>2</xdr:row>
      <xdr:rowOff>229280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B5DBBF1D-6616-44A6-BBFC-1167344AD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64825" y="1181780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1</xdr:col>
      <xdr:colOff>628650</xdr:colOff>
      <xdr:row>0</xdr:row>
      <xdr:rowOff>114300</xdr:rowOff>
    </xdr:from>
    <xdr:to>
      <xdr:col>5</xdr:col>
      <xdr:colOff>734967</xdr:colOff>
      <xdr:row>1</xdr:row>
      <xdr:rowOff>45720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3A771BFB-EBB4-49B4-BC85-BE5F46C7827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14300"/>
          <a:ext cx="887367" cy="56007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45</xdr:col>
      <xdr:colOff>354420</xdr:colOff>
      <xdr:row>0</xdr:row>
      <xdr:rowOff>152400</xdr:rowOff>
    </xdr:from>
    <xdr:to>
      <xdr:col>47</xdr:col>
      <xdr:colOff>211182</xdr:colOff>
      <xdr:row>1</xdr:row>
      <xdr:rowOff>105410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25508E60-ED8F-4C04-BDEC-B5F4ABE076B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75370" y="152400"/>
          <a:ext cx="1072787" cy="5816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661647</xdr:colOff>
      <xdr:row>0</xdr:row>
      <xdr:rowOff>142875</xdr:rowOff>
    </xdr:from>
    <xdr:to>
      <xdr:col>5</xdr:col>
      <xdr:colOff>838314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6FE07A85-9422-4171-A283-3E3772543B16}"/>
            </a:ext>
          </a:extLst>
        </xdr:cNvPr>
        <xdr:cNvSpPr/>
      </xdr:nvSpPr>
      <xdr:spPr bwMode="auto">
        <a:xfrm>
          <a:off x="645318" y="142875"/>
          <a:ext cx="944110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643389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5A496705-BB29-49C3-BEF8-267A07D0A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7029" cy="372267"/>
        </a:xfrm>
        <a:prstGeom prst="rect">
          <a:avLst/>
        </a:prstGeom>
      </xdr:spPr>
    </xdr:pic>
    <xdr:clientData/>
  </xdr:twoCellAnchor>
  <xdr:twoCellAnchor editAs="absolute">
    <xdr:from>
      <xdr:col>45</xdr:col>
      <xdr:colOff>436789</xdr:colOff>
      <xdr:row>0</xdr:row>
      <xdr:rowOff>190500</xdr:rowOff>
    </xdr:from>
    <xdr:to>
      <xdr:col>47</xdr:col>
      <xdr:colOff>206397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8674"/>
            </a:ext>
            <a:ext uri="{FF2B5EF4-FFF2-40B4-BE49-F238E27FC236}">
              <a16:creationId xmlns:a16="http://schemas.microsoft.com/office/drawing/2014/main" id="{F9EB5052-990F-4C6D-8169-2D29A4631199}"/>
            </a:ext>
          </a:extLst>
        </xdr:cNvPr>
        <xdr:cNvSpPr/>
      </xdr:nvSpPr>
      <xdr:spPr bwMode="auto">
        <a:xfrm>
          <a:off x="28385860" y="190500"/>
          <a:ext cx="998334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45</xdr:col>
      <xdr:colOff>18141</xdr:colOff>
      <xdr:row>0</xdr:row>
      <xdr:rowOff>179391</xdr:rowOff>
    </xdr:from>
    <xdr:to>
      <xdr:col>45</xdr:col>
      <xdr:colOff>360586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5F676DA9-33FD-4D90-8E53-CA35DD42F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67212" y="179391"/>
          <a:ext cx="342445" cy="362742"/>
        </a:xfrm>
        <a:prstGeom prst="rect">
          <a:avLst/>
        </a:prstGeom>
      </xdr:spPr>
    </xdr:pic>
    <xdr:clientData/>
  </xdr:twoCellAnchor>
  <xdr:oneCellAnchor>
    <xdr:from>
      <xdr:col>12</xdr:col>
      <xdr:colOff>396875</xdr:colOff>
      <xdr:row>4</xdr:row>
      <xdr:rowOff>153080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83472A65-DB44-4C67-A3B4-FE04CDDDF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36900" y="1572305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1</xdr:col>
      <xdr:colOff>644979</xdr:colOff>
      <xdr:row>0</xdr:row>
      <xdr:rowOff>114300</xdr:rowOff>
    </xdr:from>
    <xdr:to>
      <xdr:col>5</xdr:col>
      <xdr:colOff>770346</xdr:colOff>
      <xdr:row>1</xdr:row>
      <xdr:rowOff>45720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5258AD48-F5DD-41E0-BD93-FA857B35C8D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14300"/>
          <a:ext cx="887367" cy="56007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45</xdr:col>
      <xdr:colOff>326299</xdr:colOff>
      <xdr:row>0</xdr:row>
      <xdr:rowOff>152400</xdr:rowOff>
    </xdr:from>
    <xdr:to>
      <xdr:col>47</xdr:col>
      <xdr:colOff>170360</xdr:colOff>
      <xdr:row>1</xdr:row>
      <xdr:rowOff>105410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6684155F-89F0-4214-84BD-3181370EE58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75370" y="152400"/>
          <a:ext cx="1072787" cy="5816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59267</xdr:colOff>
      <xdr:row>0</xdr:row>
      <xdr:rowOff>152400</xdr:rowOff>
    </xdr:from>
    <xdr:to>
      <xdr:col>1</xdr:col>
      <xdr:colOff>1011767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1C792DDE-2452-4D31-A414-6C641FDFF855}"/>
            </a:ext>
          </a:extLst>
        </xdr:cNvPr>
        <xdr:cNvSpPr/>
      </xdr:nvSpPr>
      <xdr:spPr bwMode="auto">
        <a:xfrm>
          <a:off x="668867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37</xdr:col>
      <xdr:colOff>574223</xdr:colOff>
      <xdr:row>0</xdr:row>
      <xdr:rowOff>219075</xdr:rowOff>
    </xdr:from>
    <xdr:to>
      <xdr:col>39</xdr:col>
      <xdr:colOff>316342</xdr:colOff>
      <xdr:row>1</xdr:row>
      <xdr:rowOff>123825</xdr:rowOff>
    </xdr:to>
    <xdr:sp macro="" textlink="">
      <xdr:nvSpPr>
        <xdr:cNvPr id="3" name="Label2" hidden="1">
          <a:extLst>
            <a:ext uri="{63B3BB69-23CF-44E3-9099-C40C66FF867C}">
              <a14:compatExt xmlns:a14="http://schemas.microsoft.com/office/drawing/2010/main" spid="_x0000_s5122"/>
            </a:ext>
            <a:ext uri="{FF2B5EF4-FFF2-40B4-BE49-F238E27FC236}">
              <a16:creationId xmlns:a16="http://schemas.microsoft.com/office/drawing/2014/main" id="{0AC5A6D3-B556-4639-BFF9-69C9766683FC}"/>
            </a:ext>
          </a:extLst>
        </xdr:cNvPr>
        <xdr:cNvSpPr/>
      </xdr:nvSpPr>
      <xdr:spPr bwMode="auto">
        <a:xfrm>
          <a:off x="29121706" y="215900"/>
          <a:ext cx="962377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absoluteAnchor>
    <xdr:pos x="29290847" y="182566"/>
    <xdr:ext cx="362742" cy="362742"/>
    <xdr:pic>
      <xdr:nvPicPr>
        <xdr:cNvPr id="4" name="Imagem 3">
          <a:extLst>
            <a:ext uri="{FF2B5EF4-FFF2-40B4-BE49-F238E27FC236}">
              <a16:creationId xmlns:a16="http://schemas.microsoft.com/office/drawing/2014/main" id="{660BBB0C-AC94-44D9-B58F-B8449B269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0847" y="182566"/>
          <a:ext cx="362742" cy="362742"/>
        </a:xfrm>
        <a:prstGeom prst="rect">
          <a:avLst/>
        </a:prstGeom>
      </xdr:spPr>
    </xdr:pic>
    <xdr:clientData/>
  </xdr:absoluteAnchor>
  <xdr:oneCellAnchor>
    <xdr:from>
      <xdr:col>3</xdr:col>
      <xdr:colOff>243922</xdr:colOff>
      <xdr:row>3</xdr:row>
      <xdr:rowOff>9985</xdr:rowOff>
    </xdr:from>
    <xdr:ext cx="2360842" cy="1695444"/>
    <xdr:pic>
      <xdr:nvPicPr>
        <xdr:cNvPr id="5" name="Imagem 4">
          <a:extLst>
            <a:ext uri="{FF2B5EF4-FFF2-40B4-BE49-F238E27FC236}">
              <a16:creationId xmlns:a16="http://schemas.microsoft.com/office/drawing/2014/main" id="{303DA93A-7FB3-4517-B56E-A6D0118C7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01847" y="1191085"/>
          <a:ext cx="2360842" cy="1695444"/>
        </a:xfrm>
        <a:prstGeom prst="rect">
          <a:avLst/>
        </a:prstGeom>
      </xdr:spPr>
    </xdr:pic>
    <xdr:clientData/>
  </xdr:oneCellAnchor>
  <xdr:twoCellAnchor editAs="absolute">
    <xdr:from>
      <xdr:col>37</xdr:col>
      <xdr:colOff>578456</xdr:colOff>
      <xdr:row>0</xdr:row>
      <xdr:rowOff>219075</xdr:rowOff>
    </xdr:from>
    <xdr:to>
      <xdr:col>39</xdr:col>
      <xdr:colOff>313167</xdr:colOff>
      <xdr:row>1</xdr:row>
      <xdr:rowOff>123825</xdr:rowOff>
    </xdr:to>
    <xdr:pic>
      <xdr:nvPicPr>
        <xdr:cNvPr id="6" name="Label2">
          <a:extLst>
            <a:ext uri="{FF2B5EF4-FFF2-40B4-BE49-F238E27FC236}">
              <a16:creationId xmlns:a16="http://schemas.microsoft.com/office/drawing/2014/main" id="{FD55029F-C31E-4343-A785-BC0269364AB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22764" y="215900"/>
          <a:ext cx="964494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59267</xdr:colOff>
      <xdr:row>0</xdr:row>
      <xdr:rowOff>152400</xdr:rowOff>
    </xdr:from>
    <xdr:to>
      <xdr:col>1</xdr:col>
      <xdr:colOff>1011767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87FF992A-1A63-4A31-8B02-3F3B782F23A9}"/>
            </a:ext>
          </a:extLst>
        </xdr:cNvPr>
        <xdr:cNvSpPr/>
      </xdr:nvSpPr>
      <xdr:spPr bwMode="auto">
        <a:xfrm>
          <a:off x="668867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37</xdr:col>
      <xdr:colOff>415472</xdr:colOff>
      <xdr:row>0</xdr:row>
      <xdr:rowOff>215900</xdr:rowOff>
    </xdr:from>
    <xdr:to>
      <xdr:col>39</xdr:col>
      <xdr:colOff>154417</xdr:colOff>
      <xdr:row>1</xdr:row>
      <xdr:rowOff>120650</xdr:rowOff>
    </xdr:to>
    <xdr:sp macro="" textlink="">
      <xdr:nvSpPr>
        <xdr:cNvPr id="3" name="Label2" hidden="1">
          <a:extLst>
            <a:ext uri="{63B3BB69-23CF-44E3-9099-C40C66FF867C}">
              <a14:compatExt xmlns:a14="http://schemas.microsoft.com/office/drawing/2010/main" spid="_x0000_s5122"/>
            </a:ext>
            <a:ext uri="{FF2B5EF4-FFF2-40B4-BE49-F238E27FC236}">
              <a16:creationId xmlns:a16="http://schemas.microsoft.com/office/drawing/2014/main" id="{FE616129-851A-4A8D-A155-1F6093321DD0}"/>
            </a:ext>
          </a:extLst>
        </xdr:cNvPr>
        <xdr:cNvSpPr/>
      </xdr:nvSpPr>
      <xdr:spPr bwMode="auto">
        <a:xfrm>
          <a:off x="29142872" y="215900"/>
          <a:ext cx="958145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absoluteAnchor>
    <xdr:pos x="29290847" y="182566"/>
    <xdr:ext cx="362742" cy="362742"/>
    <xdr:pic>
      <xdr:nvPicPr>
        <xdr:cNvPr id="4" name="Imagem 3">
          <a:extLst>
            <a:ext uri="{FF2B5EF4-FFF2-40B4-BE49-F238E27FC236}">
              <a16:creationId xmlns:a16="http://schemas.microsoft.com/office/drawing/2014/main" id="{54948502-C646-463D-9A12-9181E7B19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0847" y="182566"/>
          <a:ext cx="362742" cy="362742"/>
        </a:xfrm>
        <a:prstGeom prst="rect">
          <a:avLst/>
        </a:prstGeom>
      </xdr:spPr>
    </xdr:pic>
    <xdr:clientData/>
  </xdr:absoluteAnchor>
  <xdr:oneCellAnchor>
    <xdr:from>
      <xdr:col>3</xdr:col>
      <xdr:colOff>1894419</xdr:colOff>
      <xdr:row>3</xdr:row>
      <xdr:rowOff>115817</xdr:rowOff>
    </xdr:from>
    <xdr:ext cx="2360842" cy="1695444"/>
    <xdr:pic>
      <xdr:nvPicPr>
        <xdr:cNvPr id="5" name="Imagem 4">
          <a:extLst>
            <a:ext uri="{FF2B5EF4-FFF2-40B4-BE49-F238E27FC236}">
              <a16:creationId xmlns:a16="http://schemas.microsoft.com/office/drawing/2014/main" id="{3A2CF33F-BD87-4B07-86B7-A032CCE0B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09319" y="1296917"/>
          <a:ext cx="2360842" cy="1695444"/>
        </a:xfrm>
        <a:prstGeom prst="rect">
          <a:avLst/>
        </a:prstGeom>
      </xdr:spPr>
    </xdr:pic>
    <xdr:clientData/>
  </xdr:oneCellAnchor>
  <xdr:twoCellAnchor editAs="absolute">
    <xdr:from>
      <xdr:col>37</xdr:col>
      <xdr:colOff>416530</xdr:colOff>
      <xdr:row>0</xdr:row>
      <xdr:rowOff>215900</xdr:rowOff>
    </xdr:from>
    <xdr:to>
      <xdr:col>39</xdr:col>
      <xdr:colOff>157592</xdr:colOff>
      <xdr:row>1</xdr:row>
      <xdr:rowOff>120650</xdr:rowOff>
    </xdr:to>
    <xdr:pic>
      <xdr:nvPicPr>
        <xdr:cNvPr id="6" name="Label2">
          <a:extLst>
            <a:ext uri="{FF2B5EF4-FFF2-40B4-BE49-F238E27FC236}">
              <a16:creationId xmlns:a16="http://schemas.microsoft.com/office/drawing/2014/main" id="{3DEB22FA-98C1-4B6C-A2C8-826FAEFE731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43930" y="215900"/>
          <a:ext cx="960262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59267</xdr:colOff>
      <xdr:row>0</xdr:row>
      <xdr:rowOff>152400</xdr:rowOff>
    </xdr:from>
    <xdr:to>
      <xdr:col>1</xdr:col>
      <xdr:colOff>1011767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FFC80948-26B9-4DC3-BD57-D0545DD8FF0C}"/>
            </a:ext>
          </a:extLst>
        </xdr:cNvPr>
        <xdr:cNvSpPr/>
      </xdr:nvSpPr>
      <xdr:spPr bwMode="auto">
        <a:xfrm>
          <a:off x="668867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37</xdr:col>
      <xdr:colOff>415472</xdr:colOff>
      <xdr:row>0</xdr:row>
      <xdr:rowOff>215900</xdr:rowOff>
    </xdr:from>
    <xdr:to>
      <xdr:col>39</xdr:col>
      <xdr:colOff>154417</xdr:colOff>
      <xdr:row>1</xdr:row>
      <xdr:rowOff>120650</xdr:rowOff>
    </xdr:to>
    <xdr:sp macro="" textlink="">
      <xdr:nvSpPr>
        <xdr:cNvPr id="3" name="Label2" hidden="1">
          <a:extLst>
            <a:ext uri="{63B3BB69-23CF-44E3-9099-C40C66FF867C}">
              <a14:compatExt xmlns:a14="http://schemas.microsoft.com/office/drawing/2010/main" spid="_x0000_s5122"/>
            </a:ext>
            <a:ext uri="{FF2B5EF4-FFF2-40B4-BE49-F238E27FC236}">
              <a16:creationId xmlns:a16="http://schemas.microsoft.com/office/drawing/2014/main" id="{0626FF23-518E-49B6-89CB-092F96E9B034}"/>
            </a:ext>
          </a:extLst>
        </xdr:cNvPr>
        <xdr:cNvSpPr/>
      </xdr:nvSpPr>
      <xdr:spPr bwMode="auto">
        <a:xfrm>
          <a:off x="29134406" y="215900"/>
          <a:ext cx="958144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absoluteAnchor>
    <xdr:pos x="29290847" y="182566"/>
    <xdr:ext cx="362742" cy="362742"/>
    <xdr:pic>
      <xdr:nvPicPr>
        <xdr:cNvPr id="4" name="Imagem 3">
          <a:extLst>
            <a:ext uri="{FF2B5EF4-FFF2-40B4-BE49-F238E27FC236}">
              <a16:creationId xmlns:a16="http://schemas.microsoft.com/office/drawing/2014/main" id="{311040CE-743A-49AA-BD85-4F574002A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0847" y="182566"/>
          <a:ext cx="362742" cy="362742"/>
        </a:xfrm>
        <a:prstGeom prst="rect">
          <a:avLst/>
        </a:prstGeom>
      </xdr:spPr>
    </xdr:pic>
    <xdr:clientData/>
  </xdr:absoluteAnchor>
  <xdr:oneCellAnchor>
    <xdr:from>
      <xdr:col>3</xdr:col>
      <xdr:colOff>1894419</xdr:colOff>
      <xdr:row>3</xdr:row>
      <xdr:rowOff>115817</xdr:rowOff>
    </xdr:from>
    <xdr:ext cx="2360842" cy="1695444"/>
    <xdr:pic>
      <xdr:nvPicPr>
        <xdr:cNvPr id="5" name="Imagem 4">
          <a:extLst>
            <a:ext uri="{FF2B5EF4-FFF2-40B4-BE49-F238E27FC236}">
              <a16:creationId xmlns:a16="http://schemas.microsoft.com/office/drawing/2014/main" id="{C331D7F0-79D9-4603-9B49-44ECA41A9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05086" y="1301150"/>
          <a:ext cx="2360842" cy="1695444"/>
        </a:xfrm>
        <a:prstGeom prst="rect">
          <a:avLst/>
        </a:prstGeom>
      </xdr:spPr>
    </xdr:pic>
    <xdr:clientData/>
  </xdr:oneCellAnchor>
  <xdr:twoCellAnchor editAs="absolute">
    <xdr:from>
      <xdr:col>37</xdr:col>
      <xdr:colOff>416530</xdr:colOff>
      <xdr:row>0</xdr:row>
      <xdr:rowOff>215900</xdr:rowOff>
    </xdr:from>
    <xdr:to>
      <xdr:col>39</xdr:col>
      <xdr:colOff>157592</xdr:colOff>
      <xdr:row>1</xdr:row>
      <xdr:rowOff>120650</xdr:rowOff>
    </xdr:to>
    <xdr:pic>
      <xdr:nvPicPr>
        <xdr:cNvPr id="6" name="Label2">
          <a:extLst>
            <a:ext uri="{FF2B5EF4-FFF2-40B4-BE49-F238E27FC236}">
              <a16:creationId xmlns:a16="http://schemas.microsoft.com/office/drawing/2014/main" id="{B65B2650-8FB9-4231-A53D-9099DDB743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35464" y="215900"/>
          <a:ext cx="960261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E27E4-2150-4A3B-B2AE-48D998EFF241}">
  <dimension ref="A1:H35"/>
  <sheetViews>
    <sheetView showGridLines="0" tabSelected="1" topLeftCell="A18" zoomScaleNormal="100" workbookViewId="0">
      <selection activeCell="F33" sqref="F33"/>
    </sheetView>
  </sheetViews>
  <sheetFormatPr defaultColWidth="8.6640625" defaultRowHeight="16.2" x14ac:dyDescent="0.35"/>
  <cols>
    <col min="1" max="1" width="8.6640625" style="97"/>
    <col min="2" max="2" width="26.109375" style="97" customWidth="1"/>
    <col min="3" max="3" width="20.77734375" style="97" customWidth="1"/>
    <col min="4" max="4" width="20.44140625" style="97" customWidth="1"/>
    <col min="5" max="5" width="18.44140625" style="97" customWidth="1"/>
    <col min="6" max="6" width="11.88671875" style="98" bestFit="1" customWidth="1"/>
    <col min="7" max="7" width="16.21875" style="97" bestFit="1" customWidth="1"/>
    <col min="8" max="8" width="14.6640625" style="97" bestFit="1" customWidth="1"/>
    <col min="9" max="16384" width="8.6640625" style="97"/>
  </cols>
  <sheetData>
    <row r="1" spans="1:5" s="98" customFormat="1" hidden="1" x14ac:dyDescent="0.35">
      <c r="A1" s="97"/>
      <c r="B1" s="97"/>
      <c r="C1" s="97"/>
      <c r="D1" s="97"/>
      <c r="E1" s="97"/>
    </row>
    <row r="2" spans="1:5" s="98" customFormat="1" hidden="1" x14ac:dyDescent="0.35">
      <c r="A2" s="97"/>
      <c r="B2" s="97"/>
      <c r="C2" s="97"/>
      <c r="D2" s="97"/>
      <c r="E2" s="97"/>
    </row>
    <row r="3" spans="1:5" s="98" customFormat="1" hidden="1" x14ac:dyDescent="0.35">
      <c r="A3" s="97"/>
      <c r="B3" s="97"/>
      <c r="C3" s="99">
        <v>45866</v>
      </c>
      <c r="D3" s="100"/>
      <c r="E3" s="391" t="e">
        <f>SUM(#REF!)</f>
        <v>#REF!</v>
      </c>
    </row>
    <row r="4" spans="1:5" s="98" customFormat="1" ht="15.6" hidden="1" customHeight="1" thickBot="1" x14ac:dyDescent="0.4">
      <c r="A4" s="97"/>
      <c r="B4" s="97"/>
      <c r="C4" s="101">
        <v>45867</v>
      </c>
      <c r="D4" s="102"/>
      <c r="E4" s="392"/>
    </row>
    <row r="5" spans="1:5" s="98" customFormat="1" hidden="1" x14ac:dyDescent="0.35">
      <c r="A5" s="97"/>
      <c r="B5" s="97"/>
      <c r="C5" s="103" t="s">
        <v>314</v>
      </c>
      <c r="D5" s="104"/>
      <c r="E5" s="97"/>
    </row>
    <row r="6" spans="1:5" s="98" customFormat="1" hidden="1" x14ac:dyDescent="0.35">
      <c r="A6" s="97"/>
      <c r="B6" s="97"/>
      <c r="C6" s="103" t="s">
        <v>315</v>
      </c>
      <c r="D6" s="104"/>
      <c r="E6" s="97"/>
    </row>
    <row r="7" spans="1:5" s="98" customFormat="1" ht="16.8" hidden="1" thickBot="1" x14ac:dyDescent="0.4">
      <c r="A7" s="97"/>
      <c r="B7" s="97"/>
      <c r="C7" s="105" t="s">
        <v>43</v>
      </c>
      <c r="D7" s="106"/>
      <c r="E7" s="97"/>
    </row>
    <row r="9" spans="1:5" s="98" customFormat="1" x14ac:dyDescent="0.35">
      <c r="A9" s="97" t="s">
        <v>155</v>
      </c>
      <c r="B9" s="97"/>
      <c r="C9" s="97"/>
      <c r="D9" s="97"/>
      <c r="E9" s="97"/>
    </row>
    <row r="10" spans="1:5" s="98" customFormat="1" ht="24" customHeight="1" x14ac:dyDescent="0.35">
      <c r="A10" s="97"/>
      <c r="B10" s="97"/>
      <c r="C10" s="97"/>
      <c r="D10" s="97"/>
      <c r="E10" s="97"/>
    </row>
    <row r="12" spans="1:5" s="98" customFormat="1" ht="15" customHeight="1" x14ac:dyDescent="0.35">
      <c r="A12" s="97"/>
      <c r="B12" s="127" t="s">
        <v>199</v>
      </c>
      <c r="C12" s="128"/>
      <c r="D12" s="107"/>
      <c r="E12" s="97"/>
    </row>
    <row r="13" spans="1:5" s="98" customFormat="1" ht="15" customHeight="1" x14ac:dyDescent="0.35">
      <c r="A13" s="97"/>
      <c r="B13" s="129" t="s">
        <v>193</v>
      </c>
      <c r="C13" s="130"/>
      <c r="D13" s="107"/>
      <c r="E13" s="97"/>
    </row>
    <row r="14" spans="1:5" s="98" customFormat="1" ht="15" customHeight="1" x14ac:dyDescent="0.35">
      <c r="A14" s="97"/>
      <c r="B14" s="129" t="s">
        <v>200</v>
      </c>
      <c r="C14" s="131"/>
      <c r="D14" s="108"/>
      <c r="E14" s="97"/>
    </row>
    <row r="15" spans="1:5" s="98" customFormat="1" ht="15" customHeight="1" x14ac:dyDescent="0.35">
      <c r="A15" s="97"/>
      <c r="B15" s="129" t="s">
        <v>203</v>
      </c>
      <c r="C15" s="131"/>
      <c r="D15" s="108"/>
      <c r="E15" s="97"/>
    </row>
    <row r="16" spans="1:5" s="98" customFormat="1" ht="15" customHeight="1" x14ac:dyDescent="0.35">
      <c r="A16" s="97"/>
      <c r="B16" s="132" t="s">
        <v>201</v>
      </c>
      <c r="C16" s="133"/>
      <c r="D16" s="109"/>
      <c r="E16" s="97"/>
    </row>
    <row r="17" spans="2:7" ht="15" customHeight="1" x14ac:dyDescent="0.35">
      <c r="B17" s="129" t="s">
        <v>194</v>
      </c>
      <c r="C17" s="131"/>
      <c r="D17" s="108"/>
    </row>
    <row r="18" spans="2:7" ht="15" customHeight="1" x14ac:dyDescent="0.35">
      <c r="B18" s="129" t="s">
        <v>295</v>
      </c>
      <c r="C18" s="131"/>
      <c r="D18" s="108"/>
    </row>
    <row r="19" spans="2:7" ht="15" customHeight="1" x14ac:dyDescent="0.35">
      <c r="B19" s="134" t="s">
        <v>202</v>
      </c>
      <c r="C19" s="135"/>
      <c r="D19" s="108"/>
    </row>
    <row r="21" spans="2:7" ht="15.6" customHeight="1" x14ac:dyDescent="0.35">
      <c r="B21" s="110"/>
      <c r="C21" s="110" t="s">
        <v>316</v>
      </c>
      <c r="D21" s="110" t="s">
        <v>317</v>
      </c>
      <c r="E21" s="110" t="s">
        <v>318</v>
      </c>
    </row>
    <row r="22" spans="2:7" x14ac:dyDescent="0.35">
      <c r="B22" s="111" t="s">
        <v>177</v>
      </c>
      <c r="C22" s="112">
        <f>INTERNO!N21</f>
        <v>31564.558220454826</v>
      </c>
      <c r="D22" s="112">
        <f>INTERNO!X21</f>
        <v>8157.76</v>
      </c>
      <c r="E22" s="112">
        <f>C22-D22</f>
        <v>23406.798220454824</v>
      </c>
      <c r="F22" s="113">
        <f>E22*100%/C22</f>
        <v>0.74155317039370072</v>
      </c>
    </row>
    <row r="23" spans="2:7" x14ac:dyDescent="0.35">
      <c r="B23" s="111" t="s">
        <v>249</v>
      </c>
      <c r="C23" s="112">
        <f>EVENTO!N49</f>
        <v>230715.43816340255</v>
      </c>
      <c r="D23" s="112">
        <f>EVENTO!X49</f>
        <v>144881.10999999999</v>
      </c>
      <c r="E23" s="112">
        <f t="shared" ref="E23:E26" si="0">C23-D23</f>
        <v>85834.328163402562</v>
      </c>
      <c r="F23" s="113">
        <f t="shared" ref="F23:F26" si="1">E23*100%/C23</f>
        <v>0.37203547732514985</v>
      </c>
    </row>
    <row r="24" spans="2:7" x14ac:dyDescent="0.35">
      <c r="B24" s="111" t="s">
        <v>357</v>
      </c>
      <c r="C24" s="112">
        <f>'EXTRAS EVENTO'!N28</f>
        <v>22290.399527774331</v>
      </c>
      <c r="D24" s="112">
        <v>0</v>
      </c>
      <c r="E24" s="112">
        <f t="shared" si="0"/>
        <v>22290.399527774331</v>
      </c>
      <c r="F24" s="113">
        <f>E24*100%/C24</f>
        <v>1</v>
      </c>
    </row>
    <row r="25" spans="2:7" x14ac:dyDescent="0.35">
      <c r="B25" s="111" t="s">
        <v>320</v>
      </c>
      <c r="C25" s="112">
        <f>EXTRAS!N21</f>
        <v>4197.6040845035423</v>
      </c>
      <c r="D25" s="112">
        <f>EXTRAS!X21</f>
        <v>0</v>
      </c>
      <c r="E25" s="112">
        <f t="shared" si="0"/>
        <v>4197.6040845035423</v>
      </c>
      <c r="F25" s="113">
        <f t="shared" si="1"/>
        <v>1</v>
      </c>
    </row>
    <row r="26" spans="2:7" x14ac:dyDescent="0.35">
      <c r="B26" s="111" t="s">
        <v>321</v>
      </c>
      <c r="C26" s="112">
        <f>'Almarena by Melia '!N27</f>
        <v>127590.25606907855</v>
      </c>
      <c r="D26" s="112">
        <f>'Almarena by Melia '!T27</f>
        <v>104227.97</v>
      </c>
      <c r="E26" s="112">
        <f t="shared" si="0"/>
        <v>23362.286069078546</v>
      </c>
      <c r="F26" s="113">
        <f t="shared" si="1"/>
        <v>0.18310399860338855</v>
      </c>
    </row>
    <row r="27" spans="2:7" x14ac:dyDescent="0.35">
      <c r="B27" s="110" t="s">
        <v>43</v>
      </c>
      <c r="C27" s="114">
        <f>SUM(C22:C26)</f>
        <v>416358.25606521382</v>
      </c>
      <c r="D27" s="114">
        <f>SUM(D22:D26)</f>
        <v>257266.84</v>
      </c>
      <c r="E27" s="114">
        <f>SUM(E22:E26)</f>
        <v>159091.41606521382</v>
      </c>
      <c r="F27" s="362">
        <f>E27*100%/C27</f>
        <v>0.38210222506142755</v>
      </c>
      <c r="G27" s="390"/>
    </row>
    <row r="29" spans="2:7" ht="200.1" hidden="1" customHeight="1" x14ac:dyDescent="0.35"/>
    <row r="30" spans="2:7" ht="16.8" thickBot="1" x14ac:dyDescent="0.4"/>
    <row r="31" spans="2:7" ht="21.9" customHeight="1" thickBot="1" x14ac:dyDescent="0.4">
      <c r="B31" s="393" t="s">
        <v>319</v>
      </c>
      <c r="C31" s="394"/>
      <c r="D31" s="394"/>
      <c r="E31" s="394"/>
      <c r="F31" s="395"/>
    </row>
    <row r="32" spans="2:7" ht="24.9" customHeight="1" thickBot="1" x14ac:dyDescent="0.4">
      <c r="B32" s="115" t="s">
        <v>354</v>
      </c>
      <c r="C32" s="116">
        <v>242700</v>
      </c>
      <c r="D32" s="117">
        <f>D27</f>
        <v>257266.84</v>
      </c>
      <c r="E32" s="388">
        <f>C32-D32</f>
        <v>-14566.839999999997</v>
      </c>
      <c r="F32" s="118">
        <f>E32*100%/C32</f>
        <v>-6.0019942315615971E-2</v>
      </c>
    </row>
    <row r="33" spans="2:8" ht="29.4" customHeight="1" thickBot="1" x14ac:dyDescent="0.4">
      <c r="B33" s="115" t="s">
        <v>355</v>
      </c>
      <c r="C33" s="120">
        <v>76058.259999999995</v>
      </c>
      <c r="D33" s="117">
        <f>C33*0.15</f>
        <v>11408.739</v>
      </c>
      <c r="E33" s="121">
        <f>C33-D33</f>
        <v>64649.520999999993</v>
      </c>
      <c r="F33" s="122">
        <f>E33*100%/C33</f>
        <v>0.85</v>
      </c>
    </row>
    <row r="34" spans="2:8" ht="29.4" customHeight="1" thickBot="1" x14ac:dyDescent="0.4">
      <c r="B34" s="119" t="s">
        <v>356</v>
      </c>
      <c r="C34" s="120">
        <v>97600</v>
      </c>
      <c r="D34" s="117">
        <f>C34*0.15</f>
        <v>14640</v>
      </c>
      <c r="E34" s="121">
        <f>C34-D34</f>
        <v>82960</v>
      </c>
      <c r="F34" s="122">
        <f>E34*100%/C34</f>
        <v>0.85</v>
      </c>
    </row>
    <row r="35" spans="2:8" ht="20.25" customHeight="1" thickBot="1" x14ac:dyDescent="0.4">
      <c r="B35" s="123"/>
      <c r="C35" s="124">
        <f>SUM(C32:C34)</f>
        <v>416358.26</v>
      </c>
      <c r="D35" s="125">
        <f>SUM(D32:D34)</f>
        <v>283315.57899999997</v>
      </c>
      <c r="E35" s="126">
        <f>C35-D35</f>
        <v>133042.68100000004</v>
      </c>
      <c r="F35" s="122">
        <f>E35*100%/C35</f>
        <v>0.31953894946145667</v>
      </c>
      <c r="H35" s="389"/>
    </row>
  </sheetData>
  <mergeCells count="2">
    <mergeCell ref="E3:E4"/>
    <mergeCell ref="B31:F31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06EAA-2976-4100-9892-3543EF884670}">
  <sheetPr codeName="Planilha16">
    <pageSetUpPr autoPageBreaks="0"/>
  </sheetPr>
  <dimension ref="A1:AM21"/>
  <sheetViews>
    <sheetView showGridLines="0" topLeftCell="B1" zoomScale="50" zoomScaleNormal="50" workbookViewId="0">
      <pane ySplit="1" topLeftCell="A13" activePane="bottomLeft" state="frozen"/>
      <selection activeCell="N39" sqref="N39"/>
      <selection pane="bottomLeft" activeCell="X25" sqref="X25"/>
    </sheetView>
  </sheetViews>
  <sheetFormatPr defaultColWidth="9.109375" defaultRowHeight="21" x14ac:dyDescent="0.4"/>
  <cols>
    <col min="1" max="1" width="8.33203125" style="136" hidden="1" customWidth="1"/>
    <col min="2" max="2" width="9.33203125" style="136" customWidth="1"/>
    <col min="3" max="3" width="5.44140625" style="136" hidden="1" customWidth="1"/>
    <col min="4" max="4" width="6" style="136" hidden="1" customWidth="1"/>
    <col min="5" max="5" width="9.5546875" style="136" hidden="1" customWidth="1"/>
    <col min="6" max="6" width="40.6640625" style="136" customWidth="1"/>
    <col min="7" max="7" width="64.88671875" style="136" customWidth="1"/>
    <col min="8" max="9" width="7.6640625" style="139" hidden="1" customWidth="1"/>
    <col min="10" max="10" width="17.109375" style="136" hidden="1" customWidth="1"/>
    <col min="11" max="11" width="26.44140625" style="136" bestFit="1" customWidth="1"/>
    <col min="12" max="12" width="17.88671875" style="136" bestFit="1" customWidth="1"/>
    <col min="13" max="13" width="24.44140625" style="136" bestFit="1" customWidth="1"/>
    <col min="14" max="14" width="26.44140625" style="136" bestFit="1" customWidth="1"/>
    <col min="15" max="15" width="3.33203125" style="136" hidden="1" customWidth="1"/>
    <col min="16" max="16" width="1.88671875" style="136" hidden="1" customWidth="1"/>
    <col min="17" max="17" width="7.6640625" style="139" customWidth="1"/>
    <col min="18" max="18" width="7.6640625" style="139" hidden="1" customWidth="1"/>
    <col min="19" max="19" width="17" style="136" hidden="1" customWidth="1"/>
    <col min="20" max="20" width="24.6640625" style="136" bestFit="1" customWidth="1"/>
    <col min="21" max="21" width="24.5546875" style="136" hidden="1" customWidth="1"/>
    <col min="22" max="23" width="22.6640625" style="136" hidden="1" customWidth="1"/>
    <col min="24" max="24" width="28.33203125" style="136" bestFit="1" customWidth="1"/>
    <col min="25" max="25" width="28.109375" style="136" hidden="1" customWidth="1"/>
    <col min="26" max="26" width="19.6640625" style="136" hidden="1" customWidth="1"/>
    <col min="27" max="27" width="25.109375" style="136" hidden="1" customWidth="1"/>
    <col min="28" max="28" width="38.109375" style="136" hidden="1" customWidth="1"/>
    <col min="29" max="30" width="33" style="136" hidden="1" customWidth="1"/>
    <col min="31" max="31" width="28" style="136" hidden="1" customWidth="1"/>
    <col min="32" max="32" width="1.33203125" style="136" hidden="1" customWidth="1"/>
    <col min="33" max="33" width="81.5546875" style="136" hidden="1" customWidth="1"/>
    <col min="34" max="34" width="36.6640625" style="136" hidden="1" customWidth="1"/>
    <col min="35" max="35" width="1.5546875" style="136" hidden="1" customWidth="1"/>
    <col min="36" max="36" width="20.33203125" style="136" hidden="1" customWidth="1"/>
    <col min="37" max="37" width="25.44140625" style="136" bestFit="1" customWidth="1"/>
    <col min="38" max="38" width="25" style="136" bestFit="1" customWidth="1"/>
    <col min="39" max="39" width="9.109375" style="90"/>
    <col min="40" max="40" width="21.33203125" style="136" customWidth="1"/>
    <col min="41" max="16384" width="9.109375" style="136"/>
  </cols>
  <sheetData>
    <row r="1" spans="1:38" ht="49.5" customHeight="1" x14ac:dyDescent="0.4">
      <c r="B1" s="137"/>
      <c r="C1" s="138"/>
      <c r="D1" s="138"/>
      <c r="F1" s="396" t="s">
        <v>128</v>
      </c>
      <c r="G1" s="396"/>
    </row>
    <row r="2" spans="1:38" ht="24.75" customHeight="1" x14ac:dyDescent="0.4">
      <c r="B2" s="140"/>
      <c r="D2" s="138"/>
      <c r="F2" s="397" t="s">
        <v>0</v>
      </c>
      <c r="G2" s="397"/>
    </row>
    <row r="3" spans="1:38" ht="22.2" x14ac:dyDescent="0.4">
      <c r="B3" s="141"/>
      <c r="F3" s="142"/>
      <c r="G3" s="142"/>
    </row>
    <row r="4" spans="1:38" ht="22.2" x14ac:dyDescent="0.4">
      <c r="F4" s="143" t="s">
        <v>199</v>
      </c>
      <c r="G4" s="144"/>
    </row>
    <row r="5" spans="1:38" ht="22.2" x14ac:dyDescent="0.4">
      <c r="F5" s="145" t="s">
        <v>193</v>
      </c>
      <c r="G5" s="146"/>
    </row>
    <row r="6" spans="1:38" ht="22.2" x14ac:dyDescent="0.4">
      <c r="F6" s="145" t="s">
        <v>200</v>
      </c>
      <c r="G6" s="147"/>
    </row>
    <row r="7" spans="1:38" ht="21.75" customHeight="1" x14ac:dyDescent="0.4">
      <c r="F7" s="145" t="s">
        <v>203</v>
      </c>
      <c r="G7" s="147"/>
    </row>
    <row r="8" spans="1:38" ht="22.2" x14ac:dyDescent="0.4">
      <c r="F8" s="148" t="s">
        <v>201</v>
      </c>
      <c r="G8" s="149"/>
    </row>
    <row r="9" spans="1:38" ht="22.2" x14ac:dyDescent="0.4">
      <c r="F9" s="145" t="s">
        <v>194</v>
      </c>
      <c r="G9" s="147"/>
      <c r="M9" s="136">
        <v>0.80469999999999997</v>
      </c>
    </row>
    <row r="10" spans="1:38" ht="27" customHeight="1" x14ac:dyDescent="0.4">
      <c r="F10" s="145" t="s">
        <v>295</v>
      </c>
      <c r="G10" s="147"/>
      <c r="M10" s="136">
        <f>1-M9</f>
        <v>0.19530000000000003</v>
      </c>
    </row>
    <row r="11" spans="1:38" ht="22.2" x14ac:dyDescent="0.4">
      <c r="F11" s="150" t="s">
        <v>202</v>
      </c>
      <c r="G11" s="151"/>
    </row>
    <row r="12" spans="1:38" ht="22.8" hidden="1" thickBot="1" x14ac:dyDescent="0.45">
      <c r="B12" s="152"/>
      <c r="M12" s="153"/>
      <c r="Q12" s="398" t="s">
        <v>1</v>
      </c>
      <c r="R12" s="399"/>
      <c r="S12" s="399"/>
      <c r="T12" s="400"/>
      <c r="U12" s="412" t="s">
        <v>2</v>
      </c>
      <c r="V12" s="413"/>
      <c r="W12" s="413"/>
      <c r="X12" s="414"/>
      <c r="Y12" s="154" t="s">
        <v>56</v>
      </c>
      <c r="Z12" s="155" t="e">
        <f>(1/(1-#REF!))-1</f>
        <v>#REF!</v>
      </c>
      <c r="AC12" s="415" t="s">
        <v>3</v>
      </c>
      <c r="AD12" s="416"/>
      <c r="AE12" s="417"/>
      <c r="AG12" s="418" t="s">
        <v>58</v>
      </c>
      <c r="AH12" s="419"/>
      <c r="AJ12" s="156" t="s">
        <v>71</v>
      </c>
      <c r="AK12" s="403" t="s">
        <v>70</v>
      </c>
      <c r="AL12" s="404"/>
    </row>
    <row r="13" spans="1:38" ht="15.9" customHeight="1" thickBot="1" x14ac:dyDescent="0.5">
      <c r="A13" s="157" t="s">
        <v>4</v>
      </c>
      <c r="B13" s="158" t="s">
        <v>5</v>
      </c>
      <c r="C13" s="157" t="s">
        <v>6</v>
      </c>
      <c r="D13" s="157" t="s">
        <v>7</v>
      </c>
      <c r="E13" s="157" t="s">
        <v>8</v>
      </c>
      <c r="M13" s="159">
        <v>0.80469999999999997</v>
      </c>
    </row>
    <row r="14" spans="1:38" ht="36.75" customHeight="1" thickBot="1" x14ac:dyDescent="0.45">
      <c r="A14" s="160">
        <v>0</v>
      </c>
      <c r="B14" s="161"/>
      <c r="C14" s="162"/>
      <c r="D14" s="163"/>
      <c r="E14" s="163"/>
      <c r="F14" s="164" t="s">
        <v>131</v>
      </c>
      <c r="G14" s="165" t="s">
        <v>132</v>
      </c>
      <c r="H14" s="166" t="s">
        <v>133</v>
      </c>
      <c r="I14" s="166" t="s">
        <v>134</v>
      </c>
      <c r="J14" s="167" t="s">
        <v>135</v>
      </c>
      <c r="K14" s="168" t="s">
        <v>9</v>
      </c>
      <c r="L14" s="169">
        <v>7.4999999999999997E-2</v>
      </c>
      <c r="M14" s="170">
        <f>1-M13</f>
        <v>0.19530000000000003</v>
      </c>
      <c r="N14" s="171" t="s">
        <v>129</v>
      </c>
      <c r="Q14" s="172" t="s">
        <v>136</v>
      </c>
      <c r="R14" s="173" t="s">
        <v>137</v>
      </c>
      <c r="S14" s="174" t="s">
        <v>138</v>
      </c>
      <c r="T14" s="175" t="s">
        <v>139</v>
      </c>
      <c r="U14" s="176" t="s">
        <v>140</v>
      </c>
      <c r="V14" s="177" t="s">
        <v>141</v>
      </c>
      <c r="W14" s="178" t="s">
        <v>142</v>
      </c>
      <c r="X14" s="178" t="s">
        <v>143</v>
      </c>
      <c r="Y14" s="179" t="s">
        <v>144</v>
      </c>
      <c r="Z14" s="180" t="s">
        <v>145</v>
      </c>
      <c r="AA14" s="181" t="s">
        <v>130</v>
      </c>
      <c r="AC14" s="182" t="s">
        <v>146</v>
      </c>
      <c r="AD14" s="183" t="s">
        <v>147</v>
      </c>
      <c r="AE14" s="183" t="s">
        <v>33</v>
      </c>
      <c r="AG14" s="184" t="s">
        <v>148</v>
      </c>
      <c r="AH14" s="185" t="s">
        <v>149</v>
      </c>
      <c r="AI14" s="136" t="s">
        <v>150</v>
      </c>
      <c r="AJ14" s="136" t="s">
        <v>150</v>
      </c>
      <c r="AK14" s="186" t="s">
        <v>151</v>
      </c>
      <c r="AL14" s="187" t="s">
        <v>152</v>
      </c>
    </row>
    <row r="15" spans="1:38" ht="24.9" customHeight="1" thickBot="1" x14ac:dyDescent="0.5">
      <c r="A15" s="188">
        <v>1</v>
      </c>
      <c r="B15" s="189">
        <v>1</v>
      </c>
      <c r="C15" s="190" t="s">
        <v>172</v>
      </c>
      <c r="D15" s="188"/>
      <c r="E15" s="188"/>
      <c r="F15" s="405" t="s">
        <v>176</v>
      </c>
      <c r="G15" s="406"/>
      <c r="H15" s="406"/>
      <c r="I15" s="406"/>
      <c r="J15" s="406"/>
      <c r="K15" s="406"/>
      <c r="L15" s="406"/>
      <c r="M15" s="406"/>
      <c r="N15" s="407"/>
      <c r="Q15" s="405" t="str">
        <f>IF(F15&lt;&gt;"",F15,"")</f>
        <v>INTERNOS</v>
      </c>
      <c r="R15" s="406"/>
      <c r="S15" s="406"/>
      <c r="T15" s="406"/>
      <c r="U15" s="406"/>
      <c r="V15" s="406"/>
      <c r="W15" s="406"/>
      <c r="X15" s="406"/>
      <c r="Y15" s="407"/>
      <c r="AK15" s="405"/>
      <c r="AL15" s="406"/>
    </row>
    <row r="16" spans="1:38" ht="24.9" customHeight="1" x14ac:dyDescent="0.45">
      <c r="A16" s="163">
        <v>2</v>
      </c>
      <c r="B16" s="189" t="s">
        <v>173</v>
      </c>
      <c r="C16" s="191" t="s">
        <v>167</v>
      </c>
      <c r="D16" s="163"/>
      <c r="E16" s="163"/>
      <c r="F16" s="408" t="s">
        <v>176</v>
      </c>
      <c r="G16" s="409"/>
      <c r="H16" s="409"/>
      <c r="I16" s="409"/>
      <c r="J16" s="409"/>
      <c r="K16" s="410"/>
      <c r="L16" s="192" t="s">
        <v>168</v>
      </c>
      <c r="M16" s="193" t="s">
        <v>169</v>
      </c>
      <c r="N16" s="194" t="s">
        <v>129</v>
      </c>
      <c r="Q16" s="408" t="str">
        <f>IF(F16&lt;&gt;"",F16,"")</f>
        <v>INTERNOS</v>
      </c>
      <c r="R16" s="409"/>
      <c r="S16" s="409"/>
      <c r="T16" s="409"/>
      <c r="U16" s="409"/>
      <c r="V16" s="409"/>
      <c r="W16" s="409"/>
      <c r="X16" s="409"/>
      <c r="Y16" s="411"/>
      <c r="Z16" s="195" t="s">
        <v>170</v>
      </c>
      <c r="AA16" s="196" t="s">
        <v>130</v>
      </c>
      <c r="AK16" s="408"/>
      <c r="AL16" s="409"/>
    </row>
    <row r="17" spans="1:39" ht="69.900000000000006" customHeight="1" x14ac:dyDescent="0.4">
      <c r="A17" s="188">
        <v>3</v>
      </c>
      <c r="B17" s="189" t="s">
        <v>174</v>
      </c>
      <c r="C17" s="197" t="s">
        <v>171</v>
      </c>
      <c r="D17" s="198" t="s">
        <v>177</v>
      </c>
      <c r="E17" s="198" t="s">
        <v>179</v>
      </c>
      <c r="F17" s="199" t="s">
        <v>206</v>
      </c>
      <c r="G17" s="200" t="s">
        <v>220</v>
      </c>
      <c r="H17" s="201">
        <v>1</v>
      </c>
      <c r="I17" s="201">
        <v>1</v>
      </c>
      <c r="J17" s="202">
        <v>8000</v>
      </c>
      <c r="K17" s="203">
        <f>IF(F17&lt;&gt;"",H17*I17*J17,"")</f>
        <v>8000</v>
      </c>
      <c r="L17" s="203">
        <f t="shared" ref="L17:L19" si="0">IF(K17&lt;&gt;"",IF(D17="INTERNO",0,K17*$L$14),"")</f>
        <v>0</v>
      </c>
      <c r="M17" s="203">
        <f t="shared" ref="M17:M19" si="1">IF(K17&lt;&gt;"",IF(E17="FAT.OGGI",SUM(K17:L17)*(1/(1-$M$14)-1),L17*(1/(1-$M$14)-1)),"")</f>
        <v>1941.5931403007339</v>
      </c>
      <c r="N17" s="204">
        <f t="shared" ref="N17:N19" si="2">SUM(K17:M17)</f>
        <v>9941.5931403007344</v>
      </c>
      <c r="Q17" s="205">
        <f t="shared" ref="Q17:R19" si="3">IF(H17&lt;&gt;"",H17,"")</f>
        <v>1</v>
      </c>
      <c r="R17" s="206">
        <f t="shared" si="3"/>
        <v>1</v>
      </c>
      <c r="S17" s="207">
        <v>0</v>
      </c>
      <c r="T17" s="207">
        <f t="shared" ref="T17" si="4">IF(Q17&lt;&gt;"",Q17*R17*S17,"")</f>
        <v>0</v>
      </c>
      <c r="U17" s="208">
        <f t="shared" ref="U17:U19" si="5">IF(Q17&lt;&gt;"",K17-T17,"")</f>
        <v>8000</v>
      </c>
      <c r="V17" s="209">
        <f t="shared" ref="V17:V19" si="6">IF(Q17&lt;&gt;"",0%,"")</f>
        <v>0</v>
      </c>
      <c r="W17" s="210">
        <f t="shared" ref="W17:W19" si="7">IF(Q17&lt;&gt;"",V17*U17,"")</f>
        <v>0</v>
      </c>
      <c r="X17" s="210">
        <f t="shared" ref="X17:X19" si="8">IF(Q17&lt;&gt;"",W17+T17,"")</f>
        <v>0</v>
      </c>
      <c r="Y17" s="211">
        <f t="shared" ref="Y17:Y20" si="9">IF(Q17&lt;&gt;"",X17+M17,"")</f>
        <v>1941.5931403007339</v>
      </c>
      <c r="Z17" s="212">
        <f t="shared" ref="Z17:Z19" si="10">IF(Q17&lt;&gt;"",U17/K17,"")</f>
        <v>1</v>
      </c>
      <c r="AA17" s="213"/>
      <c r="AK17" s="214">
        <f>X17-AL17</f>
        <v>0</v>
      </c>
      <c r="AL17" s="215"/>
    </row>
    <row r="18" spans="1:39" ht="69.900000000000006" customHeight="1" x14ac:dyDescent="0.4">
      <c r="A18" s="216">
        <v>4</v>
      </c>
      <c r="B18" s="189" t="s">
        <v>153</v>
      </c>
      <c r="C18" s="217" t="s">
        <v>171</v>
      </c>
      <c r="D18" s="198" t="s">
        <v>177</v>
      </c>
      <c r="E18" s="198" t="s">
        <v>179</v>
      </c>
      <c r="F18" s="218" t="s">
        <v>204</v>
      </c>
      <c r="G18" s="219" t="s">
        <v>205</v>
      </c>
      <c r="H18" s="220">
        <v>1</v>
      </c>
      <c r="I18" s="221">
        <v>1</v>
      </c>
      <c r="J18" s="222">
        <v>9000</v>
      </c>
      <c r="K18" s="223">
        <f t="shared" ref="K18" si="11">IF(F18&lt;&gt;"",H18*I18*J18,"")</f>
        <v>9000</v>
      </c>
      <c r="L18" s="223">
        <f>IF(K18&lt;&gt;"",IF(D18="INTERNO",0,K18*$L$14),"")</f>
        <v>0</v>
      </c>
      <c r="M18" s="223">
        <f t="shared" si="1"/>
        <v>2184.2922828383257</v>
      </c>
      <c r="N18" s="224">
        <f t="shared" si="2"/>
        <v>11184.292282838325</v>
      </c>
      <c r="Q18" s="225">
        <f>IF(H18&lt;&gt;"",H18,"")</f>
        <v>1</v>
      </c>
      <c r="R18" s="226">
        <f>IF(I18&lt;&gt;"",I18,"")</f>
        <v>1</v>
      </c>
      <c r="S18" s="227">
        <v>0</v>
      </c>
      <c r="T18" s="227">
        <f>IF(Q18&lt;&gt;"",Q18*R18*S18,"")</f>
        <v>0</v>
      </c>
      <c r="U18" s="228">
        <f>IF(Q18&lt;&gt;"",K18-T18,"")</f>
        <v>9000</v>
      </c>
      <c r="V18" s="229">
        <f>IF(Q18&lt;&gt;"",0%,"")</f>
        <v>0</v>
      </c>
      <c r="W18" s="230">
        <f>IF(Q18&lt;&gt;"",V18*U18,"")</f>
        <v>0</v>
      </c>
      <c r="X18" s="230">
        <f>IF(Q18&lt;&gt;"",W18+T18,"")</f>
        <v>0</v>
      </c>
      <c r="Y18" s="231">
        <f>IF(Q18&lt;&gt;"",X18+M18,"")</f>
        <v>2184.2922828383257</v>
      </c>
      <c r="Z18" s="212">
        <f>IF(Q18&lt;&gt;"",U18/K18,"")</f>
        <v>1</v>
      </c>
      <c r="AA18" s="213"/>
      <c r="AK18" s="214">
        <f t="shared" ref="AK18:AK19" si="12">X18-AL18</f>
        <v>0</v>
      </c>
      <c r="AL18" s="215"/>
    </row>
    <row r="19" spans="1:39" ht="69.900000000000006" customHeight="1" thickBot="1" x14ac:dyDescent="0.45">
      <c r="A19" s="188">
        <v>5</v>
      </c>
      <c r="B19" s="189" t="s">
        <v>175</v>
      </c>
      <c r="C19" s="197" t="s">
        <v>171</v>
      </c>
      <c r="D19" s="198" t="s">
        <v>177</v>
      </c>
      <c r="E19" s="198" t="s">
        <v>179</v>
      </c>
      <c r="F19" s="232" t="s">
        <v>207</v>
      </c>
      <c r="G19" s="233" t="s">
        <v>178</v>
      </c>
      <c r="H19" s="234">
        <v>1</v>
      </c>
      <c r="I19" s="235">
        <v>1</v>
      </c>
      <c r="J19" s="236">
        <v>8400</v>
      </c>
      <c r="K19" s="237">
        <f t="shared" ref="K19" si="13">IF(F19&lt;&gt;"",H19*I19*J19,"")</f>
        <v>8400</v>
      </c>
      <c r="L19" s="237">
        <f t="shared" si="0"/>
        <v>0</v>
      </c>
      <c r="M19" s="237">
        <f t="shared" si="1"/>
        <v>2038.6727973157706</v>
      </c>
      <c r="N19" s="238">
        <f t="shared" si="2"/>
        <v>10438.67279731577</v>
      </c>
      <c r="Q19" s="239">
        <f t="shared" si="3"/>
        <v>1</v>
      </c>
      <c r="R19" s="240">
        <f t="shared" si="3"/>
        <v>1</v>
      </c>
      <c r="S19" s="241">
        <v>8000</v>
      </c>
      <c r="T19" s="241">
        <v>8157.76</v>
      </c>
      <c r="U19" s="242">
        <f t="shared" si="5"/>
        <v>242.23999999999978</v>
      </c>
      <c r="V19" s="243">
        <f t="shared" si="6"/>
        <v>0</v>
      </c>
      <c r="W19" s="244">
        <f t="shared" si="7"/>
        <v>0</v>
      </c>
      <c r="X19" s="244">
        <f t="shared" si="8"/>
        <v>8157.76</v>
      </c>
      <c r="Y19" s="245">
        <f t="shared" si="9"/>
        <v>10196.432797315771</v>
      </c>
      <c r="Z19" s="212">
        <f t="shared" si="10"/>
        <v>2.8838095238095211E-2</v>
      </c>
      <c r="AA19" s="213"/>
      <c r="AK19" s="214">
        <f t="shared" si="12"/>
        <v>0</v>
      </c>
      <c r="AL19" s="215">
        <f>7000+401.05+95.91+333.3+327.5</f>
        <v>8157.76</v>
      </c>
      <c r="AM19" s="90" t="s">
        <v>352</v>
      </c>
    </row>
    <row r="20" spans="1:39" ht="24.9" customHeight="1" thickBot="1" x14ac:dyDescent="0.5">
      <c r="A20" s="198">
        <v>6</v>
      </c>
      <c r="B20" s="189"/>
      <c r="C20" s="197" t="s">
        <v>182</v>
      </c>
      <c r="D20" s="198"/>
      <c r="E20" s="198"/>
      <c r="F20" s="420" t="s">
        <v>184</v>
      </c>
      <c r="G20" s="421"/>
      <c r="H20" s="421"/>
      <c r="I20" s="421"/>
      <c r="J20" s="421"/>
      <c r="K20" s="246">
        <f>SUM(K17:K19)</f>
        <v>25400</v>
      </c>
      <c r="L20" s="246">
        <f>SUM(L17:L19)</f>
        <v>0</v>
      </c>
      <c r="M20" s="246">
        <f>SUM(M17:M19)</f>
        <v>6164.55822045483</v>
      </c>
      <c r="N20" s="247">
        <f>SUM(N17:N19)</f>
        <v>31564.558220454826</v>
      </c>
      <c r="Q20" s="420" t="s">
        <v>195</v>
      </c>
      <c r="R20" s="421"/>
      <c r="S20" s="421"/>
      <c r="T20" s="248">
        <f>SUM(T17:T19)</f>
        <v>8157.76</v>
      </c>
      <c r="U20" s="249">
        <f>SUM(U17:U19)</f>
        <v>17242.239999999998</v>
      </c>
      <c r="V20" s="250"/>
      <c r="W20" s="250"/>
      <c r="X20" s="251">
        <f>SUM(X17:X19)</f>
        <v>8157.76</v>
      </c>
      <c r="Y20" s="252">
        <f t="shared" si="9"/>
        <v>14322.31822045483</v>
      </c>
      <c r="Z20" s="253" t="s">
        <v>191</v>
      </c>
      <c r="AA20" s="254" t="s">
        <v>192</v>
      </c>
      <c r="AK20" s="214"/>
      <c r="AL20" s="215"/>
    </row>
    <row r="21" spans="1:39" ht="24.9" customHeight="1" thickBot="1" x14ac:dyDescent="0.5">
      <c r="A21" s="216">
        <v>7</v>
      </c>
      <c r="B21" s="255"/>
      <c r="C21" s="217" t="s">
        <v>189</v>
      </c>
      <c r="D21" s="216"/>
      <c r="E21" s="216"/>
      <c r="F21" s="58" t="s">
        <v>190</v>
      </c>
      <c r="G21" s="59"/>
      <c r="H21" s="63"/>
      <c r="I21" s="63"/>
      <c r="J21" s="59"/>
      <c r="K21" s="60">
        <f>SUM(K17:K19)</f>
        <v>25400</v>
      </c>
      <c r="L21" s="60">
        <f>SUM(L17:L19)</f>
        <v>0</v>
      </c>
      <c r="M21" s="60">
        <f>SUM(M17:M19)</f>
        <v>6164.55822045483</v>
      </c>
      <c r="N21" s="65">
        <f>SUM(N17:N19)</f>
        <v>31564.558220454826</v>
      </c>
      <c r="Q21" s="401" t="s">
        <v>43</v>
      </c>
      <c r="R21" s="402"/>
      <c r="S21" s="59"/>
      <c r="T21" s="60">
        <f>SUM(T17:T19)</f>
        <v>8157.76</v>
      </c>
      <c r="U21" s="60">
        <f>SUM(U17:U19)</f>
        <v>17242.239999999998</v>
      </c>
      <c r="V21" s="59"/>
      <c r="W21" s="59"/>
      <c r="X21" s="60">
        <f>SUM(X17:X19)</f>
        <v>8157.76</v>
      </c>
      <c r="Y21" s="61">
        <f>SUM(Y17:Y19)</f>
        <v>14322.31822045483</v>
      </c>
      <c r="Z21" s="62">
        <f>IF(Q21&lt;&gt;"",(N21-Y21)/N21,"")</f>
        <v>0.5462531703937008</v>
      </c>
      <c r="AA21" s="66">
        <f>IF(Z21&lt;&gt;"",(N21-Y21),"")</f>
        <v>17242.239999999998</v>
      </c>
      <c r="AK21" s="214">
        <f>SUM(AK17:AK20)</f>
        <v>0</v>
      </c>
      <c r="AL21" s="215">
        <f>SUM(AL17:AL20)</f>
        <v>8157.76</v>
      </c>
    </row>
  </sheetData>
  <mergeCells count="16">
    <mergeCell ref="F1:G1"/>
    <mergeCell ref="F2:G2"/>
    <mergeCell ref="Q12:T12"/>
    <mergeCell ref="Q21:R21"/>
    <mergeCell ref="AK12:AL12"/>
    <mergeCell ref="F15:N15"/>
    <mergeCell ref="Q15:Y15"/>
    <mergeCell ref="F16:K16"/>
    <mergeCell ref="Q16:Y16"/>
    <mergeCell ref="U12:X12"/>
    <mergeCell ref="AC12:AE12"/>
    <mergeCell ref="AG12:AH12"/>
    <mergeCell ref="F20:J20"/>
    <mergeCell ref="Q20:S20"/>
    <mergeCell ref="AK15:AL15"/>
    <mergeCell ref="AK16:AL16"/>
  </mergeCells>
  <dataValidations count="3">
    <dataValidation type="list" allowBlank="1" showInputMessage="1" showErrorMessage="1" sqref="E17:E19" xr:uid="{8D3852FD-8A59-41EB-B2FA-D2918B1AF0E5}">
      <formula1>"FAT.OGGI,FAT.CLIENTE"</formula1>
    </dataValidation>
    <dataValidation type="list" allowBlank="1" showInputMessage="1" showErrorMessage="1" sqref="D21 D17:D19" xr:uid="{17FA4E1B-3FFD-4749-8E8B-C35BC01D8FA6}">
      <formula1>"INTERNO,OPERACIONAL"</formula1>
    </dataValidation>
    <dataValidation type="list" allowBlank="1" showInputMessage="1" showErrorMessage="1" sqref="E21" xr:uid="{891F784F-ECF2-4705-9961-B263F16D12A8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7099-B5DF-4F55-9A1F-72E3434CD78F}">
  <sheetPr codeName="Planilha21">
    <pageSetUpPr autoPageBreaks="0"/>
  </sheetPr>
  <dimension ref="A1:AM57"/>
  <sheetViews>
    <sheetView showGridLines="0" topLeftCell="B1" zoomScale="50" zoomScaleNormal="50" workbookViewId="0">
      <pane ySplit="1" topLeftCell="A36" activePane="bottomLeft" state="frozen"/>
      <selection activeCell="N39" sqref="N39"/>
      <selection pane="bottomLeft" activeCell="AL53" sqref="AL53"/>
    </sheetView>
  </sheetViews>
  <sheetFormatPr defaultColWidth="9.109375" defaultRowHeight="21" x14ac:dyDescent="0.4"/>
  <cols>
    <col min="1" max="1" width="4.33203125" style="136" hidden="1" customWidth="1"/>
    <col min="2" max="2" width="12.5546875" style="136" customWidth="1"/>
    <col min="3" max="3" width="5.44140625" style="136" hidden="1" customWidth="1"/>
    <col min="4" max="4" width="6" style="136" hidden="1" customWidth="1"/>
    <col min="5" max="5" width="9.5546875" style="136" hidden="1" customWidth="1"/>
    <col min="6" max="6" width="41.33203125" style="136" customWidth="1"/>
    <col min="7" max="7" width="75" style="136" customWidth="1"/>
    <col min="8" max="9" width="7.6640625" style="139" hidden="1" customWidth="1"/>
    <col min="10" max="10" width="16.44140625" style="136" hidden="1" customWidth="1"/>
    <col min="11" max="11" width="26.44140625" style="136" bestFit="1" customWidth="1"/>
    <col min="12" max="13" width="24.5546875" style="136" customWidth="1"/>
    <col min="14" max="14" width="25.88671875" style="136" customWidth="1"/>
    <col min="15" max="15" width="3.33203125" style="136" hidden="1" customWidth="1"/>
    <col min="16" max="16" width="1.88671875" style="136" hidden="1" customWidth="1"/>
    <col min="17" max="17" width="7.6640625" style="139" customWidth="1"/>
    <col min="18" max="18" width="7.6640625" style="139" hidden="1" customWidth="1"/>
    <col min="19" max="19" width="17" style="136" hidden="1" customWidth="1"/>
    <col min="20" max="20" width="27.88671875" style="136" customWidth="1"/>
    <col min="21" max="21" width="33.33203125" style="136" hidden="1" customWidth="1"/>
    <col min="22" max="23" width="22.6640625" style="136" hidden="1" customWidth="1"/>
    <col min="24" max="24" width="28.109375" style="136" bestFit="1" customWidth="1"/>
    <col min="25" max="25" width="28.109375" style="136" hidden="1" customWidth="1"/>
    <col min="26" max="26" width="19.6640625" style="136" hidden="1" customWidth="1"/>
    <col min="27" max="27" width="25.109375" style="136" hidden="1" customWidth="1"/>
    <col min="28" max="28" width="38.109375" style="136" hidden="1" customWidth="1"/>
    <col min="29" max="30" width="33" style="136" hidden="1" customWidth="1"/>
    <col min="31" max="31" width="28" style="136" hidden="1" customWidth="1"/>
    <col min="32" max="32" width="1.33203125" style="136" hidden="1" customWidth="1"/>
    <col min="33" max="33" width="81.5546875" style="136" hidden="1" customWidth="1"/>
    <col min="34" max="34" width="36.6640625" style="136" hidden="1" customWidth="1"/>
    <col min="35" max="35" width="1.5546875" style="136" hidden="1" customWidth="1"/>
    <col min="36" max="36" width="20.33203125" style="136" hidden="1" customWidth="1"/>
    <col min="37" max="37" width="27.88671875" style="136" customWidth="1"/>
    <col min="38" max="38" width="28.33203125" style="136" customWidth="1"/>
    <col min="39" max="39" width="9.109375" style="342"/>
    <col min="40" max="40" width="21.33203125" style="136" customWidth="1"/>
    <col min="41" max="16384" width="9.109375" style="136"/>
  </cols>
  <sheetData>
    <row r="1" spans="1:38" ht="49.5" customHeight="1" x14ac:dyDescent="0.4">
      <c r="B1" s="256"/>
      <c r="C1" s="257"/>
      <c r="D1" s="257"/>
      <c r="F1" s="396" t="s">
        <v>128</v>
      </c>
      <c r="G1" s="396"/>
    </row>
    <row r="2" spans="1:38" ht="24.75" customHeight="1" x14ac:dyDescent="0.4">
      <c r="B2" s="140"/>
      <c r="D2" s="257"/>
      <c r="F2" s="397" t="s">
        <v>0</v>
      </c>
      <c r="G2" s="397"/>
    </row>
    <row r="3" spans="1:38" ht="22.2" x14ac:dyDescent="0.4">
      <c r="B3" s="258"/>
      <c r="F3" s="142"/>
      <c r="G3" s="142"/>
    </row>
    <row r="4" spans="1:38" ht="22.2" x14ac:dyDescent="0.4">
      <c r="F4" s="143" t="s">
        <v>199</v>
      </c>
      <c r="G4" s="144"/>
    </row>
    <row r="5" spans="1:38" ht="22.2" x14ac:dyDescent="0.4">
      <c r="F5" s="145" t="s">
        <v>193</v>
      </c>
      <c r="G5" s="146"/>
    </row>
    <row r="6" spans="1:38" ht="22.2" x14ac:dyDescent="0.4">
      <c r="F6" s="145" t="s">
        <v>200</v>
      </c>
      <c r="G6" s="147"/>
    </row>
    <row r="7" spans="1:38" ht="21.75" customHeight="1" x14ac:dyDescent="0.4">
      <c r="F7" s="145" t="s">
        <v>203</v>
      </c>
      <c r="G7" s="147"/>
    </row>
    <row r="8" spans="1:38" ht="22.2" x14ac:dyDescent="0.4">
      <c r="F8" s="148" t="s">
        <v>201</v>
      </c>
      <c r="G8" s="149"/>
    </row>
    <row r="9" spans="1:38" ht="22.2" x14ac:dyDescent="0.4">
      <c r="F9" s="145" t="s">
        <v>194</v>
      </c>
      <c r="G9" s="147"/>
      <c r="M9" s="136">
        <v>0.80469999999999997</v>
      </c>
    </row>
    <row r="10" spans="1:38" ht="27" customHeight="1" x14ac:dyDescent="0.4">
      <c r="F10" s="145" t="s">
        <v>295</v>
      </c>
      <c r="G10" s="147"/>
      <c r="M10" s="136">
        <f>1-M9</f>
        <v>0.19530000000000003</v>
      </c>
    </row>
    <row r="11" spans="1:38" ht="22.2" x14ac:dyDescent="0.4">
      <c r="F11" s="150" t="s">
        <v>202</v>
      </c>
      <c r="G11" s="151"/>
    </row>
    <row r="12" spans="1:38" ht="22.8" hidden="1" thickBot="1" x14ac:dyDescent="0.45">
      <c r="B12" s="152"/>
      <c r="M12" s="153"/>
      <c r="Q12" s="398" t="s">
        <v>1</v>
      </c>
      <c r="R12" s="399"/>
      <c r="S12" s="399"/>
      <c r="T12" s="400"/>
      <c r="U12" s="412" t="s">
        <v>2</v>
      </c>
      <c r="V12" s="413"/>
      <c r="W12" s="413"/>
      <c r="X12" s="414"/>
      <c r="Y12" s="154" t="s">
        <v>56</v>
      </c>
      <c r="Z12" s="155" t="e">
        <f>(1/(1-#REF!))-1</f>
        <v>#REF!</v>
      </c>
      <c r="AC12" s="415" t="s">
        <v>3</v>
      </c>
      <c r="AD12" s="416"/>
      <c r="AE12" s="417"/>
      <c r="AG12" s="418" t="s">
        <v>58</v>
      </c>
      <c r="AH12" s="419"/>
      <c r="AJ12" s="156" t="s">
        <v>71</v>
      </c>
      <c r="AK12" s="403" t="s">
        <v>70</v>
      </c>
      <c r="AL12" s="404"/>
    </row>
    <row r="13" spans="1:38" ht="15.9" customHeight="1" thickBot="1" x14ac:dyDescent="0.45">
      <c r="A13" s="259" t="s">
        <v>4</v>
      </c>
      <c r="B13" s="260" t="s">
        <v>5</v>
      </c>
      <c r="C13" s="259" t="s">
        <v>6</v>
      </c>
      <c r="D13" s="259" t="s">
        <v>7</v>
      </c>
      <c r="E13" s="259" t="s">
        <v>8</v>
      </c>
      <c r="M13" s="159">
        <v>0.80469999999999997</v>
      </c>
    </row>
    <row r="14" spans="1:38" ht="51.75" customHeight="1" thickBot="1" x14ac:dyDescent="0.45">
      <c r="A14" s="261">
        <v>0</v>
      </c>
      <c r="B14" s="262"/>
      <c r="C14" s="263"/>
      <c r="D14" s="264"/>
      <c r="E14" s="264"/>
      <c r="F14" s="164" t="s">
        <v>131</v>
      </c>
      <c r="G14" s="165" t="s">
        <v>132</v>
      </c>
      <c r="H14" s="166" t="s">
        <v>133</v>
      </c>
      <c r="I14" s="166" t="s">
        <v>134</v>
      </c>
      <c r="J14" s="167" t="s">
        <v>135</v>
      </c>
      <c r="K14" s="168" t="s">
        <v>9</v>
      </c>
      <c r="L14" s="169">
        <v>7.4999999999999997E-2</v>
      </c>
      <c r="M14" s="170">
        <f>1-M13</f>
        <v>0.19530000000000003</v>
      </c>
      <c r="N14" s="171" t="s">
        <v>129</v>
      </c>
      <c r="Q14" s="172" t="s">
        <v>136</v>
      </c>
      <c r="R14" s="173" t="s">
        <v>137</v>
      </c>
      <c r="S14" s="174" t="s">
        <v>138</v>
      </c>
      <c r="T14" s="175" t="s">
        <v>139</v>
      </c>
      <c r="U14" s="176" t="s">
        <v>140</v>
      </c>
      <c r="V14" s="177" t="s">
        <v>141</v>
      </c>
      <c r="W14" s="178" t="s">
        <v>142</v>
      </c>
      <c r="X14" s="178" t="s">
        <v>143</v>
      </c>
      <c r="Y14" s="179" t="s">
        <v>144</v>
      </c>
      <c r="Z14" s="180" t="s">
        <v>145</v>
      </c>
      <c r="AA14" s="181" t="s">
        <v>130</v>
      </c>
      <c r="AC14" s="182" t="s">
        <v>146</v>
      </c>
      <c r="AD14" s="183" t="s">
        <v>147</v>
      </c>
      <c r="AE14" s="183" t="s">
        <v>33</v>
      </c>
      <c r="AG14" s="184" t="s">
        <v>148</v>
      </c>
      <c r="AH14" s="185" t="s">
        <v>149</v>
      </c>
      <c r="AI14" s="136" t="s">
        <v>150</v>
      </c>
      <c r="AJ14" s="136" t="s">
        <v>150</v>
      </c>
      <c r="AK14" s="186" t="s">
        <v>151</v>
      </c>
      <c r="AL14" s="187" t="s">
        <v>152</v>
      </c>
    </row>
    <row r="15" spans="1:38" ht="24.9" customHeight="1" thickBot="1" x14ac:dyDescent="0.5">
      <c r="A15" s="265">
        <v>1</v>
      </c>
      <c r="B15" s="189">
        <v>1</v>
      </c>
      <c r="C15" s="266" t="s">
        <v>172</v>
      </c>
      <c r="D15" s="265"/>
      <c r="E15" s="265"/>
      <c r="F15" s="405" t="s">
        <v>248</v>
      </c>
      <c r="G15" s="406"/>
      <c r="H15" s="406"/>
      <c r="I15" s="406"/>
      <c r="J15" s="406"/>
      <c r="K15" s="406"/>
      <c r="L15" s="406"/>
      <c r="M15" s="406"/>
      <c r="N15" s="407"/>
      <c r="Q15" s="422" t="str">
        <f>IF(F15&lt;&gt;"",F15,"")</f>
        <v>EXPERIÊNCIAS</v>
      </c>
      <c r="R15" s="423"/>
      <c r="S15" s="423"/>
      <c r="T15" s="423"/>
      <c r="U15" s="423"/>
      <c r="V15" s="423"/>
      <c r="W15" s="423"/>
      <c r="X15" s="423"/>
      <c r="Y15" s="463"/>
      <c r="Z15" s="212"/>
      <c r="AA15" s="213"/>
      <c r="AK15" s="422"/>
      <c r="AL15" s="423"/>
    </row>
    <row r="16" spans="1:38" ht="24.9" customHeight="1" x14ac:dyDescent="0.45">
      <c r="A16" s="265">
        <v>2</v>
      </c>
      <c r="B16" s="189" t="s">
        <v>173</v>
      </c>
      <c r="C16" s="266" t="s">
        <v>167</v>
      </c>
      <c r="D16" s="265"/>
      <c r="E16" s="265"/>
      <c r="F16" s="456" t="s">
        <v>227</v>
      </c>
      <c r="G16" s="457"/>
      <c r="H16" s="457"/>
      <c r="I16" s="457"/>
      <c r="J16" s="457"/>
      <c r="K16" s="458"/>
      <c r="L16" s="267" t="s">
        <v>168</v>
      </c>
      <c r="M16" s="268" t="s">
        <v>169</v>
      </c>
      <c r="N16" s="269" t="s">
        <v>129</v>
      </c>
      <c r="Q16" s="424" t="str">
        <f>IF(F16&lt;&gt;"",F16,"")</f>
        <v>Dia 01 - 26/03</v>
      </c>
      <c r="R16" s="425"/>
      <c r="S16" s="425"/>
      <c r="T16" s="425"/>
      <c r="U16" s="425"/>
      <c r="V16" s="425"/>
      <c r="W16" s="425"/>
      <c r="X16" s="425"/>
      <c r="Y16" s="459"/>
      <c r="Z16" s="270" t="s">
        <v>170</v>
      </c>
      <c r="AA16" s="271" t="s">
        <v>130</v>
      </c>
      <c r="AK16" s="424"/>
      <c r="AL16" s="425"/>
    </row>
    <row r="17" spans="1:39" ht="69.900000000000006" customHeight="1" x14ac:dyDescent="0.4">
      <c r="A17" s="198">
        <v>3</v>
      </c>
      <c r="B17" s="189" t="s">
        <v>174</v>
      </c>
      <c r="C17" s="197" t="s">
        <v>171</v>
      </c>
      <c r="D17" s="198" t="s">
        <v>185</v>
      </c>
      <c r="E17" s="198" t="s">
        <v>179</v>
      </c>
      <c r="F17" s="199" t="s">
        <v>221</v>
      </c>
      <c r="G17" s="200" t="s">
        <v>306</v>
      </c>
      <c r="H17" s="201">
        <v>1</v>
      </c>
      <c r="I17" s="201">
        <v>1</v>
      </c>
      <c r="J17" s="203">
        <v>3291.4652399999995</v>
      </c>
      <c r="K17" s="203">
        <f>IF(F17&lt;&gt;"",H17*I17*J17,"")</f>
        <v>3291.4652399999995</v>
      </c>
      <c r="L17" s="203">
        <f>IF(K17&lt;&gt;"",IF(D17="INTERNO",0,K17*$L$14),"")</f>
        <v>246.85989299999994</v>
      </c>
      <c r="M17" s="203">
        <f>IF(K17&lt;&gt;"",IF(E17="FAT.OGGI",SUM(K17:L17)*(1/(1-$M$14)-1),L17*(1/(1-$M$14)-1)),"")</f>
        <v>858.7484757983101</v>
      </c>
      <c r="N17" s="204">
        <f>SUM(K17:M17)</f>
        <v>4397.0736087983096</v>
      </c>
      <c r="Q17" s="272">
        <f t="shared" ref="Q17:R20" si="0">IF(H17&lt;&gt;"",H17,"")</f>
        <v>1</v>
      </c>
      <c r="R17" s="273">
        <v>0</v>
      </c>
      <c r="S17" s="274">
        <v>2742.8876999999998</v>
      </c>
      <c r="T17" s="274">
        <f>IF(Q17&lt;&gt;"",Q17*R17*S17,"")</f>
        <v>0</v>
      </c>
      <c r="U17" s="275">
        <f>IF(Q17&lt;&gt;"",K17-T17,"")</f>
        <v>3291.4652399999995</v>
      </c>
      <c r="V17" s="276">
        <f>IF(Q17&lt;&gt;"",0%,"")</f>
        <v>0</v>
      </c>
      <c r="W17" s="277">
        <f>IF(Q17&lt;&gt;"",V17*U17,"")</f>
        <v>0</v>
      </c>
      <c r="X17" s="277">
        <f>IF(Q17&lt;&gt;"",W17+T17,"")</f>
        <v>0</v>
      </c>
      <c r="Y17" s="231">
        <f>IF(Q17&lt;&gt;"",X17+M17,"")</f>
        <v>858.7484757983101</v>
      </c>
      <c r="Z17" s="212">
        <f>IF(Q17&lt;&gt;"",U17/K17,"")</f>
        <v>1</v>
      </c>
      <c r="AA17" s="278" t="e">
        <f>T17/$T$21</f>
        <v>#DIV/0!</v>
      </c>
      <c r="AK17" s="214">
        <f>X17-AL17</f>
        <v>0</v>
      </c>
      <c r="AL17" s="215"/>
    </row>
    <row r="18" spans="1:39" ht="69.900000000000006" customHeight="1" x14ac:dyDescent="0.4">
      <c r="A18" s="198">
        <v>4</v>
      </c>
      <c r="B18" s="189" t="s">
        <v>153</v>
      </c>
      <c r="C18" s="197" t="s">
        <v>171</v>
      </c>
      <c r="D18" s="198" t="s">
        <v>185</v>
      </c>
      <c r="E18" s="198" t="s">
        <v>179</v>
      </c>
      <c r="F18" s="199" t="s">
        <v>225</v>
      </c>
      <c r="G18" s="200" t="s">
        <v>322</v>
      </c>
      <c r="H18" s="201">
        <v>1</v>
      </c>
      <c r="I18" s="201">
        <v>1</v>
      </c>
      <c r="J18" s="203">
        <v>501.53335341119998</v>
      </c>
      <c r="K18" s="203">
        <f>IF(F18&lt;&gt;"",H18*I18*J18,"")</f>
        <v>501.53335341119998</v>
      </c>
      <c r="L18" s="203">
        <f>IF(K18&lt;&gt;"",IF(D18="INTERNO",0,K18*$L$14),"")</f>
        <v>37.615001505839999</v>
      </c>
      <c r="M18" s="203">
        <f>IF(K18&lt;&gt;"",IF(E18="FAT.OGGI",SUM(K18:L18)*(1/(1-$M$14)-1),L18*(1/(1-$M$14)-1)),"")</f>
        <v>130.85084343891879</v>
      </c>
      <c r="N18" s="204">
        <f>SUM(K18:M18)</f>
        <v>669.99919835595881</v>
      </c>
      <c r="Q18" s="272">
        <f t="shared" ref="Q18" si="1">IF(H18&lt;&gt;"",H18,"")</f>
        <v>1</v>
      </c>
      <c r="R18" s="273">
        <f t="shared" ref="R18" si="2">IF(I18&lt;&gt;"",I18,"")</f>
        <v>1</v>
      </c>
      <c r="S18" s="279">
        <v>415.64874999999995</v>
      </c>
      <c r="T18" s="274">
        <v>0</v>
      </c>
      <c r="U18" s="275">
        <f>IF(Q18&lt;&gt;"",K18-T18,"")</f>
        <v>501.53335341119998</v>
      </c>
      <c r="V18" s="276">
        <f>IF(Q18&lt;&gt;"",0%,"")</f>
        <v>0</v>
      </c>
      <c r="W18" s="277">
        <f>IF(Q18&lt;&gt;"",V18*U18,"")</f>
        <v>0</v>
      </c>
      <c r="X18" s="277">
        <f>IF(Q18&lt;&gt;"",W18+T18,"")</f>
        <v>0</v>
      </c>
      <c r="Y18" s="231">
        <f>IF(Q18&lt;&gt;"",X18+M18,"")</f>
        <v>130.85084343891879</v>
      </c>
      <c r="Z18" s="212">
        <f>IF(Q18&lt;&gt;"",U18/K18,"")</f>
        <v>1</v>
      </c>
      <c r="AA18" s="278" t="e">
        <f>T18/$T$21</f>
        <v>#DIV/0!</v>
      </c>
      <c r="AK18" s="214">
        <f t="shared" ref="AK18" si="3">X18-AL18</f>
        <v>0</v>
      </c>
      <c r="AL18" s="215"/>
    </row>
    <row r="19" spans="1:39" ht="69.900000000000006" customHeight="1" x14ac:dyDescent="0.4">
      <c r="A19" s="198">
        <v>5</v>
      </c>
      <c r="B19" s="189" t="s">
        <v>175</v>
      </c>
      <c r="C19" s="197" t="s">
        <v>171</v>
      </c>
      <c r="D19" s="198" t="s">
        <v>185</v>
      </c>
      <c r="E19" s="198" t="s">
        <v>179</v>
      </c>
      <c r="F19" s="199" t="s">
        <v>221</v>
      </c>
      <c r="G19" s="200" t="s">
        <v>301</v>
      </c>
      <c r="H19" s="201">
        <v>1</v>
      </c>
      <c r="I19" s="201">
        <v>1</v>
      </c>
      <c r="J19" s="203">
        <v>3056.2188723495001</v>
      </c>
      <c r="K19" s="203">
        <f>IF(F19&lt;&gt;"",H19*I19*J19,"")</f>
        <v>3056.2188723495001</v>
      </c>
      <c r="L19" s="203">
        <f>IF(K19&lt;&gt;"",IF(D19="INTERNO",0,K19*$L$14),"")</f>
        <v>229.21641542621251</v>
      </c>
      <c r="M19" s="203">
        <f>IF(K19&lt;&gt;"",IF(E19="FAT.OGGI",SUM(K19:L19)*(1/(1-$M$14)-1),L19*(1/(1-$M$14)-1)),"")</f>
        <v>797.37232720591146</v>
      </c>
      <c r="N19" s="204">
        <f>SUM(K19:M19)</f>
        <v>4082.8076149816243</v>
      </c>
      <c r="Q19" s="272">
        <f>IF(H19&lt;&gt;"",H19,"")</f>
        <v>1</v>
      </c>
      <c r="R19" s="273">
        <v>0</v>
      </c>
      <c r="S19" s="274">
        <v>2546.8490602912502</v>
      </c>
      <c r="T19" s="274">
        <f>IF(Q19&lt;&gt;"",Q19*R19*S19,"")</f>
        <v>0</v>
      </c>
      <c r="U19" s="275">
        <f>IF(Q19&lt;&gt;"",K19-T19,"")</f>
        <v>3056.2188723495001</v>
      </c>
      <c r="V19" s="276">
        <f>IF(Q19&lt;&gt;"",0%,"")</f>
        <v>0</v>
      </c>
      <c r="W19" s="277">
        <f>IF(Q19&lt;&gt;"",V19*U19,"")</f>
        <v>0</v>
      </c>
      <c r="X19" s="277">
        <f>IF(Q19&lt;&gt;"",W19+T19,"")</f>
        <v>0</v>
      </c>
      <c r="Y19" s="231">
        <f>IF(Q19&lt;&gt;"",X19+M19,"")</f>
        <v>797.37232720591146</v>
      </c>
      <c r="Z19" s="212">
        <f>IF(Q19&lt;&gt;"",U19/K19,"")</f>
        <v>1</v>
      </c>
      <c r="AA19" s="278" t="e">
        <f>T19/$T$21</f>
        <v>#DIV/0!</v>
      </c>
      <c r="AK19" s="214">
        <f t="shared" ref="AK19:AK47" si="4">X19-AL19</f>
        <v>0</v>
      </c>
      <c r="AL19" s="215"/>
    </row>
    <row r="20" spans="1:39" ht="69.900000000000006" customHeight="1" x14ac:dyDescent="0.4">
      <c r="A20" s="198">
        <v>6</v>
      </c>
      <c r="B20" s="189" t="s">
        <v>256</v>
      </c>
      <c r="C20" s="197" t="s">
        <v>171</v>
      </c>
      <c r="D20" s="198" t="s">
        <v>185</v>
      </c>
      <c r="E20" s="198" t="s">
        <v>179</v>
      </c>
      <c r="F20" s="280" t="s">
        <v>222</v>
      </c>
      <c r="G20" s="281" t="s">
        <v>302</v>
      </c>
      <c r="H20" s="282">
        <v>21</v>
      </c>
      <c r="I20" s="282">
        <v>1</v>
      </c>
      <c r="J20" s="203">
        <v>470.18751882299995</v>
      </c>
      <c r="K20" s="223">
        <f>IF(F20&lt;&gt;"",H20*I20*J20,"")</f>
        <v>9873.9378952829993</v>
      </c>
      <c r="L20" s="223">
        <f>IF(K20&lt;&gt;"",IF(D20="INTERNO",0,K20*$L$14),"")</f>
        <v>740.54534214622493</v>
      </c>
      <c r="M20" s="223">
        <f>IF(K20&lt;&gt;"",IF(E20="FAT.OGGI",SUM(K20:L20)*(1/(1-$M$14)-1),L20*(1/(1-$M$14)-1)),"")</f>
        <v>2576.1259802037134</v>
      </c>
      <c r="N20" s="224">
        <f>SUM(K20:M20)</f>
        <v>13190.609217632937</v>
      </c>
      <c r="Q20" s="272">
        <f t="shared" si="0"/>
        <v>21</v>
      </c>
      <c r="R20" s="273">
        <f t="shared" si="0"/>
        <v>1</v>
      </c>
      <c r="S20" s="274">
        <v>391.82293235249995</v>
      </c>
      <c r="T20" s="274">
        <v>0</v>
      </c>
      <c r="U20" s="275">
        <f>IF(Q20&lt;&gt;"",K20-T20,"")</f>
        <v>9873.9378952829993</v>
      </c>
      <c r="V20" s="276">
        <f>IF(Q20&lt;&gt;"",0%,"")</f>
        <v>0</v>
      </c>
      <c r="W20" s="277">
        <f>IF(Q20&lt;&gt;"",V20*U20,"")</f>
        <v>0</v>
      </c>
      <c r="X20" s="277">
        <f>IF(Q20&lt;&gt;"",W20+T20,"")</f>
        <v>0</v>
      </c>
      <c r="Y20" s="231">
        <f>IF(Q20&lt;&gt;"",X20+M20,"")</f>
        <v>2576.1259802037134</v>
      </c>
      <c r="Z20" s="212">
        <f>IF(Q20&lt;&gt;"",U20/K20,"")</f>
        <v>1</v>
      </c>
      <c r="AA20" s="278" t="e">
        <f>T20/$T$21</f>
        <v>#DIV/0!</v>
      </c>
      <c r="AK20" s="214">
        <f t="shared" si="4"/>
        <v>0</v>
      </c>
      <c r="AL20" s="215"/>
    </row>
    <row r="21" spans="1:39" ht="24.9" customHeight="1" thickBot="1" x14ac:dyDescent="0.5">
      <c r="A21" s="283">
        <v>7</v>
      </c>
      <c r="B21" s="189"/>
      <c r="C21" s="284" t="s">
        <v>182</v>
      </c>
      <c r="D21" s="283"/>
      <c r="E21" s="283"/>
      <c r="F21" s="451" t="s">
        <v>243</v>
      </c>
      <c r="G21" s="452"/>
      <c r="H21" s="452"/>
      <c r="I21" s="452"/>
      <c r="J21" s="452"/>
      <c r="K21" s="285">
        <f>SUM(K17:K20)</f>
        <v>16723.155361043697</v>
      </c>
      <c r="L21" s="286">
        <f>SUM(L17:L20)</f>
        <v>1254.2366520782775</v>
      </c>
      <c r="M21" s="287">
        <f>SUM(M17:M20)</f>
        <v>4363.0976266468533</v>
      </c>
      <c r="N21" s="288">
        <f>SUM(N17:N20)</f>
        <v>22340.489639768828</v>
      </c>
      <c r="Q21" s="453" t="s">
        <v>243</v>
      </c>
      <c r="R21" s="454"/>
      <c r="S21" s="455"/>
      <c r="T21" s="289">
        <f>SUM(T17:T20)</f>
        <v>0</v>
      </c>
      <c r="U21" s="290">
        <f>SUM(U17:U20)</f>
        <v>16723.155361043697</v>
      </c>
      <c r="V21" s="291"/>
      <c r="W21" s="292"/>
      <c r="X21" s="293">
        <f>SUM(X17:X20)</f>
        <v>0</v>
      </c>
      <c r="Y21" s="294">
        <f>IF(Q21&lt;&gt;"",X21+M21,"")</f>
        <v>4363.0976266468533</v>
      </c>
      <c r="Z21" s="212"/>
      <c r="AA21" s="278"/>
      <c r="AK21" s="214"/>
      <c r="AL21" s="215"/>
    </row>
    <row r="22" spans="1:39" ht="24.9" customHeight="1" x14ac:dyDescent="0.45">
      <c r="A22" s="265">
        <v>8</v>
      </c>
      <c r="B22" s="189" t="s">
        <v>213</v>
      </c>
      <c r="C22" s="266" t="s">
        <v>167</v>
      </c>
      <c r="D22" s="265"/>
      <c r="E22" s="265"/>
      <c r="F22" s="456" t="s">
        <v>226</v>
      </c>
      <c r="G22" s="457"/>
      <c r="H22" s="457"/>
      <c r="I22" s="457"/>
      <c r="J22" s="457"/>
      <c r="K22" s="458"/>
      <c r="L22" s="267" t="s">
        <v>168</v>
      </c>
      <c r="M22" s="268" t="s">
        <v>169</v>
      </c>
      <c r="N22" s="269" t="s">
        <v>129</v>
      </c>
      <c r="Q22" s="424" t="str">
        <f>IF(F22&lt;&gt;"",F22,"")</f>
        <v>Dia 02 - 27/03</v>
      </c>
      <c r="R22" s="425"/>
      <c r="S22" s="425"/>
      <c r="T22" s="425"/>
      <c r="U22" s="425"/>
      <c r="V22" s="425"/>
      <c r="W22" s="425"/>
      <c r="X22" s="425"/>
      <c r="Y22" s="459"/>
      <c r="Z22" s="270" t="s">
        <v>170</v>
      </c>
      <c r="AA22" s="271" t="s">
        <v>130</v>
      </c>
      <c r="AK22" s="214"/>
      <c r="AL22" s="215"/>
    </row>
    <row r="23" spans="1:39" ht="69.900000000000006" customHeight="1" x14ac:dyDescent="0.4">
      <c r="A23" s="198">
        <v>9</v>
      </c>
      <c r="B23" s="189" t="s">
        <v>214</v>
      </c>
      <c r="C23" s="197" t="s">
        <v>171</v>
      </c>
      <c r="D23" s="198" t="s">
        <v>185</v>
      </c>
      <c r="E23" s="198" t="s">
        <v>179</v>
      </c>
      <c r="F23" s="199" t="s">
        <v>221</v>
      </c>
      <c r="G23" s="200" t="s">
        <v>300</v>
      </c>
      <c r="H23" s="201">
        <v>1</v>
      </c>
      <c r="I23" s="201">
        <v>1</v>
      </c>
      <c r="J23" s="203">
        <v>3291.3126317610004</v>
      </c>
      <c r="K23" s="203">
        <f t="shared" ref="K23:K27" si="5">IF(F23&lt;&gt;"",H23*I23*J23,"")</f>
        <v>3291.3126317610004</v>
      </c>
      <c r="L23" s="203">
        <f t="shared" ref="L23:L27" si="6">IF(K23&lt;&gt;"",IF(D23="INTERNO",0,K23*$L$14),"")</f>
        <v>246.84844738207502</v>
      </c>
      <c r="M23" s="203">
        <f t="shared" ref="M23:M27" si="7">IF(K23&lt;&gt;"",IF(E23="FAT.OGGI",SUM(K23:L23)*(1/(1-$M$14)-1),L23*(1/(1-$M$14)-1)),"")</f>
        <v>858.70866006790459</v>
      </c>
      <c r="N23" s="204">
        <f t="shared" ref="N23:N27" si="8">SUM(K23:M23)</f>
        <v>4396.8697392109798</v>
      </c>
      <c r="Q23" s="272">
        <f>IF(H23&lt;&gt;"",H23,"")</f>
        <v>1</v>
      </c>
      <c r="R23" s="273">
        <v>0</v>
      </c>
      <c r="S23" s="274">
        <v>2742.7605264675003</v>
      </c>
      <c r="T23" s="274">
        <v>10780</v>
      </c>
      <c r="U23" s="275">
        <f t="shared" ref="U23:U27" si="9">IF(Q23&lt;&gt;"",K23-T23,"")</f>
        <v>-7488.6873682389996</v>
      </c>
      <c r="V23" s="276">
        <f t="shared" ref="V23:V27" si="10">IF(Q23&lt;&gt;"",0%,"")</f>
        <v>0</v>
      </c>
      <c r="W23" s="277">
        <f t="shared" ref="W23:W27" si="11">IF(Q23&lt;&gt;"",V23*U23,"")</f>
        <v>0</v>
      </c>
      <c r="X23" s="277">
        <f t="shared" ref="X23:X27" si="12">IF(Q23&lt;&gt;"",W23+T23,"")</f>
        <v>10780</v>
      </c>
      <c r="Y23" s="231">
        <f t="shared" ref="Y23:Y28" si="13">IF(Q23&lt;&gt;"",X23+M23,"")</f>
        <v>11638.708660067905</v>
      </c>
      <c r="Z23" s="212">
        <f t="shared" ref="Z23:Z27" si="14">IF(Q23&lt;&gt;"",U23/K23,"")</f>
        <v>-2.275288982266086</v>
      </c>
      <c r="AA23" s="278">
        <f>T23/$T$28</f>
        <v>0.10372921939528561</v>
      </c>
      <c r="AK23" s="214">
        <f t="shared" si="4"/>
        <v>0</v>
      </c>
      <c r="AL23" s="215">
        <v>10780</v>
      </c>
      <c r="AM23" s="342" t="s">
        <v>348</v>
      </c>
    </row>
    <row r="24" spans="1:39" ht="69.900000000000006" customHeight="1" x14ac:dyDescent="0.4">
      <c r="A24" s="198">
        <v>8</v>
      </c>
      <c r="B24" s="295" t="s">
        <v>214</v>
      </c>
      <c r="C24" s="197" t="s">
        <v>171</v>
      </c>
      <c r="D24" s="198" t="s">
        <v>185</v>
      </c>
      <c r="E24" s="198" t="s">
        <v>179</v>
      </c>
      <c r="F24" s="199" t="s">
        <v>307</v>
      </c>
      <c r="G24" s="296" t="s">
        <v>323</v>
      </c>
      <c r="H24" s="201">
        <v>21</v>
      </c>
      <c r="I24" s="201">
        <v>1</v>
      </c>
      <c r="J24" s="203">
        <v>424.47484338187496</v>
      </c>
      <c r="K24" s="203">
        <f t="shared" si="5"/>
        <v>8913.9717110193742</v>
      </c>
      <c r="L24" s="203">
        <f t="shared" si="6"/>
        <v>668.54787832645309</v>
      </c>
      <c r="M24" s="203">
        <f t="shared" si="7"/>
        <v>2325.6692876839079</v>
      </c>
      <c r="N24" s="204">
        <f t="shared" si="8"/>
        <v>11908.188877029736</v>
      </c>
      <c r="Q24" s="272">
        <f>IF(H24&lt;&gt;"",H24,"")</f>
        <v>21</v>
      </c>
      <c r="R24" s="273">
        <f>IF(I24&lt;&gt;"",I24,"")</f>
        <v>1</v>
      </c>
      <c r="S24" s="279">
        <v>917.95785714285716</v>
      </c>
      <c r="T24" s="274">
        <v>0</v>
      </c>
      <c r="U24" s="275">
        <f t="shared" si="9"/>
        <v>8913.9717110193742</v>
      </c>
      <c r="V24" s="276">
        <f t="shared" si="10"/>
        <v>0</v>
      </c>
      <c r="W24" s="277">
        <f t="shared" si="11"/>
        <v>0</v>
      </c>
      <c r="X24" s="277">
        <f t="shared" si="12"/>
        <v>0</v>
      </c>
      <c r="Y24" s="231">
        <f>IF(Q24&lt;&gt;"",X24+M24,"")</f>
        <v>2325.6692876839079</v>
      </c>
      <c r="Z24" s="212">
        <f t="shared" si="14"/>
        <v>1</v>
      </c>
      <c r="AA24" s="278" t="e">
        <f>T24/$T$24</f>
        <v>#DIV/0!</v>
      </c>
      <c r="AK24" s="214">
        <f t="shared" si="4"/>
        <v>0</v>
      </c>
      <c r="AL24" s="215"/>
    </row>
    <row r="25" spans="1:39" ht="69.900000000000006" customHeight="1" x14ac:dyDescent="0.4">
      <c r="A25" s="198">
        <v>11</v>
      </c>
      <c r="B25" s="189" t="s">
        <v>297</v>
      </c>
      <c r="C25" s="197" t="s">
        <v>171</v>
      </c>
      <c r="D25" s="198" t="s">
        <v>185</v>
      </c>
      <c r="E25" s="198" t="s">
        <v>179</v>
      </c>
      <c r="F25" s="280" t="s">
        <v>225</v>
      </c>
      <c r="G25" s="297" t="s">
        <v>324</v>
      </c>
      <c r="H25" s="282">
        <v>21</v>
      </c>
      <c r="I25" s="282">
        <v>1</v>
      </c>
      <c r="J25" s="203">
        <v>1137.8537955516599</v>
      </c>
      <c r="K25" s="223">
        <f t="shared" si="5"/>
        <v>23894.929706584859</v>
      </c>
      <c r="L25" s="223">
        <f t="shared" si="6"/>
        <v>1792.1197279938644</v>
      </c>
      <c r="M25" s="223">
        <f t="shared" si="7"/>
        <v>6234.2248720929865</v>
      </c>
      <c r="N25" s="224">
        <f t="shared" si="8"/>
        <v>31921.274306671708</v>
      </c>
      <c r="Q25" s="272">
        <v>21</v>
      </c>
      <c r="R25" s="273">
        <f>IF(I25&lt;&gt;"",I25,"")</f>
        <v>1</v>
      </c>
      <c r="S25" s="279">
        <v>443.73312499999997</v>
      </c>
      <c r="T25" s="274">
        <v>25561.43</v>
      </c>
      <c r="U25" s="275">
        <f t="shared" si="9"/>
        <v>-1666.5002934151416</v>
      </c>
      <c r="V25" s="276">
        <f t="shared" si="10"/>
        <v>0</v>
      </c>
      <c r="W25" s="277">
        <f t="shared" si="11"/>
        <v>0</v>
      </c>
      <c r="X25" s="277">
        <f t="shared" si="12"/>
        <v>25561.43</v>
      </c>
      <c r="Y25" s="231">
        <f t="shared" si="13"/>
        <v>31795.654872092986</v>
      </c>
      <c r="Z25" s="212">
        <f t="shared" si="14"/>
        <v>-6.974284142614133E-2</v>
      </c>
      <c r="AA25" s="278">
        <f>T25/$T$28</f>
        <v>0.2459617050581851</v>
      </c>
      <c r="AK25" s="214">
        <f t="shared" si="4"/>
        <v>0</v>
      </c>
      <c r="AL25" s="215">
        <v>25561.43</v>
      </c>
      <c r="AM25" s="342" t="s">
        <v>347</v>
      </c>
    </row>
    <row r="26" spans="1:39" ht="69.900000000000006" customHeight="1" x14ac:dyDescent="0.4">
      <c r="A26" s="198">
        <v>12</v>
      </c>
      <c r="B26" s="189" t="s">
        <v>298</v>
      </c>
      <c r="C26" s="197" t="s">
        <v>171</v>
      </c>
      <c r="D26" s="198" t="s">
        <v>185</v>
      </c>
      <c r="E26" s="198" t="s">
        <v>179</v>
      </c>
      <c r="F26" s="280" t="s">
        <v>289</v>
      </c>
      <c r="G26" s="200" t="s">
        <v>325</v>
      </c>
      <c r="H26" s="282">
        <v>21</v>
      </c>
      <c r="I26" s="282">
        <v>1</v>
      </c>
      <c r="J26" s="203">
        <v>438.84168423479991</v>
      </c>
      <c r="K26" s="223">
        <f t="shared" si="5"/>
        <v>9215.6753689307989</v>
      </c>
      <c r="L26" s="223">
        <f t="shared" si="6"/>
        <v>691.17565266980989</v>
      </c>
      <c r="M26" s="223">
        <f t="shared" si="7"/>
        <v>2404.3842481901324</v>
      </c>
      <c r="N26" s="224">
        <f t="shared" si="8"/>
        <v>12311.235269790741</v>
      </c>
      <c r="Q26" s="272">
        <v>21</v>
      </c>
      <c r="R26" s="273">
        <f>IF(I26&lt;&gt;"",I26,"")</f>
        <v>1</v>
      </c>
      <c r="S26" s="279">
        <v>146.03874999999999</v>
      </c>
      <c r="T26" s="274">
        <v>67583</v>
      </c>
      <c r="U26" s="275">
        <f t="shared" si="9"/>
        <v>-58367.324631069205</v>
      </c>
      <c r="V26" s="276">
        <f t="shared" si="10"/>
        <v>0</v>
      </c>
      <c r="W26" s="277">
        <f t="shared" si="11"/>
        <v>0</v>
      </c>
      <c r="X26" s="277">
        <f t="shared" si="12"/>
        <v>67583</v>
      </c>
      <c r="Y26" s="231">
        <f t="shared" si="13"/>
        <v>69987.384248190137</v>
      </c>
      <c r="Z26" s="212">
        <f t="shared" si="14"/>
        <v>-6.3334831463188763</v>
      </c>
      <c r="AA26" s="278">
        <f>T26/$T$28</f>
        <v>0.65030907554652939</v>
      </c>
      <c r="AK26" s="214">
        <f>X26-AL26</f>
        <v>0</v>
      </c>
      <c r="AL26" s="215">
        <f>26538.5+19229+21815.5</f>
        <v>67583</v>
      </c>
      <c r="AM26" s="360" t="s">
        <v>350</v>
      </c>
    </row>
    <row r="27" spans="1:39" ht="69.900000000000006" customHeight="1" x14ac:dyDescent="0.4">
      <c r="A27" s="198">
        <v>13</v>
      </c>
      <c r="B27" s="189" t="s">
        <v>299</v>
      </c>
      <c r="C27" s="197" t="s">
        <v>171</v>
      </c>
      <c r="D27" s="198" t="s">
        <v>185</v>
      </c>
      <c r="E27" s="198" t="s">
        <v>179</v>
      </c>
      <c r="F27" s="280" t="s">
        <v>222</v>
      </c>
      <c r="G27" s="298" t="s">
        <v>326</v>
      </c>
      <c r="H27" s="282">
        <v>21</v>
      </c>
      <c r="I27" s="282">
        <v>1</v>
      </c>
      <c r="J27" s="203">
        <v>851.03940906962976</v>
      </c>
      <c r="K27" s="223">
        <f t="shared" si="5"/>
        <v>17871.827590462224</v>
      </c>
      <c r="L27" s="223">
        <f t="shared" si="6"/>
        <v>1340.3870692846667</v>
      </c>
      <c r="M27" s="223">
        <f t="shared" si="7"/>
        <v>4662.7880241687199</v>
      </c>
      <c r="N27" s="224">
        <f t="shared" si="8"/>
        <v>23875.002683915609</v>
      </c>
      <c r="Q27" s="272">
        <v>21</v>
      </c>
      <c r="R27" s="273">
        <f>IF(I27&lt;&gt;"",I27,"")</f>
        <v>1</v>
      </c>
      <c r="S27" s="274">
        <v>709.19950755802483</v>
      </c>
      <c r="T27" s="274">
        <v>0</v>
      </c>
      <c r="U27" s="275">
        <f t="shared" si="9"/>
        <v>17871.827590462224</v>
      </c>
      <c r="V27" s="276">
        <f t="shared" si="10"/>
        <v>0</v>
      </c>
      <c r="W27" s="277">
        <f t="shared" si="11"/>
        <v>0</v>
      </c>
      <c r="X27" s="277">
        <f t="shared" si="12"/>
        <v>0</v>
      </c>
      <c r="Y27" s="231">
        <f t="shared" si="13"/>
        <v>4662.7880241687199</v>
      </c>
      <c r="Z27" s="212">
        <f t="shared" si="14"/>
        <v>1</v>
      </c>
      <c r="AA27" s="278">
        <f>T27/$T$28</f>
        <v>0</v>
      </c>
      <c r="AK27" s="214">
        <f t="shared" si="4"/>
        <v>0</v>
      </c>
      <c r="AL27" s="215"/>
    </row>
    <row r="28" spans="1:39" ht="24.9" customHeight="1" thickBot="1" x14ac:dyDescent="0.5">
      <c r="A28" s="283">
        <v>14</v>
      </c>
      <c r="B28" s="189"/>
      <c r="C28" s="284" t="s">
        <v>182</v>
      </c>
      <c r="D28" s="283"/>
      <c r="E28" s="283"/>
      <c r="F28" s="451" t="s">
        <v>244</v>
      </c>
      <c r="G28" s="452"/>
      <c r="H28" s="452"/>
      <c r="I28" s="452"/>
      <c r="J28" s="452"/>
      <c r="K28" s="285">
        <f>SUM(K23:K27)</f>
        <v>63187.717008758264</v>
      </c>
      <c r="L28" s="286">
        <f>SUM(L23:L27)</f>
        <v>4739.0787756568698</v>
      </c>
      <c r="M28" s="287">
        <f>SUM(M23:M27)</f>
        <v>16485.77509220365</v>
      </c>
      <c r="N28" s="287">
        <f>SUM(N23:N27)</f>
        <v>84412.570876618774</v>
      </c>
      <c r="Q28" s="453" t="s">
        <v>244</v>
      </c>
      <c r="R28" s="454"/>
      <c r="S28" s="455"/>
      <c r="T28" s="289">
        <f>SUM(T23:T27)</f>
        <v>103924.43</v>
      </c>
      <c r="U28" s="290">
        <f>SUM(U23:U27)</f>
        <v>-40736.712991241744</v>
      </c>
      <c r="V28" s="291"/>
      <c r="W28" s="292"/>
      <c r="X28" s="293">
        <f>SUM(X23:X27)</f>
        <v>103924.43</v>
      </c>
      <c r="Y28" s="294">
        <f t="shared" si="13"/>
        <v>120410.20509220364</v>
      </c>
      <c r="Z28" s="212"/>
      <c r="AA28" s="278"/>
      <c r="AK28" s="214"/>
      <c r="AL28" s="215"/>
    </row>
    <row r="29" spans="1:39" ht="24.9" customHeight="1" x14ac:dyDescent="0.45">
      <c r="A29" s="265">
        <v>15</v>
      </c>
      <c r="B29" s="189" t="s">
        <v>265</v>
      </c>
      <c r="C29" s="266" t="s">
        <v>167</v>
      </c>
      <c r="D29" s="265"/>
      <c r="E29" s="265"/>
      <c r="F29" s="456" t="s">
        <v>228</v>
      </c>
      <c r="G29" s="457"/>
      <c r="H29" s="457"/>
      <c r="I29" s="457"/>
      <c r="J29" s="457"/>
      <c r="K29" s="458"/>
      <c r="L29" s="267" t="s">
        <v>168</v>
      </c>
      <c r="M29" s="268" t="s">
        <v>169</v>
      </c>
      <c r="N29" s="269" t="s">
        <v>129</v>
      </c>
      <c r="Q29" s="424" t="str">
        <f>IF(F29&lt;&gt;"",F29,"")</f>
        <v>Dia 03 - 28/03</v>
      </c>
      <c r="R29" s="425"/>
      <c r="S29" s="425"/>
      <c r="T29" s="425"/>
      <c r="U29" s="425"/>
      <c r="V29" s="425"/>
      <c r="W29" s="425"/>
      <c r="X29" s="425"/>
      <c r="Y29" s="459"/>
      <c r="Z29" s="270" t="s">
        <v>170</v>
      </c>
      <c r="AA29" s="271" t="s">
        <v>130</v>
      </c>
      <c r="AK29" s="214"/>
      <c r="AL29" s="215"/>
    </row>
    <row r="30" spans="1:39" ht="105" x14ac:dyDescent="0.4">
      <c r="A30" s="198">
        <v>16</v>
      </c>
      <c r="B30" s="189" t="s">
        <v>266</v>
      </c>
      <c r="C30" s="197" t="s">
        <v>171</v>
      </c>
      <c r="D30" s="198" t="s">
        <v>185</v>
      </c>
      <c r="E30" s="198" t="s">
        <v>179</v>
      </c>
      <c r="F30" s="199" t="s">
        <v>221</v>
      </c>
      <c r="G30" s="200" t="s">
        <v>303</v>
      </c>
      <c r="H30" s="201">
        <v>1</v>
      </c>
      <c r="I30" s="201">
        <v>1</v>
      </c>
      <c r="J30" s="203">
        <v>3291.3126317610004</v>
      </c>
      <c r="K30" s="203">
        <f>IF(F30&lt;&gt;"",H30*I30*J30,"")</f>
        <v>3291.3126317610004</v>
      </c>
      <c r="L30" s="203">
        <f>IF(K30&lt;&gt;"",IF(D30="INTERNO",0,K30*$L$14),"")</f>
        <v>246.84844738207502</v>
      </c>
      <c r="M30" s="203">
        <f>IF(K30&lt;&gt;"",IF(E30="FAT.OGGI",SUM(K30:L30)*(1/(1-$M$14)-1),L30*(1/(1-$M$14)-1)),"")</f>
        <v>858.70866006790459</v>
      </c>
      <c r="N30" s="204">
        <f>SUM(K30:M30)</f>
        <v>4396.8697392109798</v>
      </c>
      <c r="Q30" s="272">
        <f t="shared" ref="Q30:R32" si="15">IF(H30&lt;&gt;"",H30,"")</f>
        <v>1</v>
      </c>
      <c r="R30" s="273">
        <v>0</v>
      </c>
      <c r="S30" s="274">
        <v>2742.7605264675003</v>
      </c>
      <c r="T30" s="274">
        <f>IF(Q30&lt;&gt;"",Q30*R30*S30,"")</f>
        <v>0</v>
      </c>
      <c r="U30" s="275">
        <f>IF(Q30&lt;&gt;"",K30-T30,"")</f>
        <v>3291.3126317610004</v>
      </c>
      <c r="V30" s="276">
        <f>IF(Q30&lt;&gt;"",0%,"")</f>
        <v>0</v>
      </c>
      <c r="W30" s="277">
        <f>IF(Q30&lt;&gt;"",V30*U30,"")</f>
        <v>0</v>
      </c>
      <c r="X30" s="277">
        <f>IF(Q30&lt;&gt;"",W30+T30,"")</f>
        <v>0</v>
      </c>
      <c r="Y30" s="231">
        <f>IF(Q30&lt;&gt;"",X30+M30,"")</f>
        <v>858.70866006790459</v>
      </c>
      <c r="Z30" s="212">
        <f>IF(Q30&lt;&gt;"",U30/K30,"")</f>
        <v>1</v>
      </c>
      <c r="AA30" s="278">
        <f>T30/$T$33</f>
        <v>0</v>
      </c>
      <c r="AK30" s="214">
        <f t="shared" si="4"/>
        <v>0</v>
      </c>
      <c r="AL30" s="215"/>
    </row>
    <row r="31" spans="1:39" ht="69.900000000000006" customHeight="1" x14ac:dyDescent="0.4">
      <c r="A31" s="198">
        <v>17</v>
      </c>
      <c r="B31" s="189" t="s">
        <v>267</v>
      </c>
      <c r="C31" s="197" t="s">
        <v>171</v>
      </c>
      <c r="D31" s="198" t="s">
        <v>185</v>
      </c>
      <c r="E31" s="198" t="s">
        <v>179</v>
      </c>
      <c r="F31" s="199" t="s">
        <v>290</v>
      </c>
      <c r="G31" s="296" t="s">
        <v>327</v>
      </c>
      <c r="H31" s="201">
        <v>21</v>
      </c>
      <c r="I31" s="201">
        <v>1</v>
      </c>
      <c r="J31" s="203">
        <v>1018.7396241165002</v>
      </c>
      <c r="K31" s="203">
        <f>IF(F31&lt;&gt;"",H31*I31*J31,"")</f>
        <v>21393.532106446502</v>
      </c>
      <c r="L31" s="203">
        <f>IF(K31&lt;&gt;"",IF(D31="INTERNO",0,K31*OPCIONAIS!$L$14),"")</f>
        <v>1604.5149079834875</v>
      </c>
      <c r="M31" s="203">
        <f>IF(K31&lt;&gt;"",IF(E31="FAT.OGGI",SUM(K31:L31)*(1/(1-OPCIONAIS!$M$14)-1),L31*(1/(1-OPCIONAIS!$M$14)-1)),"")</f>
        <v>5581.6062904413802</v>
      </c>
      <c r="N31" s="204">
        <f>SUM(K31:M31)</f>
        <v>28579.653304871372</v>
      </c>
      <c r="Q31" s="272">
        <f t="shared" si="15"/>
        <v>21</v>
      </c>
      <c r="R31" s="273">
        <f t="shared" si="15"/>
        <v>1</v>
      </c>
      <c r="S31" s="279">
        <v>954.86875000000009</v>
      </c>
      <c r="T31" s="274">
        <v>20400</v>
      </c>
      <c r="U31" s="275">
        <f>IF(Q31&lt;&gt;"",K31-T31,"")</f>
        <v>993.53210644650244</v>
      </c>
      <c r="V31" s="276">
        <f>IF(Q31&lt;&gt;"",0%,"")</f>
        <v>0</v>
      </c>
      <c r="W31" s="277">
        <f>IF(Q31&lt;&gt;"",V31*U31,"")</f>
        <v>0</v>
      </c>
      <c r="X31" s="277">
        <f>IF(Q31&lt;&gt;"",W31+T31,"")</f>
        <v>20400</v>
      </c>
      <c r="Y31" s="231">
        <f>IF(Q31&lt;&gt;"",X31+M31,"")</f>
        <v>25981.606290441381</v>
      </c>
      <c r="Z31" s="212">
        <f>IF(Q31&lt;&gt;"",U31/K31,"")</f>
        <v>4.6440770112342593E-2</v>
      </c>
      <c r="AA31" s="278" t="e">
        <f>T31/#REF!</f>
        <v>#REF!</v>
      </c>
      <c r="AK31" s="214">
        <f>X31-AL31</f>
        <v>0</v>
      </c>
      <c r="AL31" s="215">
        <v>20400</v>
      </c>
      <c r="AM31" s="342" t="s">
        <v>353</v>
      </c>
    </row>
    <row r="32" spans="1:39" ht="69.900000000000006" customHeight="1" x14ac:dyDescent="0.4">
      <c r="A32" s="198">
        <v>18</v>
      </c>
      <c r="B32" s="189" t="s">
        <v>293</v>
      </c>
      <c r="C32" s="197" t="s">
        <v>171</v>
      </c>
      <c r="D32" s="198" t="s">
        <v>185</v>
      </c>
      <c r="E32" s="198" t="s">
        <v>179</v>
      </c>
      <c r="F32" s="199" t="s">
        <v>222</v>
      </c>
      <c r="G32" s="200" t="s">
        <v>328</v>
      </c>
      <c r="H32" s="201">
        <v>21</v>
      </c>
      <c r="I32" s="201">
        <v>1</v>
      </c>
      <c r="J32" s="203">
        <v>783.64586470499989</v>
      </c>
      <c r="K32" s="203">
        <f>IF(F32&lt;&gt;"",H32*I32*J32,"")</f>
        <v>16456.563158804998</v>
      </c>
      <c r="L32" s="203">
        <f>IF(K32&lt;&gt;"",IF(D32="INTERNO",0,K32*OPCIONAIS!$L$14),"")</f>
        <v>1234.2422369103749</v>
      </c>
      <c r="M32" s="203">
        <f>IF(K32&lt;&gt;"",IF(E32="FAT.OGGI",SUM(K32:L32)*(1/(1-OPCIONAIS!$M$14)-1),L32*(1/(1-OPCIONAIS!$M$14)-1)),"")</f>
        <v>4293.5433003395219</v>
      </c>
      <c r="N32" s="204">
        <f>SUM(K32:M32)</f>
        <v>21984.348696054894</v>
      </c>
      <c r="Q32" s="272">
        <f t="shared" si="15"/>
        <v>21</v>
      </c>
      <c r="R32" s="273">
        <f t="shared" si="15"/>
        <v>1</v>
      </c>
      <c r="S32" s="279">
        <v>432.49937500000004</v>
      </c>
      <c r="T32" s="274">
        <v>0</v>
      </c>
      <c r="U32" s="275">
        <f>IF(Q32&lt;&gt;"",K32-T32,"")</f>
        <v>16456.563158804998</v>
      </c>
      <c r="V32" s="276">
        <f>IF(Q32&lt;&gt;"",0%,"")</f>
        <v>0</v>
      </c>
      <c r="W32" s="277">
        <f>IF(Q32&lt;&gt;"",V32*U32,"")</f>
        <v>0</v>
      </c>
      <c r="X32" s="277">
        <f>IF(Q32&lt;&gt;"",W32+T32,"")</f>
        <v>0</v>
      </c>
      <c r="Y32" s="231">
        <f>IF(Q32&lt;&gt;"",X32+M32,"")</f>
        <v>4293.5433003395219</v>
      </c>
      <c r="Z32" s="212">
        <f>IF(Q32&lt;&gt;"",U32/K32,"")</f>
        <v>1</v>
      </c>
      <c r="AA32" s="278" t="e">
        <f>T32/#REF!</f>
        <v>#REF!</v>
      </c>
      <c r="AK32" s="214">
        <f t="shared" si="4"/>
        <v>0</v>
      </c>
      <c r="AL32" s="215"/>
    </row>
    <row r="33" spans="1:39" ht="24.9" customHeight="1" thickBot="1" x14ac:dyDescent="0.5">
      <c r="A33" s="283">
        <v>19</v>
      </c>
      <c r="B33" s="189"/>
      <c r="C33" s="284" t="s">
        <v>182</v>
      </c>
      <c r="D33" s="283"/>
      <c r="E33" s="283"/>
      <c r="F33" s="451" t="s">
        <v>245</v>
      </c>
      <c r="G33" s="452"/>
      <c r="H33" s="452"/>
      <c r="I33" s="452"/>
      <c r="J33" s="452"/>
      <c r="K33" s="285">
        <f>SUM(K30:K32)</f>
        <v>41141.407897012497</v>
      </c>
      <c r="L33" s="286">
        <f>SUM(L30:L32)</f>
        <v>3085.6055922759374</v>
      </c>
      <c r="M33" s="287">
        <f>SUM(M30:M32)</f>
        <v>10733.858250848807</v>
      </c>
      <c r="N33" s="288">
        <f>SUM(N30:N32)</f>
        <v>54960.871740137241</v>
      </c>
      <c r="Q33" s="453" t="s">
        <v>245</v>
      </c>
      <c r="R33" s="454"/>
      <c r="S33" s="455"/>
      <c r="T33" s="289">
        <f>SUM(T30:T32)</f>
        <v>20400</v>
      </c>
      <c r="U33" s="290">
        <f>SUM(U30:U32)</f>
        <v>20741.407897012501</v>
      </c>
      <c r="V33" s="291"/>
      <c r="W33" s="292"/>
      <c r="X33" s="293">
        <f>SUM(X30:X32)</f>
        <v>20400</v>
      </c>
      <c r="Y33" s="294">
        <f>IF(Q33&lt;&gt;"",X33+M33,"")</f>
        <v>31133.858250848807</v>
      </c>
      <c r="Z33" s="212"/>
      <c r="AA33" s="278"/>
      <c r="AK33" s="214"/>
      <c r="AL33" s="215"/>
    </row>
    <row r="34" spans="1:39" ht="24.9" customHeight="1" x14ac:dyDescent="0.45">
      <c r="A34" s="265">
        <v>20</v>
      </c>
      <c r="B34" s="189" t="s">
        <v>268</v>
      </c>
      <c r="C34" s="266" t="s">
        <v>167</v>
      </c>
      <c r="D34" s="265"/>
      <c r="E34" s="265"/>
      <c r="F34" s="456" t="s">
        <v>229</v>
      </c>
      <c r="G34" s="457"/>
      <c r="H34" s="457"/>
      <c r="I34" s="457"/>
      <c r="J34" s="457"/>
      <c r="K34" s="458"/>
      <c r="L34" s="267" t="s">
        <v>168</v>
      </c>
      <c r="M34" s="268" t="s">
        <v>169</v>
      </c>
      <c r="N34" s="269" t="s">
        <v>129</v>
      </c>
      <c r="Q34" s="424" t="str">
        <f>IF(F34&lt;&gt;"",F34,"")</f>
        <v>Dia 04 - 29/03</v>
      </c>
      <c r="R34" s="425"/>
      <c r="S34" s="425"/>
      <c r="T34" s="425"/>
      <c r="U34" s="425"/>
      <c r="V34" s="425"/>
      <c r="W34" s="425"/>
      <c r="X34" s="425"/>
      <c r="Y34" s="459"/>
      <c r="Z34" s="270" t="s">
        <v>170</v>
      </c>
      <c r="AA34" s="271" t="s">
        <v>130</v>
      </c>
      <c r="AK34" s="214"/>
      <c r="AL34" s="215"/>
    </row>
    <row r="35" spans="1:39" ht="69.900000000000006" customHeight="1" x14ac:dyDescent="0.4">
      <c r="A35" s="198">
        <v>21</v>
      </c>
      <c r="B35" s="189" t="s">
        <v>269</v>
      </c>
      <c r="C35" s="197" t="s">
        <v>171</v>
      </c>
      <c r="D35" s="198" t="s">
        <v>185</v>
      </c>
      <c r="E35" s="198" t="s">
        <v>179</v>
      </c>
      <c r="F35" s="280" t="s">
        <v>221</v>
      </c>
      <c r="G35" s="200" t="s">
        <v>305</v>
      </c>
      <c r="H35" s="201">
        <v>1</v>
      </c>
      <c r="I35" s="201">
        <v>1</v>
      </c>
      <c r="J35" s="203">
        <v>3291.4652399999995</v>
      </c>
      <c r="K35" s="223">
        <f>IF(F35&lt;&gt;"",H35*I35*J35,"")</f>
        <v>3291.4652399999995</v>
      </c>
      <c r="L35" s="223">
        <f>IF(K35&lt;&gt;"",IF(D35="INTERNO",0,K35*$L$14),"")</f>
        <v>246.85989299999994</v>
      </c>
      <c r="M35" s="223">
        <f>IF(K35&lt;&gt;"",IF(E35="FAT.OGGI",SUM(K35:L35)*(1/(1-$M$14)-1),L35*(1/(1-$M$14)-1)),"")</f>
        <v>858.7484757983101</v>
      </c>
      <c r="N35" s="224">
        <f>SUM(K35:M35)</f>
        <v>4397.0736087983096</v>
      </c>
      <c r="Q35" s="272">
        <f>IF(H35&lt;&gt;"",H35,"")</f>
        <v>1</v>
      </c>
      <c r="R35" s="273">
        <v>0</v>
      </c>
      <c r="S35" s="274">
        <v>2742.8876999999998</v>
      </c>
      <c r="T35" s="274">
        <f>IF(Q35&lt;&gt;"",Q35*R35*S35,"")</f>
        <v>0</v>
      </c>
      <c r="U35" s="275">
        <f>IF(Q35&lt;&gt;"",K35-T35,"")</f>
        <v>3291.4652399999995</v>
      </c>
      <c r="V35" s="276">
        <f>IF(Q35&lt;&gt;"",0%,"")</f>
        <v>0</v>
      </c>
      <c r="W35" s="277">
        <f>IF(Q35&lt;&gt;"",V35*U35,"")</f>
        <v>0</v>
      </c>
      <c r="X35" s="277">
        <f>IF(Q35&lt;&gt;"",W35+T35,"")</f>
        <v>0</v>
      </c>
      <c r="Y35" s="231">
        <f>IF(Q35&lt;&gt;"",X35+M35,"")</f>
        <v>858.7484757983101</v>
      </c>
      <c r="Z35" s="212">
        <f>IF(Q35&lt;&gt;"",U35/K35,"")</f>
        <v>1</v>
      </c>
      <c r="AA35" s="278" t="e">
        <f>T35/$T$37</f>
        <v>#DIV/0!</v>
      </c>
      <c r="AK35" s="214">
        <f t="shared" si="4"/>
        <v>0</v>
      </c>
      <c r="AL35" s="215"/>
    </row>
    <row r="36" spans="1:39" ht="69.900000000000006" customHeight="1" x14ac:dyDescent="0.4">
      <c r="A36" s="198">
        <v>22</v>
      </c>
      <c r="B36" s="189" t="s">
        <v>294</v>
      </c>
      <c r="C36" s="197" t="s">
        <v>171</v>
      </c>
      <c r="D36" s="198" t="s">
        <v>185</v>
      </c>
      <c r="E36" s="198" t="s">
        <v>179</v>
      </c>
      <c r="F36" s="280" t="s">
        <v>225</v>
      </c>
      <c r="G36" s="299" t="s">
        <v>304</v>
      </c>
      <c r="H36" s="282">
        <v>1</v>
      </c>
      <c r="I36" s="282">
        <v>1</v>
      </c>
      <c r="J36" s="223">
        <v>470.18751882299995</v>
      </c>
      <c r="K36" s="223">
        <f>IF(F36&lt;&gt;"",H36*I36*J36,"")</f>
        <v>470.18751882299995</v>
      </c>
      <c r="L36" s="223">
        <f>IF(K36&lt;&gt;"",IF(D36="INTERNO",0,K36*$L$14),"")</f>
        <v>35.264063911724996</v>
      </c>
      <c r="M36" s="223">
        <f>IF(K36&lt;&gt;"",IF(E36="FAT.OGGI",SUM(K36:L36)*(1/(1-$M$14)-1),L36*(1/(1-$M$14)-1)),"")</f>
        <v>122.67266572398634</v>
      </c>
      <c r="N36" s="224">
        <f>SUM(K36:M36)</f>
        <v>628.12424845871124</v>
      </c>
      <c r="Q36" s="272">
        <f t="shared" ref="Q36" si="16">IF(H36&lt;&gt;"",H36,"")</f>
        <v>1</v>
      </c>
      <c r="R36" s="273">
        <f t="shared" ref="R36" si="17">IF(I36&lt;&gt;"",I36,"")</f>
        <v>1</v>
      </c>
      <c r="S36" s="279">
        <v>410.03187499999996</v>
      </c>
      <c r="T36" s="274">
        <v>0</v>
      </c>
      <c r="U36" s="275">
        <f>IF(Q36&lt;&gt;"",K36-T36,"")</f>
        <v>470.18751882299995</v>
      </c>
      <c r="V36" s="276">
        <f>IF(Q36&lt;&gt;"",0%,"")</f>
        <v>0</v>
      </c>
      <c r="W36" s="277">
        <f>IF(Q36&lt;&gt;"",V36*U36,"")</f>
        <v>0</v>
      </c>
      <c r="X36" s="277">
        <f>IF(Q36&lt;&gt;"",W36+T36,"")</f>
        <v>0</v>
      </c>
      <c r="Y36" s="231">
        <f>IF(Q36&lt;&gt;"",X36+M36,"")</f>
        <v>122.67266572398634</v>
      </c>
      <c r="Z36" s="212">
        <f>IF(Q36&lt;&gt;"",U36/K36,"")</f>
        <v>1</v>
      </c>
      <c r="AA36" s="278" t="e">
        <f>T36/$T$21</f>
        <v>#DIV/0!</v>
      </c>
      <c r="AK36" s="214">
        <f t="shared" si="4"/>
        <v>0</v>
      </c>
      <c r="AL36" s="215"/>
    </row>
    <row r="37" spans="1:39" ht="24.9" customHeight="1" thickBot="1" x14ac:dyDescent="0.5">
      <c r="A37" s="283">
        <v>23</v>
      </c>
      <c r="B37" s="189"/>
      <c r="C37" s="284" t="s">
        <v>182</v>
      </c>
      <c r="D37" s="283"/>
      <c r="E37" s="283"/>
      <c r="F37" s="420" t="s">
        <v>246</v>
      </c>
      <c r="G37" s="421"/>
      <c r="H37" s="421"/>
      <c r="I37" s="421"/>
      <c r="J37" s="421"/>
      <c r="K37" s="300">
        <f>SUM(K35:K36)</f>
        <v>3761.6527588229997</v>
      </c>
      <c r="L37" s="300">
        <f>SUM(L35:L36)</f>
        <v>282.12395691172492</v>
      </c>
      <c r="M37" s="300">
        <f>SUM(M35:M36)</f>
        <v>981.42114152229647</v>
      </c>
      <c r="N37" s="301">
        <f>SUM(N35:N36)</f>
        <v>5025.1978572570206</v>
      </c>
      <c r="Q37" s="460" t="s">
        <v>246</v>
      </c>
      <c r="R37" s="461"/>
      <c r="S37" s="462"/>
      <c r="T37" s="302">
        <f>SUM(T35:T36)</f>
        <v>0</v>
      </c>
      <c r="U37" s="303">
        <f>SUM(U35:U36)</f>
        <v>3761.6527588229997</v>
      </c>
      <c r="V37" s="304"/>
      <c r="W37" s="305"/>
      <c r="X37" s="306">
        <f>SUM(X35:X36)</f>
        <v>0</v>
      </c>
      <c r="Y37" s="307">
        <f>IF(Q37&lt;&gt;"",X37+M37,"")</f>
        <v>981.42114152229647</v>
      </c>
      <c r="Z37" s="212"/>
      <c r="AA37" s="308"/>
      <c r="AK37" s="214"/>
      <c r="AL37" s="215"/>
    </row>
    <row r="38" spans="1:39" ht="24.9" customHeight="1" thickBot="1" x14ac:dyDescent="0.5">
      <c r="A38" s="265">
        <v>24</v>
      </c>
      <c r="B38" s="189"/>
      <c r="C38" s="266" t="s">
        <v>236</v>
      </c>
      <c r="D38" s="265"/>
      <c r="E38" s="265"/>
      <c r="F38" s="440" t="s">
        <v>242</v>
      </c>
      <c r="G38" s="441"/>
      <c r="H38" s="441"/>
      <c r="I38" s="441"/>
      <c r="J38" s="441"/>
      <c r="K38" s="309">
        <f>SUM(K17:K20)+SUM(K23:K27)+SUM(K30:K32)+SUM(K35:K36)</f>
        <v>124813.93302563745</v>
      </c>
      <c r="L38" s="309">
        <f>SUM(L17:L20)+SUM(L23:L27)+SUM(L30:L32)+SUM(L35:L36)</f>
        <v>9361.0449769228089</v>
      </c>
      <c r="M38" s="309">
        <f>SUM(M17:M20)+SUM(M23:M27)+SUM(M30:M32)+SUM(M35:M36)</f>
        <v>32564.152111221607</v>
      </c>
      <c r="N38" s="310">
        <f>SUM(N17:N20)+SUM(N23:N27)+SUM(N30:N32)+SUM(N35:N36)</f>
        <v>166739.13011378187</v>
      </c>
      <c r="Q38" s="442" t="s">
        <v>242</v>
      </c>
      <c r="R38" s="443"/>
      <c r="S38" s="443"/>
      <c r="T38" s="311">
        <f>SUM(T17:T20)+SUM(T23:T27)+SUM(T30:T32)+SUM(T35:T36)</f>
        <v>124324.43</v>
      </c>
      <c r="U38" s="312">
        <f>SUM(U17:U20)+SUM(U23:U27)+SUM(U30:U32)+SUM(U35:U36)</f>
        <v>489.50302563745345</v>
      </c>
      <c r="V38" s="313"/>
      <c r="W38" s="314"/>
      <c r="X38" s="315">
        <f>SUM(X17:X20)+SUM(X23:X27)+SUM(X30:X32)+SUM(X35:X36)</f>
        <v>124324.43</v>
      </c>
      <c r="Y38" s="316">
        <f>IF(Q38&lt;&gt;"",X38+M38,"")</f>
        <v>156888.58211122159</v>
      </c>
      <c r="Z38" s="212"/>
      <c r="AA38" s="308"/>
      <c r="AK38" s="214"/>
      <c r="AL38" s="215"/>
    </row>
    <row r="39" spans="1:39" ht="24.9" customHeight="1" thickBot="1" x14ac:dyDescent="0.5">
      <c r="A39" s="264">
        <v>25</v>
      </c>
      <c r="B39" s="189">
        <v>2</v>
      </c>
      <c r="C39" s="317" t="s">
        <v>172</v>
      </c>
      <c r="D39" s="264"/>
      <c r="E39" s="264"/>
      <c r="F39" s="444" t="s">
        <v>232</v>
      </c>
      <c r="G39" s="445"/>
      <c r="H39" s="445"/>
      <c r="I39" s="445"/>
      <c r="J39" s="445"/>
      <c r="K39" s="445"/>
      <c r="L39" s="445"/>
      <c r="M39" s="445"/>
      <c r="N39" s="446"/>
      <c r="Q39" s="447" t="str">
        <f>IF(F39&lt;&gt;"",F39,"")</f>
        <v>ITENS COMPLEMENTARES</v>
      </c>
      <c r="R39" s="448"/>
      <c r="S39" s="448"/>
      <c r="T39" s="448"/>
      <c r="U39" s="448"/>
      <c r="V39" s="448"/>
      <c r="W39" s="448"/>
      <c r="X39" s="448"/>
      <c r="Y39" s="449"/>
      <c r="Z39" s="318"/>
      <c r="AA39" s="213"/>
      <c r="AK39" s="214"/>
      <c r="AL39" s="215"/>
    </row>
    <row r="40" spans="1:39" ht="24.9" customHeight="1" x14ac:dyDescent="0.45">
      <c r="A40" s="283">
        <v>26</v>
      </c>
      <c r="B40" s="189" t="s">
        <v>180</v>
      </c>
      <c r="C40" s="284" t="s">
        <v>167</v>
      </c>
      <c r="D40" s="283"/>
      <c r="E40" s="283"/>
      <c r="F40" s="408" t="s">
        <v>233</v>
      </c>
      <c r="G40" s="409"/>
      <c r="H40" s="409"/>
      <c r="I40" s="409"/>
      <c r="J40" s="409"/>
      <c r="K40" s="410"/>
      <c r="L40" s="319" t="s">
        <v>168</v>
      </c>
      <c r="M40" s="320" t="s">
        <v>169</v>
      </c>
      <c r="N40" s="321" t="s">
        <v>129</v>
      </c>
      <c r="Q40" s="431" t="str">
        <f>IF(F40&lt;&gt;"",F40,"")</f>
        <v>Itens Complementares</v>
      </c>
      <c r="R40" s="432"/>
      <c r="S40" s="432"/>
      <c r="T40" s="432"/>
      <c r="U40" s="432"/>
      <c r="V40" s="432"/>
      <c r="W40" s="432"/>
      <c r="X40" s="432"/>
      <c r="Y40" s="450"/>
      <c r="Z40" s="270" t="s">
        <v>170</v>
      </c>
      <c r="AA40" s="271" t="s">
        <v>130</v>
      </c>
      <c r="AK40" s="214"/>
      <c r="AL40" s="215"/>
    </row>
    <row r="41" spans="1:39" ht="69.900000000000006" customHeight="1" x14ac:dyDescent="0.4">
      <c r="A41" s="198">
        <v>27</v>
      </c>
      <c r="B41" s="189" t="s">
        <v>181</v>
      </c>
      <c r="C41" s="197" t="s">
        <v>171</v>
      </c>
      <c r="D41" s="198" t="s">
        <v>185</v>
      </c>
      <c r="E41" s="198" t="s">
        <v>179</v>
      </c>
      <c r="F41" s="199" t="s">
        <v>231</v>
      </c>
      <c r="G41" s="200" t="s">
        <v>230</v>
      </c>
      <c r="H41" s="201">
        <v>1</v>
      </c>
      <c r="I41" s="201">
        <v>1</v>
      </c>
      <c r="J41" s="203">
        <v>19644.241197773099</v>
      </c>
      <c r="K41" s="223">
        <f t="shared" ref="K41:K42" si="18">IF(F41&lt;&gt;"",H41*I41*J41,"")</f>
        <v>19644.241197773099</v>
      </c>
      <c r="L41" s="203">
        <f t="shared" ref="L41:L42" si="19">IF(K41&lt;&gt;"",IF(D41="INTERNO",0,K41*$L$14),"")</f>
        <v>1473.3180898329824</v>
      </c>
      <c r="M41" s="203">
        <f t="shared" ref="M41:M42" si="20">IF(K41&lt;&gt;"",IF(E41="FAT.OGGI",SUM(K41:L41)*(1/(1-$M$14)-1),L41*(1/(1-$M$14)-1)),"")</f>
        <v>5125.2135315887517</v>
      </c>
      <c r="N41" s="204">
        <f t="shared" ref="N41:N42" si="21">SUM(K41:M41)</f>
        <v>26242.772819194834</v>
      </c>
      <c r="Q41" s="272">
        <f>IF(H41&lt;&gt;"",H41,"")</f>
        <v>1</v>
      </c>
      <c r="R41" s="273">
        <f t="shared" ref="R41:R42" si="22">IF(I41&lt;&gt;"",I41,"")</f>
        <v>1</v>
      </c>
      <c r="S41" s="274">
        <v>18644.241197773124</v>
      </c>
      <c r="T41" s="274">
        <v>0</v>
      </c>
      <c r="U41" s="275">
        <f t="shared" ref="U41:U42" si="23">IF(Q41&lt;&gt;"",K41-T41,"")</f>
        <v>19644.241197773099</v>
      </c>
      <c r="V41" s="276">
        <f t="shared" ref="V41:V42" si="24">IF(Q41&lt;&gt;"",0%,"")</f>
        <v>0</v>
      </c>
      <c r="W41" s="277">
        <f t="shared" ref="W41:W42" si="25">IF(Q41&lt;&gt;"",V41*U41,"")</f>
        <v>0</v>
      </c>
      <c r="X41" s="277">
        <f t="shared" ref="X41:X42" si="26">IF(Q41&lt;&gt;"",W41+T41,"")</f>
        <v>0</v>
      </c>
      <c r="Y41" s="231">
        <f t="shared" ref="Y41:Y42" si="27">IF(Q41&lt;&gt;"",X41+M41,"")</f>
        <v>5125.2135315887517</v>
      </c>
      <c r="Z41" s="212">
        <f t="shared" ref="Z41:Z42" si="28">IF(Q41&lt;&gt;"",U41/K41,"")</f>
        <v>1</v>
      </c>
      <c r="AA41" s="278" t="e">
        <f>T41/$T$43</f>
        <v>#DIV/0!</v>
      </c>
      <c r="AK41" s="214">
        <f t="shared" si="4"/>
        <v>0</v>
      </c>
      <c r="AL41" s="215"/>
    </row>
    <row r="42" spans="1:39" ht="69.900000000000006" customHeight="1" x14ac:dyDescent="0.4">
      <c r="A42" s="198">
        <v>28</v>
      </c>
      <c r="B42" s="189" t="s">
        <v>186</v>
      </c>
      <c r="C42" s="197" t="s">
        <v>171</v>
      </c>
      <c r="D42" s="198" t="s">
        <v>185</v>
      </c>
      <c r="E42" s="198" t="s">
        <v>179</v>
      </c>
      <c r="F42" s="280" t="s">
        <v>234</v>
      </c>
      <c r="G42" s="299" t="s">
        <v>235</v>
      </c>
      <c r="H42" s="282">
        <v>21</v>
      </c>
      <c r="I42" s="282">
        <v>1</v>
      </c>
      <c r="J42" s="223">
        <v>334.02904983050627</v>
      </c>
      <c r="K42" s="223">
        <f t="shared" si="18"/>
        <v>7014.6100464406318</v>
      </c>
      <c r="L42" s="223">
        <f t="shared" si="19"/>
        <v>526.09575348304736</v>
      </c>
      <c r="M42" s="223">
        <f t="shared" si="20"/>
        <v>1830.1228317697216</v>
      </c>
      <c r="N42" s="224">
        <f t="shared" si="21"/>
        <v>9370.8286316934009</v>
      </c>
      <c r="Q42" s="272">
        <f>IF(H42&lt;&gt;"",H42,"")</f>
        <v>21</v>
      </c>
      <c r="R42" s="273">
        <f t="shared" si="22"/>
        <v>1</v>
      </c>
      <c r="S42" s="322">
        <v>514.05640000000005</v>
      </c>
      <c r="T42" s="274">
        <v>0</v>
      </c>
      <c r="U42" s="275">
        <f t="shared" si="23"/>
        <v>7014.6100464406318</v>
      </c>
      <c r="V42" s="276">
        <f t="shared" si="24"/>
        <v>0</v>
      </c>
      <c r="W42" s="277">
        <f t="shared" si="25"/>
        <v>0</v>
      </c>
      <c r="X42" s="277">
        <f t="shared" si="26"/>
        <v>0</v>
      </c>
      <c r="Y42" s="231">
        <f t="shared" si="27"/>
        <v>1830.1228317697216</v>
      </c>
      <c r="Z42" s="212">
        <f t="shared" si="28"/>
        <v>1</v>
      </c>
      <c r="AA42" s="278" t="e">
        <f>T42/$T$43</f>
        <v>#DIV/0!</v>
      </c>
      <c r="AK42" s="214">
        <f t="shared" si="4"/>
        <v>0</v>
      </c>
      <c r="AL42" s="215"/>
    </row>
    <row r="43" spans="1:39" ht="24.9" customHeight="1" thickBot="1" x14ac:dyDescent="0.5">
      <c r="A43" s="264">
        <v>29</v>
      </c>
      <c r="B43" s="189"/>
      <c r="C43" s="317" t="s">
        <v>182</v>
      </c>
      <c r="D43" s="264"/>
      <c r="E43" s="264"/>
      <c r="F43" s="420" t="s">
        <v>238</v>
      </c>
      <c r="G43" s="421"/>
      <c r="H43" s="421"/>
      <c r="I43" s="421"/>
      <c r="J43" s="421"/>
      <c r="K43" s="300">
        <f>SUM(K41:K42)</f>
        <v>26658.851244213729</v>
      </c>
      <c r="L43" s="300">
        <f>SUM(L41:L42)</f>
        <v>1999.4138433160297</v>
      </c>
      <c r="M43" s="300">
        <f>SUM(M41:M42)</f>
        <v>6955.3363633584731</v>
      </c>
      <c r="N43" s="323">
        <f>SUM(N41:N42)</f>
        <v>35613.601450888236</v>
      </c>
      <c r="Q43" s="431" t="s">
        <v>238</v>
      </c>
      <c r="R43" s="432"/>
      <c r="S43" s="432"/>
      <c r="T43" s="324">
        <f>SUM(T41:T42)</f>
        <v>0</v>
      </c>
      <c r="U43" s="325">
        <f>SUM(U41:U42)</f>
        <v>26658.851244213729</v>
      </c>
      <c r="V43" s="276"/>
      <c r="W43" s="277"/>
      <c r="X43" s="326">
        <f>SUM(X41:X42)</f>
        <v>0</v>
      </c>
      <c r="Y43" s="327">
        <f>IF(Q43&lt;&gt;"",X43+M43,"")</f>
        <v>6955.3363633584731</v>
      </c>
      <c r="Z43" s="318"/>
      <c r="AA43" s="213"/>
      <c r="AK43" s="214"/>
      <c r="AL43" s="215"/>
    </row>
    <row r="44" spans="1:39" ht="24.9" customHeight="1" thickBot="1" x14ac:dyDescent="0.5">
      <c r="A44" s="283">
        <v>30</v>
      </c>
      <c r="B44" s="189"/>
      <c r="C44" s="284" t="s">
        <v>236</v>
      </c>
      <c r="D44" s="283"/>
      <c r="E44" s="283"/>
      <c r="F44" s="433" t="s">
        <v>237</v>
      </c>
      <c r="G44" s="434"/>
      <c r="H44" s="434"/>
      <c r="I44" s="434"/>
      <c r="J44" s="434"/>
      <c r="K44" s="328">
        <f>SUM(K41:K42)</f>
        <v>26658.851244213729</v>
      </c>
      <c r="L44" s="328">
        <f>SUM(L41:L42)</f>
        <v>1999.4138433160297</v>
      </c>
      <c r="M44" s="328">
        <f>SUM(M41:M42)</f>
        <v>6955.3363633584731</v>
      </c>
      <c r="N44" s="329">
        <f>SUM(N41:N42)</f>
        <v>35613.601450888236</v>
      </c>
      <c r="Q44" s="435" t="s">
        <v>237</v>
      </c>
      <c r="R44" s="436"/>
      <c r="S44" s="436"/>
      <c r="T44" s="330">
        <f>SUM(T41:T42)</f>
        <v>0</v>
      </c>
      <c r="U44" s="303">
        <f>SUM(U41:U42)</f>
        <v>26658.851244213729</v>
      </c>
      <c r="V44" s="304"/>
      <c r="W44" s="305"/>
      <c r="X44" s="306">
        <f>SUM(X41:X42)</f>
        <v>0</v>
      </c>
      <c r="Y44" s="307">
        <f>IF(Q44&lt;&gt;"",X44+M44,"")</f>
        <v>6955.3363633584731</v>
      </c>
      <c r="Z44" s="318"/>
      <c r="AA44" s="213"/>
      <c r="AK44" s="214"/>
      <c r="AL44" s="215"/>
    </row>
    <row r="45" spans="1:39" ht="24.9" customHeight="1" thickBot="1" x14ac:dyDescent="0.5">
      <c r="A45" s="198">
        <v>31</v>
      </c>
      <c r="B45" s="189">
        <v>3</v>
      </c>
      <c r="C45" s="197" t="s">
        <v>172</v>
      </c>
      <c r="D45" s="198"/>
      <c r="E45" s="198"/>
      <c r="F45" s="405" t="s">
        <v>218</v>
      </c>
      <c r="G45" s="406"/>
      <c r="H45" s="406"/>
      <c r="I45" s="406"/>
      <c r="J45" s="406"/>
      <c r="K45" s="406"/>
      <c r="L45" s="406"/>
      <c r="M45" s="406"/>
      <c r="N45" s="407"/>
      <c r="Q45" s="437" t="str">
        <f>IF(F45&lt;&gt;"",F45,"")</f>
        <v>GIFT</v>
      </c>
      <c r="R45" s="438"/>
      <c r="S45" s="438"/>
      <c r="T45" s="438"/>
      <c r="U45" s="438"/>
      <c r="V45" s="438"/>
      <c r="W45" s="438"/>
      <c r="X45" s="438"/>
      <c r="Y45" s="439"/>
      <c r="Z45" s="318"/>
      <c r="AA45" s="213"/>
      <c r="AK45" s="214"/>
      <c r="AL45" s="215"/>
    </row>
    <row r="46" spans="1:39" ht="24.9" customHeight="1" x14ac:dyDescent="0.45">
      <c r="A46" s="283">
        <v>32</v>
      </c>
      <c r="B46" s="189" t="s">
        <v>187</v>
      </c>
      <c r="C46" s="284" t="s">
        <v>167</v>
      </c>
      <c r="D46" s="283"/>
      <c r="E46" s="283"/>
      <c r="F46" s="408" t="s">
        <v>218</v>
      </c>
      <c r="G46" s="409"/>
      <c r="H46" s="409"/>
      <c r="I46" s="409"/>
      <c r="J46" s="409"/>
      <c r="K46" s="410"/>
      <c r="L46" s="319" t="s">
        <v>168</v>
      </c>
      <c r="M46" s="320" t="s">
        <v>169</v>
      </c>
      <c r="N46" s="321" t="s">
        <v>129</v>
      </c>
      <c r="Q46" s="426" t="str">
        <f>IF(F46&lt;&gt;"",F46,"")</f>
        <v>GIFT</v>
      </c>
      <c r="R46" s="427"/>
      <c r="S46" s="427"/>
      <c r="T46" s="427"/>
      <c r="U46" s="427"/>
      <c r="V46" s="427"/>
      <c r="W46" s="427"/>
      <c r="X46" s="427"/>
      <c r="Y46" s="428"/>
      <c r="Z46" s="270" t="s">
        <v>170</v>
      </c>
      <c r="AA46" s="271" t="s">
        <v>130</v>
      </c>
      <c r="AK46" s="214"/>
      <c r="AL46" s="215"/>
    </row>
    <row r="47" spans="1:39" ht="69.900000000000006" customHeight="1" thickBot="1" x14ac:dyDescent="0.45">
      <c r="A47" s="198">
        <v>33</v>
      </c>
      <c r="B47" s="189" t="s">
        <v>188</v>
      </c>
      <c r="C47" s="197" t="s">
        <v>171</v>
      </c>
      <c r="D47" s="198" t="s">
        <v>185</v>
      </c>
      <c r="E47" s="198" t="s">
        <v>179</v>
      </c>
      <c r="F47" s="280" t="s">
        <v>219</v>
      </c>
      <c r="G47" s="299" t="s">
        <v>329</v>
      </c>
      <c r="H47" s="282">
        <v>21</v>
      </c>
      <c r="I47" s="282">
        <v>1</v>
      </c>
      <c r="J47" s="223">
        <v>1277.6660133883365</v>
      </c>
      <c r="K47" s="223">
        <v>21231.13</v>
      </c>
      <c r="L47" s="223">
        <v>1592.34</v>
      </c>
      <c r="M47" s="223">
        <f>IF(K47&lt;&gt;"",IF(E47="FAT.OGGI",SUM(K47:L47)*(1/(1-$M$14)-1),L47*(1/(1-$M$14)-1)),"")</f>
        <v>5539.2365987324492</v>
      </c>
      <c r="N47" s="224">
        <f>SUM(K47:M47)</f>
        <v>28362.706598732449</v>
      </c>
      <c r="Q47" s="239">
        <f>IF(H47&lt;&gt;"",H47,"")</f>
        <v>21</v>
      </c>
      <c r="R47" s="240">
        <f>IF(I47&lt;&gt;"",I47,"")</f>
        <v>1</v>
      </c>
      <c r="S47" s="241">
        <v>1111.0139246855101</v>
      </c>
      <c r="T47" s="241">
        <v>20556.68</v>
      </c>
      <c r="U47" s="242">
        <f>IF(Q47&lt;&gt;"",K47-T47,"")</f>
        <v>674.45000000000073</v>
      </c>
      <c r="V47" s="243">
        <f>IF(Q47&lt;&gt;"",0%,"")</f>
        <v>0</v>
      </c>
      <c r="W47" s="244">
        <f>IF(Q47&lt;&gt;"",V47*U47,"")</f>
        <v>0</v>
      </c>
      <c r="X47" s="244">
        <f>IF(Q47&lt;&gt;"",W47+T47,"")</f>
        <v>20556.68</v>
      </c>
      <c r="Y47" s="245">
        <f>IF(Q47&lt;&gt;"",X47+M47,"")</f>
        <v>26095.916598732449</v>
      </c>
      <c r="Z47" s="331">
        <f>IF(Q47&lt;&gt;"",U47/K47,"")</f>
        <v>3.176703265440891E-2</v>
      </c>
      <c r="AA47" s="278" t="e">
        <f>T47/$T$43</f>
        <v>#DIV/0!</v>
      </c>
      <c r="AK47" s="214">
        <f t="shared" si="4"/>
        <v>0</v>
      </c>
      <c r="AL47" s="215">
        <v>20556.68</v>
      </c>
      <c r="AM47" s="342" t="s">
        <v>349</v>
      </c>
    </row>
    <row r="48" spans="1:39" ht="24.9" customHeight="1" thickBot="1" x14ac:dyDescent="0.5">
      <c r="A48" s="198">
        <v>34</v>
      </c>
      <c r="B48" s="189"/>
      <c r="C48" s="197" t="s">
        <v>182</v>
      </c>
      <c r="D48" s="198"/>
      <c r="E48" s="198"/>
      <c r="F48" s="429" t="s">
        <v>183</v>
      </c>
      <c r="G48" s="430"/>
      <c r="H48" s="430"/>
      <c r="I48" s="430"/>
      <c r="J48" s="430"/>
      <c r="K48" s="332">
        <f>SUM(K47:K47)</f>
        <v>21231.13</v>
      </c>
      <c r="L48" s="332">
        <f>SUM(L47:L47)</f>
        <v>1592.34</v>
      </c>
      <c r="M48" s="332">
        <f>SUM(M47:M47)</f>
        <v>5539.2365987324492</v>
      </c>
      <c r="N48" s="333">
        <f>SUM(N47:N47)</f>
        <v>28362.706598732449</v>
      </c>
      <c r="Q48" s="429" t="s">
        <v>195</v>
      </c>
      <c r="R48" s="430"/>
      <c r="S48" s="430"/>
      <c r="T48" s="334">
        <f>SUM(T47:T47)</f>
        <v>20556.68</v>
      </c>
      <c r="U48" s="335">
        <f>SUM(U47:U47)</f>
        <v>674.45000000000073</v>
      </c>
      <c r="V48" s="336"/>
      <c r="W48" s="336"/>
      <c r="X48" s="337">
        <f>SUM(X47:X47)</f>
        <v>20556.68</v>
      </c>
      <c r="Y48" s="338">
        <f>IF(Q48&lt;&gt;"",X48+M48,"")</f>
        <v>26095.916598732449</v>
      </c>
      <c r="Z48" s="339" t="s">
        <v>191</v>
      </c>
      <c r="AA48" s="340" t="s">
        <v>192</v>
      </c>
      <c r="AK48" s="214"/>
      <c r="AL48" s="215"/>
    </row>
    <row r="49" spans="1:38" ht="24.9" customHeight="1" thickBot="1" x14ac:dyDescent="0.5">
      <c r="A49" s="283">
        <v>35</v>
      </c>
      <c r="B49" s="255"/>
      <c r="C49" s="284" t="s">
        <v>189</v>
      </c>
      <c r="D49" s="283"/>
      <c r="E49" s="283"/>
      <c r="F49" s="58" t="s">
        <v>190</v>
      </c>
      <c r="G49" s="59"/>
      <c r="H49" s="63"/>
      <c r="I49" s="63"/>
      <c r="J49" s="59"/>
      <c r="K49" s="60">
        <f>SUM(K17:K20)+SUM(K23:K27)+SUM(K30:K32)+SUM(K35:K36)+SUM(K41:K42)+SUM(K47:K47)</f>
        <v>172703.91426985117</v>
      </c>
      <c r="L49" s="60">
        <f>SUM(L17:L20)+SUM(L23:L27)+SUM(L30:L32)+SUM(L35:L36)+SUM(L41:L42)+SUM(L47:L47)</f>
        <v>12952.798820238839</v>
      </c>
      <c r="M49" s="60">
        <f>SUM(M17:M20)+SUM(M23:M27)+SUM(M30:M32)+SUM(M35:M36)+SUM(M41:M42)+SUM(M47:M47)</f>
        <v>45058.725073312533</v>
      </c>
      <c r="N49" s="75">
        <f>SUM(N17:N20)+SUM(N23:N27)+SUM(N30:N32)+SUM(N35:N36)+SUM(N41:N42)+SUM(N47:N47)</f>
        <v>230715.43816340255</v>
      </c>
      <c r="Q49" s="74" t="s">
        <v>43</v>
      </c>
      <c r="R49" s="63"/>
      <c r="S49" s="59"/>
      <c r="T49" s="60">
        <f>SUM(T17:T20)+SUM(T23:T27)+SUM(T30:T32)+SUM(T35:T36)+SUM(T41:T42)+SUM(T47:T47)</f>
        <v>144881.10999999999</v>
      </c>
      <c r="U49" s="60">
        <f>SUM(U17:U20)+SUM(U23:U27)+SUM(U30:U32)+SUM(U35:U36)+SUM(U41:U42)+SUM(U47:U47)</f>
        <v>27822.804269851182</v>
      </c>
      <c r="V49" s="59"/>
      <c r="W49" s="59"/>
      <c r="X49" s="60">
        <f>SUM(X17:X20)+SUM(X23:X27)+SUM(X30:X32)+SUM(X35:X36)+SUM(X41:X42)+SUM(X47:X47)</f>
        <v>144881.10999999999</v>
      </c>
      <c r="Y49" s="75">
        <f>SUM(Y17:Y20)+SUM(Y23:Y27)+SUM(Y30:Y32)+SUM(Y35:Y36)+SUM(Y41:Y42)+SUM(Y47:Y47)</f>
        <v>189939.83507331254</v>
      </c>
      <c r="Z49" s="76">
        <f>IF(Q49&lt;&gt;"",(N49-Y49)/N49,"")</f>
        <v>0.17673547732514969</v>
      </c>
      <c r="AA49" s="77">
        <f>IF(Z49&lt;&gt;"",(N49-Y49),"")</f>
        <v>40775.603090090008</v>
      </c>
      <c r="AK49" s="214">
        <f>SUM(AK17:AK48)</f>
        <v>0</v>
      </c>
      <c r="AL49" s="215">
        <f>SUM(AL17:AL48)</f>
        <v>144881.10999999999</v>
      </c>
    </row>
    <row r="51" spans="1:38" ht="22.2" x14ac:dyDescent="0.4">
      <c r="Q51" s="140">
        <v>200</v>
      </c>
      <c r="S51" s="241">
        <f>1481.35189958068</f>
        <v>1481.3518995806801</v>
      </c>
      <c r="T51" s="341">
        <f>S51/Q51</f>
        <v>7.4067594979034004</v>
      </c>
    </row>
    <row r="52" spans="1:38" x14ac:dyDescent="0.4">
      <c r="F52" s="90"/>
      <c r="Q52" s="139">
        <v>150</v>
      </c>
      <c r="S52" s="341">
        <f>T51*Q52</f>
        <v>1111.0139246855101</v>
      </c>
    </row>
    <row r="53" spans="1:38" x14ac:dyDescent="0.4">
      <c r="S53" s="341">
        <f>S52*15%+S52</f>
        <v>1277.6660133883365</v>
      </c>
    </row>
    <row r="54" spans="1:38" x14ac:dyDescent="0.4">
      <c r="Q54" s="139">
        <v>100</v>
      </c>
      <c r="S54" s="341">
        <f>T51*Q54</f>
        <v>740.67594979034004</v>
      </c>
    </row>
    <row r="55" spans="1:38" x14ac:dyDescent="0.4">
      <c r="M55" s="83"/>
      <c r="N55" s="84"/>
      <c r="S55" s="341">
        <f>S54*15%+S54</f>
        <v>851.77734225889105</v>
      </c>
    </row>
    <row r="56" spans="1:38" x14ac:dyDescent="0.4">
      <c r="M56" s="83"/>
      <c r="N56" s="84"/>
    </row>
    <row r="57" spans="1:38" x14ac:dyDescent="0.4">
      <c r="M57" s="83"/>
      <c r="N57" s="84"/>
    </row>
  </sheetData>
  <mergeCells count="43">
    <mergeCell ref="AK12:AL12"/>
    <mergeCell ref="F1:G1"/>
    <mergeCell ref="F2:G2"/>
    <mergeCell ref="Q12:T12"/>
    <mergeCell ref="U12:X12"/>
    <mergeCell ref="AC12:AE12"/>
    <mergeCell ref="AG12:AH12"/>
    <mergeCell ref="F15:N15"/>
    <mergeCell ref="Q15:Y15"/>
    <mergeCell ref="F16:K16"/>
    <mergeCell ref="Q16:Y16"/>
    <mergeCell ref="F21:J21"/>
    <mergeCell ref="Q21:S21"/>
    <mergeCell ref="F22:K22"/>
    <mergeCell ref="Q22:Y22"/>
    <mergeCell ref="F28:J28"/>
    <mergeCell ref="Q28:S28"/>
    <mergeCell ref="F29:K29"/>
    <mergeCell ref="Q29:Y29"/>
    <mergeCell ref="F40:K40"/>
    <mergeCell ref="Q40:Y40"/>
    <mergeCell ref="F33:J33"/>
    <mergeCell ref="Q33:S33"/>
    <mergeCell ref="F34:K34"/>
    <mergeCell ref="Q34:Y34"/>
    <mergeCell ref="F37:J37"/>
    <mergeCell ref="Q37:S37"/>
    <mergeCell ref="AK15:AL15"/>
    <mergeCell ref="AK16:AL16"/>
    <mergeCell ref="F46:K46"/>
    <mergeCell ref="Q46:Y46"/>
    <mergeCell ref="F48:J48"/>
    <mergeCell ref="Q48:S48"/>
    <mergeCell ref="F43:J43"/>
    <mergeCell ref="Q43:S43"/>
    <mergeCell ref="F44:J44"/>
    <mergeCell ref="Q44:S44"/>
    <mergeCell ref="F45:N45"/>
    <mergeCell ref="Q45:Y45"/>
    <mergeCell ref="F38:J38"/>
    <mergeCell ref="Q38:S38"/>
    <mergeCell ref="F39:N39"/>
    <mergeCell ref="Q39:Y39"/>
  </mergeCells>
  <dataValidations count="3">
    <dataValidation type="list" allowBlank="1" showInputMessage="1" showErrorMessage="1" sqref="E49" xr:uid="{34475DC9-80C2-4461-8E7A-0ADD7310DF35}">
      <formula1>"FAT.OGGI,FAT.CLIENTE "</formula1>
    </dataValidation>
    <dataValidation type="list" allowBlank="1" showInputMessage="1" showErrorMessage="1" sqref="D49 D15:D47" xr:uid="{037AB9FC-D755-4C91-A2CC-93BB310AD0AF}">
      <formula1>"INTERNO,OPERACIONAL"</formula1>
    </dataValidation>
    <dataValidation type="list" allowBlank="1" showInputMessage="1" showErrorMessage="1" sqref="E15:E47" xr:uid="{74AEF162-6C64-4722-938D-1808F7E7331A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9BB76-3A0C-4FEC-B9A7-9BC8CDE47DD6}">
  <sheetPr codeName="Planilha25">
    <tabColor theme="8" tint="0.79998168889431442"/>
    <pageSetUpPr autoPageBreaks="0"/>
  </sheetPr>
  <dimension ref="A1:AL41"/>
  <sheetViews>
    <sheetView showGridLines="0" topLeftCell="G1" zoomScale="70" zoomScaleNormal="70" workbookViewId="0">
      <pane ySplit="1" topLeftCell="A24" activePane="bottomLeft" state="frozen"/>
      <selection activeCell="N39" sqref="N39"/>
      <selection pane="bottomLeft" activeCell="K18" sqref="K18"/>
    </sheetView>
  </sheetViews>
  <sheetFormatPr defaultColWidth="9.109375" defaultRowHeight="21" x14ac:dyDescent="0.4"/>
  <cols>
    <col min="1" max="1" width="8.33203125" style="136" hidden="1" customWidth="1"/>
    <col min="2" max="2" width="8.33203125" style="136" customWidth="1"/>
    <col min="3" max="3" width="5.44140625" style="136" hidden="1" customWidth="1"/>
    <col min="4" max="4" width="6" style="136" hidden="1" customWidth="1"/>
    <col min="5" max="5" width="9.5546875" style="136" hidden="1" customWidth="1"/>
    <col min="6" max="7" width="41.33203125" style="136" customWidth="1"/>
    <col min="8" max="9" width="7.6640625" style="139" hidden="1" customWidth="1"/>
    <col min="10" max="10" width="16.44140625" style="136" hidden="1" customWidth="1"/>
    <col min="11" max="11" width="26.44140625" style="136" customWidth="1"/>
    <col min="12" max="13" width="24.5546875" style="136" customWidth="1"/>
    <col min="14" max="14" width="25.88671875" style="136" customWidth="1"/>
    <col min="15" max="15" width="3.33203125" style="136" hidden="1" customWidth="1"/>
    <col min="16" max="16" width="1.88671875" style="136" hidden="1" customWidth="1"/>
    <col min="17" max="17" width="10.44140625" style="139" bestFit="1" customWidth="1"/>
    <col min="18" max="18" width="8" style="139" hidden="1" customWidth="1"/>
    <col min="19" max="19" width="15" style="136" hidden="1" customWidth="1"/>
    <col min="20" max="20" width="27.88671875" style="136" customWidth="1"/>
    <col min="21" max="21" width="33.33203125" style="136" hidden="1" customWidth="1"/>
    <col min="22" max="23" width="22.6640625" style="136" hidden="1" customWidth="1"/>
    <col min="24" max="24" width="28.109375" style="136" bestFit="1" customWidth="1"/>
    <col min="25" max="25" width="28.109375" style="136" hidden="1" customWidth="1"/>
    <col min="26" max="26" width="19.6640625" style="136" hidden="1" customWidth="1"/>
    <col min="27" max="27" width="25.109375" style="136" hidden="1" customWidth="1"/>
    <col min="28" max="28" width="38.109375" style="136" hidden="1" customWidth="1"/>
    <col min="29" max="30" width="33" style="136" hidden="1" customWidth="1"/>
    <col min="31" max="31" width="28" style="136" hidden="1" customWidth="1"/>
    <col min="32" max="32" width="1.33203125" style="136" hidden="1" customWidth="1"/>
    <col min="33" max="33" width="81.5546875" style="136" hidden="1" customWidth="1"/>
    <col min="34" max="34" width="36.6640625" style="136" hidden="1" customWidth="1"/>
    <col min="35" max="35" width="1.5546875" style="136" hidden="1" customWidth="1"/>
    <col min="36" max="36" width="20.33203125" style="136" hidden="1" customWidth="1"/>
    <col min="37" max="37" width="25.33203125" style="136" hidden="1" customWidth="1"/>
    <col min="38" max="38" width="24.88671875" style="136" hidden="1" customWidth="1"/>
    <col min="39" max="39" width="0" style="136" hidden="1" customWidth="1"/>
    <col min="40" max="40" width="21.33203125" style="136" customWidth="1"/>
    <col min="41" max="16384" width="9.109375" style="136"/>
  </cols>
  <sheetData>
    <row r="1" spans="1:38" ht="49.5" customHeight="1" x14ac:dyDescent="0.4">
      <c r="B1" s="256"/>
      <c r="C1" s="257"/>
      <c r="D1" s="257"/>
      <c r="F1" s="396" t="s">
        <v>128</v>
      </c>
      <c r="G1" s="396"/>
    </row>
    <row r="2" spans="1:38" ht="24.75" customHeight="1" x14ac:dyDescent="0.4">
      <c r="B2" s="140"/>
      <c r="D2" s="257"/>
      <c r="F2" s="397" t="s">
        <v>0</v>
      </c>
      <c r="G2" s="397"/>
    </row>
    <row r="3" spans="1:38" ht="22.2" x14ac:dyDescent="0.4">
      <c r="B3" s="258"/>
      <c r="F3" s="142"/>
      <c r="G3" s="142"/>
    </row>
    <row r="4" spans="1:38" ht="22.2" x14ac:dyDescent="0.4">
      <c r="F4" s="143" t="s">
        <v>199</v>
      </c>
      <c r="G4" s="144"/>
    </row>
    <row r="5" spans="1:38" ht="22.2" x14ac:dyDescent="0.4">
      <c r="F5" s="145" t="s">
        <v>193</v>
      </c>
      <c r="G5" s="146"/>
    </row>
    <row r="6" spans="1:38" ht="22.2" x14ac:dyDescent="0.4">
      <c r="F6" s="145" t="s">
        <v>200</v>
      </c>
      <c r="G6" s="147"/>
    </row>
    <row r="7" spans="1:38" ht="21.75" customHeight="1" x14ac:dyDescent="0.4">
      <c r="F7" s="145" t="s">
        <v>203</v>
      </c>
      <c r="G7" s="147"/>
    </row>
    <row r="8" spans="1:38" ht="22.2" x14ac:dyDescent="0.4">
      <c r="F8" s="148" t="s">
        <v>201</v>
      </c>
      <c r="G8" s="149"/>
    </row>
    <row r="9" spans="1:38" ht="22.2" x14ac:dyDescent="0.4">
      <c r="F9" s="145" t="s">
        <v>194</v>
      </c>
      <c r="G9" s="147"/>
      <c r="M9" s="136">
        <v>0.80469999999999997</v>
      </c>
    </row>
    <row r="10" spans="1:38" ht="27" customHeight="1" x14ac:dyDescent="0.4">
      <c r="F10" s="145" t="s">
        <v>295</v>
      </c>
      <c r="G10" s="147"/>
      <c r="M10" s="136">
        <f>1-M9</f>
        <v>0.19530000000000003</v>
      </c>
    </row>
    <row r="11" spans="1:38" ht="22.2" x14ac:dyDescent="0.4">
      <c r="F11" s="150" t="s">
        <v>202</v>
      </c>
      <c r="G11" s="151"/>
    </row>
    <row r="12" spans="1:38" ht="22.8" hidden="1" thickBot="1" x14ac:dyDescent="0.45">
      <c r="B12" s="152"/>
      <c r="M12" s="153"/>
      <c r="Q12" s="398" t="s">
        <v>1</v>
      </c>
      <c r="R12" s="399"/>
      <c r="S12" s="399"/>
      <c r="T12" s="474"/>
      <c r="U12" s="412" t="s">
        <v>2</v>
      </c>
      <c r="V12" s="413"/>
      <c r="W12" s="413"/>
      <c r="X12" s="470"/>
      <c r="Y12" s="154" t="s">
        <v>56</v>
      </c>
      <c r="Z12" s="369" t="e">
        <f>(1/(1-#REF!))-1</f>
        <v>#REF!</v>
      </c>
      <c r="AC12" s="415" t="s">
        <v>3</v>
      </c>
      <c r="AD12" s="416"/>
      <c r="AE12" s="471"/>
      <c r="AG12" s="418" t="s">
        <v>58</v>
      </c>
      <c r="AH12" s="419"/>
      <c r="AJ12" s="156" t="s">
        <v>71</v>
      </c>
      <c r="AK12" s="403" t="s">
        <v>70</v>
      </c>
      <c r="AL12" s="404"/>
    </row>
    <row r="13" spans="1:38" ht="15.9" customHeight="1" thickBot="1" x14ac:dyDescent="0.45">
      <c r="A13" s="259" t="s">
        <v>4</v>
      </c>
      <c r="B13" s="260" t="s">
        <v>5</v>
      </c>
      <c r="C13" s="259" t="s">
        <v>6</v>
      </c>
      <c r="D13" s="259" t="s">
        <v>7</v>
      </c>
      <c r="E13" s="259" t="s">
        <v>8</v>
      </c>
      <c r="M13" s="159">
        <v>0.80469999999999997</v>
      </c>
    </row>
    <row r="14" spans="1:38" ht="30" customHeight="1" thickBot="1" x14ac:dyDescent="0.45">
      <c r="A14" s="261">
        <v>0</v>
      </c>
      <c r="B14" s="262"/>
      <c r="C14" s="263"/>
      <c r="D14" s="264"/>
      <c r="E14" s="264"/>
      <c r="F14" s="164" t="s">
        <v>131</v>
      </c>
      <c r="G14" s="165" t="s">
        <v>132</v>
      </c>
      <c r="H14" s="166" t="s">
        <v>133</v>
      </c>
      <c r="I14" s="166" t="s">
        <v>134</v>
      </c>
      <c r="J14" s="167" t="s">
        <v>135</v>
      </c>
      <c r="K14" s="370" t="s">
        <v>9</v>
      </c>
      <c r="L14" s="371">
        <v>7.4999999999999997E-2</v>
      </c>
      <c r="M14" s="170">
        <f>1-M13</f>
        <v>0.19530000000000003</v>
      </c>
      <c r="N14" s="171" t="s">
        <v>129</v>
      </c>
      <c r="Q14" s="172" t="s">
        <v>136</v>
      </c>
      <c r="R14" s="173" t="s">
        <v>137</v>
      </c>
      <c r="S14" s="174" t="s">
        <v>138</v>
      </c>
      <c r="T14" s="175" t="s">
        <v>139</v>
      </c>
      <c r="U14" s="176" t="s">
        <v>140</v>
      </c>
      <c r="V14" s="177" t="s">
        <v>141</v>
      </c>
      <c r="W14" s="178" t="s">
        <v>142</v>
      </c>
      <c r="X14" s="178" t="s">
        <v>143</v>
      </c>
      <c r="Y14" s="179" t="s">
        <v>144</v>
      </c>
      <c r="Z14" s="180" t="s">
        <v>145</v>
      </c>
      <c r="AA14" s="181" t="s">
        <v>130</v>
      </c>
      <c r="AC14" s="182" t="s">
        <v>146</v>
      </c>
      <c r="AD14" s="183" t="s">
        <v>147</v>
      </c>
      <c r="AE14" s="183" t="s">
        <v>33</v>
      </c>
      <c r="AG14" s="184" t="s">
        <v>148</v>
      </c>
      <c r="AH14" s="185" t="s">
        <v>149</v>
      </c>
      <c r="AI14" s="136" t="s">
        <v>150</v>
      </c>
      <c r="AJ14" s="136" t="s">
        <v>150</v>
      </c>
      <c r="AK14" s="186" t="s">
        <v>151</v>
      </c>
      <c r="AL14" s="187" t="s">
        <v>152</v>
      </c>
    </row>
    <row r="15" spans="1:38" ht="30" customHeight="1" thickBot="1" x14ac:dyDescent="0.5">
      <c r="A15" s="198">
        <v>1</v>
      </c>
      <c r="B15" s="189">
        <v>1</v>
      </c>
      <c r="C15" s="197" t="s">
        <v>172</v>
      </c>
      <c r="D15" s="198"/>
      <c r="E15" s="198"/>
      <c r="F15" s="444" t="s">
        <v>357</v>
      </c>
      <c r="G15" s="445"/>
      <c r="H15" s="445"/>
      <c r="I15" s="445"/>
      <c r="J15" s="445"/>
      <c r="K15" s="445"/>
      <c r="L15" s="445"/>
      <c r="M15" s="445"/>
      <c r="N15" s="446"/>
      <c r="Q15" s="464" t="str">
        <f>IF(F15&lt;&gt;"",F15,"")</f>
        <v>EXTRAS EVENTO</v>
      </c>
      <c r="R15" s="465"/>
      <c r="S15" s="465"/>
      <c r="T15" s="465"/>
      <c r="U15" s="465"/>
      <c r="V15" s="465"/>
      <c r="W15" s="465"/>
      <c r="X15" s="465"/>
      <c r="Y15" s="466"/>
    </row>
    <row r="16" spans="1:38" ht="30" customHeight="1" x14ac:dyDescent="0.45">
      <c r="A16" s="264">
        <v>2</v>
      </c>
      <c r="B16" s="189" t="s">
        <v>173</v>
      </c>
      <c r="C16" s="317" t="s">
        <v>167</v>
      </c>
      <c r="D16" s="264"/>
      <c r="E16" s="264"/>
      <c r="F16" s="408" t="s">
        <v>312</v>
      </c>
      <c r="G16" s="409"/>
      <c r="H16" s="409"/>
      <c r="I16" s="409"/>
      <c r="J16" s="409"/>
      <c r="K16" s="410"/>
      <c r="L16" s="192" t="s">
        <v>168</v>
      </c>
      <c r="M16" s="193" t="s">
        <v>169</v>
      </c>
      <c r="N16" s="194" t="s">
        <v>129</v>
      </c>
      <c r="Q16" s="467" t="str">
        <f>IF(F16&lt;&gt;"",F16,"")</f>
        <v>EXTRA</v>
      </c>
      <c r="R16" s="468"/>
      <c r="S16" s="468"/>
      <c r="T16" s="468"/>
      <c r="U16" s="468"/>
      <c r="V16" s="468"/>
      <c r="W16" s="468"/>
      <c r="X16" s="468"/>
      <c r="Y16" s="469"/>
      <c r="Z16" s="195" t="s">
        <v>170</v>
      </c>
      <c r="AA16" s="196" t="s">
        <v>130</v>
      </c>
    </row>
    <row r="17" spans="1:27" ht="80.099999999999994" customHeight="1" x14ac:dyDescent="0.4">
      <c r="A17" s="198">
        <v>3</v>
      </c>
      <c r="B17" s="189" t="s">
        <v>174</v>
      </c>
      <c r="C17" s="197" t="s">
        <v>171</v>
      </c>
      <c r="D17" s="198" t="s">
        <v>185</v>
      </c>
      <c r="E17" s="198" t="s">
        <v>179</v>
      </c>
      <c r="F17" s="199" t="s">
        <v>358</v>
      </c>
      <c r="G17" s="200" t="s">
        <v>359</v>
      </c>
      <c r="H17" s="201">
        <v>1</v>
      </c>
      <c r="I17" s="201">
        <v>1</v>
      </c>
      <c r="J17" s="203">
        <f>S17</f>
        <v>316.8</v>
      </c>
      <c r="K17" s="203">
        <f t="shared" ref="K17:K26" si="0">IF(F17&lt;&gt;"",H17*I17*J17,"")</f>
        <v>316.8</v>
      </c>
      <c r="L17" s="203">
        <f t="shared" ref="L17:L26" si="1">IF(K17&lt;&gt;"",IF(D17="INTERNO",0,K17*$L$14),"")</f>
        <v>23.76</v>
      </c>
      <c r="M17" s="203">
        <f t="shared" ref="M17:M26" si="2">IF(K17&lt;&gt;"",IF(E17="FAT.OGGI",SUM(K17:L17)*(1/(1-$M$14)-1),L17*(1/(1-$M$14)-1)),"")</f>
        <v>82.653619982602237</v>
      </c>
      <c r="N17" s="204">
        <f t="shared" ref="N17:N26" si="3">SUM(K17:M17)</f>
        <v>423.21361998260227</v>
      </c>
      <c r="Q17" s="272">
        <f t="shared" ref="Q17:R26" si="4">IF(H17&lt;&gt;"",H17,"")</f>
        <v>1</v>
      </c>
      <c r="R17" s="273">
        <f t="shared" si="4"/>
        <v>1</v>
      </c>
      <c r="S17" s="322">
        <v>316.8</v>
      </c>
      <c r="T17" s="372">
        <f t="shared" ref="T17:T26" si="5">IF(Q17&lt;&gt;"",Q17*R17*S17,"")</f>
        <v>316.8</v>
      </c>
      <c r="U17" s="275">
        <f t="shared" ref="U17:U26" si="6">IF(Q17&lt;&gt;"",K17-T17,"")</f>
        <v>0</v>
      </c>
      <c r="V17" s="276">
        <f t="shared" ref="V17:V26" si="7">IF(Q17&lt;&gt;"",0%,"")</f>
        <v>0</v>
      </c>
      <c r="W17" s="277">
        <f t="shared" ref="W17:W26" si="8">IF(Q17&lt;&gt;"",V17*U17,"")</f>
        <v>0</v>
      </c>
      <c r="X17" s="277">
        <f t="shared" ref="X17:X26" si="9">IF(Q17&lt;&gt;"",W17+T17,"")</f>
        <v>316.8</v>
      </c>
      <c r="Y17" s="231">
        <f t="shared" ref="Y17:Y26" si="10">IF(Q17&lt;&gt;"",X17+M17,"")</f>
        <v>399.45361998260228</v>
      </c>
      <c r="Z17" s="343">
        <f t="shared" ref="Z17:Z26" si="11">IF(Q17&lt;&gt;"",U17/K17,"")</f>
        <v>0</v>
      </c>
      <c r="AA17" s="278">
        <f t="shared" ref="AA17:AA26" si="12">T17/$T$27</f>
        <v>2.9325486050492046E-2</v>
      </c>
    </row>
    <row r="18" spans="1:27" ht="80.099999999999994" customHeight="1" x14ac:dyDescent="0.4">
      <c r="A18" s="198">
        <v>4</v>
      </c>
      <c r="B18" s="189" t="s">
        <v>153</v>
      </c>
      <c r="C18" s="197" t="s">
        <v>171</v>
      </c>
      <c r="D18" s="198" t="s">
        <v>185</v>
      </c>
      <c r="E18" s="198" t="s">
        <v>179</v>
      </c>
      <c r="F18" s="199" t="s">
        <v>360</v>
      </c>
      <c r="G18" s="200" t="s">
        <v>361</v>
      </c>
      <c r="H18" s="201">
        <v>1</v>
      </c>
      <c r="I18" s="201">
        <v>1</v>
      </c>
      <c r="J18" s="203">
        <v>2426.42</v>
      </c>
      <c r="K18" s="203">
        <f t="shared" si="0"/>
        <v>2426.42</v>
      </c>
      <c r="L18" s="203">
        <f t="shared" si="1"/>
        <v>181.98150000000001</v>
      </c>
      <c r="M18" s="203">
        <f t="shared" si="2"/>
        <v>633.05680744376809</v>
      </c>
      <c r="N18" s="204">
        <f t="shared" si="3"/>
        <v>3241.4583074437678</v>
      </c>
      <c r="Q18" s="272">
        <f t="shared" si="4"/>
        <v>1</v>
      </c>
      <c r="R18" s="273">
        <f t="shared" si="4"/>
        <v>1</v>
      </c>
      <c r="S18" s="373">
        <v>2280</v>
      </c>
      <c r="T18" s="373">
        <f t="shared" si="5"/>
        <v>2280</v>
      </c>
      <c r="U18" s="275">
        <f t="shared" si="6"/>
        <v>146.42000000000007</v>
      </c>
      <c r="V18" s="276">
        <f t="shared" si="7"/>
        <v>0</v>
      </c>
      <c r="W18" s="277">
        <f t="shared" si="8"/>
        <v>0</v>
      </c>
      <c r="X18" s="277">
        <f t="shared" si="9"/>
        <v>2280</v>
      </c>
      <c r="Y18" s="231">
        <f t="shared" si="10"/>
        <v>2913.0568074437679</v>
      </c>
      <c r="Z18" s="343">
        <f t="shared" si="11"/>
        <v>6.0344045960715818E-2</v>
      </c>
      <c r="AA18" s="278">
        <f t="shared" si="12"/>
        <v>0.21105463445429881</v>
      </c>
    </row>
    <row r="19" spans="1:27" ht="80.099999999999994" customHeight="1" x14ac:dyDescent="0.4">
      <c r="A19" s="198">
        <v>5</v>
      </c>
      <c r="B19" s="189" t="s">
        <v>175</v>
      </c>
      <c r="C19" s="197" t="s">
        <v>171</v>
      </c>
      <c r="D19" s="198" t="s">
        <v>185</v>
      </c>
      <c r="E19" s="198" t="s">
        <v>179</v>
      </c>
      <c r="F19" s="199" t="s">
        <v>362</v>
      </c>
      <c r="G19" s="200" t="s">
        <v>363</v>
      </c>
      <c r="H19" s="201">
        <v>1</v>
      </c>
      <c r="I19" s="201">
        <v>1</v>
      </c>
      <c r="J19" s="203">
        <f>S19</f>
        <v>591.16999999999996</v>
      </c>
      <c r="K19" s="203">
        <f t="shared" si="0"/>
        <v>591.16999999999996</v>
      </c>
      <c r="L19" s="203">
        <f t="shared" si="1"/>
        <v>44.337749999999993</v>
      </c>
      <c r="M19" s="203">
        <f t="shared" si="2"/>
        <v>154.2371860009942</v>
      </c>
      <c r="N19" s="204">
        <f t="shared" si="3"/>
        <v>789.74493600099413</v>
      </c>
      <c r="Q19" s="272">
        <f t="shared" si="4"/>
        <v>1</v>
      </c>
      <c r="R19" s="273">
        <v>1</v>
      </c>
      <c r="S19" s="374">
        <v>591.16999999999996</v>
      </c>
      <c r="T19" s="279">
        <f t="shared" si="5"/>
        <v>591.16999999999996</v>
      </c>
      <c r="U19" s="275">
        <f t="shared" si="6"/>
        <v>0</v>
      </c>
      <c r="V19" s="276">
        <f t="shared" si="7"/>
        <v>0</v>
      </c>
      <c r="W19" s="277">
        <f t="shared" si="8"/>
        <v>0</v>
      </c>
      <c r="X19" s="277">
        <f t="shared" si="9"/>
        <v>591.16999999999996</v>
      </c>
      <c r="Y19" s="231">
        <f t="shared" si="10"/>
        <v>745.40718600099422</v>
      </c>
      <c r="Z19" s="343">
        <f t="shared" si="11"/>
        <v>0</v>
      </c>
      <c r="AA19" s="278">
        <f t="shared" si="12"/>
        <v>5.472331940804729E-2</v>
      </c>
    </row>
    <row r="20" spans="1:27" ht="80.099999999999994" customHeight="1" x14ac:dyDescent="0.4">
      <c r="A20" s="198">
        <v>6</v>
      </c>
      <c r="B20" s="189" t="s">
        <v>256</v>
      </c>
      <c r="C20" s="197" t="s">
        <v>171</v>
      </c>
      <c r="D20" s="198" t="s">
        <v>185</v>
      </c>
      <c r="E20" s="198" t="s">
        <v>179</v>
      </c>
      <c r="F20" s="199" t="s">
        <v>364</v>
      </c>
      <c r="G20" s="200" t="s">
        <v>363</v>
      </c>
      <c r="H20" s="201">
        <v>1</v>
      </c>
      <c r="I20" s="201">
        <v>1</v>
      </c>
      <c r="J20" s="203">
        <f>S20</f>
        <v>883.92</v>
      </c>
      <c r="K20" s="203">
        <f t="shared" si="0"/>
        <v>883.92</v>
      </c>
      <c r="L20" s="203">
        <f t="shared" si="1"/>
        <v>66.293999999999997</v>
      </c>
      <c r="M20" s="203">
        <f t="shared" si="2"/>
        <v>230.61612302721517</v>
      </c>
      <c r="N20" s="204">
        <f t="shared" si="3"/>
        <v>1180.830123027215</v>
      </c>
      <c r="Q20" s="272">
        <f t="shared" si="4"/>
        <v>1</v>
      </c>
      <c r="R20" s="273">
        <f t="shared" si="4"/>
        <v>1</v>
      </c>
      <c r="S20" s="374">
        <v>883.92</v>
      </c>
      <c r="T20" s="279">
        <f t="shared" si="5"/>
        <v>883.92</v>
      </c>
      <c r="U20" s="275">
        <f t="shared" si="6"/>
        <v>0</v>
      </c>
      <c r="V20" s="276">
        <f t="shared" si="7"/>
        <v>0</v>
      </c>
      <c r="W20" s="277">
        <f t="shared" si="8"/>
        <v>0</v>
      </c>
      <c r="X20" s="277">
        <f t="shared" si="9"/>
        <v>883.92</v>
      </c>
      <c r="Y20" s="231">
        <f t="shared" si="10"/>
        <v>1114.5361230272151</v>
      </c>
      <c r="Z20" s="343">
        <f t="shared" si="11"/>
        <v>0</v>
      </c>
      <c r="AA20" s="278">
        <f t="shared" si="12"/>
        <v>8.1822549336334996E-2</v>
      </c>
    </row>
    <row r="21" spans="1:27" ht="80.099999999999994" customHeight="1" x14ac:dyDescent="0.4">
      <c r="A21" s="198">
        <v>7</v>
      </c>
      <c r="B21" s="189" t="s">
        <v>257</v>
      </c>
      <c r="C21" s="197" t="s">
        <v>171</v>
      </c>
      <c r="D21" s="198" t="s">
        <v>185</v>
      </c>
      <c r="E21" s="198" t="s">
        <v>179</v>
      </c>
      <c r="F21" s="199" t="s">
        <v>365</v>
      </c>
      <c r="G21" s="200" t="s">
        <v>366</v>
      </c>
      <c r="H21" s="201">
        <v>1</v>
      </c>
      <c r="I21" s="201">
        <v>1</v>
      </c>
      <c r="J21" s="203">
        <v>2007.75</v>
      </c>
      <c r="K21" s="203">
        <f t="shared" si="0"/>
        <v>2007.75</v>
      </c>
      <c r="L21" s="203">
        <f t="shared" si="1"/>
        <v>150.58124999999998</v>
      </c>
      <c r="M21" s="203">
        <f t="shared" si="2"/>
        <v>523.8251436870886</v>
      </c>
      <c r="N21" s="204">
        <f t="shared" si="3"/>
        <v>2682.1563936870889</v>
      </c>
      <c r="Q21" s="272">
        <f t="shared" si="4"/>
        <v>1</v>
      </c>
      <c r="R21" s="273">
        <f t="shared" si="4"/>
        <v>1</v>
      </c>
      <c r="S21" s="374">
        <v>0</v>
      </c>
      <c r="T21" s="279">
        <f t="shared" si="5"/>
        <v>0</v>
      </c>
      <c r="U21" s="275">
        <f t="shared" si="6"/>
        <v>2007.75</v>
      </c>
      <c r="V21" s="276">
        <f t="shared" si="7"/>
        <v>0</v>
      </c>
      <c r="W21" s="277">
        <f t="shared" si="8"/>
        <v>0</v>
      </c>
      <c r="X21" s="277">
        <f t="shared" si="9"/>
        <v>0</v>
      </c>
      <c r="Y21" s="231">
        <f t="shared" si="10"/>
        <v>523.8251436870886</v>
      </c>
      <c r="Z21" s="343">
        <f t="shared" si="11"/>
        <v>1</v>
      </c>
      <c r="AA21" s="278">
        <f t="shared" si="12"/>
        <v>0</v>
      </c>
    </row>
    <row r="22" spans="1:27" ht="80.099999999999994" customHeight="1" x14ac:dyDescent="0.4">
      <c r="A22" s="198">
        <v>8</v>
      </c>
      <c r="B22" s="189" t="s">
        <v>258</v>
      </c>
      <c r="C22" s="197" t="s">
        <v>171</v>
      </c>
      <c r="D22" s="198" t="s">
        <v>185</v>
      </c>
      <c r="E22" s="198" t="s">
        <v>179</v>
      </c>
      <c r="F22" s="199" t="s">
        <v>367</v>
      </c>
      <c r="G22" s="200" t="s">
        <v>368</v>
      </c>
      <c r="H22" s="201">
        <v>1</v>
      </c>
      <c r="I22" s="201">
        <v>1</v>
      </c>
      <c r="J22" s="203">
        <f>S22</f>
        <v>4731</v>
      </c>
      <c r="K22" s="203">
        <f t="shared" si="0"/>
        <v>4731</v>
      </c>
      <c r="L22" s="203">
        <f t="shared" si="1"/>
        <v>354.82499999999999</v>
      </c>
      <c r="M22" s="203">
        <f t="shared" si="2"/>
        <v>1234.3253665962475</v>
      </c>
      <c r="N22" s="204">
        <f t="shared" si="3"/>
        <v>6320.1503665962473</v>
      </c>
      <c r="Q22" s="272">
        <f t="shared" si="4"/>
        <v>1</v>
      </c>
      <c r="R22" s="273">
        <f t="shared" si="4"/>
        <v>1</v>
      </c>
      <c r="S22" s="374">
        <v>4731</v>
      </c>
      <c r="T22" s="279">
        <f t="shared" si="5"/>
        <v>4731</v>
      </c>
      <c r="U22" s="275">
        <f t="shared" si="6"/>
        <v>0</v>
      </c>
      <c r="V22" s="276">
        <f t="shared" si="7"/>
        <v>0</v>
      </c>
      <c r="W22" s="277">
        <f t="shared" si="8"/>
        <v>0</v>
      </c>
      <c r="X22" s="277">
        <f t="shared" si="9"/>
        <v>4731</v>
      </c>
      <c r="Y22" s="231">
        <f t="shared" si="10"/>
        <v>5965.3253665962475</v>
      </c>
      <c r="Z22" s="343">
        <f t="shared" si="11"/>
        <v>0</v>
      </c>
      <c r="AA22" s="278">
        <f t="shared" si="12"/>
        <v>0.43793836649267004</v>
      </c>
    </row>
    <row r="23" spans="1:27" ht="80.099999999999994" customHeight="1" x14ac:dyDescent="0.4">
      <c r="A23" s="198">
        <v>9</v>
      </c>
      <c r="B23" s="189" t="s">
        <v>259</v>
      </c>
      <c r="C23" s="197" t="s">
        <v>171</v>
      </c>
      <c r="D23" s="198" t="s">
        <v>185</v>
      </c>
      <c r="E23" s="198" t="s">
        <v>179</v>
      </c>
      <c r="F23" s="199" t="s">
        <v>369</v>
      </c>
      <c r="G23" s="200" t="s">
        <v>382</v>
      </c>
      <c r="H23" s="201">
        <v>1</v>
      </c>
      <c r="I23" s="201">
        <v>0</v>
      </c>
      <c r="J23" s="203">
        <f>S23*15%+S23</f>
        <v>5382</v>
      </c>
      <c r="K23" s="203">
        <f t="shared" si="0"/>
        <v>0</v>
      </c>
      <c r="L23" s="203">
        <f t="shared" si="1"/>
        <v>0</v>
      </c>
      <c r="M23" s="203">
        <f t="shared" si="2"/>
        <v>0</v>
      </c>
      <c r="N23" s="204">
        <f t="shared" si="3"/>
        <v>0</v>
      </c>
      <c r="Q23" s="272">
        <f t="shared" si="4"/>
        <v>1</v>
      </c>
      <c r="R23" s="273">
        <v>0</v>
      </c>
      <c r="S23" s="374">
        <v>4680</v>
      </c>
      <c r="T23" s="279">
        <f t="shared" si="5"/>
        <v>0</v>
      </c>
      <c r="U23" s="275">
        <f t="shared" si="6"/>
        <v>0</v>
      </c>
      <c r="V23" s="276">
        <f t="shared" si="7"/>
        <v>0</v>
      </c>
      <c r="W23" s="277">
        <f t="shared" si="8"/>
        <v>0</v>
      </c>
      <c r="X23" s="277">
        <f t="shared" si="9"/>
        <v>0</v>
      </c>
      <c r="Y23" s="231">
        <f t="shared" si="10"/>
        <v>0</v>
      </c>
      <c r="Z23" s="343" t="e">
        <f t="shared" si="11"/>
        <v>#DIV/0!</v>
      </c>
      <c r="AA23" s="278">
        <f t="shared" si="12"/>
        <v>0</v>
      </c>
    </row>
    <row r="24" spans="1:27" ht="80.099999999999994" customHeight="1" x14ac:dyDescent="0.4">
      <c r="A24" s="198">
        <v>10</v>
      </c>
      <c r="B24" s="189" t="s">
        <v>260</v>
      </c>
      <c r="C24" s="197" t="s">
        <v>171</v>
      </c>
      <c r="D24" s="198" t="s">
        <v>185</v>
      </c>
      <c r="E24" s="198" t="s">
        <v>179</v>
      </c>
      <c r="F24" s="199" t="s">
        <v>369</v>
      </c>
      <c r="G24" s="200" t="s">
        <v>370</v>
      </c>
      <c r="H24" s="201">
        <v>1</v>
      </c>
      <c r="I24" s="201">
        <v>1</v>
      </c>
      <c r="J24" s="203">
        <v>0</v>
      </c>
      <c r="K24" s="203">
        <f t="shared" si="0"/>
        <v>0</v>
      </c>
      <c r="L24" s="203">
        <f t="shared" si="1"/>
        <v>0</v>
      </c>
      <c r="M24" s="203">
        <f t="shared" si="2"/>
        <v>0</v>
      </c>
      <c r="N24" s="204">
        <f t="shared" si="3"/>
        <v>0</v>
      </c>
      <c r="Q24" s="272">
        <f t="shared" si="4"/>
        <v>1</v>
      </c>
      <c r="R24" s="273">
        <v>1</v>
      </c>
      <c r="S24" s="374">
        <v>2000</v>
      </c>
      <c r="T24" s="279">
        <f t="shared" si="5"/>
        <v>2000</v>
      </c>
      <c r="U24" s="275">
        <f t="shared" si="6"/>
        <v>-2000</v>
      </c>
      <c r="V24" s="276">
        <f t="shared" si="7"/>
        <v>0</v>
      </c>
      <c r="W24" s="277">
        <f t="shared" si="8"/>
        <v>0</v>
      </c>
      <c r="X24" s="277">
        <f t="shared" si="9"/>
        <v>2000</v>
      </c>
      <c r="Y24" s="231">
        <f t="shared" si="10"/>
        <v>2000</v>
      </c>
      <c r="Z24" s="343" t="e">
        <f t="shared" si="11"/>
        <v>#DIV/0!</v>
      </c>
      <c r="AA24" s="278">
        <f t="shared" si="12"/>
        <v>0.18513564425815685</v>
      </c>
    </row>
    <row r="25" spans="1:27" ht="80.099999999999994" customHeight="1" x14ac:dyDescent="0.4">
      <c r="A25" s="198">
        <v>11</v>
      </c>
      <c r="B25" s="189" t="s">
        <v>261</v>
      </c>
      <c r="C25" s="197" t="s">
        <v>171</v>
      </c>
      <c r="D25" s="198" t="s">
        <v>185</v>
      </c>
      <c r="E25" s="198" t="s">
        <v>179</v>
      </c>
      <c r="F25" s="199" t="s">
        <v>371</v>
      </c>
      <c r="G25" s="200" t="s">
        <v>372</v>
      </c>
      <c r="H25" s="201">
        <v>1</v>
      </c>
      <c r="I25" s="201">
        <v>1</v>
      </c>
      <c r="J25" s="203">
        <f>S25*15%+S25</f>
        <v>372.6</v>
      </c>
      <c r="K25" s="203">
        <f t="shared" si="0"/>
        <v>372.6</v>
      </c>
      <c r="L25" s="203">
        <f t="shared" si="1"/>
        <v>27.945</v>
      </c>
      <c r="M25" s="203">
        <f t="shared" si="2"/>
        <v>97.211928047719681</v>
      </c>
      <c r="N25" s="204">
        <f t="shared" si="3"/>
        <v>497.75692804771973</v>
      </c>
      <c r="Q25" s="272">
        <f t="shared" si="4"/>
        <v>1</v>
      </c>
      <c r="R25" s="273">
        <v>0</v>
      </c>
      <c r="S25" s="279">
        <v>324</v>
      </c>
      <c r="T25" s="279">
        <f t="shared" si="5"/>
        <v>0</v>
      </c>
      <c r="U25" s="275">
        <f t="shared" si="6"/>
        <v>372.6</v>
      </c>
      <c r="V25" s="276">
        <f t="shared" si="7"/>
        <v>0</v>
      </c>
      <c r="W25" s="277">
        <f t="shared" si="8"/>
        <v>0</v>
      </c>
      <c r="X25" s="277">
        <f t="shared" si="9"/>
        <v>0</v>
      </c>
      <c r="Y25" s="231">
        <f t="shared" si="10"/>
        <v>97.211928047719681</v>
      </c>
      <c r="Z25" s="343">
        <f t="shared" si="11"/>
        <v>1</v>
      </c>
      <c r="AA25" s="278">
        <f t="shared" si="12"/>
        <v>0</v>
      </c>
    </row>
    <row r="26" spans="1:27" ht="80.099999999999994" customHeight="1" x14ac:dyDescent="0.4">
      <c r="A26" s="198">
        <v>12</v>
      </c>
      <c r="B26" s="189" t="s">
        <v>262</v>
      </c>
      <c r="C26" s="197" t="s">
        <v>171</v>
      </c>
      <c r="D26" s="198" t="s">
        <v>185</v>
      </c>
      <c r="E26" s="198" t="s">
        <v>179</v>
      </c>
      <c r="F26" s="199" t="s">
        <v>373</v>
      </c>
      <c r="G26" s="200" t="s">
        <v>374</v>
      </c>
      <c r="H26" s="201">
        <v>1</v>
      </c>
      <c r="I26" s="201">
        <v>1</v>
      </c>
      <c r="J26" s="203">
        <f>S26</f>
        <v>5356</v>
      </c>
      <c r="K26" s="203">
        <f t="shared" si="0"/>
        <v>5356</v>
      </c>
      <c r="L26" s="203">
        <f t="shared" si="1"/>
        <v>401.7</v>
      </c>
      <c r="M26" s="203">
        <f t="shared" si="2"/>
        <v>1397.388852988692</v>
      </c>
      <c r="N26" s="204">
        <f t="shared" si="3"/>
        <v>7155.0888529886915</v>
      </c>
      <c r="Q26" s="272">
        <f t="shared" si="4"/>
        <v>1</v>
      </c>
      <c r="R26" s="273">
        <v>0</v>
      </c>
      <c r="S26" s="279">
        <v>5356</v>
      </c>
      <c r="T26" s="279">
        <f t="shared" si="5"/>
        <v>0</v>
      </c>
      <c r="U26" s="275">
        <f t="shared" si="6"/>
        <v>5356</v>
      </c>
      <c r="V26" s="276">
        <f t="shared" si="7"/>
        <v>0</v>
      </c>
      <c r="W26" s="277">
        <f t="shared" si="8"/>
        <v>0</v>
      </c>
      <c r="X26" s="277">
        <f t="shared" si="9"/>
        <v>0</v>
      </c>
      <c r="Y26" s="231">
        <f t="shared" si="10"/>
        <v>1397.388852988692</v>
      </c>
      <c r="Z26" s="343">
        <f t="shared" si="11"/>
        <v>1</v>
      </c>
      <c r="AA26" s="278">
        <f t="shared" si="12"/>
        <v>0</v>
      </c>
    </row>
    <row r="27" spans="1:27" ht="30" customHeight="1" thickBot="1" x14ac:dyDescent="0.5">
      <c r="A27" s="264">
        <v>13</v>
      </c>
      <c r="B27" s="189"/>
      <c r="C27" s="317" t="s">
        <v>182</v>
      </c>
      <c r="D27" s="264"/>
      <c r="E27" s="264"/>
      <c r="F27" s="429" t="s">
        <v>313</v>
      </c>
      <c r="G27" s="430"/>
      <c r="H27" s="430"/>
      <c r="I27" s="430"/>
      <c r="J27" s="430"/>
      <c r="K27" s="344">
        <f>SUM(K17:K26)</f>
        <v>16685.660000000003</v>
      </c>
      <c r="L27" s="344">
        <f>SUM(L17:L26)</f>
        <v>1251.4244999999999</v>
      </c>
      <c r="M27" s="344">
        <f>SUM(M17:M26)</f>
        <v>4353.3150277743271</v>
      </c>
      <c r="N27" s="375">
        <f>SUM(N17:N26)</f>
        <v>22290.399527774331</v>
      </c>
      <c r="Q27" s="472" t="s">
        <v>212</v>
      </c>
      <c r="R27" s="473"/>
      <c r="S27" s="473"/>
      <c r="T27" s="289">
        <f>SUM(T17:T26)</f>
        <v>10802.89</v>
      </c>
      <c r="U27" s="290">
        <f>SUM(U17:U26)</f>
        <v>5882.77</v>
      </c>
      <c r="V27" s="291"/>
      <c r="W27" s="292"/>
      <c r="X27" s="293">
        <f>SUM(X17:X26)</f>
        <v>10802.89</v>
      </c>
      <c r="Y27" s="345">
        <f>IF(Q27&lt;&gt;"",X27+M27,"")</f>
        <v>15156.205027774326</v>
      </c>
      <c r="Z27" s="376" t="s">
        <v>191</v>
      </c>
      <c r="AA27" s="347" t="s">
        <v>192</v>
      </c>
    </row>
    <row r="28" spans="1:27" ht="30" customHeight="1" thickBot="1" x14ac:dyDescent="0.5">
      <c r="A28" s="163">
        <v>14</v>
      </c>
      <c r="B28" s="255"/>
      <c r="C28" s="191" t="s">
        <v>189</v>
      </c>
      <c r="D28" s="163"/>
      <c r="E28" s="163"/>
      <c r="F28" s="363" t="s">
        <v>190</v>
      </c>
      <c r="G28" s="364"/>
      <c r="H28" s="365"/>
      <c r="I28" s="365"/>
      <c r="J28" s="364"/>
      <c r="K28" s="366">
        <f>SUM(K17:K26)</f>
        <v>16685.660000000003</v>
      </c>
      <c r="L28" s="366">
        <f>SUM(L17:L26)</f>
        <v>1251.4244999999999</v>
      </c>
      <c r="M28" s="366">
        <f>SUM(M17:M26)</f>
        <v>4353.3150277743271</v>
      </c>
      <c r="N28" s="367">
        <f>SUM(N17:N26)</f>
        <v>22290.399527774331</v>
      </c>
      <c r="Q28" s="368" t="s">
        <v>43</v>
      </c>
      <c r="R28" s="365"/>
      <c r="S28" s="364"/>
      <c r="T28" s="366">
        <f>SUM(T17:T26)</f>
        <v>10802.89</v>
      </c>
      <c r="U28" s="366">
        <f>SUM(U17:U26)</f>
        <v>5882.77</v>
      </c>
      <c r="V28" s="364"/>
      <c r="W28" s="364"/>
      <c r="X28" s="366">
        <f>SUM(X17:X26)</f>
        <v>10802.89</v>
      </c>
      <c r="Y28" s="366">
        <f>SUM(Y17:Y26)</f>
        <v>15156.205027774327</v>
      </c>
      <c r="Z28" s="377" t="s">
        <v>191</v>
      </c>
      <c r="AA28" s="378" t="s">
        <v>192</v>
      </c>
    </row>
    <row r="30" spans="1:27" hidden="1" x14ac:dyDescent="0.4"/>
    <row r="31" spans="1:27" hidden="1" x14ac:dyDescent="0.4">
      <c r="J31" s="379" t="s">
        <v>375</v>
      </c>
      <c r="K31" s="380"/>
      <c r="L31" s="381">
        <v>360</v>
      </c>
    </row>
    <row r="32" spans="1:27" hidden="1" x14ac:dyDescent="0.4">
      <c r="J32" s="379" t="s">
        <v>376</v>
      </c>
      <c r="K32" s="382">
        <v>1.4999999999999999E-2</v>
      </c>
      <c r="L32" s="381">
        <f>L31*K32</f>
        <v>5.3999999999999995</v>
      </c>
    </row>
    <row r="33" spans="10:12" hidden="1" x14ac:dyDescent="0.4">
      <c r="J33" s="379" t="s">
        <v>129</v>
      </c>
      <c r="K33" s="382"/>
      <c r="L33" s="381">
        <f>L31+L32</f>
        <v>365.4</v>
      </c>
    </row>
    <row r="34" spans="10:12" hidden="1" x14ac:dyDescent="0.4">
      <c r="J34" s="379" t="s">
        <v>377</v>
      </c>
      <c r="K34" s="382">
        <v>0.05</v>
      </c>
      <c r="L34" s="381">
        <f>K34*L33</f>
        <v>18.27</v>
      </c>
    </row>
    <row r="35" spans="10:12" hidden="1" x14ac:dyDescent="0.4">
      <c r="J35" s="379" t="s">
        <v>129</v>
      </c>
      <c r="K35" s="383"/>
      <c r="L35" s="384">
        <f>L33+L34</f>
        <v>383.66999999999996</v>
      </c>
    </row>
    <row r="36" spans="10:12" hidden="1" x14ac:dyDescent="0.4">
      <c r="J36" s="379" t="s">
        <v>378</v>
      </c>
      <c r="K36" s="382">
        <v>0.06</v>
      </c>
      <c r="L36" s="384">
        <f>K36*L35</f>
        <v>23.020199999999996</v>
      </c>
    </row>
    <row r="37" spans="10:12" hidden="1" x14ac:dyDescent="0.4">
      <c r="J37" s="379" t="s">
        <v>129</v>
      </c>
      <c r="K37" s="383"/>
      <c r="L37" s="384">
        <f>L35+L36</f>
        <v>406.69019999999995</v>
      </c>
    </row>
    <row r="38" spans="10:12" hidden="1" x14ac:dyDescent="0.4">
      <c r="J38" s="379" t="s">
        <v>379</v>
      </c>
      <c r="K38" s="385">
        <v>7.4999999999999997E-2</v>
      </c>
      <c r="L38" s="381">
        <f>K38*L37</f>
        <v>30.501764999999995</v>
      </c>
    </row>
    <row r="39" spans="10:12" hidden="1" x14ac:dyDescent="0.4">
      <c r="J39" s="379" t="s">
        <v>380</v>
      </c>
      <c r="K39" s="386"/>
      <c r="L39" s="381">
        <f>L38+L37</f>
        <v>437.19196499999993</v>
      </c>
    </row>
    <row r="40" spans="10:12" hidden="1" x14ac:dyDescent="0.4">
      <c r="J40" s="379" t="s">
        <v>381</v>
      </c>
      <c r="K40" s="386"/>
      <c r="L40" s="387">
        <f>L39*5.55</f>
        <v>2426.4154057499995</v>
      </c>
    </row>
    <row r="41" spans="10:12" hidden="1" x14ac:dyDescent="0.4"/>
  </sheetData>
  <mergeCells count="13">
    <mergeCell ref="F27:J27"/>
    <mergeCell ref="Q27:S27"/>
    <mergeCell ref="F1:G1"/>
    <mergeCell ref="F2:G2"/>
    <mergeCell ref="Q12:T12"/>
    <mergeCell ref="AK12:AL12"/>
    <mergeCell ref="F15:N15"/>
    <mergeCell ref="Q15:Y15"/>
    <mergeCell ref="F16:K16"/>
    <mergeCell ref="Q16:Y16"/>
    <mergeCell ref="U12:X12"/>
    <mergeCell ref="AC12:AE12"/>
    <mergeCell ref="AG12:AH12"/>
  </mergeCells>
  <dataValidations count="3">
    <dataValidation type="list" allowBlank="1" showInputMessage="1" showErrorMessage="1" sqref="D17:D28" xr:uid="{E0F55380-4BA9-4FFF-8429-4BCF76C5914D}">
      <formula1>"INTERNO,OPERACIONAL"</formula1>
    </dataValidation>
    <dataValidation type="list" allowBlank="1" showInputMessage="1" showErrorMessage="1" sqref="E17:E27" xr:uid="{1C75901A-41AA-425B-8637-22A52146EEA1}">
      <formula1>"FAT.OGGI,FAT.CLIENTE"</formula1>
    </dataValidation>
    <dataValidation type="list" allowBlank="1" showInputMessage="1" showErrorMessage="1" sqref="E28" xr:uid="{86858B5C-3DE5-48D1-AB44-D364F69E108D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89DE-BA55-49A2-ADBF-4BD20E07A8FA}">
  <sheetPr codeName="Planilha24">
    <tabColor theme="8" tint="0.79998168889431442"/>
    <pageSetUpPr autoPageBreaks="0"/>
  </sheetPr>
  <dimension ref="A1:AO21"/>
  <sheetViews>
    <sheetView showGridLines="0" topLeftCell="B1" zoomScale="50" zoomScaleNormal="50" workbookViewId="0">
      <pane ySplit="1" topLeftCell="A15" activePane="bottomLeft" state="frozen"/>
      <selection activeCell="N39" sqref="N39"/>
      <selection pane="bottomLeft" activeCell="M26" sqref="M26"/>
    </sheetView>
  </sheetViews>
  <sheetFormatPr defaultColWidth="9.109375" defaultRowHeight="21" x14ac:dyDescent="0.4"/>
  <cols>
    <col min="1" max="1" width="8.33203125" style="136" hidden="1" customWidth="1"/>
    <col min="2" max="2" width="9.109375" style="136" customWidth="1"/>
    <col min="3" max="3" width="5.44140625" style="136" hidden="1" customWidth="1"/>
    <col min="4" max="4" width="6" style="136" hidden="1" customWidth="1"/>
    <col min="5" max="5" width="8.5546875" style="136" hidden="1" customWidth="1"/>
    <col min="6" max="6" width="41.33203125" style="136" customWidth="1"/>
    <col min="7" max="7" width="75" style="136" customWidth="1"/>
    <col min="8" max="9" width="7.6640625" style="139" hidden="1" customWidth="1"/>
    <col min="10" max="10" width="16.44140625" style="136" hidden="1" customWidth="1"/>
    <col min="11" max="11" width="26.44140625" style="136" customWidth="1"/>
    <col min="12" max="13" width="24.5546875" style="136" customWidth="1"/>
    <col min="14" max="14" width="25.88671875" style="136" customWidth="1"/>
    <col min="15" max="15" width="3.33203125" style="136" hidden="1" customWidth="1"/>
    <col min="16" max="16" width="1.88671875" style="136" hidden="1" customWidth="1"/>
    <col min="17" max="17" width="10.44140625" style="139" bestFit="1" customWidth="1"/>
    <col min="18" max="18" width="8" style="139" hidden="1" customWidth="1"/>
    <col min="19" max="19" width="15" style="136" hidden="1" customWidth="1"/>
    <col min="20" max="20" width="27.88671875" style="136" customWidth="1"/>
    <col min="21" max="21" width="33.33203125" style="136" hidden="1" customWidth="1"/>
    <col min="22" max="23" width="22.6640625" style="136" hidden="1" customWidth="1"/>
    <col min="24" max="24" width="28.109375" style="136" bestFit="1" customWidth="1"/>
    <col min="25" max="25" width="28.109375" style="136" hidden="1" customWidth="1"/>
    <col min="26" max="26" width="19.6640625" style="136" hidden="1" customWidth="1"/>
    <col min="27" max="27" width="25.109375" style="136" hidden="1" customWidth="1"/>
    <col min="28" max="28" width="38.109375" style="136" hidden="1" customWidth="1"/>
    <col min="29" max="30" width="33" style="136" hidden="1" customWidth="1"/>
    <col min="31" max="31" width="28" style="136" hidden="1" customWidth="1"/>
    <col min="32" max="32" width="1.33203125" style="136" hidden="1" customWidth="1"/>
    <col min="33" max="33" width="81.5546875" style="136" hidden="1" customWidth="1"/>
    <col min="34" max="34" width="36.6640625" style="136" hidden="1" customWidth="1"/>
    <col min="35" max="35" width="1.5546875" style="136" hidden="1" customWidth="1"/>
    <col min="36" max="36" width="20.33203125" style="136" hidden="1" customWidth="1"/>
    <col min="37" max="37" width="25.33203125" style="136" hidden="1" customWidth="1"/>
    <col min="38" max="38" width="24.88671875" style="136" hidden="1" customWidth="1"/>
    <col min="39" max="39" width="26.5546875" style="136" customWidth="1"/>
    <col min="40" max="40" width="31.5546875" style="136" customWidth="1"/>
    <col min="41" max="41" width="9.109375" style="90"/>
    <col min="42" max="16384" width="9.109375" style="136"/>
  </cols>
  <sheetData>
    <row r="1" spans="1:40" ht="49.5" customHeight="1" x14ac:dyDescent="0.4">
      <c r="B1" s="256"/>
      <c r="C1" s="257"/>
      <c r="D1" s="257"/>
      <c r="F1" s="396" t="s">
        <v>128</v>
      </c>
      <c r="G1" s="396"/>
    </row>
    <row r="2" spans="1:40" ht="24.75" customHeight="1" x14ac:dyDescent="0.4">
      <c r="B2" s="140"/>
      <c r="D2" s="257"/>
      <c r="F2" s="397" t="s">
        <v>0</v>
      </c>
      <c r="G2" s="397"/>
    </row>
    <row r="3" spans="1:40" ht="22.2" x14ac:dyDescent="0.4">
      <c r="B3" s="258"/>
      <c r="F3" s="142"/>
      <c r="G3" s="142"/>
    </row>
    <row r="4" spans="1:40" ht="22.2" x14ac:dyDescent="0.4">
      <c r="F4" s="143" t="s">
        <v>199</v>
      </c>
      <c r="G4" s="144"/>
    </row>
    <row r="5" spans="1:40" ht="22.2" x14ac:dyDescent="0.4">
      <c r="F5" s="145" t="s">
        <v>193</v>
      </c>
      <c r="G5" s="146"/>
    </row>
    <row r="6" spans="1:40" ht="22.2" x14ac:dyDescent="0.4">
      <c r="F6" s="145" t="s">
        <v>200</v>
      </c>
      <c r="G6" s="147"/>
    </row>
    <row r="7" spans="1:40" ht="21.75" customHeight="1" x14ac:dyDescent="0.4">
      <c r="F7" s="145" t="s">
        <v>203</v>
      </c>
      <c r="G7" s="147"/>
    </row>
    <row r="8" spans="1:40" ht="22.2" x14ac:dyDescent="0.4">
      <c r="F8" s="148" t="s">
        <v>201</v>
      </c>
      <c r="G8" s="149"/>
    </row>
    <row r="9" spans="1:40" ht="22.2" x14ac:dyDescent="0.4">
      <c r="F9" s="145" t="s">
        <v>194</v>
      </c>
      <c r="G9" s="147"/>
      <c r="M9" s="136">
        <v>0.80469999999999997</v>
      </c>
    </row>
    <row r="10" spans="1:40" ht="27" customHeight="1" x14ac:dyDescent="0.4">
      <c r="F10" s="145" t="s">
        <v>295</v>
      </c>
      <c r="G10" s="147"/>
      <c r="M10" s="136">
        <f>1-M9</f>
        <v>0.19530000000000003</v>
      </c>
    </row>
    <row r="11" spans="1:40" ht="22.2" x14ac:dyDescent="0.4">
      <c r="F11" s="150" t="s">
        <v>202</v>
      </c>
      <c r="G11" s="151"/>
    </row>
    <row r="12" spans="1:40" ht="22.8" hidden="1" thickBot="1" x14ac:dyDescent="0.45">
      <c r="B12" s="152"/>
      <c r="M12" s="153"/>
      <c r="Q12" s="398" t="s">
        <v>1</v>
      </c>
      <c r="R12" s="399"/>
      <c r="S12" s="399"/>
      <c r="T12" s="400"/>
      <c r="U12" s="412" t="s">
        <v>2</v>
      </c>
      <c r="V12" s="413"/>
      <c r="W12" s="413"/>
      <c r="X12" s="414"/>
      <c r="Y12" s="154" t="s">
        <v>56</v>
      </c>
      <c r="Z12" s="155" t="e">
        <f>(1/(1-#REF!))-1</f>
        <v>#REF!</v>
      </c>
      <c r="AC12" s="415" t="s">
        <v>3</v>
      </c>
      <c r="AD12" s="416"/>
      <c r="AE12" s="417"/>
      <c r="AG12" s="418" t="s">
        <v>58</v>
      </c>
      <c r="AH12" s="419"/>
      <c r="AJ12" s="156" t="s">
        <v>71</v>
      </c>
      <c r="AK12" s="403" t="s">
        <v>70</v>
      </c>
      <c r="AL12" s="404"/>
    </row>
    <row r="13" spans="1:40" ht="15.9" customHeight="1" thickBot="1" x14ac:dyDescent="0.45">
      <c r="A13" s="259" t="s">
        <v>4</v>
      </c>
      <c r="B13" s="260" t="s">
        <v>5</v>
      </c>
      <c r="C13" s="259" t="s">
        <v>6</v>
      </c>
      <c r="D13" s="259" t="s">
        <v>7</v>
      </c>
      <c r="E13" s="259" t="s">
        <v>8</v>
      </c>
      <c r="M13" s="159">
        <v>0.80469999999999997</v>
      </c>
    </row>
    <row r="14" spans="1:40" ht="45" thickBot="1" x14ac:dyDescent="0.45">
      <c r="A14" s="261">
        <v>0</v>
      </c>
      <c r="B14" s="262"/>
      <c r="C14" s="263"/>
      <c r="D14" s="264"/>
      <c r="E14" s="264"/>
      <c r="F14" s="164" t="s">
        <v>131</v>
      </c>
      <c r="G14" s="165" t="s">
        <v>132</v>
      </c>
      <c r="H14" s="166" t="s">
        <v>133</v>
      </c>
      <c r="I14" s="166" t="s">
        <v>134</v>
      </c>
      <c r="J14" s="167" t="s">
        <v>135</v>
      </c>
      <c r="K14" s="168" t="s">
        <v>9</v>
      </c>
      <c r="L14" s="169">
        <v>0.05</v>
      </c>
      <c r="M14" s="170">
        <f>1-M13</f>
        <v>0.19530000000000003</v>
      </c>
      <c r="N14" s="171" t="s">
        <v>129</v>
      </c>
      <c r="Q14" s="172" t="s">
        <v>136</v>
      </c>
      <c r="R14" s="173" t="s">
        <v>137</v>
      </c>
      <c r="S14" s="174" t="s">
        <v>138</v>
      </c>
      <c r="T14" s="175" t="s">
        <v>139</v>
      </c>
      <c r="U14" s="176" t="s">
        <v>140</v>
      </c>
      <c r="V14" s="177" t="s">
        <v>141</v>
      </c>
      <c r="W14" s="178" t="s">
        <v>142</v>
      </c>
      <c r="X14" s="178" t="s">
        <v>143</v>
      </c>
      <c r="Y14" s="179" t="s">
        <v>144</v>
      </c>
      <c r="Z14" s="180" t="s">
        <v>145</v>
      </c>
      <c r="AA14" s="181" t="s">
        <v>130</v>
      </c>
      <c r="AC14" s="182" t="s">
        <v>146</v>
      </c>
      <c r="AD14" s="183" t="s">
        <v>147</v>
      </c>
      <c r="AE14" s="183" t="s">
        <v>33</v>
      </c>
      <c r="AG14" s="184" t="s">
        <v>148</v>
      </c>
      <c r="AH14" s="185" t="s">
        <v>149</v>
      </c>
      <c r="AI14" s="136" t="s">
        <v>150</v>
      </c>
      <c r="AJ14" s="136" t="s">
        <v>150</v>
      </c>
      <c r="AK14" s="186" t="s">
        <v>151</v>
      </c>
      <c r="AL14" s="187" t="s">
        <v>152</v>
      </c>
      <c r="AM14" s="186" t="s">
        <v>151</v>
      </c>
      <c r="AN14" s="187" t="s">
        <v>152</v>
      </c>
    </row>
    <row r="15" spans="1:40" ht="42" customHeight="1" thickBot="1" x14ac:dyDescent="0.5">
      <c r="A15" s="198">
        <v>1</v>
      </c>
      <c r="B15" s="189">
        <v>1</v>
      </c>
      <c r="C15" s="197" t="s">
        <v>172</v>
      </c>
      <c r="D15" s="198"/>
      <c r="E15" s="198"/>
      <c r="F15" s="444" t="s">
        <v>208</v>
      </c>
      <c r="G15" s="445"/>
      <c r="H15" s="445"/>
      <c r="I15" s="445"/>
      <c r="J15" s="445"/>
      <c r="K15" s="445"/>
      <c r="L15" s="445"/>
      <c r="M15" s="445"/>
      <c r="N15" s="446"/>
      <c r="Q15" s="464" t="str">
        <f>IF(F15&lt;&gt;"",F15,"")</f>
        <v>LOGISTICA</v>
      </c>
      <c r="R15" s="465"/>
      <c r="S15" s="465"/>
      <c r="T15" s="465"/>
      <c r="U15" s="465"/>
      <c r="V15" s="465"/>
      <c r="W15" s="465"/>
      <c r="X15" s="465"/>
      <c r="Y15" s="475"/>
      <c r="AM15" s="422"/>
      <c r="AN15" s="423"/>
    </row>
    <row r="16" spans="1:40" ht="33.75" customHeight="1" x14ac:dyDescent="0.45">
      <c r="A16" s="264">
        <v>2</v>
      </c>
      <c r="B16" s="189" t="s">
        <v>173</v>
      </c>
      <c r="C16" s="317" t="s">
        <v>167</v>
      </c>
      <c r="D16" s="264"/>
      <c r="E16" s="264"/>
      <c r="F16" s="408" t="s">
        <v>312</v>
      </c>
      <c r="G16" s="409"/>
      <c r="H16" s="409"/>
      <c r="I16" s="409"/>
      <c r="J16" s="409"/>
      <c r="K16" s="410"/>
      <c r="L16" s="192" t="s">
        <v>168</v>
      </c>
      <c r="M16" s="193" t="s">
        <v>169</v>
      </c>
      <c r="N16" s="194" t="s">
        <v>129</v>
      </c>
      <c r="Q16" s="467" t="str">
        <f>IF(F16&lt;&gt;"",F16,"")</f>
        <v>EXTRA</v>
      </c>
      <c r="R16" s="468"/>
      <c r="S16" s="468"/>
      <c r="T16" s="468"/>
      <c r="U16" s="468"/>
      <c r="V16" s="468"/>
      <c r="W16" s="468"/>
      <c r="X16" s="468"/>
      <c r="Y16" s="469"/>
      <c r="Z16" s="195" t="s">
        <v>170</v>
      </c>
      <c r="AA16" s="196" t="s">
        <v>130</v>
      </c>
      <c r="AM16" s="424"/>
      <c r="AN16" s="425"/>
    </row>
    <row r="17" spans="1:40" ht="111" x14ac:dyDescent="0.4">
      <c r="A17" s="198">
        <v>3</v>
      </c>
      <c r="B17" s="189" t="s">
        <v>174</v>
      </c>
      <c r="C17" s="197" t="s">
        <v>171</v>
      </c>
      <c r="D17" s="198" t="s">
        <v>185</v>
      </c>
      <c r="E17" s="198" t="s">
        <v>197</v>
      </c>
      <c r="F17" s="199" t="s">
        <v>310</v>
      </c>
      <c r="G17" s="200" t="s">
        <v>330</v>
      </c>
      <c r="H17" s="201">
        <v>2</v>
      </c>
      <c r="I17" s="201">
        <v>1</v>
      </c>
      <c r="J17" s="203">
        <f>S17*20%+S17</f>
        <v>767.18400000000008</v>
      </c>
      <c r="K17" s="203">
        <f t="shared" ref="K17:K19" si="0">IF(F17&lt;&gt;"",H17*I17*J17,"")</f>
        <v>1534.3680000000002</v>
      </c>
      <c r="L17" s="203">
        <f t="shared" ref="L17:L19" si="1">IF(K17&lt;&gt;"",IF(D17="INTERNO",0,K17*$L$14),"")</f>
        <v>76.718400000000017</v>
      </c>
      <c r="M17" s="203">
        <f t="shared" ref="M17:M19" si="2">IF(K17&lt;&gt;"",IF(E17="FAT.OGGI",SUM(K17:L17)*(1/(1-$M$14)-1),L17*(1/(1-$M$14)-1)),"")</f>
        <v>18.619489896855981</v>
      </c>
      <c r="N17" s="204">
        <f t="shared" ref="N17:N19" si="3">SUM(K17:M17)</f>
        <v>1629.7058898968562</v>
      </c>
      <c r="Q17" s="272">
        <f t="shared" ref="Q17:R19" si="4">IF(H17&lt;&gt;"",H17,"")</f>
        <v>2</v>
      </c>
      <c r="R17" s="273">
        <f t="shared" si="4"/>
        <v>1</v>
      </c>
      <c r="S17" s="274">
        <v>639.32000000000005</v>
      </c>
      <c r="T17" s="274">
        <v>0</v>
      </c>
      <c r="U17" s="275">
        <f t="shared" ref="U17:U18" si="5">IF(Q17&lt;&gt;"",K17-T17,"")</f>
        <v>1534.3680000000002</v>
      </c>
      <c r="V17" s="276">
        <f t="shared" ref="V17:V18" si="6">IF(Q17&lt;&gt;"",0%,"")</f>
        <v>0</v>
      </c>
      <c r="W17" s="277">
        <f t="shared" ref="W17:W18" si="7">IF(Q17&lt;&gt;"",V17*U17,"")</f>
        <v>0</v>
      </c>
      <c r="X17" s="277">
        <f t="shared" ref="X17:X18" si="8">IF(Q17&lt;&gt;"",W17+T17,"")</f>
        <v>0</v>
      </c>
      <c r="Y17" s="231">
        <f t="shared" ref="Y17:Y18" si="9">IF(Q17&lt;&gt;"",X17+M17,"")</f>
        <v>18.619489896855981</v>
      </c>
      <c r="Z17" s="212">
        <f t="shared" ref="Z17:Z18" si="10">IF(Q17&lt;&gt;"",U17/K17,"")</f>
        <v>1</v>
      </c>
      <c r="AA17" s="278" t="e">
        <f>T17/$T$20</f>
        <v>#DIV/0!</v>
      </c>
      <c r="AM17" s="214">
        <f t="shared" ref="AM17:AM19" si="11">X17-AN17</f>
        <v>0</v>
      </c>
      <c r="AN17" s="361"/>
    </row>
    <row r="18" spans="1:40" ht="105" x14ac:dyDescent="0.4">
      <c r="A18" s="198">
        <v>4</v>
      </c>
      <c r="B18" s="189" t="s">
        <v>153</v>
      </c>
      <c r="C18" s="197" t="s">
        <v>171</v>
      </c>
      <c r="D18" s="198" t="s">
        <v>185</v>
      </c>
      <c r="E18" s="198" t="s">
        <v>197</v>
      </c>
      <c r="F18" s="199" t="s">
        <v>308</v>
      </c>
      <c r="G18" s="200" t="s">
        <v>309</v>
      </c>
      <c r="H18" s="201">
        <v>1</v>
      </c>
      <c r="I18" s="201">
        <v>1</v>
      </c>
      <c r="J18" s="203">
        <f>S18*10%+S18</f>
        <v>931.26</v>
      </c>
      <c r="K18" s="203">
        <f t="shared" ref="K18" si="12">IF(F18&lt;&gt;"",H18*I18*J18,"")</f>
        <v>931.26</v>
      </c>
      <c r="L18" s="203">
        <f t="shared" ref="L18" si="13">IF(K18&lt;&gt;"",IF(D18="INTERNO",0,K18*$L$14),"")</f>
        <v>46.563000000000002</v>
      </c>
      <c r="M18" s="203">
        <f t="shared" ref="M18" si="14">IF(K18&lt;&gt;"",IF(E18="FAT.OGGI",SUM(K18:L18)*(1/(1-$M$14)-1),L18*(1/(1-$M$14)-1)),"")</f>
        <v>11.300800173977883</v>
      </c>
      <c r="N18" s="204">
        <f t="shared" ref="N18" si="15">SUM(K18:M18)</f>
        <v>989.12380017397788</v>
      </c>
      <c r="Q18" s="272">
        <f t="shared" si="4"/>
        <v>1</v>
      </c>
      <c r="R18" s="273">
        <f t="shared" si="4"/>
        <v>1</v>
      </c>
      <c r="S18" s="274">
        <v>846.6</v>
      </c>
      <c r="T18" s="274">
        <v>0</v>
      </c>
      <c r="U18" s="275">
        <f t="shared" si="5"/>
        <v>931.26</v>
      </c>
      <c r="V18" s="276">
        <f t="shared" si="6"/>
        <v>0</v>
      </c>
      <c r="W18" s="277">
        <f t="shared" si="7"/>
        <v>0</v>
      </c>
      <c r="X18" s="277">
        <f t="shared" si="8"/>
        <v>0</v>
      </c>
      <c r="Y18" s="231">
        <f t="shared" si="9"/>
        <v>11.300800173977883</v>
      </c>
      <c r="Z18" s="212">
        <f t="shared" si="10"/>
        <v>1</v>
      </c>
      <c r="AA18" s="278" t="e">
        <f t="shared" ref="AA18:AA19" si="16">T18/$T$20</f>
        <v>#DIV/0!</v>
      </c>
      <c r="AM18" s="214">
        <f t="shared" si="11"/>
        <v>0</v>
      </c>
      <c r="AN18" s="215"/>
    </row>
    <row r="19" spans="1:40" ht="111" x14ac:dyDescent="0.4">
      <c r="A19" s="198">
        <v>5</v>
      </c>
      <c r="B19" s="189" t="s">
        <v>175</v>
      </c>
      <c r="C19" s="197" t="s">
        <v>171</v>
      </c>
      <c r="D19" s="198" t="s">
        <v>185</v>
      </c>
      <c r="E19" s="198" t="s">
        <v>197</v>
      </c>
      <c r="F19" s="199" t="s">
        <v>311</v>
      </c>
      <c r="G19" s="200" t="s">
        <v>331</v>
      </c>
      <c r="H19" s="201">
        <v>2</v>
      </c>
      <c r="I19" s="201">
        <v>1</v>
      </c>
      <c r="J19" s="203">
        <f>S19*20%+S19</f>
        <v>743.20800000000008</v>
      </c>
      <c r="K19" s="203">
        <f t="shared" si="0"/>
        <v>1486.4160000000002</v>
      </c>
      <c r="L19" s="203">
        <f t="shared" si="1"/>
        <v>74.320800000000006</v>
      </c>
      <c r="M19" s="203">
        <f t="shared" si="2"/>
        <v>18.037594432707849</v>
      </c>
      <c r="N19" s="204">
        <f t="shared" si="3"/>
        <v>1578.774394432708</v>
      </c>
      <c r="Q19" s="272">
        <f t="shared" si="4"/>
        <v>2</v>
      </c>
      <c r="R19" s="273">
        <f t="shared" si="4"/>
        <v>1</v>
      </c>
      <c r="S19" s="274">
        <v>619.34</v>
      </c>
      <c r="T19" s="274">
        <v>0</v>
      </c>
      <c r="U19" s="275">
        <f t="shared" ref="U19" si="17">IF(Q19&lt;&gt;"",K19-T19,"")</f>
        <v>1486.4160000000002</v>
      </c>
      <c r="V19" s="276">
        <f t="shared" ref="V19" si="18">IF(Q19&lt;&gt;"",0%,"")</f>
        <v>0</v>
      </c>
      <c r="W19" s="277">
        <f t="shared" ref="W19" si="19">IF(Q19&lt;&gt;"",V19*U19,"")</f>
        <v>0</v>
      </c>
      <c r="X19" s="277">
        <f t="shared" ref="X19" si="20">IF(Q19&lt;&gt;"",W19+T19,"")</f>
        <v>0</v>
      </c>
      <c r="Y19" s="231">
        <f t="shared" ref="Y19" si="21">IF(Q19&lt;&gt;"",X19+M19,"")</f>
        <v>18.037594432707849</v>
      </c>
      <c r="Z19" s="343">
        <f t="shared" ref="Z19" si="22">IF(Q19&lt;&gt;"",U19/K19,"")</f>
        <v>1</v>
      </c>
      <c r="AA19" s="278" t="e">
        <f t="shared" si="16"/>
        <v>#DIV/0!</v>
      </c>
      <c r="AM19" s="214">
        <f t="shared" si="11"/>
        <v>0</v>
      </c>
      <c r="AN19" s="215"/>
    </row>
    <row r="20" spans="1:40" ht="33.75" customHeight="1" thickBot="1" x14ac:dyDescent="0.5">
      <c r="A20" s="264">
        <v>6</v>
      </c>
      <c r="B20" s="255"/>
      <c r="C20" s="317" t="s">
        <v>182</v>
      </c>
      <c r="D20" s="264"/>
      <c r="E20" s="264"/>
      <c r="F20" s="429" t="s">
        <v>313</v>
      </c>
      <c r="G20" s="430"/>
      <c r="H20" s="430"/>
      <c r="I20" s="430"/>
      <c r="J20" s="430"/>
      <c r="K20" s="344">
        <f>SUM(K17:K19)</f>
        <v>3952.0440000000003</v>
      </c>
      <c r="L20" s="344">
        <f>SUM(L17:L19)</f>
        <v>197.60220000000004</v>
      </c>
      <c r="M20" s="344">
        <f>SUM(M17:M19)</f>
        <v>47.957884503541713</v>
      </c>
      <c r="N20" s="288">
        <f>SUM(N17:N19)</f>
        <v>4197.6040845035423</v>
      </c>
      <c r="Q20" s="472" t="s">
        <v>212</v>
      </c>
      <c r="R20" s="473"/>
      <c r="S20" s="473"/>
      <c r="T20" s="289">
        <f>SUM(T17:T19)</f>
        <v>0</v>
      </c>
      <c r="U20" s="290">
        <f>SUM(U17:U19)</f>
        <v>3952.0440000000003</v>
      </c>
      <c r="V20" s="291"/>
      <c r="W20" s="292"/>
      <c r="X20" s="293">
        <f>SUM(X17:X19)</f>
        <v>0</v>
      </c>
      <c r="Y20" s="345">
        <f>IF(Q20&lt;&gt;"",X20+M20,"")</f>
        <v>47.957884503541713</v>
      </c>
      <c r="Z20" s="346" t="s">
        <v>191</v>
      </c>
      <c r="AA20" s="347" t="s">
        <v>192</v>
      </c>
      <c r="AM20" s="214"/>
      <c r="AN20" s="215"/>
    </row>
    <row r="21" spans="1:40" ht="35.4" customHeight="1" thickBot="1" x14ac:dyDescent="0.5">
      <c r="A21" s="348">
        <v>7</v>
      </c>
      <c r="C21" s="216" t="s">
        <v>189</v>
      </c>
      <c r="D21" s="216"/>
      <c r="E21" s="216"/>
      <c r="F21" s="58" t="s">
        <v>190</v>
      </c>
      <c r="G21" s="59"/>
      <c r="H21" s="63"/>
      <c r="I21" s="63"/>
      <c r="J21" s="59"/>
      <c r="K21" s="60">
        <f>SUM(K17:K19)</f>
        <v>3952.0440000000003</v>
      </c>
      <c r="L21" s="60">
        <f>SUM(L17:L19)</f>
        <v>197.60220000000004</v>
      </c>
      <c r="M21" s="60">
        <f>SUM(M17:M19)</f>
        <v>47.957884503541713</v>
      </c>
      <c r="N21" s="95">
        <f>SUM(N17:N19)</f>
        <v>4197.6040845035423</v>
      </c>
      <c r="Q21" s="74" t="s">
        <v>43</v>
      </c>
      <c r="R21" s="63"/>
      <c r="S21" s="59"/>
      <c r="T21" s="60">
        <f>SUM(T17:T19)</f>
        <v>0</v>
      </c>
      <c r="U21" s="60">
        <f>SUM(U17:U19)</f>
        <v>3952.0440000000003</v>
      </c>
      <c r="V21" s="59"/>
      <c r="W21" s="59"/>
      <c r="X21" s="60">
        <f>SUM(X17:X19)</f>
        <v>0</v>
      </c>
      <c r="Y21" s="95">
        <f>SUM(Y17:Y19)</f>
        <v>47.957884503541713</v>
      </c>
      <c r="Z21" s="76">
        <f>IF(Q21&lt;&gt;"",(N21-Y21)/N21,"")</f>
        <v>0.9885749385749385</v>
      </c>
      <c r="AA21" s="96">
        <f>IF(Z21&lt;&gt;"",(N21-Y21),"")</f>
        <v>4149.6462000000001</v>
      </c>
      <c r="AM21" s="214">
        <f>SUM(AM17:AM20)</f>
        <v>0</v>
      </c>
      <c r="AN21" s="215">
        <f>SUM(AN18:AN20)</f>
        <v>0</v>
      </c>
    </row>
  </sheetData>
  <mergeCells count="15">
    <mergeCell ref="F20:J20"/>
    <mergeCell ref="Q20:S20"/>
    <mergeCell ref="F1:G1"/>
    <mergeCell ref="F2:G2"/>
    <mergeCell ref="Q12:T12"/>
    <mergeCell ref="AM15:AN15"/>
    <mergeCell ref="AM16:AN16"/>
    <mergeCell ref="AK12:AL12"/>
    <mergeCell ref="F15:N15"/>
    <mergeCell ref="Q15:Y15"/>
    <mergeCell ref="F16:K16"/>
    <mergeCell ref="Q16:Y16"/>
    <mergeCell ref="U12:X12"/>
    <mergeCell ref="AC12:AE12"/>
    <mergeCell ref="AG12:AH12"/>
  </mergeCells>
  <dataValidations count="3">
    <dataValidation type="list" allowBlank="1" showInputMessage="1" showErrorMessage="1" sqref="D17:D21" xr:uid="{0A9998B9-F7BB-4779-9556-E9854CA80B92}">
      <formula1>"INTERNO,OPERACIONAL"</formula1>
    </dataValidation>
    <dataValidation type="list" allowBlank="1" showInputMessage="1" showErrorMessage="1" sqref="E17:E20" xr:uid="{CF602351-6135-4D66-9E4A-6723A4AAA31A}">
      <formula1>"FAT.OGGI,FAT.CLIENTE"</formula1>
    </dataValidation>
    <dataValidation type="list" allowBlank="1" showInputMessage="1" showErrorMessage="1" sqref="E21" xr:uid="{65829170-C840-4D5F-922E-93377BB6418F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AE649-8A60-41BD-AA89-E48A66B20DD3}">
  <sheetPr codeName="Planilha23">
    <tabColor theme="8" tint="0.79998168889431442"/>
    <pageSetUpPr autoPageBreaks="0"/>
  </sheetPr>
  <dimension ref="A1:AM27"/>
  <sheetViews>
    <sheetView showGridLines="0" topLeftCell="B1" zoomScale="50" zoomScaleNormal="50" workbookViewId="0">
      <pane ySplit="1" topLeftCell="A15" activePane="bottomLeft" state="frozen"/>
      <selection activeCell="N39" sqref="N39"/>
      <selection pane="bottomLeft" activeCell="AK18" sqref="AK18"/>
    </sheetView>
  </sheetViews>
  <sheetFormatPr defaultColWidth="9.109375" defaultRowHeight="21" x14ac:dyDescent="0.4"/>
  <cols>
    <col min="1" max="1" width="8.33203125" style="136" hidden="1" customWidth="1"/>
    <col min="2" max="2" width="11.6640625" style="136" customWidth="1"/>
    <col min="3" max="3" width="5.44140625" style="136" hidden="1" customWidth="1"/>
    <col min="4" max="4" width="6" style="136" hidden="1" customWidth="1"/>
    <col min="5" max="5" width="9.5546875" style="136" hidden="1" customWidth="1"/>
    <col min="6" max="6" width="41.33203125" style="136" customWidth="1"/>
    <col min="7" max="7" width="75" style="136" customWidth="1"/>
    <col min="8" max="9" width="7.6640625" style="139" hidden="1" customWidth="1"/>
    <col min="10" max="10" width="16.44140625" style="136" hidden="1" customWidth="1"/>
    <col min="11" max="11" width="26.44140625" style="136" bestFit="1" customWidth="1"/>
    <col min="12" max="13" width="24.5546875" style="136" customWidth="1"/>
    <col min="14" max="14" width="25.88671875" style="136" customWidth="1"/>
    <col min="15" max="15" width="3.33203125" style="136" hidden="1" customWidth="1"/>
    <col min="16" max="16" width="1.88671875" style="136" hidden="1" customWidth="1"/>
    <col min="17" max="17" width="7.6640625" style="139" customWidth="1"/>
    <col min="18" max="18" width="7.6640625" style="139" hidden="1" customWidth="1"/>
    <col min="19" max="19" width="17" style="136" hidden="1" customWidth="1"/>
    <col min="20" max="20" width="27.88671875" style="136" customWidth="1"/>
    <col min="21" max="21" width="33.33203125" style="136" hidden="1" customWidth="1"/>
    <col min="22" max="23" width="22.6640625" style="136" hidden="1" customWidth="1"/>
    <col min="24" max="24" width="28.109375" style="136" bestFit="1" customWidth="1"/>
    <col min="25" max="25" width="28.109375" style="136" hidden="1" customWidth="1"/>
    <col min="26" max="26" width="19.6640625" style="136" hidden="1" customWidth="1"/>
    <col min="27" max="27" width="25.109375" style="136" hidden="1" customWidth="1"/>
    <col min="28" max="28" width="38.109375" style="136" hidden="1" customWidth="1"/>
    <col min="29" max="30" width="33" style="136" hidden="1" customWidth="1"/>
    <col min="31" max="31" width="28" style="136" hidden="1" customWidth="1"/>
    <col min="32" max="32" width="1.33203125" style="136" hidden="1" customWidth="1"/>
    <col min="33" max="33" width="81.5546875" style="136" hidden="1" customWidth="1"/>
    <col min="34" max="34" width="36.6640625" style="136" hidden="1" customWidth="1"/>
    <col min="35" max="35" width="1.5546875" style="136" hidden="1" customWidth="1"/>
    <col min="36" max="36" width="20.33203125" style="136" hidden="1" customWidth="1"/>
    <col min="37" max="37" width="25.33203125" style="136" bestFit="1" customWidth="1"/>
    <col min="38" max="38" width="24.88671875" style="136" bestFit="1" customWidth="1"/>
    <col min="39" max="39" width="9.109375" style="360"/>
    <col min="40" max="40" width="21.33203125" style="136" customWidth="1"/>
    <col min="41" max="16384" width="9.109375" style="136"/>
  </cols>
  <sheetData>
    <row r="1" spans="1:38" ht="49.5" customHeight="1" x14ac:dyDescent="0.4">
      <c r="B1" s="256"/>
      <c r="C1" s="257"/>
      <c r="D1" s="257"/>
      <c r="F1" s="396" t="s">
        <v>128</v>
      </c>
      <c r="G1" s="396"/>
    </row>
    <row r="2" spans="1:38" ht="24.75" customHeight="1" x14ac:dyDescent="0.4">
      <c r="B2" s="140"/>
      <c r="D2" s="257"/>
      <c r="F2" s="397" t="s">
        <v>0</v>
      </c>
      <c r="G2" s="397"/>
    </row>
    <row r="3" spans="1:38" ht="22.2" x14ac:dyDescent="0.4">
      <c r="B3" s="258"/>
      <c r="F3" s="142"/>
      <c r="G3" s="142"/>
    </row>
    <row r="4" spans="1:38" ht="22.2" x14ac:dyDescent="0.4">
      <c r="F4" s="143" t="s">
        <v>199</v>
      </c>
      <c r="G4" s="144"/>
    </row>
    <row r="5" spans="1:38" ht="22.2" x14ac:dyDescent="0.4">
      <c r="F5" s="145" t="s">
        <v>193</v>
      </c>
      <c r="G5" s="146"/>
    </row>
    <row r="6" spans="1:38" ht="22.2" x14ac:dyDescent="0.4">
      <c r="F6" s="145" t="s">
        <v>200</v>
      </c>
      <c r="G6" s="147"/>
    </row>
    <row r="7" spans="1:38" ht="21.75" customHeight="1" x14ac:dyDescent="0.4">
      <c r="F7" s="145" t="s">
        <v>203</v>
      </c>
      <c r="G7" s="147"/>
    </row>
    <row r="8" spans="1:38" ht="22.2" x14ac:dyDescent="0.4">
      <c r="F8" s="148" t="s">
        <v>201</v>
      </c>
      <c r="G8" s="149"/>
    </row>
    <row r="9" spans="1:38" ht="22.2" x14ac:dyDescent="0.4">
      <c r="F9" s="145" t="s">
        <v>194</v>
      </c>
      <c r="G9" s="147"/>
      <c r="M9" s="136">
        <v>0.80469999999999997</v>
      </c>
    </row>
    <row r="10" spans="1:38" ht="27" customHeight="1" x14ac:dyDescent="0.4">
      <c r="F10" s="145" t="s">
        <v>295</v>
      </c>
      <c r="G10" s="147"/>
      <c r="M10" s="136">
        <f>1-M9</f>
        <v>0.19530000000000003</v>
      </c>
    </row>
    <row r="11" spans="1:38" ht="22.2" x14ac:dyDescent="0.4">
      <c r="F11" s="150" t="s">
        <v>202</v>
      </c>
      <c r="G11" s="151"/>
    </row>
    <row r="12" spans="1:38" ht="22.8" hidden="1" thickBot="1" x14ac:dyDescent="0.45">
      <c r="B12" s="152"/>
      <c r="M12" s="153"/>
      <c r="Q12" s="398" t="s">
        <v>1</v>
      </c>
      <c r="R12" s="399"/>
      <c r="S12" s="399"/>
      <c r="T12" s="400"/>
      <c r="U12" s="412" t="s">
        <v>2</v>
      </c>
      <c r="V12" s="413"/>
      <c r="W12" s="413"/>
      <c r="X12" s="414"/>
      <c r="Y12" s="154" t="s">
        <v>56</v>
      </c>
      <c r="Z12" s="155" t="e">
        <f>(1/(1-#REF!))-1</f>
        <v>#REF!</v>
      </c>
      <c r="AC12" s="415" t="s">
        <v>3</v>
      </c>
      <c r="AD12" s="416"/>
      <c r="AE12" s="417"/>
      <c r="AG12" s="418" t="s">
        <v>58</v>
      </c>
      <c r="AH12" s="419"/>
      <c r="AJ12" s="156" t="s">
        <v>71</v>
      </c>
      <c r="AK12" s="403" t="s">
        <v>70</v>
      </c>
      <c r="AL12" s="404"/>
    </row>
    <row r="13" spans="1:38" ht="15.9" customHeight="1" thickBot="1" x14ac:dyDescent="0.45">
      <c r="A13" s="259" t="s">
        <v>4</v>
      </c>
      <c r="B13" s="260" t="s">
        <v>5</v>
      </c>
      <c r="C13" s="259" t="s">
        <v>6</v>
      </c>
      <c r="D13" s="259" t="s">
        <v>7</v>
      </c>
      <c r="E13" s="259" t="s">
        <v>8</v>
      </c>
      <c r="M13" s="159">
        <v>0.80469999999999997</v>
      </c>
    </row>
    <row r="14" spans="1:38" ht="45" thickBot="1" x14ac:dyDescent="0.45">
      <c r="A14" s="261">
        <v>0</v>
      </c>
      <c r="B14" s="262"/>
      <c r="C14" s="263"/>
      <c r="D14" s="264"/>
      <c r="E14" s="264"/>
      <c r="F14" s="164" t="s">
        <v>131</v>
      </c>
      <c r="G14" s="165" t="s">
        <v>132</v>
      </c>
      <c r="H14" s="166" t="s">
        <v>133</v>
      </c>
      <c r="I14" s="166" t="s">
        <v>134</v>
      </c>
      <c r="J14" s="167" t="s">
        <v>135</v>
      </c>
      <c r="K14" s="168" t="s">
        <v>9</v>
      </c>
      <c r="L14" s="169">
        <v>0.05</v>
      </c>
      <c r="M14" s="170">
        <f>1-M13</f>
        <v>0.19530000000000003</v>
      </c>
      <c r="N14" s="171" t="s">
        <v>129</v>
      </c>
      <c r="Q14" s="172" t="s">
        <v>136</v>
      </c>
      <c r="R14" s="173" t="s">
        <v>137</v>
      </c>
      <c r="S14" s="174" t="s">
        <v>138</v>
      </c>
      <c r="T14" s="175" t="s">
        <v>139</v>
      </c>
      <c r="U14" s="176" t="s">
        <v>140</v>
      </c>
      <c r="V14" s="177" t="s">
        <v>141</v>
      </c>
      <c r="W14" s="178" t="s">
        <v>142</v>
      </c>
      <c r="X14" s="178" t="s">
        <v>143</v>
      </c>
      <c r="Y14" s="179" t="s">
        <v>144</v>
      </c>
      <c r="Z14" s="180" t="s">
        <v>145</v>
      </c>
      <c r="AA14" s="181" t="s">
        <v>130</v>
      </c>
      <c r="AC14" s="182" t="s">
        <v>146</v>
      </c>
      <c r="AD14" s="183" t="s">
        <v>147</v>
      </c>
      <c r="AE14" s="183" t="s">
        <v>33</v>
      </c>
      <c r="AG14" s="184" t="s">
        <v>148</v>
      </c>
      <c r="AH14" s="185" t="s">
        <v>149</v>
      </c>
      <c r="AI14" s="136" t="s">
        <v>150</v>
      </c>
      <c r="AJ14" s="136" t="s">
        <v>150</v>
      </c>
      <c r="AK14" s="186" t="s">
        <v>151</v>
      </c>
      <c r="AL14" s="187" t="s">
        <v>152</v>
      </c>
    </row>
    <row r="15" spans="1:38" ht="42" customHeight="1" thickBot="1" x14ac:dyDescent="0.5">
      <c r="A15" s="198">
        <v>1</v>
      </c>
      <c r="B15" s="189">
        <v>1</v>
      </c>
      <c r="C15" s="197" t="s">
        <v>172</v>
      </c>
      <c r="D15" s="198"/>
      <c r="E15" s="198"/>
      <c r="F15" s="444" t="s">
        <v>208</v>
      </c>
      <c r="G15" s="445"/>
      <c r="H15" s="445"/>
      <c r="I15" s="445"/>
      <c r="J15" s="445"/>
      <c r="K15" s="445"/>
      <c r="L15" s="445"/>
      <c r="M15" s="445"/>
      <c r="N15" s="446"/>
      <c r="Q15" s="464" t="str">
        <f>IF(F15&lt;&gt;"",F15,"")</f>
        <v>LOGISTICA</v>
      </c>
      <c r="R15" s="465"/>
      <c r="S15" s="465"/>
      <c r="T15" s="465"/>
      <c r="U15" s="465"/>
      <c r="V15" s="465"/>
      <c r="W15" s="465"/>
      <c r="X15" s="465"/>
      <c r="Y15" s="475"/>
      <c r="AK15" s="422"/>
      <c r="AL15" s="423"/>
    </row>
    <row r="16" spans="1:38" ht="33.75" customHeight="1" x14ac:dyDescent="0.45">
      <c r="A16" s="264">
        <v>2</v>
      </c>
      <c r="B16" s="189" t="s">
        <v>173</v>
      </c>
      <c r="C16" s="317" t="s">
        <v>167</v>
      </c>
      <c r="D16" s="264"/>
      <c r="E16" s="264"/>
      <c r="F16" s="408" t="s">
        <v>209</v>
      </c>
      <c r="G16" s="409"/>
      <c r="H16" s="409"/>
      <c r="I16" s="409"/>
      <c r="J16" s="409"/>
      <c r="K16" s="410"/>
      <c r="L16" s="192" t="s">
        <v>168</v>
      </c>
      <c r="M16" s="193" t="s">
        <v>169</v>
      </c>
      <c r="N16" s="194" t="s">
        <v>129</v>
      </c>
      <c r="Q16" s="467" t="str">
        <f>IF(F16&lt;&gt;"",F16,"")</f>
        <v xml:space="preserve">ÁEREO </v>
      </c>
      <c r="R16" s="468"/>
      <c r="S16" s="468"/>
      <c r="T16" s="468"/>
      <c r="U16" s="468"/>
      <c r="V16" s="468"/>
      <c r="W16" s="468"/>
      <c r="X16" s="468"/>
      <c r="Y16" s="469"/>
      <c r="Z16" s="195" t="s">
        <v>170</v>
      </c>
      <c r="AA16" s="196" t="s">
        <v>130</v>
      </c>
      <c r="AK16" s="424"/>
      <c r="AL16" s="425"/>
    </row>
    <row r="17" spans="1:39" ht="90.75" customHeight="1" thickBot="1" x14ac:dyDescent="0.45">
      <c r="A17" s="198">
        <v>3</v>
      </c>
      <c r="B17" s="189" t="s">
        <v>174</v>
      </c>
      <c r="C17" s="197" t="s">
        <v>171</v>
      </c>
      <c r="D17" s="198" t="s">
        <v>185</v>
      </c>
      <c r="E17" s="198" t="s">
        <v>197</v>
      </c>
      <c r="F17" s="199" t="s">
        <v>210</v>
      </c>
      <c r="G17" s="200" t="s">
        <v>332</v>
      </c>
      <c r="H17" s="201">
        <v>3</v>
      </c>
      <c r="I17" s="201">
        <v>1</v>
      </c>
      <c r="J17" s="203">
        <f>S17*10%+S17</f>
        <v>2615.7491249999998</v>
      </c>
      <c r="K17" s="203">
        <f t="shared" ref="K17:K21" si="0">IF(F17&lt;&gt;"",H17*I17*J17,"")</f>
        <v>7847.247374999999</v>
      </c>
      <c r="L17" s="203">
        <f t="shared" ref="L17:L21" si="1">IF(K17&lt;&gt;"",IF(D17="INTERNO",0,K17*$L$14),"")</f>
        <v>392.36236874999997</v>
      </c>
      <c r="M17" s="203">
        <f t="shared" ref="M17:M21" si="2">IF(K17&lt;&gt;"",IF(E17="FAT.OGGI",SUM(K17:L17)*(1/(1-$M$14)-1),L17*(1/(1-$M$14)-1)),"")</f>
        <v>95.226010459643376</v>
      </c>
      <c r="N17" s="204">
        <f t="shared" ref="N17:N21" si="3">SUM(K17:M17)</f>
        <v>8334.8357542096419</v>
      </c>
      <c r="Q17" s="272">
        <f>IF(H17&lt;&gt;"",H17,"")</f>
        <v>3</v>
      </c>
      <c r="R17" s="273">
        <f>IF(I17&lt;&gt;"",I17,"")</f>
        <v>1</v>
      </c>
      <c r="S17" s="274">
        <v>2377.9537499999997</v>
      </c>
      <c r="T17" s="274">
        <v>0</v>
      </c>
      <c r="U17" s="275">
        <f t="shared" ref="U17:U21" si="4">IF(Q17&lt;&gt;"",K17-T17,"")</f>
        <v>7847.247374999999</v>
      </c>
      <c r="V17" s="276">
        <f t="shared" ref="V17:V21" si="5">IF(Q17&lt;&gt;"",0%,"")</f>
        <v>0</v>
      </c>
      <c r="W17" s="277">
        <f t="shared" ref="W17:W21" si="6">IF(Q17&lt;&gt;"",V17*U17,"")</f>
        <v>0</v>
      </c>
      <c r="X17" s="277">
        <f t="shared" ref="X17:X21" si="7">IF(Q17&lt;&gt;"",W17+T17,"")</f>
        <v>0</v>
      </c>
      <c r="Y17" s="231">
        <f t="shared" ref="Y17:Y21" si="8">IF(Q17&lt;&gt;"",X17+M17,"")</f>
        <v>95.226010459643376</v>
      </c>
      <c r="Z17" s="212">
        <f t="shared" ref="Z17:Z21" si="9">IF(Q17&lt;&gt;"",U17/K17,"")</f>
        <v>1</v>
      </c>
      <c r="AA17" s="278">
        <f>T17/$T$22</f>
        <v>0</v>
      </c>
      <c r="AB17" s="349">
        <v>19876.5</v>
      </c>
      <c r="AK17" s="214">
        <f>X17-AL17</f>
        <v>0</v>
      </c>
      <c r="AL17" s="361"/>
    </row>
    <row r="18" spans="1:39" ht="90.75" customHeight="1" thickBot="1" x14ac:dyDescent="0.45">
      <c r="A18" s="198">
        <v>3</v>
      </c>
      <c r="B18" s="189" t="s">
        <v>174</v>
      </c>
      <c r="C18" s="197" t="s">
        <v>171</v>
      </c>
      <c r="D18" s="198" t="s">
        <v>185</v>
      </c>
      <c r="E18" s="198" t="s">
        <v>197</v>
      </c>
      <c r="F18" s="199" t="s">
        <v>210</v>
      </c>
      <c r="G18" s="200" t="s">
        <v>333</v>
      </c>
      <c r="H18" s="201">
        <v>1</v>
      </c>
      <c r="I18" s="201">
        <v>1</v>
      </c>
      <c r="J18" s="203">
        <v>3000</v>
      </c>
      <c r="K18" s="203">
        <f t="shared" ref="K18" si="10">IF(F18&lt;&gt;"",H18*I18*J18,"")</f>
        <v>3000</v>
      </c>
      <c r="L18" s="203">
        <f t="shared" ref="L18" si="11">IF(K18&lt;&gt;"",IF(D18="INTERNO",0,K18*$L$14),"")</f>
        <v>150</v>
      </c>
      <c r="M18" s="203">
        <f t="shared" ref="M18" si="12">IF(K18&lt;&gt;"",IF(E18="FAT.OGGI",SUM(K18:L18)*(1/(1-$M$14)-1),L18*(1/(1-$M$14)-1)),"")</f>
        <v>36.40487138063876</v>
      </c>
      <c r="N18" s="204">
        <f t="shared" ref="N18" si="13">SUM(K18:M18)</f>
        <v>3186.4048713806387</v>
      </c>
      <c r="Q18" s="272">
        <f>IF(H18&lt;&gt;"",H18,"")</f>
        <v>1</v>
      </c>
      <c r="R18" s="273">
        <f>IF(I18&lt;&gt;"",I18,"")</f>
        <v>1</v>
      </c>
      <c r="S18" s="274">
        <v>3000</v>
      </c>
      <c r="T18" s="274">
        <v>71085.84</v>
      </c>
      <c r="U18" s="275">
        <f t="shared" ref="U18" si="14">IF(Q18&lt;&gt;"",K18-T18,"")</f>
        <v>-68085.84</v>
      </c>
      <c r="V18" s="276">
        <f t="shared" ref="V18" si="15">IF(Q18&lt;&gt;"",0%,"")</f>
        <v>0</v>
      </c>
      <c r="W18" s="277">
        <f t="shared" ref="W18" si="16">IF(Q18&lt;&gt;"",V18*U18,"")</f>
        <v>0</v>
      </c>
      <c r="X18" s="277">
        <f t="shared" ref="X18" si="17">IF(Q18&lt;&gt;"",W18+T18,"")</f>
        <v>71085.84</v>
      </c>
      <c r="Y18" s="231">
        <f t="shared" ref="Y18" si="18">IF(Q18&lt;&gt;"",X18+M18,"")</f>
        <v>71122.244871380637</v>
      </c>
      <c r="Z18" s="212">
        <f t="shared" ref="Z18" si="19">IF(Q18&lt;&gt;"",U18/K18,"")</f>
        <v>-22.69528</v>
      </c>
      <c r="AA18" s="278">
        <f>T18/$T$22</f>
        <v>1</v>
      </c>
      <c r="AB18" s="349">
        <v>6292.17</v>
      </c>
      <c r="AK18" s="214">
        <f>X18-AL18</f>
        <v>0</v>
      </c>
      <c r="AL18" s="215">
        <f>164.09+316.8+569.76+569.76+639.32+639.32+846.6+1132.8+2806.61+6292.17+18482.5+19876.5+21923.23-3173.62</f>
        <v>71085.84</v>
      </c>
      <c r="AM18" s="90" t="s">
        <v>346</v>
      </c>
    </row>
    <row r="19" spans="1:39" ht="90.75" customHeight="1" thickBot="1" x14ac:dyDescent="0.45">
      <c r="A19" s="198">
        <v>4</v>
      </c>
      <c r="B19" s="189" t="s">
        <v>153</v>
      </c>
      <c r="C19" s="197" t="s">
        <v>171</v>
      </c>
      <c r="D19" s="198" t="s">
        <v>185</v>
      </c>
      <c r="E19" s="198" t="s">
        <v>197</v>
      </c>
      <c r="F19" s="280" t="s">
        <v>211</v>
      </c>
      <c r="G19" s="299" t="s">
        <v>288</v>
      </c>
      <c r="H19" s="282">
        <v>7</v>
      </c>
      <c r="I19" s="282">
        <v>1</v>
      </c>
      <c r="J19" s="203">
        <f t="shared" ref="J19:J21" si="20">S19*10%+S19</f>
        <v>3925.02495</v>
      </c>
      <c r="K19" s="223">
        <f t="shared" si="0"/>
        <v>27475.174650000001</v>
      </c>
      <c r="L19" s="223">
        <f t="shared" si="1"/>
        <v>1373.7587325000002</v>
      </c>
      <c r="M19" s="223">
        <f t="shared" si="2"/>
        <v>333.41006643127889</v>
      </c>
      <c r="N19" s="224">
        <f t="shared" si="3"/>
        <v>29182.343448931279</v>
      </c>
      <c r="Q19" s="272">
        <v>7</v>
      </c>
      <c r="R19" s="273">
        <f>IF(I19&lt;&gt;"",I19,"")</f>
        <v>1</v>
      </c>
      <c r="S19" s="274">
        <v>3568.2044999999998</v>
      </c>
      <c r="T19" s="274">
        <v>0</v>
      </c>
      <c r="U19" s="275">
        <f t="shared" si="4"/>
        <v>27475.174650000001</v>
      </c>
      <c r="V19" s="276">
        <f t="shared" si="5"/>
        <v>0</v>
      </c>
      <c r="W19" s="277">
        <f t="shared" si="6"/>
        <v>0</v>
      </c>
      <c r="X19" s="277">
        <f t="shared" si="7"/>
        <v>0</v>
      </c>
      <c r="Y19" s="231">
        <f t="shared" si="8"/>
        <v>333.41006643127889</v>
      </c>
      <c r="Z19" s="212">
        <f t="shared" si="9"/>
        <v>1</v>
      </c>
      <c r="AA19" s="278">
        <f>T19/$T$22</f>
        <v>0</v>
      </c>
      <c r="AB19" s="349">
        <v>21923.23</v>
      </c>
      <c r="AK19" s="214">
        <f t="shared" ref="AK19:AK25" si="21">X19-AL19</f>
        <v>0</v>
      </c>
      <c r="AL19" s="215"/>
    </row>
    <row r="20" spans="1:39" ht="90.75" customHeight="1" thickBot="1" x14ac:dyDescent="0.45">
      <c r="A20" s="198">
        <v>4</v>
      </c>
      <c r="B20" s="189" t="s">
        <v>153</v>
      </c>
      <c r="C20" s="197" t="s">
        <v>171</v>
      </c>
      <c r="D20" s="198" t="s">
        <v>185</v>
      </c>
      <c r="E20" s="198" t="s">
        <v>197</v>
      </c>
      <c r="F20" s="280" t="s">
        <v>211</v>
      </c>
      <c r="G20" s="299" t="s">
        <v>288</v>
      </c>
      <c r="H20" s="282">
        <v>6</v>
      </c>
      <c r="I20" s="282">
        <v>1</v>
      </c>
      <c r="J20" s="203">
        <f t="shared" si="20"/>
        <v>4153.8623500000003</v>
      </c>
      <c r="K20" s="223">
        <f t="shared" ref="K20" si="22">IF(F20&lt;&gt;"",H20*I20*J20,"")</f>
        <v>24923.174100000004</v>
      </c>
      <c r="L20" s="223">
        <f t="shared" ref="L20" si="23">IF(K20&lt;&gt;"",IF(D20="INTERNO",0,K20*$L$14),"")</f>
        <v>1246.1587050000003</v>
      </c>
      <c r="M20" s="223">
        <f t="shared" ref="M20" si="24">IF(K20&lt;&gt;"",IF(E20="FAT.OGGI",SUM(K20:L20)*(1/(1-$M$14)-1),L20*(1/(1-$M$14)-1)),"")</f>
        <v>302.44164916925581</v>
      </c>
      <c r="N20" s="224">
        <f t="shared" ref="N20" si="25">SUM(K20:M20)</f>
        <v>26471.774454169263</v>
      </c>
      <c r="Q20" s="272">
        <v>6</v>
      </c>
      <c r="R20" s="273">
        <f>IF(I20&lt;&gt;"",I20,"")</f>
        <v>1</v>
      </c>
      <c r="S20" s="274">
        <v>3776.2385000000004</v>
      </c>
      <c r="T20" s="274">
        <v>0</v>
      </c>
      <c r="U20" s="275">
        <f t="shared" ref="U20" si="26">IF(Q20&lt;&gt;"",K20-T20,"")</f>
        <v>24923.174100000004</v>
      </c>
      <c r="V20" s="276">
        <f t="shared" ref="V20" si="27">IF(Q20&lt;&gt;"",0%,"")</f>
        <v>0</v>
      </c>
      <c r="W20" s="277">
        <f t="shared" ref="W20" si="28">IF(Q20&lt;&gt;"",V20*U20,"")</f>
        <v>0</v>
      </c>
      <c r="X20" s="277">
        <f t="shared" ref="X20" si="29">IF(Q20&lt;&gt;"",W20+T20,"")</f>
        <v>0</v>
      </c>
      <c r="Y20" s="231">
        <f t="shared" ref="Y20" si="30">IF(Q20&lt;&gt;"",X20+M20,"")</f>
        <v>302.44164916925581</v>
      </c>
      <c r="Z20" s="212">
        <f t="shared" ref="Z20" si="31">IF(Q20&lt;&gt;"",U20/K20,"")</f>
        <v>1</v>
      </c>
      <c r="AA20" s="278">
        <f>T20/$T$22</f>
        <v>0</v>
      </c>
      <c r="AB20" s="349">
        <v>18482.5</v>
      </c>
      <c r="AK20" s="214">
        <f t="shared" si="21"/>
        <v>0</v>
      </c>
      <c r="AL20" s="215"/>
    </row>
    <row r="21" spans="1:39" ht="90.75" customHeight="1" x14ac:dyDescent="0.4">
      <c r="A21" s="198">
        <v>4</v>
      </c>
      <c r="B21" s="189" t="s">
        <v>153</v>
      </c>
      <c r="C21" s="197" t="s">
        <v>171</v>
      </c>
      <c r="D21" s="198" t="s">
        <v>185</v>
      </c>
      <c r="E21" s="198" t="s">
        <v>197</v>
      </c>
      <c r="F21" s="280" t="s">
        <v>211</v>
      </c>
      <c r="G21" s="299" t="s">
        <v>288</v>
      </c>
      <c r="H21" s="282">
        <v>5</v>
      </c>
      <c r="I21" s="282">
        <v>1</v>
      </c>
      <c r="J21" s="203">
        <f t="shared" si="20"/>
        <v>4225.7820000000002</v>
      </c>
      <c r="K21" s="223">
        <f t="shared" si="0"/>
        <v>21128.91</v>
      </c>
      <c r="L21" s="223">
        <f t="shared" si="1"/>
        <v>1056.4455</v>
      </c>
      <c r="M21" s="223">
        <f t="shared" si="2"/>
        <v>256.39841698769737</v>
      </c>
      <c r="N21" s="224">
        <f t="shared" si="3"/>
        <v>22441.753916987698</v>
      </c>
      <c r="Q21" s="272">
        <v>5</v>
      </c>
      <c r="R21" s="273">
        <f>IF(I21&lt;&gt;"",I21,"")</f>
        <v>1</v>
      </c>
      <c r="S21" s="274">
        <v>3841.62</v>
      </c>
      <c r="T21" s="274">
        <v>0</v>
      </c>
      <c r="U21" s="275">
        <f t="shared" si="4"/>
        <v>21128.91</v>
      </c>
      <c r="V21" s="276">
        <f t="shared" si="5"/>
        <v>0</v>
      </c>
      <c r="W21" s="277">
        <f t="shared" si="6"/>
        <v>0</v>
      </c>
      <c r="X21" s="277">
        <f t="shared" si="7"/>
        <v>0</v>
      </c>
      <c r="Y21" s="231">
        <f t="shared" si="8"/>
        <v>256.39841698769737</v>
      </c>
      <c r="Z21" s="212">
        <f t="shared" si="9"/>
        <v>1</v>
      </c>
      <c r="AA21" s="278">
        <f>T21/$T$22</f>
        <v>0</v>
      </c>
      <c r="AK21" s="214">
        <f t="shared" si="21"/>
        <v>0</v>
      </c>
      <c r="AL21" s="215"/>
    </row>
    <row r="22" spans="1:39" ht="33.75" customHeight="1" thickBot="1" x14ac:dyDescent="0.5">
      <c r="A22" s="264">
        <v>5</v>
      </c>
      <c r="B22" s="189"/>
      <c r="C22" s="317" t="s">
        <v>182</v>
      </c>
      <c r="D22" s="264"/>
      <c r="E22" s="264"/>
      <c r="F22" s="420" t="s">
        <v>212</v>
      </c>
      <c r="G22" s="421"/>
      <c r="H22" s="421"/>
      <c r="I22" s="421"/>
      <c r="J22" s="421"/>
      <c r="K22" s="300">
        <f>SUM(K17:K21)</f>
        <v>84374.506125</v>
      </c>
      <c r="L22" s="300">
        <f>SUM(L17:L21)</f>
        <v>4218.7253062500004</v>
      </c>
      <c r="M22" s="300">
        <f>SUM(M17:M21)</f>
        <v>1023.8810144285142</v>
      </c>
      <c r="N22" s="323">
        <f>SUM(N17:N21)</f>
        <v>89617.112445678518</v>
      </c>
      <c r="Q22" s="431" t="s">
        <v>212</v>
      </c>
      <c r="R22" s="432"/>
      <c r="S22" s="432"/>
      <c r="T22" s="324">
        <f>SUM(T17:T21)</f>
        <v>71085.84</v>
      </c>
      <c r="U22" s="325">
        <f>SUM(U17:U21)</f>
        <v>13288.666125000007</v>
      </c>
      <c r="V22" s="276"/>
      <c r="W22" s="277"/>
      <c r="X22" s="326">
        <f>SUM(X17:X21)</f>
        <v>71085.84</v>
      </c>
      <c r="Y22" s="327">
        <f>IF(Q22&lt;&gt;"",X22+M22,"")</f>
        <v>72109.721014428505</v>
      </c>
      <c r="Z22" s="212"/>
      <c r="AA22" s="213"/>
      <c r="AK22" s="214"/>
      <c r="AL22" s="215"/>
    </row>
    <row r="23" spans="1:39" ht="33.75" customHeight="1" x14ac:dyDescent="0.45">
      <c r="A23" s="283">
        <v>6</v>
      </c>
      <c r="B23" s="189" t="s">
        <v>213</v>
      </c>
      <c r="C23" s="284" t="s">
        <v>167</v>
      </c>
      <c r="D23" s="283"/>
      <c r="E23" s="283"/>
      <c r="F23" s="476" t="s">
        <v>216</v>
      </c>
      <c r="G23" s="477"/>
      <c r="H23" s="477"/>
      <c r="I23" s="477"/>
      <c r="J23" s="477"/>
      <c r="K23" s="478"/>
      <c r="L23" s="350" t="s">
        <v>168</v>
      </c>
      <c r="M23" s="351" t="s">
        <v>169</v>
      </c>
      <c r="N23" s="352" t="s">
        <v>129</v>
      </c>
      <c r="Q23" s="431" t="str">
        <f>IF(F23&lt;&gt;"",F23,"")</f>
        <v>HOSPEDAGEM</v>
      </c>
      <c r="R23" s="432"/>
      <c r="S23" s="432"/>
      <c r="T23" s="432"/>
      <c r="U23" s="432"/>
      <c r="V23" s="432"/>
      <c r="W23" s="432"/>
      <c r="X23" s="432"/>
      <c r="Y23" s="450"/>
      <c r="Z23" s="270" t="s">
        <v>170</v>
      </c>
      <c r="AA23" s="271" t="s">
        <v>130</v>
      </c>
      <c r="AK23" s="214"/>
      <c r="AL23" s="215"/>
    </row>
    <row r="24" spans="1:39" ht="105" x14ac:dyDescent="0.4">
      <c r="A24" s="264">
        <v>7</v>
      </c>
      <c r="B24" s="189" t="s">
        <v>214</v>
      </c>
      <c r="C24" s="197" t="s">
        <v>171</v>
      </c>
      <c r="D24" s="198" t="s">
        <v>185</v>
      </c>
      <c r="E24" s="198" t="s">
        <v>197</v>
      </c>
      <c r="F24" s="199" t="s">
        <v>272</v>
      </c>
      <c r="G24" s="200" t="s">
        <v>291</v>
      </c>
      <c r="H24" s="201">
        <v>5</v>
      </c>
      <c r="I24" s="201">
        <v>1</v>
      </c>
      <c r="J24" s="203">
        <v>2750.1317307692311</v>
      </c>
      <c r="K24" s="203">
        <f>IF(F24&lt;&gt;"",H24*I24*J24,"")</f>
        <v>13750.658653846156</v>
      </c>
      <c r="L24" s="203">
        <f>IF(K24&lt;&gt;"",IF(D24="INTERNO",0,K24*$L$14),"")</f>
        <v>687.5329326923079</v>
      </c>
      <c r="M24" s="203">
        <f>IF(K24&lt;&gt;"",IF(E24="FAT.OGGI",SUM(K24:L24)*(1/(1-$M$14)-1),L24*(1/(1-$M$14)-1)),"")</f>
        <v>166.86365323077888</v>
      </c>
      <c r="N24" s="204">
        <f>SUM(K24:M24)</f>
        <v>14605.055239769243</v>
      </c>
      <c r="Q24" s="272">
        <f>IF(H24&lt;&gt;"",H24,"")</f>
        <v>5</v>
      </c>
      <c r="R24" s="273">
        <f>IF(I24&lt;&gt;"",I24,"")</f>
        <v>1</v>
      </c>
      <c r="S24" s="274">
        <v>2619.1730769230771</v>
      </c>
      <c r="T24" s="274">
        <v>33142.129999999997</v>
      </c>
      <c r="U24" s="275">
        <f>IF(Q24&lt;&gt;"",K24-T24,"")</f>
        <v>-19391.471346153841</v>
      </c>
      <c r="V24" s="276">
        <f>IF(Q24&lt;&gt;"",0%,"")</f>
        <v>0</v>
      </c>
      <c r="W24" s="277">
        <f>IF(Q24&lt;&gt;"",V24*U24,"")</f>
        <v>0</v>
      </c>
      <c r="X24" s="277">
        <f>IF(Q24&lt;&gt;"",W24+T24,"")</f>
        <v>33142.129999999997</v>
      </c>
      <c r="Y24" s="231">
        <f>IF(Q24&lt;&gt;"",X24+M24,"")</f>
        <v>33308.993653230777</v>
      </c>
      <c r="Z24" s="212">
        <f>IF(Q24&lt;&gt;"",U24/K24,"")</f>
        <v>-1.41022127261736</v>
      </c>
      <c r="AA24" s="353">
        <f>T24/$T$26</f>
        <v>1</v>
      </c>
      <c r="AK24" s="214">
        <f t="shared" si="21"/>
        <v>0</v>
      </c>
      <c r="AL24" s="215">
        <f>16828.13+16314</f>
        <v>33142.130000000005</v>
      </c>
      <c r="AM24" s="360" t="s">
        <v>351</v>
      </c>
    </row>
    <row r="25" spans="1:39" ht="105" x14ac:dyDescent="0.4">
      <c r="A25" s="264">
        <v>8</v>
      </c>
      <c r="B25" s="189" t="s">
        <v>215</v>
      </c>
      <c r="C25" s="197" t="s">
        <v>171</v>
      </c>
      <c r="D25" s="198" t="s">
        <v>185</v>
      </c>
      <c r="E25" s="198" t="s">
        <v>197</v>
      </c>
      <c r="F25" s="199" t="s">
        <v>272</v>
      </c>
      <c r="G25" s="200" t="s">
        <v>292</v>
      </c>
      <c r="H25" s="201">
        <v>8</v>
      </c>
      <c r="I25" s="201">
        <v>1</v>
      </c>
      <c r="J25" s="203">
        <v>2750.1317307692311</v>
      </c>
      <c r="K25" s="203">
        <f>IF(F25&lt;&gt;"",H25*I25*J25,"")</f>
        <v>22001.053846153849</v>
      </c>
      <c r="L25" s="203">
        <f>IF(K25&lt;&gt;"",IF(D25="INTERNO",0,K25*$L$14),"")</f>
        <v>1100.0526923076925</v>
      </c>
      <c r="M25" s="203">
        <f>IF(K25&lt;&gt;"",IF(E25="FAT.OGGI",SUM(K25:L25)*(1/(1-$M$14)-1),L25*(1/(1-$M$14)-1)),"")</f>
        <v>266.98184516924618</v>
      </c>
      <c r="N25" s="204">
        <f>SUM(K25:M25)</f>
        <v>23368.088383630788</v>
      </c>
      <c r="Q25" s="272">
        <f>IF(H25&lt;&gt;"",H25,"")</f>
        <v>8</v>
      </c>
      <c r="R25" s="273">
        <f>IF(I25&lt;&gt;"",I25,"")</f>
        <v>1</v>
      </c>
      <c r="S25" s="274">
        <v>2619.1730769230771</v>
      </c>
      <c r="T25" s="274">
        <v>0</v>
      </c>
      <c r="U25" s="275">
        <f>IF(Q25&lt;&gt;"",K25-T25,"")</f>
        <v>22001.053846153849</v>
      </c>
      <c r="V25" s="276">
        <f>IF(Q25&lt;&gt;"",0%,"")</f>
        <v>0</v>
      </c>
      <c r="W25" s="277">
        <f>IF(Q25&lt;&gt;"",V25*U25,"")</f>
        <v>0</v>
      </c>
      <c r="X25" s="277">
        <f>IF(Q25&lt;&gt;"",W25+T25,"")</f>
        <v>0</v>
      </c>
      <c r="Y25" s="231">
        <f>IF(Q25&lt;&gt;"",X25+M25,"")</f>
        <v>266.98184516924618</v>
      </c>
      <c r="Z25" s="212">
        <f>IF(Q25&lt;&gt;"",U25/K25,"")</f>
        <v>1</v>
      </c>
      <c r="AA25" s="353"/>
      <c r="AK25" s="214">
        <f t="shared" si="21"/>
        <v>0</v>
      </c>
      <c r="AL25" s="215"/>
    </row>
    <row r="26" spans="1:39" ht="33.75" customHeight="1" x14ac:dyDescent="0.45">
      <c r="A26" s="198">
        <v>13</v>
      </c>
      <c r="B26" s="189"/>
      <c r="C26" s="197" t="s">
        <v>182</v>
      </c>
      <c r="D26" s="198"/>
      <c r="E26" s="198"/>
      <c r="F26" s="429" t="s">
        <v>217</v>
      </c>
      <c r="G26" s="430"/>
      <c r="H26" s="430"/>
      <c r="I26" s="430"/>
      <c r="J26" s="430"/>
      <c r="K26" s="344">
        <f>SUM(K24:K25)</f>
        <v>35751.712500000009</v>
      </c>
      <c r="L26" s="344">
        <f>SUM(L24:L25)</f>
        <v>1787.5856250000004</v>
      </c>
      <c r="M26" s="344">
        <f>SUM(M24:M25)</f>
        <v>433.84549840002506</v>
      </c>
      <c r="N26" s="288">
        <f>SUM(N24:N25)</f>
        <v>37973.143623400028</v>
      </c>
      <c r="Q26" s="431" t="s">
        <v>217</v>
      </c>
      <c r="R26" s="432"/>
      <c r="S26" s="432"/>
      <c r="T26" s="324">
        <f>SUM(T24:T25)</f>
        <v>33142.129999999997</v>
      </c>
      <c r="U26" s="325">
        <f>SUM(U24:U25)</f>
        <v>2609.5825000000077</v>
      </c>
      <c r="V26" s="276"/>
      <c r="W26" s="277"/>
      <c r="X26" s="326">
        <f>SUM(X24:X25)</f>
        <v>33142.129999999997</v>
      </c>
      <c r="Y26" s="327">
        <f>IF(Q26&lt;&gt;"",X26+M26,"")</f>
        <v>33575.975498400025</v>
      </c>
      <c r="Z26" s="212"/>
      <c r="AA26" s="213"/>
      <c r="AK26" s="214"/>
      <c r="AL26" s="215"/>
    </row>
    <row r="27" spans="1:39" ht="33.75" customHeight="1" thickBot="1" x14ac:dyDescent="0.5">
      <c r="A27" s="216">
        <v>14</v>
      </c>
      <c r="B27" s="255"/>
      <c r="C27" s="217" t="s">
        <v>236</v>
      </c>
      <c r="D27" s="216"/>
      <c r="E27" s="216"/>
      <c r="F27" s="479" t="s">
        <v>247</v>
      </c>
      <c r="G27" s="480"/>
      <c r="H27" s="480"/>
      <c r="I27" s="480"/>
      <c r="J27" s="480"/>
      <c r="K27" s="328">
        <f>SUM(K17:K21)+SUM(K24:K25)</f>
        <v>120126.21862500001</v>
      </c>
      <c r="L27" s="328">
        <f>SUM(L17:L21)+SUM(L24:L25)</f>
        <v>6006.310931250001</v>
      </c>
      <c r="M27" s="328">
        <f>SUM(M17:M21)+SUM(M24:M25)</f>
        <v>1457.7265128285392</v>
      </c>
      <c r="N27" s="329">
        <f>SUM(N17:N21)+SUM(N24:N25)</f>
        <v>127590.25606907855</v>
      </c>
      <c r="Q27" s="435" t="s">
        <v>247</v>
      </c>
      <c r="R27" s="436"/>
      <c r="S27" s="436"/>
      <c r="T27" s="330">
        <f>SUM(T17:T21)+SUM(T24:T25)</f>
        <v>104227.97</v>
      </c>
      <c r="U27" s="303">
        <f>SUM(U17:U21)+SUM(U24:U25)</f>
        <v>15898.248625000015</v>
      </c>
      <c r="V27" s="304"/>
      <c r="W27" s="305"/>
      <c r="X27" s="306">
        <f>SUM(X17:X21)+SUM(X24:X25)</f>
        <v>104227.97</v>
      </c>
      <c r="Y27" s="307">
        <f>IF(Q27&lt;&gt;"",X27+M27,"")</f>
        <v>105685.69651282854</v>
      </c>
      <c r="Z27" s="212"/>
      <c r="AA27" s="213"/>
      <c r="AK27" s="214">
        <f>SUM(AK17:AK26)</f>
        <v>0</v>
      </c>
      <c r="AL27" s="215">
        <f>SUM(AL18:AL26)</f>
        <v>104227.97</v>
      </c>
    </row>
  </sheetData>
  <mergeCells count="21">
    <mergeCell ref="F22:J22"/>
    <mergeCell ref="Q22:S22"/>
    <mergeCell ref="F1:G1"/>
    <mergeCell ref="F2:G2"/>
    <mergeCell ref="Q12:T12"/>
    <mergeCell ref="AK12:AL12"/>
    <mergeCell ref="F15:N15"/>
    <mergeCell ref="Q15:Y15"/>
    <mergeCell ref="F16:K16"/>
    <mergeCell ref="Q16:Y16"/>
    <mergeCell ref="U12:X12"/>
    <mergeCell ref="AC12:AE12"/>
    <mergeCell ref="AG12:AH12"/>
    <mergeCell ref="AK15:AL15"/>
    <mergeCell ref="AK16:AL16"/>
    <mergeCell ref="F23:K23"/>
    <mergeCell ref="Q23:Y23"/>
    <mergeCell ref="F26:J26"/>
    <mergeCell ref="Q26:S26"/>
    <mergeCell ref="F27:J27"/>
    <mergeCell ref="Q27:S27"/>
  </mergeCells>
  <dataValidations disablePrompts="1" count="2">
    <dataValidation type="list" allowBlank="1" showInputMessage="1" showErrorMessage="1" sqref="E17:E27" xr:uid="{3586EB84-8831-460F-9FBB-A06E1E5649E0}">
      <formula1>"FAT.OGGI,FAT.CLIENTE"</formula1>
    </dataValidation>
    <dataValidation type="list" allowBlank="1" showInputMessage="1" showErrorMessage="1" sqref="D17:D27" xr:uid="{EB390F53-D445-4AD0-A063-73918203A252}">
      <formula1>"INTERNO,OPERACIONAL"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C013-92C0-492B-A43D-96E1DB47A9BD}">
  <sheetPr codeName="Planilha22">
    <pageSetUpPr autoPageBreaks="0"/>
  </sheetPr>
  <dimension ref="A1:AL36"/>
  <sheetViews>
    <sheetView showGridLines="0" topLeftCell="B1" zoomScale="50" zoomScaleNormal="50" workbookViewId="0">
      <pane ySplit="1" topLeftCell="A22" activePane="bottomLeft" state="frozen"/>
      <selection activeCell="N39" sqref="N39"/>
      <selection pane="bottomLeft" activeCell="AK19" sqref="AK19:AK25"/>
    </sheetView>
  </sheetViews>
  <sheetFormatPr defaultColWidth="9.109375" defaultRowHeight="21" x14ac:dyDescent="0.4"/>
  <cols>
    <col min="1" max="1" width="8.33203125" style="136" hidden="1" customWidth="1"/>
    <col min="2" max="2" width="11.33203125" style="136" customWidth="1"/>
    <col min="3" max="3" width="5.44140625" style="136" hidden="1" customWidth="1"/>
    <col min="4" max="4" width="6" style="136" hidden="1" customWidth="1"/>
    <col min="5" max="5" width="9.5546875" style="136" hidden="1" customWidth="1"/>
    <col min="6" max="6" width="41.33203125" style="136" customWidth="1"/>
    <col min="7" max="7" width="75" style="136" customWidth="1"/>
    <col min="8" max="9" width="7.6640625" style="139" hidden="1" customWidth="1"/>
    <col min="10" max="10" width="16.44140625" style="136" hidden="1" customWidth="1"/>
    <col min="11" max="11" width="26.44140625" style="136" bestFit="1" customWidth="1"/>
    <col min="12" max="13" width="24.5546875" style="136" customWidth="1"/>
    <col min="14" max="14" width="25.88671875" style="136" customWidth="1"/>
    <col min="15" max="15" width="3.33203125" style="136" hidden="1" customWidth="1"/>
    <col min="16" max="16" width="1.88671875" style="136" hidden="1" customWidth="1"/>
    <col min="17" max="17" width="7.6640625" style="139" customWidth="1"/>
    <col min="18" max="18" width="7.6640625" style="139" hidden="1" customWidth="1"/>
    <col min="19" max="19" width="17" style="136" hidden="1" customWidth="1"/>
    <col min="20" max="20" width="27.88671875" style="136" customWidth="1"/>
    <col min="21" max="21" width="33.33203125" style="136" hidden="1" customWidth="1"/>
    <col min="22" max="23" width="22.6640625" style="136" hidden="1" customWidth="1"/>
    <col min="24" max="24" width="28.109375" style="136" bestFit="1" customWidth="1"/>
    <col min="25" max="25" width="28.109375" style="136" hidden="1" customWidth="1"/>
    <col min="26" max="26" width="19.6640625" style="136" hidden="1" customWidth="1"/>
    <col min="27" max="27" width="25.109375" style="136" hidden="1" customWidth="1"/>
    <col min="28" max="28" width="38.109375" style="136" hidden="1" customWidth="1"/>
    <col min="29" max="30" width="33" style="136" hidden="1" customWidth="1"/>
    <col min="31" max="31" width="28" style="136" hidden="1" customWidth="1"/>
    <col min="32" max="32" width="1.33203125" style="136" hidden="1" customWidth="1"/>
    <col min="33" max="33" width="81.5546875" style="136" hidden="1" customWidth="1"/>
    <col min="34" max="34" width="36.6640625" style="136" hidden="1" customWidth="1"/>
    <col min="35" max="35" width="1.5546875" style="136" hidden="1" customWidth="1"/>
    <col min="36" max="36" width="20.33203125" style="136" hidden="1" customWidth="1"/>
    <col min="37" max="37" width="25.33203125" style="136" bestFit="1" customWidth="1"/>
    <col min="38" max="38" width="24.88671875" style="136" bestFit="1" customWidth="1"/>
    <col min="39" max="39" width="9.109375" style="136"/>
    <col min="40" max="40" width="21.33203125" style="136" customWidth="1"/>
    <col min="41" max="16384" width="9.109375" style="136"/>
  </cols>
  <sheetData>
    <row r="1" spans="1:38" ht="49.5" customHeight="1" x14ac:dyDescent="0.4">
      <c r="B1" s="256"/>
      <c r="C1" s="257"/>
      <c r="D1" s="257"/>
      <c r="F1" s="396" t="s">
        <v>128</v>
      </c>
      <c r="G1" s="396"/>
    </row>
    <row r="2" spans="1:38" ht="24.75" customHeight="1" x14ac:dyDescent="0.4">
      <c r="B2" s="140"/>
      <c r="D2" s="257"/>
      <c r="F2" s="397" t="s">
        <v>0</v>
      </c>
      <c r="G2" s="397"/>
    </row>
    <row r="3" spans="1:38" ht="22.2" x14ac:dyDescent="0.4">
      <c r="B3" s="258"/>
      <c r="F3" s="142"/>
      <c r="G3" s="142"/>
    </row>
    <row r="4" spans="1:38" ht="22.2" x14ac:dyDescent="0.4">
      <c r="F4" s="143" t="s">
        <v>199</v>
      </c>
      <c r="G4" s="144"/>
    </row>
    <row r="5" spans="1:38" ht="22.2" x14ac:dyDescent="0.4">
      <c r="F5" s="145" t="s">
        <v>193</v>
      </c>
      <c r="G5" s="146"/>
    </row>
    <row r="6" spans="1:38" ht="22.2" x14ac:dyDescent="0.4">
      <c r="F6" s="145" t="s">
        <v>200</v>
      </c>
      <c r="G6" s="147"/>
    </row>
    <row r="7" spans="1:38" ht="21.75" customHeight="1" x14ac:dyDescent="0.4">
      <c r="F7" s="145" t="s">
        <v>203</v>
      </c>
      <c r="G7" s="147"/>
    </row>
    <row r="8" spans="1:38" ht="22.2" x14ac:dyDescent="0.4">
      <c r="F8" s="148" t="s">
        <v>201</v>
      </c>
      <c r="G8" s="149"/>
    </row>
    <row r="9" spans="1:38" ht="22.2" x14ac:dyDescent="0.4">
      <c r="F9" s="145" t="s">
        <v>194</v>
      </c>
      <c r="G9" s="147"/>
      <c r="M9" s="136">
        <v>0.80469999999999997</v>
      </c>
    </row>
    <row r="10" spans="1:38" ht="27" customHeight="1" x14ac:dyDescent="0.4">
      <c r="F10" s="145" t="s">
        <v>198</v>
      </c>
      <c r="G10" s="147"/>
      <c r="M10" s="136">
        <f>1-M9</f>
        <v>0.19530000000000003</v>
      </c>
    </row>
    <row r="11" spans="1:38" ht="22.2" x14ac:dyDescent="0.4">
      <c r="F11" s="150" t="s">
        <v>202</v>
      </c>
      <c r="G11" s="151"/>
    </row>
    <row r="12" spans="1:38" ht="22.8" hidden="1" thickBot="1" x14ac:dyDescent="0.45">
      <c r="B12" s="152"/>
      <c r="M12" s="153"/>
      <c r="Q12" s="398" t="s">
        <v>1</v>
      </c>
      <c r="R12" s="399"/>
      <c r="S12" s="399"/>
      <c r="T12" s="400"/>
      <c r="U12" s="412" t="s">
        <v>2</v>
      </c>
      <c r="V12" s="413"/>
      <c r="W12" s="413"/>
      <c r="X12" s="414"/>
      <c r="Y12" s="154" t="s">
        <v>56</v>
      </c>
      <c r="Z12" s="155" t="e">
        <f>(1/(1-#REF!))-1</f>
        <v>#REF!</v>
      </c>
      <c r="AC12" s="415" t="s">
        <v>3</v>
      </c>
      <c r="AD12" s="416"/>
      <c r="AE12" s="417"/>
      <c r="AG12" s="418" t="s">
        <v>58</v>
      </c>
      <c r="AH12" s="419"/>
      <c r="AJ12" s="156" t="s">
        <v>71</v>
      </c>
      <c r="AK12" s="403" t="s">
        <v>70</v>
      </c>
      <c r="AL12" s="404"/>
    </row>
    <row r="13" spans="1:38" ht="15.9" customHeight="1" thickBot="1" x14ac:dyDescent="0.45">
      <c r="A13" s="259" t="s">
        <v>4</v>
      </c>
      <c r="B13" s="260" t="s">
        <v>5</v>
      </c>
      <c r="C13" s="259" t="s">
        <v>6</v>
      </c>
      <c r="D13" s="259" t="s">
        <v>7</v>
      </c>
      <c r="E13" s="259" t="s">
        <v>8</v>
      </c>
      <c r="M13" s="159">
        <v>0.80469999999999997</v>
      </c>
    </row>
    <row r="14" spans="1:38" ht="33" customHeight="1" thickBot="1" x14ac:dyDescent="0.45">
      <c r="A14" s="261">
        <v>0</v>
      </c>
      <c r="B14" s="262"/>
      <c r="C14" s="263"/>
      <c r="D14" s="264"/>
      <c r="E14" s="264"/>
      <c r="F14" s="164" t="s">
        <v>131</v>
      </c>
      <c r="G14" s="165" t="s">
        <v>132</v>
      </c>
      <c r="H14" s="166" t="s">
        <v>133</v>
      </c>
      <c r="I14" s="166" t="s">
        <v>134</v>
      </c>
      <c r="J14" s="167" t="s">
        <v>135</v>
      </c>
      <c r="K14" s="168" t="s">
        <v>9</v>
      </c>
      <c r="L14" s="169">
        <v>7.4999999999999997E-2</v>
      </c>
      <c r="M14" s="170">
        <f>1-M13</f>
        <v>0.19530000000000003</v>
      </c>
      <c r="N14" s="171" t="s">
        <v>129</v>
      </c>
      <c r="Q14" s="172" t="s">
        <v>136</v>
      </c>
      <c r="R14" s="173" t="s">
        <v>137</v>
      </c>
      <c r="S14" s="174" t="s">
        <v>138</v>
      </c>
      <c r="T14" s="175" t="s">
        <v>139</v>
      </c>
      <c r="U14" s="176" t="s">
        <v>140</v>
      </c>
      <c r="V14" s="177" t="s">
        <v>141</v>
      </c>
      <c r="W14" s="178" t="s">
        <v>142</v>
      </c>
      <c r="X14" s="178" t="s">
        <v>143</v>
      </c>
      <c r="Y14" s="179" t="s">
        <v>144</v>
      </c>
      <c r="Z14" s="180" t="s">
        <v>145</v>
      </c>
      <c r="AA14" s="181" t="s">
        <v>130</v>
      </c>
      <c r="AC14" s="182" t="s">
        <v>146</v>
      </c>
      <c r="AD14" s="183" t="s">
        <v>147</v>
      </c>
      <c r="AE14" s="183" t="s">
        <v>33</v>
      </c>
      <c r="AG14" s="184" t="s">
        <v>148</v>
      </c>
      <c r="AH14" s="185" t="s">
        <v>149</v>
      </c>
      <c r="AI14" s="136" t="s">
        <v>150</v>
      </c>
      <c r="AJ14" s="136" t="s">
        <v>150</v>
      </c>
      <c r="AK14" s="186" t="s">
        <v>151</v>
      </c>
      <c r="AL14" s="187" t="s">
        <v>152</v>
      </c>
    </row>
    <row r="15" spans="1:38" ht="24.9" customHeight="1" thickBot="1" x14ac:dyDescent="0.5">
      <c r="A15" s="265">
        <v>1</v>
      </c>
      <c r="B15" s="189">
        <v>1</v>
      </c>
      <c r="C15" s="266" t="s">
        <v>172</v>
      </c>
      <c r="D15" s="265"/>
      <c r="E15" s="265"/>
      <c r="F15" s="405" t="s">
        <v>250</v>
      </c>
      <c r="G15" s="406"/>
      <c r="H15" s="406"/>
      <c r="I15" s="406"/>
      <c r="J15" s="406"/>
      <c r="K15" s="406"/>
      <c r="L15" s="406"/>
      <c r="M15" s="406"/>
      <c r="N15" s="407"/>
      <c r="Q15" s="422" t="str">
        <f>IF(F15&lt;&gt;"",F15,"")</f>
        <v>OPCIONAIS</v>
      </c>
      <c r="R15" s="423"/>
      <c r="S15" s="423"/>
      <c r="T15" s="423"/>
      <c r="U15" s="423"/>
      <c r="V15" s="423"/>
      <c r="W15" s="423"/>
      <c r="X15" s="423"/>
      <c r="Y15" s="463"/>
      <c r="Z15" s="212"/>
      <c r="AA15" s="213"/>
      <c r="AK15" s="422"/>
      <c r="AL15" s="423"/>
    </row>
    <row r="16" spans="1:38" ht="24.9" customHeight="1" x14ac:dyDescent="0.45">
      <c r="A16" s="265">
        <v>2</v>
      </c>
      <c r="B16" s="189" t="s">
        <v>173</v>
      </c>
      <c r="C16" s="266" t="s">
        <v>167</v>
      </c>
      <c r="D16" s="265"/>
      <c r="E16" s="265"/>
      <c r="F16" s="456" t="s">
        <v>250</v>
      </c>
      <c r="G16" s="457"/>
      <c r="H16" s="457"/>
      <c r="I16" s="457"/>
      <c r="J16" s="457"/>
      <c r="K16" s="458"/>
      <c r="L16" s="267" t="s">
        <v>168</v>
      </c>
      <c r="M16" s="268" t="s">
        <v>169</v>
      </c>
      <c r="N16" s="269" t="s">
        <v>129</v>
      </c>
      <c r="Q16" s="424" t="str">
        <f>IF(F16&lt;&gt;"",F16,"")</f>
        <v>OPCIONAIS</v>
      </c>
      <c r="R16" s="425"/>
      <c r="S16" s="425"/>
      <c r="T16" s="425"/>
      <c r="U16" s="425"/>
      <c r="V16" s="425"/>
      <c r="W16" s="425"/>
      <c r="X16" s="425"/>
      <c r="Y16" s="459"/>
      <c r="Z16" s="270" t="s">
        <v>170</v>
      </c>
      <c r="AA16" s="271" t="s">
        <v>130</v>
      </c>
      <c r="AK16" s="424"/>
      <c r="AL16" s="425"/>
    </row>
    <row r="17" spans="1:38" ht="69.900000000000006" customHeight="1" x14ac:dyDescent="0.4">
      <c r="A17" s="198">
        <v>3</v>
      </c>
      <c r="B17" s="189" t="s">
        <v>174</v>
      </c>
      <c r="C17" s="197" t="s">
        <v>171</v>
      </c>
      <c r="D17" s="198" t="s">
        <v>185</v>
      </c>
      <c r="E17" s="198" t="s">
        <v>179</v>
      </c>
      <c r="F17" s="199" t="s">
        <v>221</v>
      </c>
      <c r="G17" s="200" t="s">
        <v>271</v>
      </c>
      <c r="H17" s="201">
        <v>1</v>
      </c>
      <c r="I17" s="201">
        <v>1</v>
      </c>
      <c r="J17" s="203">
        <v>4701.8751882300003</v>
      </c>
      <c r="K17" s="203">
        <f t="shared" ref="K17:K34" si="0">IF(F17&lt;&gt;"",H17*I17*J17,"")</f>
        <v>4701.8751882300003</v>
      </c>
      <c r="L17" s="203">
        <f>IF(K17&lt;&gt;"",IF(D17="INTERNO",0,K17*$L$14),"")</f>
        <v>352.64063911725003</v>
      </c>
      <c r="M17" s="203">
        <f>IF(K17&lt;&gt;"",IF(E17="FAT.OGGI",SUM(K17:L17)*(1/(1-$M$14)-1),L17*(1/(1-$M$14)-1)),"")</f>
        <v>1226.7266572398637</v>
      </c>
      <c r="N17" s="204">
        <f t="shared" ref="N17:N35" si="1">SUM(K17:M17)</f>
        <v>6281.2424845871146</v>
      </c>
      <c r="Q17" s="272">
        <f t="shared" ref="Q17:Q35" si="2">IF(H17&lt;&gt;"",H17,"")</f>
        <v>1</v>
      </c>
      <c r="R17" s="273">
        <f t="shared" ref="R17:R35" si="3">IF(I17&lt;&gt;"",I17,"")</f>
        <v>1</v>
      </c>
      <c r="S17" s="274">
        <v>3918.2293235249999</v>
      </c>
      <c r="T17" s="274">
        <f t="shared" ref="T17:T35" si="4">IF(Q17&lt;&gt;"",Q17*R17*S17,"")</f>
        <v>3918.2293235249999</v>
      </c>
      <c r="U17" s="275">
        <f t="shared" ref="U17:U35" si="5">IF(Q17&lt;&gt;"",K17-T17,"")</f>
        <v>783.64586470500035</v>
      </c>
      <c r="V17" s="276">
        <f t="shared" ref="V17:V35" si="6">IF(Q17&lt;&gt;"",0%,"")</f>
        <v>0</v>
      </c>
      <c r="W17" s="277">
        <f t="shared" ref="W17:W35" si="7">IF(Q17&lt;&gt;"",V17*U17,"")</f>
        <v>0</v>
      </c>
      <c r="X17" s="277">
        <f t="shared" ref="X17:X35" si="8">IF(Q17&lt;&gt;"",W17+T17,"")</f>
        <v>3918.2293235249999</v>
      </c>
      <c r="Y17" s="231">
        <f t="shared" ref="Y17:Y35" si="9">IF(Q17&lt;&gt;"",X17+M17,"")</f>
        <v>5144.9559807648639</v>
      </c>
      <c r="Z17" s="212">
        <f t="shared" ref="Z17:Z35" si="10">IF(Q17&lt;&gt;"",U17/K17,"")</f>
        <v>0.16666666666666674</v>
      </c>
      <c r="AA17" s="278" t="e">
        <f>T17/#REF!</f>
        <v>#REF!</v>
      </c>
      <c r="AK17" s="214">
        <f>X17-AL17</f>
        <v>3918.2293235249999</v>
      </c>
      <c r="AL17" s="215"/>
    </row>
    <row r="18" spans="1:38" ht="69.900000000000006" customHeight="1" x14ac:dyDescent="0.4">
      <c r="A18" s="198">
        <v>36</v>
      </c>
      <c r="B18" s="189" t="s">
        <v>239</v>
      </c>
      <c r="C18" s="197" t="s">
        <v>171</v>
      </c>
      <c r="D18" s="198" t="s">
        <v>185</v>
      </c>
      <c r="E18" s="198" t="s">
        <v>179</v>
      </c>
      <c r="F18" s="354" t="s">
        <v>223</v>
      </c>
      <c r="G18" s="200"/>
      <c r="H18" s="201">
        <v>1</v>
      </c>
      <c r="I18" s="201">
        <v>1</v>
      </c>
      <c r="J18" s="203">
        <f>S18*20%+S18</f>
        <v>3134.5834588200005</v>
      </c>
      <c r="K18" s="203">
        <f t="shared" si="0"/>
        <v>3134.5834588200005</v>
      </c>
      <c r="L18" s="203">
        <f>IF(K18&lt;&gt;"",IF(D18="INTERNO",0,K18*EVENTO!$L$14),"")</f>
        <v>235.09375941150003</v>
      </c>
      <c r="M18" s="203">
        <f>IF(K18&lt;&gt;"",IF(E18="FAT.OGGI",SUM(K18:L18)*(1/(1-EVENTO!$M$14)-1),L18*(1/(1-EVENTO!$M$14)-1)),"")</f>
        <v>817.8177714932425</v>
      </c>
      <c r="N18" s="204">
        <f t="shared" si="1"/>
        <v>4187.4949897247425</v>
      </c>
      <c r="Q18" s="272">
        <f t="shared" si="2"/>
        <v>1</v>
      </c>
      <c r="R18" s="273">
        <f t="shared" si="3"/>
        <v>1</v>
      </c>
      <c r="S18" s="274">
        <v>2612.1528823500003</v>
      </c>
      <c r="T18" s="274">
        <f t="shared" si="4"/>
        <v>2612.1528823500003</v>
      </c>
      <c r="U18" s="275">
        <f t="shared" si="5"/>
        <v>522.43057647000023</v>
      </c>
      <c r="V18" s="276">
        <f t="shared" si="6"/>
        <v>0</v>
      </c>
      <c r="W18" s="277">
        <f t="shared" si="7"/>
        <v>0</v>
      </c>
      <c r="X18" s="277">
        <f t="shared" si="8"/>
        <v>2612.1528823500003</v>
      </c>
      <c r="Y18" s="231">
        <f t="shared" si="9"/>
        <v>3429.9706538432429</v>
      </c>
      <c r="Z18" s="212">
        <f t="shared" si="10"/>
        <v>0.16666666666666671</v>
      </c>
      <c r="AA18" s="278">
        <f>T18/EVENTO!$T$33</f>
        <v>0.12804670991911765</v>
      </c>
      <c r="AK18" s="214">
        <f t="shared" ref="AK18:AK35" si="11">X18-AL18</f>
        <v>2612.1528823500003</v>
      </c>
      <c r="AL18" s="215"/>
    </row>
    <row r="19" spans="1:38" ht="69.900000000000006" customHeight="1" x14ac:dyDescent="0.4">
      <c r="A19" s="198">
        <v>4</v>
      </c>
      <c r="B19" s="189" t="s">
        <v>153</v>
      </c>
      <c r="C19" s="197" t="s">
        <v>171</v>
      </c>
      <c r="D19" s="198" t="s">
        <v>185</v>
      </c>
      <c r="E19" s="198" t="s">
        <v>179</v>
      </c>
      <c r="F19" s="280" t="s">
        <v>222</v>
      </c>
      <c r="G19" s="299" t="s">
        <v>251</v>
      </c>
      <c r="H19" s="282">
        <v>24</v>
      </c>
      <c r="I19" s="282">
        <v>1</v>
      </c>
      <c r="J19" s="203">
        <v>626.91669176399989</v>
      </c>
      <c r="K19" s="223">
        <f t="shared" si="0"/>
        <v>15046.000602335997</v>
      </c>
      <c r="L19" s="223">
        <f t="shared" ref="L19:L31" si="12">IF(K19&lt;&gt;"",IF(D19="INTERNO",0,K19*$L$14),"")</f>
        <v>1128.4500451751996</v>
      </c>
      <c r="M19" s="223">
        <f t="shared" ref="M19:M31" si="13">IF(K19&lt;&gt;"",IF(E19="FAT.OGGI",SUM(K19:L19)*(1/(1-$M$14)-1),L19*(1/(1-$M$14)-1)),"")</f>
        <v>3925.5253031675625</v>
      </c>
      <c r="N19" s="224">
        <f t="shared" si="1"/>
        <v>20099.97595067876</v>
      </c>
      <c r="Q19" s="272">
        <f t="shared" si="2"/>
        <v>24</v>
      </c>
      <c r="R19" s="273">
        <f t="shared" si="3"/>
        <v>1</v>
      </c>
      <c r="S19" s="274">
        <v>522.43057646999989</v>
      </c>
      <c r="T19" s="274">
        <f t="shared" si="4"/>
        <v>12538.333835279998</v>
      </c>
      <c r="U19" s="275">
        <f t="shared" si="5"/>
        <v>2507.6667670559982</v>
      </c>
      <c r="V19" s="276">
        <f t="shared" si="6"/>
        <v>0</v>
      </c>
      <c r="W19" s="277">
        <f t="shared" si="7"/>
        <v>0</v>
      </c>
      <c r="X19" s="277">
        <f t="shared" si="8"/>
        <v>12538.333835279998</v>
      </c>
      <c r="Y19" s="231">
        <f t="shared" si="9"/>
        <v>16463.859138447562</v>
      </c>
      <c r="Z19" s="212">
        <f t="shared" si="10"/>
        <v>0.16666666666666657</v>
      </c>
      <c r="AA19" s="278" t="e">
        <f>T19/#REF!</f>
        <v>#REF!</v>
      </c>
      <c r="AK19" s="214">
        <f t="shared" si="11"/>
        <v>12538.333835279998</v>
      </c>
      <c r="AL19" s="215"/>
    </row>
    <row r="20" spans="1:38" ht="69.900000000000006" customHeight="1" x14ac:dyDescent="0.4">
      <c r="A20" s="198">
        <v>5</v>
      </c>
      <c r="B20" s="189" t="s">
        <v>175</v>
      </c>
      <c r="C20" s="197" t="s">
        <v>171</v>
      </c>
      <c r="D20" s="198" t="s">
        <v>185</v>
      </c>
      <c r="E20" s="198" t="s">
        <v>179</v>
      </c>
      <c r="F20" s="280" t="s">
        <v>222</v>
      </c>
      <c r="G20" s="200" t="s">
        <v>252</v>
      </c>
      <c r="H20" s="282">
        <v>24</v>
      </c>
      <c r="I20" s="201">
        <v>1</v>
      </c>
      <c r="J20" s="203">
        <v>587.73439852875003</v>
      </c>
      <c r="K20" s="203">
        <f t="shared" si="0"/>
        <v>14105.625564690001</v>
      </c>
      <c r="L20" s="203">
        <f t="shared" si="12"/>
        <v>1057.9219173517499</v>
      </c>
      <c r="M20" s="203">
        <f t="shared" si="13"/>
        <v>3680.1799717195913</v>
      </c>
      <c r="N20" s="204">
        <f t="shared" si="1"/>
        <v>18843.727453761341</v>
      </c>
      <c r="Q20" s="272">
        <f t="shared" si="2"/>
        <v>24</v>
      </c>
      <c r="R20" s="273">
        <f t="shared" si="3"/>
        <v>1</v>
      </c>
      <c r="S20" s="274">
        <v>489.77866544062499</v>
      </c>
      <c r="T20" s="274">
        <f t="shared" si="4"/>
        <v>11754.687970575</v>
      </c>
      <c r="U20" s="275">
        <f t="shared" si="5"/>
        <v>2350.937594115001</v>
      </c>
      <c r="V20" s="276">
        <f t="shared" si="6"/>
        <v>0</v>
      </c>
      <c r="W20" s="277">
        <f t="shared" si="7"/>
        <v>0</v>
      </c>
      <c r="X20" s="277">
        <f t="shared" si="8"/>
        <v>11754.687970575</v>
      </c>
      <c r="Y20" s="231">
        <f t="shared" si="9"/>
        <v>15434.867942294592</v>
      </c>
      <c r="Z20" s="212">
        <f t="shared" si="10"/>
        <v>0.16666666666666674</v>
      </c>
      <c r="AA20" s="278" t="e">
        <f>T20/#REF!</f>
        <v>#REF!</v>
      </c>
      <c r="AK20" s="214">
        <f t="shared" si="11"/>
        <v>11754.687970575</v>
      </c>
      <c r="AL20" s="215"/>
    </row>
    <row r="21" spans="1:38" ht="69.900000000000006" customHeight="1" x14ac:dyDescent="0.4">
      <c r="A21" s="198">
        <v>6</v>
      </c>
      <c r="B21" s="189" t="s">
        <v>256</v>
      </c>
      <c r="C21" s="197" t="s">
        <v>171</v>
      </c>
      <c r="D21" s="198" t="s">
        <v>185</v>
      </c>
      <c r="E21" s="198" t="s">
        <v>179</v>
      </c>
      <c r="F21" s="280" t="s">
        <v>222</v>
      </c>
      <c r="G21" s="200" t="s">
        <v>253</v>
      </c>
      <c r="H21" s="282">
        <v>24</v>
      </c>
      <c r="I21" s="201">
        <v>1</v>
      </c>
      <c r="J21" s="203">
        <v>626.91669176400001</v>
      </c>
      <c r="K21" s="203">
        <f t="shared" si="0"/>
        <v>15046.000602336</v>
      </c>
      <c r="L21" s="203">
        <f t="shared" si="12"/>
        <v>1128.4500451751999</v>
      </c>
      <c r="M21" s="203">
        <f t="shared" si="13"/>
        <v>3925.5253031675634</v>
      </c>
      <c r="N21" s="204">
        <f t="shared" si="1"/>
        <v>20099.975950678763</v>
      </c>
      <c r="Q21" s="272">
        <f t="shared" si="2"/>
        <v>24</v>
      </c>
      <c r="R21" s="273">
        <f t="shared" si="3"/>
        <v>1</v>
      </c>
      <c r="S21" s="274">
        <v>522.43057647000001</v>
      </c>
      <c r="T21" s="274">
        <f t="shared" si="4"/>
        <v>12538.33383528</v>
      </c>
      <c r="U21" s="275">
        <f t="shared" si="5"/>
        <v>2507.666767056</v>
      </c>
      <c r="V21" s="276">
        <f t="shared" si="6"/>
        <v>0</v>
      </c>
      <c r="W21" s="277">
        <f t="shared" si="7"/>
        <v>0</v>
      </c>
      <c r="X21" s="277">
        <f t="shared" si="8"/>
        <v>12538.33383528</v>
      </c>
      <c r="Y21" s="231">
        <f t="shared" si="9"/>
        <v>16463.859138447562</v>
      </c>
      <c r="Z21" s="212">
        <f t="shared" si="10"/>
        <v>0.16666666666666666</v>
      </c>
      <c r="AA21" s="278" t="e">
        <f>T21/#REF!</f>
        <v>#REF!</v>
      </c>
      <c r="AK21" s="214">
        <f t="shared" si="11"/>
        <v>12538.33383528</v>
      </c>
      <c r="AL21" s="215"/>
    </row>
    <row r="22" spans="1:38" ht="69.900000000000006" customHeight="1" x14ac:dyDescent="0.4">
      <c r="A22" s="198">
        <v>7</v>
      </c>
      <c r="B22" s="189" t="s">
        <v>257</v>
      </c>
      <c r="C22" s="197" t="s">
        <v>171</v>
      </c>
      <c r="D22" s="198" t="s">
        <v>185</v>
      </c>
      <c r="E22" s="198" t="s">
        <v>179</v>
      </c>
      <c r="F22" s="280" t="s">
        <v>222</v>
      </c>
      <c r="G22" s="200" t="s">
        <v>254</v>
      </c>
      <c r="H22" s="282">
        <v>24</v>
      </c>
      <c r="I22" s="201">
        <v>1</v>
      </c>
      <c r="J22" s="203">
        <v>666.09898499924986</v>
      </c>
      <c r="K22" s="203">
        <f t="shared" si="0"/>
        <v>15986.375639981998</v>
      </c>
      <c r="L22" s="203">
        <f t="shared" si="12"/>
        <v>1198.9781729986498</v>
      </c>
      <c r="M22" s="203">
        <f t="shared" si="13"/>
        <v>4170.8706346155359</v>
      </c>
      <c r="N22" s="204">
        <f t="shared" si="1"/>
        <v>21356.224447596185</v>
      </c>
      <c r="Q22" s="272">
        <f t="shared" si="2"/>
        <v>24</v>
      </c>
      <c r="R22" s="273">
        <f t="shared" si="3"/>
        <v>1</v>
      </c>
      <c r="S22" s="274">
        <v>555.08248749937491</v>
      </c>
      <c r="T22" s="274">
        <f t="shared" si="4"/>
        <v>13321.979699984997</v>
      </c>
      <c r="U22" s="275">
        <f t="shared" si="5"/>
        <v>2664.3959399970008</v>
      </c>
      <c r="V22" s="276">
        <f t="shared" si="6"/>
        <v>0</v>
      </c>
      <c r="W22" s="277">
        <f t="shared" si="7"/>
        <v>0</v>
      </c>
      <c r="X22" s="277">
        <f t="shared" si="8"/>
        <v>13321.979699984997</v>
      </c>
      <c r="Y22" s="231">
        <f t="shared" si="9"/>
        <v>17492.850334600531</v>
      </c>
      <c r="Z22" s="212">
        <f t="shared" si="10"/>
        <v>0.16666666666666674</v>
      </c>
      <c r="AA22" s="278" t="e">
        <f>T22/#REF!</f>
        <v>#REF!</v>
      </c>
      <c r="AK22" s="214">
        <f t="shared" si="11"/>
        <v>13321.979699984997</v>
      </c>
      <c r="AL22" s="215"/>
    </row>
    <row r="23" spans="1:38" ht="69.900000000000006" customHeight="1" x14ac:dyDescent="0.4">
      <c r="A23" s="198">
        <v>7</v>
      </c>
      <c r="B23" s="189" t="s">
        <v>257</v>
      </c>
      <c r="C23" s="197" t="s">
        <v>171</v>
      </c>
      <c r="D23" s="198" t="s">
        <v>185</v>
      </c>
      <c r="E23" s="198" t="s">
        <v>179</v>
      </c>
      <c r="F23" s="280" t="s">
        <v>222</v>
      </c>
      <c r="G23" s="200" t="s">
        <v>334</v>
      </c>
      <c r="H23" s="282">
        <v>24</v>
      </c>
      <c r="I23" s="201">
        <v>1</v>
      </c>
      <c r="J23" s="203">
        <v>1137.9065544</v>
      </c>
      <c r="K23" s="203">
        <f t="shared" si="0"/>
        <v>27309.7573056</v>
      </c>
      <c r="L23" s="203">
        <f t="shared" si="12"/>
        <v>2048.2317979199997</v>
      </c>
      <c r="M23" s="203">
        <f t="shared" si="13"/>
        <v>7125.1587820522645</v>
      </c>
      <c r="N23" s="204">
        <f t="shared" si="1"/>
        <v>36483.14788557226</v>
      </c>
      <c r="Q23" s="272">
        <f t="shared" si="2"/>
        <v>24</v>
      </c>
      <c r="R23" s="273">
        <f t="shared" si="3"/>
        <v>1</v>
      </c>
      <c r="S23" s="274">
        <v>948.25546199999997</v>
      </c>
      <c r="T23" s="274">
        <f t="shared" si="4"/>
        <v>22758.131087999998</v>
      </c>
      <c r="U23" s="275">
        <f t="shared" si="5"/>
        <v>4551.6262176000018</v>
      </c>
      <c r="V23" s="276">
        <f t="shared" si="6"/>
        <v>0</v>
      </c>
      <c r="W23" s="277">
        <f t="shared" si="7"/>
        <v>0</v>
      </c>
      <c r="X23" s="277">
        <f t="shared" si="8"/>
        <v>22758.131087999998</v>
      </c>
      <c r="Y23" s="231">
        <f t="shared" si="9"/>
        <v>29883.289870052264</v>
      </c>
      <c r="Z23" s="212">
        <f t="shared" si="10"/>
        <v>0.16666666666666674</v>
      </c>
      <c r="AA23" s="278" t="e">
        <f>T23/#REF!</f>
        <v>#REF!</v>
      </c>
      <c r="AK23" s="214">
        <f t="shared" si="11"/>
        <v>22758.131087999998</v>
      </c>
      <c r="AL23" s="215"/>
    </row>
    <row r="24" spans="1:38" ht="69.900000000000006" customHeight="1" x14ac:dyDescent="0.4">
      <c r="A24" s="198">
        <v>7</v>
      </c>
      <c r="B24" s="189" t="s">
        <v>257</v>
      </c>
      <c r="C24" s="197" t="s">
        <v>171</v>
      </c>
      <c r="D24" s="198" t="s">
        <v>185</v>
      </c>
      <c r="E24" s="198" t="s">
        <v>179</v>
      </c>
      <c r="F24" s="280" t="s">
        <v>222</v>
      </c>
      <c r="G24" s="200" t="s">
        <v>335</v>
      </c>
      <c r="H24" s="282">
        <v>24</v>
      </c>
      <c r="I24" s="201">
        <v>1</v>
      </c>
      <c r="J24" s="203">
        <v>1612.0342853999998</v>
      </c>
      <c r="K24" s="203">
        <f t="shared" si="0"/>
        <v>38688.822849599994</v>
      </c>
      <c r="L24" s="203">
        <f t="shared" si="12"/>
        <v>2901.6617137199996</v>
      </c>
      <c r="M24" s="203">
        <f t="shared" si="13"/>
        <v>10093.974941240707</v>
      </c>
      <c r="N24" s="204">
        <f t="shared" si="1"/>
        <v>51684.459504560698</v>
      </c>
      <c r="Q24" s="272">
        <f t="shared" si="2"/>
        <v>24</v>
      </c>
      <c r="R24" s="273">
        <f t="shared" si="3"/>
        <v>1</v>
      </c>
      <c r="S24" s="274">
        <v>1343.3619044999998</v>
      </c>
      <c r="T24" s="274">
        <f t="shared" si="4"/>
        <v>32240.685707999997</v>
      </c>
      <c r="U24" s="275">
        <f t="shared" si="5"/>
        <v>6448.1371415999965</v>
      </c>
      <c r="V24" s="276">
        <f t="shared" si="6"/>
        <v>0</v>
      </c>
      <c r="W24" s="277">
        <f t="shared" si="7"/>
        <v>0</v>
      </c>
      <c r="X24" s="277">
        <f t="shared" si="8"/>
        <v>32240.685707999997</v>
      </c>
      <c r="Y24" s="231">
        <f t="shared" si="9"/>
        <v>42334.660649240701</v>
      </c>
      <c r="Z24" s="212">
        <f t="shared" si="10"/>
        <v>0.1666666666666666</v>
      </c>
      <c r="AA24" s="278" t="e">
        <f>T24/#REF!</f>
        <v>#REF!</v>
      </c>
      <c r="AK24" s="214">
        <f t="shared" si="11"/>
        <v>32240.685707999997</v>
      </c>
      <c r="AL24" s="215"/>
    </row>
    <row r="25" spans="1:38" ht="69.900000000000006" customHeight="1" x14ac:dyDescent="0.4">
      <c r="A25" s="198">
        <v>7</v>
      </c>
      <c r="B25" s="189" t="s">
        <v>257</v>
      </c>
      <c r="C25" s="197" t="s">
        <v>171</v>
      </c>
      <c r="D25" s="198" t="s">
        <v>185</v>
      </c>
      <c r="E25" s="198" t="s">
        <v>179</v>
      </c>
      <c r="F25" s="280" t="s">
        <v>222</v>
      </c>
      <c r="G25" s="200" t="s">
        <v>336</v>
      </c>
      <c r="H25" s="282">
        <v>24</v>
      </c>
      <c r="I25" s="201">
        <v>1</v>
      </c>
      <c r="J25" s="203">
        <v>2038.7492433</v>
      </c>
      <c r="K25" s="203">
        <f t="shared" si="0"/>
        <v>48929.981839200002</v>
      </c>
      <c r="L25" s="203">
        <f t="shared" si="12"/>
        <v>3669.7486379400002</v>
      </c>
      <c r="M25" s="203">
        <f t="shared" si="13"/>
        <v>12765.909484510308</v>
      </c>
      <c r="N25" s="204">
        <f t="shared" si="1"/>
        <v>65365.639961650311</v>
      </c>
      <c r="Q25" s="272">
        <f t="shared" si="2"/>
        <v>24</v>
      </c>
      <c r="R25" s="273">
        <f t="shared" si="3"/>
        <v>1</v>
      </c>
      <c r="S25" s="274">
        <v>1698.95770275</v>
      </c>
      <c r="T25" s="274">
        <f t="shared" si="4"/>
        <v>40774.984865999999</v>
      </c>
      <c r="U25" s="275">
        <f t="shared" si="5"/>
        <v>8154.9969732000027</v>
      </c>
      <c r="V25" s="276">
        <f t="shared" si="6"/>
        <v>0</v>
      </c>
      <c r="W25" s="277">
        <f t="shared" si="7"/>
        <v>0</v>
      </c>
      <c r="X25" s="277">
        <f t="shared" si="8"/>
        <v>40774.984865999999</v>
      </c>
      <c r="Y25" s="231">
        <f t="shared" si="9"/>
        <v>53540.894350510309</v>
      </c>
      <c r="Z25" s="212">
        <f t="shared" si="10"/>
        <v>0.16666666666666671</v>
      </c>
      <c r="AA25" s="278" t="e">
        <f>T25/#REF!</f>
        <v>#REF!</v>
      </c>
      <c r="AK25" s="214">
        <f t="shared" si="11"/>
        <v>40774.984865999999</v>
      </c>
      <c r="AL25" s="215"/>
    </row>
    <row r="26" spans="1:38" ht="69.900000000000006" customHeight="1" x14ac:dyDescent="0.4">
      <c r="A26" s="198">
        <v>7</v>
      </c>
      <c r="B26" s="189" t="s">
        <v>257</v>
      </c>
      <c r="C26" s="197" t="s">
        <v>171</v>
      </c>
      <c r="D26" s="198" t="s">
        <v>185</v>
      </c>
      <c r="E26" s="198" t="s">
        <v>179</v>
      </c>
      <c r="F26" s="199" t="s">
        <v>255</v>
      </c>
      <c r="G26" s="200" t="s">
        <v>337</v>
      </c>
      <c r="H26" s="282">
        <v>24</v>
      </c>
      <c r="I26" s="201">
        <v>1</v>
      </c>
      <c r="J26" s="203">
        <v>1191.1969439999998</v>
      </c>
      <c r="K26" s="203">
        <f t="shared" si="0"/>
        <v>28588.726655999995</v>
      </c>
      <c r="L26" s="203">
        <f t="shared" si="12"/>
        <v>2144.1544991999995</v>
      </c>
      <c r="M26" s="203">
        <f t="shared" si="13"/>
        <v>7458.8439040767498</v>
      </c>
      <c r="N26" s="204">
        <f t="shared" si="1"/>
        <v>38191.725059276745</v>
      </c>
      <c r="Q26" s="272">
        <f t="shared" si="2"/>
        <v>24</v>
      </c>
      <c r="R26" s="273">
        <f t="shared" si="3"/>
        <v>1</v>
      </c>
      <c r="S26" s="274">
        <v>992.66411999999991</v>
      </c>
      <c r="T26" s="274">
        <f t="shared" si="4"/>
        <v>23823.938879999998</v>
      </c>
      <c r="U26" s="275">
        <f t="shared" si="5"/>
        <v>4764.7877759999974</v>
      </c>
      <c r="V26" s="276">
        <f t="shared" si="6"/>
        <v>0</v>
      </c>
      <c r="W26" s="277">
        <f t="shared" si="7"/>
        <v>0</v>
      </c>
      <c r="X26" s="277">
        <f t="shared" si="8"/>
        <v>23823.938879999998</v>
      </c>
      <c r="Y26" s="231">
        <f t="shared" si="9"/>
        <v>31282.78278407675</v>
      </c>
      <c r="Z26" s="212">
        <f t="shared" si="10"/>
        <v>0.1666666666666666</v>
      </c>
      <c r="AA26" s="278" t="e">
        <f>T26/#REF!</f>
        <v>#REF!</v>
      </c>
      <c r="AK26" s="214">
        <f t="shared" si="11"/>
        <v>23823.938879999998</v>
      </c>
      <c r="AL26" s="215"/>
    </row>
    <row r="27" spans="1:38" ht="69.900000000000006" customHeight="1" x14ac:dyDescent="0.4">
      <c r="A27" s="198">
        <v>8</v>
      </c>
      <c r="B27" s="189" t="s">
        <v>258</v>
      </c>
      <c r="C27" s="197" t="s">
        <v>171</v>
      </c>
      <c r="D27" s="198" t="s">
        <v>185</v>
      </c>
      <c r="E27" s="198" t="s">
        <v>179</v>
      </c>
      <c r="F27" s="199" t="s">
        <v>255</v>
      </c>
      <c r="G27" s="296" t="s">
        <v>338</v>
      </c>
      <c r="H27" s="282">
        <v>24</v>
      </c>
      <c r="I27" s="201">
        <v>1</v>
      </c>
      <c r="J27" s="203">
        <v>156.729172941</v>
      </c>
      <c r="K27" s="203">
        <f t="shared" si="0"/>
        <v>3761.500150584</v>
      </c>
      <c r="L27" s="203">
        <f t="shared" si="12"/>
        <v>282.11251129379997</v>
      </c>
      <c r="M27" s="203">
        <f t="shared" si="13"/>
        <v>981.38132579189084</v>
      </c>
      <c r="N27" s="204">
        <f t="shared" si="1"/>
        <v>5024.9939876696908</v>
      </c>
      <c r="Q27" s="272">
        <f t="shared" si="2"/>
        <v>24</v>
      </c>
      <c r="R27" s="273">
        <f t="shared" si="3"/>
        <v>1</v>
      </c>
      <c r="S27" s="274">
        <v>130.6076441175</v>
      </c>
      <c r="T27" s="274">
        <f t="shared" si="4"/>
        <v>3134.58345882</v>
      </c>
      <c r="U27" s="275">
        <f t="shared" si="5"/>
        <v>626.91669176400001</v>
      </c>
      <c r="V27" s="276">
        <f t="shared" si="6"/>
        <v>0</v>
      </c>
      <c r="W27" s="277">
        <f t="shared" si="7"/>
        <v>0</v>
      </c>
      <c r="X27" s="277">
        <f t="shared" si="8"/>
        <v>3134.58345882</v>
      </c>
      <c r="Y27" s="231">
        <f t="shared" si="9"/>
        <v>4115.9647846118905</v>
      </c>
      <c r="Z27" s="212">
        <f t="shared" si="10"/>
        <v>0.16666666666666666</v>
      </c>
      <c r="AA27" s="278" t="e">
        <f>T27/#REF!</f>
        <v>#REF!</v>
      </c>
      <c r="AK27" s="214">
        <f t="shared" si="11"/>
        <v>3134.58345882</v>
      </c>
      <c r="AL27" s="215"/>
    </row>
    <row r="28" spans="1:38" ht="69.900000000000006" customHeight="1" x14ac:dyDescent="0.4">
      <c r="A28" s="198">
        <v>9</v>
      </c>
      <c r="B28" s="189" t="s">
        <v>259</v>
      </c>
      <c r="C28" s="197" t="s">
        <v>171</v>
      </c>
      <c r="D28" s="198" t="s">
        <v>185</v>
      </c>
      <c r="E28" s="198" t="s">
        <v>179</v>
      </c>
      <c r="F28" s="199" t="s">
        <v>255</v>
      </c>
      <c r="G28" s="296" t="s">
        <v>339</v>
      </c>
      <c r="H28" s="282">
        <v>24</v>
      </c>
      <c r="I28" s="201">
        <v>1</v>
      </c>
      <c r="J28" s="203">
        <v>313.458345882</v>
      </c>
      <c r="K28" s="203">
        <f t="shared" si="0"/>
        <v>7523.0003011680001</v>
      </c>
      <c r="L28" s="203">
        <f t="shared" si="12"/>
        <v>564.22502258759994</v>
      </c>
      <c r="M28" s="203">
        <f t="shared" si="13"/>
        <v>1962.7626515837817</v>
      </c>
      <c r="N28" s="204">
        <f t="shared" si="1"/>
        <v>10049.987975339382</v>
      </c>
      <c r="Q28" s="272">
        <f t="shared" si="2"/>
        <v>24</v>
      </c>
      <c r="R28" s="273">
        <f t="shared" si="3"/>
        <v>1</v>
      </c>
      <c r="S28" s="274">
        <v>261.215288235</v>
      </c>
      <c r="T28" s="274">
        <f t="shared" si="4"/>
        <v>6269.1669176400001</v>
      </c>
      <c r="U28" s="275">
        <f t="shared" si="5"/>
        <v>1253.833383528</v>
      </c>
      <c r="V28" s="276">
        <f t="shared" si="6"/>
        <v>0</v>
      </c>
      <c r="W28" s="277">
        <f t="shared" si="7"/>
        <v>0</v>
      </c>
      <c r="X28" s="277">
        <f t="shared" si="8"/>
        <v>6269.1669176400001</v>
      </c>
      <c r="Y28" s="231">
        <f t="shared" si="9"/>
        <v>8231.9295692237811</v>
      </c>
      <c r="Z28" s="212">
        <f t="shared" si="10"/>
        <v>0.16666666666666666</v>
      </c>
      <c r="AA28" s="278" t="e">
        <f>T28/#REF!</f>
        <v>#REF!</v>
      </c>
      <c r="AK28" s="214">
        <f t="shared" si="11"/>
        <v>6269.1669176400001</v>
      </c>
      <c r="AL28" s="215"/>
    </row>
    <row r="29" spans="1:38" ht="69.900000000000006" customHeight="1" x14ac:dyDescent="0.4">
      <c r="A29" s="198">
        <v>10</v>
      </c>
      <c r="B29" s="189" t="s">
        <v>260</v>
      </c>
      <c r="C29" s="197" t="s">
        <v>171</v>
      </c>
      <c r="D29" s="198" t="s">
        <v>185</v>
      </c>
      <c r="E29" s="198" t="s">
        <v>179</v>
      </c>
      <c r="F29" s="199" t="s">
        <v>255</v>
      </c>
      <c r="G29" s="296" t="s">
        <v>340</v>
      </c>
      <c r="H29" s="282">
        <v>24</v>
      </c>
      <c r="I29" s="201">
        <v>1</v>
      </c>
      <c r="J29" s="203">
        <v>352.64063911725003</v>
      </c>
      <c r="K29" s="203">
        <f t="shared" si="0"/>
        <v>8463.3753388140012</v>
      </c>
      <c r="L29" s="203">
        <f t="shared" si="12"/>
        <v>634.75315041105011</v>
      </c>
      <c r="M29" s="203">
        <f t="shared" si="13"/>
        <v>2208.1079830317549</v>
      </c>
      <c r="N29" s="204">
        <f t="shared" si="1"/>
        <v>11306.236472256805</v>
      </c>
      <c r="Q29" s="272">
        <f t="shared" si="2"/>
        <v>24</v>
      </c>
      <c r="R29" s="273">
        <f t="shared" si="3"/>
        <v>1</v>
      </c>
      <c r="S29" s="274">
        <v>293.86719926437502</v>
      </c>
      <c r="T29" s="274">
        <f t="shared" si="4"/>
        <v>7052.8127823450004</v>
      </c>
      <c r="U29" s="275">
        <f t="shared" si="5"/>
        <v>1410.5625564690008</v>
      </c>
      <c r="V29" s="276">
        <f t="shared" si="6"/>
        <v>0</v>
      </c>
      <c r="W29" s="277">
        <f t="shared" si="7"/>
        <v>0</v>
      </c>
      <c r="X29" s="277">
        <f t="shared" si="8"/>
        <v>7052.8127823450004</v>
      </c>
      <c r="Y29" s="231">
        <f t="shared" si="9"/>
        <v>9260.9207653767553</v>
      </c>
      <c r="Z29" s="212">
        <f t="shared" si="10"/>
        <v>0.16666666666666674</v>
      </c>
      <c r="AA29" s="278" t="e">
        <f>T29/#REF!</f>
        <v>#REF!</v>
      </c>
      <c r="AK29" s="214">
        <f t="shared" si="11"/>
        <v>7052.8127823450004</v>
      </c>
      <c r="AL29" s="215"/>
    </row>
    <row r="30" spans="1:38" ht="69.900000000000006" customHeight="1" x14ac:dyDescent="0.4">
      <c r="A30" s="198">
        <v>11</v>
      </c>
      <c r="B30" s="189" t="s">
        <v>261</v>
      </c>
      <c r="C30" s="197" t="s">
        <v>171</v>
      </c>
      <c r="D30" s="198" t="s">
        <v>185</v>
      </c>
      <c r="E30" s="198" t="s">
        <v>179</v>
      </c>
      <c r="F30" s="199" t="s">
        <v>255</v>
      </c>
      <c r="G30" s="296" t="s">
        <v>341</v>
      </c>
      <c r="H30" s="201">
        <v>24</v>
      </c>
      <c r="I30" s="201">
        <v>1</v>
      </c>
      <c r="J30" s="203">
        <v>509.36981205825009</v>
      </c>
      <c r="K30" s="203">
        <f t="shared" si="0"/>
        <v>12224.875489398002</v>
      </c>
      <c r="L30" s="203">
        <f t="shared" si="12"/>
        <v>916.86566170485014</v>
      </c>
      <c r="M30" s="203">
        <f t="shared" si="13"/>
        <v>3189.4893088236463</v>
      </c>
      <c r="N30" s="204">
        <f t="shared" si="1"/>
        <v>16331.230459926499</v>
      </c>
      <c r="Q30" s="272">
        <f t="shared" si="2"/>
        <v>24</v>
      </c>
      <c r="R30" s="273">
        <f t="shared" si="3"/>
        <v>1</v>
      </c>
      <c r="S30" s="274">
        <v>424.47484338187508</v>
      </c>
      <c r="T30" s="274">
        <f t="shared" si="4"/>
        <v>10187.396241165003</v>
      </c>
      <c r="U30" s="275">
        <f t="shared" si="5"/>
        <v>2037.4792482329995</v>
      </c>
      <c r="V30" s="276">
        <f t="shared" si="6"/>
        <v>0</v>
      </c>
      <c r="W30" s="277">
        <f t="shared" si="7"/>
        <v>0</v>
      </c>
      <c r="X30" s="277">
        <f t="shared" si="8"/>
        <v>10187.396241165003</v>
      </c>
      <c r="Y30" s="231">
        <f t="shared" si="9"/>
        <v>13376.885549988649</v>
      </c>
      <c r="Z30" s="212">
        <f t="shared" si="10"/>
        <v>0.1666666666666666</v>
      </c>
      <c r="AA30" s="278" t="e">
        <f>T30/#REF!</f>
        <v>#REF!</v>
      </c>
      <c r="AK30" s="214">
        <f t="shared" si="11"/>
        <v>10187.396241165003</v>
      </c>
      <c r="AL30" s="215"/>
    </row>
    <row r="31" spans="1:38" ht="69.900000000000006" customHeight="1" x14ac:dyDescent="0.4">
      <c r="A31" s="198">
        <v>12</v>
      </c>
      <c r="B31" s="189" t="s">
        <v>262</v>
      </c>
      <c r="C31" s="197" t="s">
        <v>171</v>
      </c>
      <c r="D31" s="198" t="s">
        <v>185</v>
      </c>
      <c r="E31" s="198" t="s">
        <v>179</v>
      </c>
      <c r="F31" s="199" t="s">
        <v>255</v>
      </c>
      <c r="G31" s="296" t="s">
        <v>342</v>
      </c>
      <c r="H31" s="201">
        <v>24</v>
      </c>
      <c r="I31" s="201">
        <v>1</v>
      </c>
      <c r="J31" s="203">
        <v>783.64586470500012</v>
      </c>
      <c r="K31" s="203">
        <f t="shared" si="0"/>
        <v>18807.500752920001</v>
      </c>
      <c r="L31" s="203">
        <f t="shared" si="12"/>
        <v>1410.5625564690001</v>
      </c>
      <c r="M31" s="203">
        <f t="shared" si="13"/>
        <v>4906.9066289594548</v>
      </c>
      <c r="N31" s="204">
        <f t="shared" si="1"/>
        <v>25124.969938348459</v>
      </c>
      <c r="Q31" s="272">
        <f t="shared" si="2"/>
        <v>24</v>
      </c>
      <c r="R31" s="273">
        <f t="shared" si="3"/>
        <v>1</v>
      </c>
      <c r="S31" s="274">
        <v>653.03822058750006</v>
      </c>
      <c r="T31" s="274">
        <f t="shared" si="4"/>
        <v>15672.917294100002</v>
      </c>
      <c r="U31" s="275">
        <f t="shared" si="5"/>
        <v>3134.5834588199996</v>
      </c>
      <c r="V31" s="276">
        <f t="shared" si="6"/>
        <v>0</v>
      </c>
      <c r="W31" s="277">
        <f t="shared" si="7"/>
        <v>0</v>
      </c>
      <c r="X31" s="277">
        <f t="shared" si="8"/>
        <v>15672.917294100002</v>
      </c>
      <c r="Y31" s="231">
        <f t="shared" si="9"/>
        <v>20579.823923059455</v>
      </c>
      <c r="Z31" s="212">
        <f t="shared" si="10"/>
        <v>0.16666666666666663</v>
      </c>
      <c r="AA31" s="278" t="e">
        <f>T31/#REF!</f>
        <v>#REF!</v>
      </c>
      <c r="AK31" s="214">
        <f t="shared" si="11"/>
        <v>15672.917294100002</v>
      </c>
      <c r="AL31" s="215"/>
    </row>
    <row r="32" spans="1:38" ht="69.900000000000006" customHeight="1" x14ac:dyDescent="0.4">
      <c r="A32" s="198">
        <v>38</v>
      </c>
      <c r="B32" s="189" t="s">
        <v>240</v>
      </c>
      <c r="C32" s="197" t="s">
        <v>171</v>
      </c>
      <c r="D32" s="198" t="s">
        <v>185</v>
      </c>
      <c r="E32" s="198" t="s">
        <v>179</v>
      </c>
      <c r="F32" s="199" t="s">
        <v>224</v>
      </c>
      <c r="G32" s="200" t="s">
        <v>325</v>
      </c>
      <c r="H32" s="201">
        <v>24</v>
      </c>
      <c r="I32" s="201">
        <v>1</v>
      </c>
      <c r="J32" s="203">
        <f>S32*20%+S32</f>
        <v>438.84168423479991</v>
      </c>
      <c r="K32" s="203">
        <f t="shared" si="0"/>
        <v>10532.200421635198</v>
      </c>
      <c r="L32" s="203">
        <f>IF(K32&lt;&gt;"",IF(D32="INTERNO",0,K32*EVENTO!$L$14),"")</f>
        <v>789.91503162263984</v>
      </c>
      <c r="M32" s="203">
        <f>IF(K32&lt;&gt;"",IF(E32="FAT.OGGI",SUM(K32:L32)*(1/(1-EVENTO!$M$14)-1),L32*(1/(1-EVENTO!$M$14)-1)),"")</f>
        <v>2747.867712217294</v>
      </c>
      <c r="N32" s="204">
        <f t="shared" si="1"/>
        <v>14069.983165475132</v>
      </c>
      <c r="Q32" s="272">
        <f t="shared" si="2"/>
        <v>24</v>
      </c>
      <c r="R32" s="273">
        <f t="shared" si="3"/>
        <v>1</v>
      </c>
      <c r="S32" s="274">
        <v>365.70140352899995</v>
      </c>
      <c r="T32" s="274">
        <f t="shared" si="4"/>
        <v>8776.8336846959992</v>
      </c>
      <c r="U32" s="275">
        <f t="shared" si="5"/>
        <v>1755.3667369391987</v>
      </c>
      <c r="V32" s="276">
        <f t="shared" si="6"/>
        <v>0</v>
      </c>
      <c r="W32" s="277">
        <f t="shared" si="7"/>
        <v>0</v>
      </c>
      <c r="X32" s="277">
        <f t="shared" si="8"/>
        <v>8776.8336846959992</v>
      </c>
      <c r="Y32" s="231">
        <f t="shared" si="9"/>
        <v>11524.701396913293</v>
      </c>
      <c r="Z32" s="212">
        <f t="shared" si="10"/>
        <v>0.16666666666666657</v>
      </c>
      <c r="AA32" s="278">
        <f>T32/EVENTO!$T$33</f>
        <v>0.43023694532823525</v>
      </c>
      <c r="AK32" s="214">
        <f t="shared" si="11"/>
        <v>8776.8336846959992</v>
      </c>
      <c r="AL32" s="215"/>
    </row>
    <row r="33" spans="1:38" ht="69.900000000000006" customHeight="1" x14ac:dyDescent="0.4">
      <c r="A33" s="198">
        <v>39</v>
      </c>
      <c r="B33" s="189" t="s">
        <v>241</v>
      </c>
      <c r="C33" s="197" t="s">
        <v>171</v>
      </c>
      <c r="D33" s="198" t="s">
        <v>185</v>
      </c>
      <c r="E33" s="198" t="s">
        <v>179</v>
      </c>
      <c r="F33" s="199" t="s">
        <v>225</v>
      </c>
      <c r="G33" s="200" t="s">
        <v>343</v>
      </c>
      <c r="H33" s="201">
        <v>24</v>
      </c>
      <c r="I33" s="201">
        <v>1</v>
      </c>
      <c r="J33" s="203">
        <f>S33*20%+S33</f>
        <v>1137.8537955516597</v>
      </c>
      <c r="K33" s="203">
        <f t="shared" si="0"/>
        <v>27308.491093239834</v>
      </c>
      <c r="L33" s="203">
        <f>IF(K33&lt;&gt;"",IF(D33="INTERNO",0,K33*EVENTO!$L$14),"")</f>
        <v>2048.1368319929875</v>
      </c>
      <c r="M33" s="203">
        <f>IF(K33&lt;&gt;"",IF(E33="FAT.OGGI",SUM(K33:L33)*(1/(1-EVENTO!$M$14)-1),L33*(1/(1-EVENTO!$M$14)-1)),"")</f>
        <v>7124.8284252491258</v>
      </c>
      <c r="N33" s="204">
        <f t="shared" si="1"/>
        <v>36481.456350481945</v>
      </c>
      <c r="Q33" s="272">
        <f t="shared" si="2"/>
        <v>24</v>
      </c>
      <c r="R33" s="273">
        <f t="shared" si="3"/>
        <v>1</v>
      </c>
      <c r="S33" s="274">
        <v>948.21149629304966</v>
      </c>
      <c r="T33" s="274">
        <f t="shared" si="4"/>
        <v>22757.075911033193</v>
      </c>
      <c r="U33" s="275">
        <f t="shared" si="5"/>
        <v>4551.4151822066415</v>
      </c>
      <c r="V33" s="276">
        <f t="shared" si="6"/>
        <v>0</v>
      </c>
      <c r="W33" s="277">
        <f t="shared" si="7"/>
        <v>0</v>
      </c>
      <c r="X33" s="277">
        <f t="shared" si="8"/>
        <v>22757.075911033193</v>
      </c>
      <c r="Y33" s="231">
        <f t="shared" si="9"/>
        <v>29881.904336282318</v>
      </c>
      <c r="Z33" s="212">
        <f t="shared" si="10"/>
        <v>0.16666666666666677</v>
      </c>
      <c r="AA33" s="278">
        <f>T33/EVENTO!$T$33</f>
        <v>1.1155429368153527</v>
      </c>
      <c r="AK33" s="214">
        <f t="shared" si="11"/>
        <v>22757.075911033193</v>
      </c>
      <c r="AL33" s="215"/>
    </row>
    <row r="34" spans="1:38" ht="69.900000000000006" customHeight="1" x14ac:dyDescent="0.4">
      <c r="A34" s="198">
        <v>15</v>
      </c>
      <c r="B34" s="189" t="s">
        <v>263</v>
      </c>
      <c r="C34" s="197" t="s">
        <v>171</v>
      </c>
      <c r="D34" s="198" t="s">
        <v>185</v>
      </c>
      <c r="E34" s="198" t="s">
        <v>179</v>
      </c>
      <c r="F34" s="199" t="s">
        <v>224</v>
      </c>
      <c r="G34" s="200" t="s">
        <v>344</v>
      </c>
      <c r="H34" s="201">
        <v>24</v>
      </c>
      <c r="I34" s="201">
        <v>1</v>
      </c>
      <c r="J34" s="203">
        <f t="shared" ref="J34:J35" si="14">S34*20%+S34</f>
        <v>427.08699626422492</v>
      </c>
      <c r="K34" s="203">
        <f t="shared" si="0"/>
        <v>10250.087910341397</v>
      </c>
      <c r="L34" s="203">
        <f>IF(K34&lt;&gt;"",IF(D34="INTERNO",0,K34*$L$14),"")</f>
        <v>768.75659327560481</v>
      </c>
      <c r="M34" s="203">
        <f>IF(K34&lt;&gt;"",IF(E34="FAT.OGGI",SUM(K34:L34)*(1/(1-$M$14)-1),L34*(1/(1-$M$14)-1)),"")</f>
        <v>2674.264112782902</v>
      </c>
      <c r="N34" s="204">
        <f t="shared" si="1"/>
        <v>13693.108616399903</v>
      </c>
      <c r="Q34" s="272">
        <f t="shared" si="2"/>
        <v>24</v>
      </c>
      <c r="R34" s="273">
        <f t="shared" si="3"/>
        <v>1</v>
      </c>
      <c r="S34" s="274">
        <v>355.90583022018745</v>
      </c>
      <c r="T34" s="274">
        <f t="shared" si="4"/>
        <v>8541.7399252844989</v>
      </c>
      <c r="U34" s="275">
        <f t="shared" si="5"/>
        <v>1708.3479850568983</v>
      </c>
      <c r="V34" s="276">
        <f t="shared" si="6"/>
        <v>0</v>
      </c>
      <c r="W34" s="277">
        <f t="shared" si="7"/>
        <v>0</v>
      </c>
      <c r="X34" s="277">
        <f t="shared" si="8"/>
        <v>8541.7399252844989</v>
      </c>
      <c r="Y34" s="231">
        <f t="shared" si="9"/>
        <v>11216.0040380674</v>
      </c>
      <c r="Z34" s="212">
        <f t="shared" si="10"/>
        <v>0.16666666666666655</v>
      </c>
      <c r="AA34" s="278" t="e">
        <f>T34/#REF!</f>
        <v>#REF!</v>
      </c>
      <c r="AK34" s="214">
        <f t="shared" si="11"/>
        <v>8541.7399252844989</v>
      </c>
      <c r="AL34" s="215"/>
    </row>
    <row r="35" spans="1:38" ht="69.900000000000006" customHeight="1" thickBot="1" x14ac:dyDescent="0.45">
      <c r="A35" s="198">
        <v>16</v>
      </c>
      <c r="B35" s="189" t="s">
        <v>264</v>
      </c>
      <c r="C35" s="197" t="s">
        <v>171</v>
      </c>
      <c r="D35" s="198" t="s">
        <v>185</v>
      </c>
      <c r="E35" s="198" t="s">
        <v>179</v>
      </c>
      <c r="F35" s="355" t="s">
        <v>225</v>
      </c>
      <c r="G35" s="356" t="s">
        <v>345</v>
      </c>
      <c r="H35" s="357">
        <v>24</v>
      </c>
      <c r="I35" s="357">
        <v>1</v>
      </c>
      <c r="J35" s="358">
        <f t="shared" si="14"/>
        <v>1043.0326459223552</v>
      </c>
      <c r="K35" s="358">
        <f t="shared" ref="K35" si="15">IF(F35&lt;&gt;"",H35*I35*J35,"")</f>
        <v>25032.783502136524</v>
      </c>
      <c r="L35" s="358">
        <f>IF(K35&lt;&gt;"",IF(D35="INTERNO",0,K35*$L$14),"")</f>
        <v>1877.4587626602392</v>
      </c>
      <c r="M35" s="358">
        <f>IF(K35&lt;&gt;"",IF(E35="FAT.OGGI",SUM(K35:L35)*(1/(1-$M$14)-1),L35*(1/(1-$M$14)-1)),"")</f>
        <v>6531.0927231450351</v>
      </c>
      <c r="N35" s="359">
        <f t="shared" si="1"/>
        <v>33441.334987941802</v>
      </c>
      <c r="Q35" s="272">
        <f t="shared" si="2"/>
        <v>24</v>
      </c>
      <c r="R35" s="273">
        <f t="shared" si="3"/>
        <v>1</v>
      </c>
      <c r="S35" s="274">
        <v>869.19387160196254</v>
      </c>
      <c r="T35" s="274">
        <f t="shared" si="4"/>
        <v>20860.6529184471</v>
      </c>
      <c r="U35" s="275">
        <f t="shared" si="5"/>
        <v>4172.1305836894244</v>
      </c>
      <c r="V35" s="276">
        <f t="shared" si="6"/>
        <v>0</v>
      </c>
      <c r="W35" s="277">
        <f t="shared" si="7"/>
        <v>0</v>
      </c>
      <c r="X35" s="277">
        <f t="shared" si="8"/>
        <v>20860.6529184471</v>
      </c>
      <c r="Y35" s="231">
        <f t="shared" si="9"/>
        <v>27391.745641592133</v>
      </c>
      <c r="Z35" s="212">
        <f t="shared" si="10"/>
        <v>0.16666666666666682</v>
      </c>
      <c r="AA35" s="278" t="e">
        <f>T35/#REF!</f>
        <v>#REF!</v>
      </c>
      <c r="AK35" s="214">
        <f t="shared" si="11"/>
        <v>20860.6529184471</v>
      </c>
      <c r="AL35" s="215"/>
    </row>
    <row r="36" spans="1:38" ht="31.5" customHeight="1" x14ac:dyDescent="0.4">
      <c r="AK36" s="214">
        <f>SUM(AK17:AK35)</f>
        <v>279534.63722252578</v>
      </c>
      <c r="AL36" s="215"/>
    </row>
  </sheetData>
  <mergeCells count="13">
    <mergeCell ref="F1:G1"/>
    <mergeCell ref="F2:G2"/>
    <mergeCell ref="Q12:T12"/>
    <mergeCell ref="U12:X12"/>
    <mergeCell ref="AC12:AE12"/>
    <mergeCell ref="AK12:AL12"/>
    <mergeCell ref="F15:N15"/>
    <mergeCell ref="Q15:Y15"/>
    <mergeCell ref="F16:K16"/>
    <mergeCell ref="Q16:Y16"/>
    <mergeCell ref="AG12:AH12"/>
    <mergeCell ref="AK15:AL15"/>
    <mergeCell ref="AK16:AL16"/>
  </mergeCells>
  <dataValidations count="2">
    <dataValidation type="list" allowBlank="1" showInputMessage="1" showErrorMessage="1" sqref="D15:D35" xr:uid="{9F42C19A-2AD3-4B09-AA86-A26130E8B77F}">
      <formula1>"INTERNO,OPERACIONAL"</formula1>
    </dataValidation>
    <dataValidation type="list" allowBlank="1" showInputMessage="1" showErrorMessage="1" sqref="E15:E35" xr:uid="{1AF6754E-870E-4418-91C1-B05051E68F31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8"/>
  <sheetViews>
    <sheetView zoomScale="70" zoomScaleNormal="70" workbookViewId="0">
      <selection activeCell="D39" sqref="D39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C3A62-6768-4484-B9A3-AFA205B1916C}">
  <sheetPr>
    <tabColor theme="0"/>
    <pageSetUpPr autoPageBreaks="0"/>
  </sheetPr>
  <dimension ref="B1:F20"/>
  <sheetViews>
    <sheetView showGridLines="0" zoomScale="90" zoomScaleNormal="90" workbookViewId="0">
      <pane ySplit="1" topLeftCell="A8" activePane="bottomLeft" state="frozen"/>
      <selection activeCell="AC1" sqref="AC1"/>
      <selection pane="bottomLeft" activeCell="K31" sqref="K31:K34"/>
    </sheetView>
  </sheetViews>
  <sheetFormatPr defaultRowHeight="14.4" x14ac:dyDescent="0.3"/>
  <cols>
    <col min="2" max="2" width="49.5546875" customWidth="1"/>
    <col min="3" max="3" width="39.6640625" customWidth="1"/>
    <col min="4" max="4" width="16.5546875" customWidth="1"/>
    <col min="5" max="5" width="15.109375" customWidth="1"/>
    <col min="6" max="6" width="7.88671875" customWidth="1"/>
    <col min="11" max="11" width="15.44140625" bestFit="1" customWidth="1"/>
  </cols>
  <sheetData>
    <row r="1" spans="2:6" ht="49.5" customHeight="1" x14ac:dyDescent="0.3">
      <c r="B1" s="481" t="s">
        <v>196</v>
      </c>
      <c r="C1" s="481"/>
    </row>
    <row r="2" spans="2:6" ht="24.75" customHeight="1" x14ac:dyDescent="0.3">
      <c r="B2" s="482" t="s">
        <v>0</v>
      </c>
      <c r="C2" s="482"/>
    </row>
    <row r="3" spans="2:6" ht="18" x14ac:dyDescent="0.3">
      <c r="B3" s="26"/>
      <c r="C3" s="26"/>
    </row>
    <row r="4" spans="2:6" ht="18" x14ac:dyDescent="0.3">
      <c r="B4" s="49" t="s">
        <v>199</v>
      </c>
      <c r="C4" s="50"/>
    </row>
    <row r="5" spans="2:6" ht="18" x14ac:dyDescent="0.3">
      <c r="B5" s="51" t="s">
        <v>193</v>
      </c>
      <c r="C5" s="52"/>
    </row>
    <row r="6" spans="2:6" ht="18" x14ac:dyDescent="0.3">
      <c r="B6" s="51" t="s">
        <v>200</v>
      </c>
      <c r="C6" s="53"/>
    </row>
    <row r="7" spans="2:6" ht="21.75" customHeight="1" x14ac:dyDescent="0.3">
      <c r="B7" s="51" t="s">
        <v>203</v>
      </c>
      <c r="C7" s="54"/>
    </row>
    <row r="8" spans="2:6" ht="18" x14ac:dyDescent="0.3">
      <c r="B8" s="64" t="s">
        <v>201</v>
      </c>
      <c r="C8" s="55"/>
    </row>
    <row r="9" spans="2:6" ht="18" x14ac:dyDescent="0.3">
      <c r="B9" s="51" t="s">
        <v>194</v>
      </c>
      <c r="C9" s="54"/>
    </row>
    <row r="10" spans="2:6" ht="18" x14ac:dyDescent="0.3">
      <c r="B10" s="51" t="s">
        <v>295</v>
      </c>
      <c r="C10" s="54"/>
    </row>
    <row r="11" spans="2:6" ht="18" x14ac:dyDescent="0.3">
      <c r="B11" s="56" t="s">
        <v>202</v>
      </c>
      <c r="C11" s="57"/>
    </row>
    <row r="14" spans="2:6" ht="16.2" thickBot="1" x14ac:dyDescent="0.35">
      <c r="B14" s="73"/>
      <c r="C14" s="73"/>
      <c r="D14" s="73"/>
      <c r="E14" s="73"/>
      <c r="F14" s="73"/>
    </row>
    <row r="15" spans="2:6" ht="20.399999999999999" customHeight="1" thickBot="1" x14ac:dyDescent="0.35">
      <c r="B15" s="483" t="s">
        <v>296</v>
      </c>
      <c r="C15" s="484"/>
      <c r="D15" s="80"/>
      <c r="E15" s="73"/>
      <c r="F15" s="73"/>
    </row>
    <row r="16" spans="2:6" ht="22.5" customHeight="1" x14ac:dyDescent="0.3">
      <c r="B16" s="68" t="s">
        <v>177</v>
      </c>
      <c r="C16" s="70">
        <f>INTERNO!N21</f>
        <v>31564.558220454826</v>
      </c>
      <c r="D16" s="81">
        <f>INTERNO!Y21</f>
        <v>14322.31822045483</v>
      </c>
      <c r="E16" s="69">
        <f>C16-D16</f>
        <v>17242.239999999998</v>
      </c>
      <c r="F16" s="85">
        <f>(E16/C16)*100%</f>
        <v>0.5462531703937008</v>
      </c>
    </row>
    <row r="17" spans="2:6" ht="24.9" customHeight="1" x14ac:dyDescent="0.3">
      <c r="B17" s="78" t="s">
        <v>249</v>
      </c>
      <c r="C17" s="79">
        <f>EVENTO!N49</f>
        <v>230715.43816340255</v>
      </c>
      <c r="D17" s="82">
        <f>EVENTO!Y49</f>
        <v>189939.83507331254</v>
      </c>
      <c r="E17" s="69">
        <f>C17-D17</f>
        <v>40775.603090090008</v>
      </c>
      <c r="F17" s="85">
        <f>(E17/C17)*100%</f>
        <v>0.17673547732514969</v>
      </c>
    </row>
    <row r="18" spans="2:6" ht="24.9" customHeight="1" thickBot="1" x14ac:dyDescent="0.35">
      <c r="B18" s="92" t="s">
        <v>270</v>
      </c>
      <c r="C18" s="93">
        <f>'Almarena by Melia '!N27</f>
        <v>127590.25606907855</v>
      </c>
      <c r="D18" s="94">
        <f>'Almarena by Melia '!Y27</f>
        <v>105685.69651282854</v>
      </c>
      <c r="E18" s="69">
        <f>C18-D18</f>
        <v>21904.559556250009</v>
      </c>
      <c r="F18" s="85">
        <f>(E18/C18)*100%</f>
        <v>0.17167893717832713</v>
      </c>
    </row>
    <row r="19" spans="2:6" ht="26.1" customHeight="1" thickBot="1" x14ac:dyDescent="0.35">
      <c r="B19" s="71" t="s">
        <v>43</v>
      </c>
      <c r="C19" s="72">
        <f>SUM(C16:C18)</f>
        <v>389870.25245293591</v>
      </c>
      <c r="D19" s="91">
        <f>SUM(D16:D18)</f>
        <v>309947.84980659588</v>
      </c>
      <c r="E19" s="69">
        <f>C19-D19</f>
        <v>79922.402646340022</v>
      </c>
      <c r="F19" s="85">
        <f>(E19/C19)*100%</f>
        <v>0.20499743733586867</v>
      </c>
    </row>
    <row r="20" spans="2:6" x14ac:dyDescent="0.3">
      <c r="D20" s="67"/>
    </row>
  </sheetData>
  <mergeCells count="3">
    <mergeCell ref="B1:C1"/>
    <mergeCell ref="B2:C2"/>
    <mergeCell ref="B15:C15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A8787-08DC-4D85-9BF2-8A8DB7537811}">
  <sheetPr>
    <tabColor theme="0"/>
    <pageSetUpPr autoPageBreaks="0"/>
  </sheetPr>
  <dimension ref="B1:E19"/>
  <sheetViews>
    <sheetView showGridLines="0" zoomScale="90" zoomScaleNormal="90" workbookViewId="0">
      <pane ySplit="1" topLeftCell="A10" activePane="bottomLeft" state="frozen"/>
      <selection activeCell="AC1" sqref="AC1"/>
      <selection pane="bottomLeft" activeCell="H12" sqref="H12"/>
    </sheetView>
  </sheetViews>
  <sheetFormatPr defaultRowHeight="14.4" x14ac:dyDescent="0.3"/>
  <cols>
    <col min="2" max="5" width="32.33203125" customWidth="1"/>
  </cols>
  <sheetData>
    <row r="1" spans="2:5" ht="49.5" customHeight="1" x14ac:dyDescent="0.3">
      <c r="B1" s="481" t="s">
        <v>196</v>
      </c>
      <c r="C1" s="481"/>
    </row>
    <row r="2" spans="2:5" ht="24.75" customHeight="1" x14ac:dyDescent="0.3">
      <c r="B2" s="482" t="s">
        <v>0</v>
      </c>
      <c r="C2" s="482"/>
    </row>
    <row r="3" spans="2:5" ht="18" x14ac:dyDescent="0.3">
      <c r="B3" s="26"/>
      <c r="C3" s="26"/>
    </row>
    <row r="4" spans="2:5" ht="18" x14ac:dyDescent="0.3">
      <c r="B4" s="486" t="s">
        <v>199</v>
      </c>
      <c r="C4" s="486"/>
      <c r="D4" s="486"/>
    </row>
    <row r="5" spans="2:5" ht="18" x14ac:dyDescent="0.3">
      <c r="B5" s="486" t="s">
        <v>193</v>
      </c>
      <c r="C5" s="486"/>
      <c r="D5" s="486"/>
    </row>
    <row r="6" spans="2:5" ht="18" x14ac:dyDescent="0.3">
      <c r="B6" s="486" t="s">
        <v>200</v>
      </c>
      <c r="C6" s="486"/>
      <c r="D6" s="486"/>
    </row>
    <row r="7" spans="2:5" ht="21.75" customHeight="1" x14ac:dyDescent="0.3">
      <c r="B7" s="486" t="s">
        <v>203</v>
      </c>
      <c r="C7" s="486"/>
      <c r="D7" s="486"/>
    </row>
    <row r="8" spans="2:5" ht="18" x14ac:dyDescent="0.3">
      <c r="B8" s="485" t="s">
        <v>201</v>
      </c>
      <c r="C8" s="485"/>
      <c r="D8" s="485"/>
    </row>
    <row r="9" spans="2:5" ht="18" x14ac:dyDescent="0.3">
      <c r="B9" s="486" t="s">
        <v>194</v>
      </c>
      <c r="C9" s="486"/>
      <c r="D9" s="486"/>
    </row>
    <row r="10" spans="2:5" ht="18" x14ac:dyDescent="0.3">
      <c r="B10" s="486" t="s">
        <v>198</v>
      </c>
      <c r="C10" s="486"/>
      <c r="D10" s="486"/>
    </row>
    <row r="11" spans="2:5" ht="18" x14ac:dyDescent="0.3">
      <c r="B11" s="486" t="s">
        <v>202</v>
      </c>
      <c r="C11" s="486"/>
      <c r="D11" s="486"/>
    </row>
    <row r="14" spans="2:5" ht="16.2" thickBot="1" x14ac:dyDescent="0.35">
      <c r="B14" s="73"/>
      <c r="C14" s="73"/>
    </row>
    <row r="15" spans="2:5" ht="20.399999999999999" customHeight="1" x14ac:dyDescent="0.3">
      <c r="B15" s="86" t="s">
        <v>273</v>
      </c>
      <c r="C15" s="86" t="s">
        <v>274</v>
      </c>
      <c r="D15" s="86" t="s">
        <v>275</v>
      </c>
      <c r="E15" s="86" t="s">
        <v>276</v>
      </c>
    </row>
    <row r="16" spans="2:5" ht="27.75" customHeight="1" x14ac:dyDescent="0.3">
      <c r="B16" s="89" t="s">
        <v>287</v>
      </c>
      <c r="C16" s="87" t="s">
        <v>279</v>
      </c>
      <c r="D16" s="87" t="s">
        <v>279</v>
      </c>
      <c r="E16" s="87" t="s">
        <v>279</v>
      </c>
    </row>
    <row r="17" spans="2:5" ht="27.75" customHeight="1" x14ac:dyDescent="0.3">
      <c r="B17" s="89" t="s">
        <v>277</v>
      </c>
      <c r="C17" s="87" t="s">
        <v>280</v>
      </c>
      <c r="D17" s="89" t="s">
        <v>283</v>
      </c>
      <c r="E17" s="89" t="s">
        <v>285</v>
      </c>
    </row>
    <row r="18" spans="2:5" ht="27.75" customHeight="1" x14ac:dyDescent="0.3">
      <c r="B18" s="89" t="s">
        <v>282</v>
      </c>
      <c r="C18" s="87" t="s">
        <v>281</v>
      </c>
      <c r="D18" s="89" t="s">
        <v>284</v>
      </c>
      <c r="E18" s="89" t="s">
        <v>286</v>
      </c>
    </row>
    <row r="19" spans="2:5" ht="27.75" customHeight="1" x14ac:dyDescent="0.3">
      <c r="B19" s="89" t="s">
        <v>278</v>
      </c>
      <c r="C19" s="88"/>
      <c r="D19" s="87" t="s">
        <v>281</v>
      </c>
      <c r="E19" s="88"/>
    </row>
  </sheetData>
  <mergeCells count="10">
    <mergeCell ref="B8:D8"/>
    <mergeCell ref="B9:D9"/>
    <mergeCell ref="B10:D10"/>
    <mergeCell ref="B11:D11"/>
    <mergeCell ref="B1:C1"/>
    <mergeCell ref="B2:C2"/>
    <mergeCell ref="B4:D4"/>
    <mergeCell ref="B5:D5"/>
    <mergeCell ref="B6:D6"/>
    <mergeCell ref="B7:D7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2D969-07F7-4F68-B33A-81C052977FC5}">
  <sheetPr>
    <tabColor theme="0"/>
    <pageSetUpPr autoPageBreaks="0"/>
  </sheetPr>
  <dimension ref="B1:E19"/>
  <sheetViews>
    <sheetView showGridLines="0" zoomScale="90" zoomScaleNormal="90" workbookViewId="0">
      <pane ySplit="1" topLeftCell="A2" activePane="bottomLeft" state="frozen"/>
      <selection activeCell="AC1" sqref="AC1"/>
      <selection pane="bottomLeft" activeCell="C16" sqref="C16"/>
    </sheetView>
  </sheetViews>
  <sheetFormatPr defaultRowHeight="14.4" x14ac:dyDescent="0.3"/>
  <cols>
    <col min="2" max="5" width="32.33203125" customWidth="1"/>
  </cols>
  <sheetData>
    <row r="1" spans="2:5" ht="49.5" customHeight="1" x14ac:dyDescent="0.3">
      <c r="B1" s="481" t="s">
        <v>196</v>
      </c>
      <c r="C1" s="481"/>
    </row>
    <row r="2" spans="2:5" ht="24.75" customHeight="1" x14ac:dyDescent="0.3">
      <c r="B2" s="482" t="s">
        <v>0</v>
      </c>
      <c r="C2" s="482"/>
    </row>
    <row r="3" spans="2:5" ht="18" x14ac:dyDescent="0.3">
      <c r="B3" s="26"/>
      <c r="C3" s="26"/>
    </row>
    <row r="4" spans="2:5" ht="18" x14ac:dyDescent="0.3">
      <c r="B4" s="486" t="s">
        <v>199</v>
      </c>
      <c r="C4" s="486"/>
      <c r="D4" s="486"/>
    </row>
    <row r="5" spans="2:5" ht="18" x14ac:dyDescent="0.3">
      <c r="B5" s="486" t="s">
        <v>193</v>
      </c>
      <c r="C5" s="486"/>
      <c r="D5" s="486"/>
    </row>
    <row r="6" spans="2:5" ht="18" x14ac:dyDescent="0.3">
      <c r="B6" s="486" t="s">
        <v>200</v>
      </c>
      <c r="C6" s="486"/>
      <c r="D6" s="486"/>
    </row>
    <row r="7" spans="2:5" ht="21.75" customHeight="1" x14ac:dyDescent="0.3">
      <c r="B7" s="486" t="s">
        <v>203</v>
      </c>
      <c r="C7" s="486"/>
      <c r="D7" s="486"/>
    </row>
    <row r="8" spans="2:5" ht="18" x14ac:dyDescent="0.3">
      <c r="B8" s="485" t="s">
        <v>201</v>
      </c>
      <c r="C8" s="485"/>
      <c r="D8" s="485"/>
    </row>
    <row r="9" spans="2:5" ht="18" x14ac:dyDescent="0.3">
      <c r="B9" s="486" t="s">
        <v>194</v>
      </c>
      <c r="C9" s="486"/>
      <c r="D9" s="486"/>
    </row>
    <row r="10" spans="2:5" ht="18" x14ac:dyDescent="0.3">
      <c r="B10" s="486" t="s">
        <v>198</v>
      </c>
      <c r="C10" s="486"/>
      <c r="D10" s="486"/>
    </row>
    <row r="11" spans="2:5" ht="18" x14ac:dyDescent="0.3">
      <c r="B11" s="486" t="s">
        <v>202</v>
      </c>
      <c r="C11" s="486"/>
      <c r="D11" s="486"/>
    </row>
    <row r="14" spans="2:5" ht="16.2" thickBot="1" x14ac:dyDescent="0.35">
      <c r="B14" s="73"/>
      <c r="C14" s="73"/>
    </row>
    <row r="15" spans="2:5" ht="20.399999999999999" customHeight="1" x14ac:dyDescent="0.3">
      <c r="B15" s="86" t="s">
        <v>273</v>
      </c>
      <c r="C15" s="86" t="s">
        <v>274</v>
      </c>
      <c r="D15" s="86" t="s">
        <v>275</v>
      </c>
      <c r="E15" s="86" t="s">
        <v>276</v>
      </c>
    </row>
    <row r="16" spans="2:5" ht="27.75" customHeight="1" x14ac:dyDescent="0.3">
      <c r="B16" s="89" t="s">
        <v>287</v>
      </c>
      <c r="C16" s="87" t="s">
        <v>279</v>
      </c>
      <c r="D16" s="87" t="s">
        <v>279</v>
      </c>
      <c r="E16" s="87" t="s">
        <v>279</v>
      </c>
    </row>
    <row r="17" spans="2:5" ht="27.75" customHeight="1" x14ac:dyDescent="0.3">
      <c r="B17" s="89" t="s">
        <v>277</v>
      </c>
      <c r="C17" s="87" t="s">
        <v>280</v>
      </c>
      <c r="D17" s="89" t="s">
        <v>283</v>
      </c>
      <c r="E17" s="89" t="s">
        <v>285</v>
      </c>
    </row>
    <row r="18" spans="2:5" ht="27.75" customHeight="1" x14ac:dyDescent="0.3">
      <c r="B18" s="89" t="s">
        <v>282</v>
      </c>
      <c r="C18" s="87" t="s">
        <v>281</v>
      </c>
      <c r="D18" s="89" t="s">
        <v>284</v>
      </c>
      <c r="E18" s="89" t="s">
        <v>286</v>
      </c>
    </row>
    <row r="19" spans="2:5" ht="27.75" customHeight="1" x14ac:dyDescent="0.3">
      <c r="B19" s="89" t="s">
        <v>278</v>
      </c>
      <c r="C19" s="88"/>
      <c r="D19" s="87" t="s">
        <v>281</v>
      </c>
      <c r="E19" s="88"/>
    </row>
  </sheetData>
  <mergeCells count="10">
    <mergeCell ref="B1:C1"/>
    <mergeCell ref="B2:C2"/>
    <mergeCell ref="B4:D4"/>
    <mergeCell ref="B9:D9"/>
    <mergeCell ref="B10:D10"/>
    <mergeCell ref="B11:D11"/>
    <mergeCell ref="B5:D5"/>
    <mergeCell ref="B6:D6"/>
    <mergeCell ref="B7:D7"/>
    <mergeCell ref="B8:D8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488" t="s">
        <v>11</v>
      </c>
      <c r="B1" s="488"/>
      <c r="C1" s="488"/>
      <c r="D1" s="490" t="s">
        <v>80</v>
      </c>
      <c r="E1" s="490"/>
      <c r="F1" s="490"/>
      <c r="G1" s="490"/>
      <c r="H1" s="490"/>
      <c r="I1" s="490"/>
      <c r="J1" s="27" t="s">
        <v>11</v>
      </c>
      <c r="K1" s="27" t="s">
        <v>11</v>
      </c>
      <c r="L1" s="27" t="s">
        <v>11</v>
      </c>
      <c r="M1" s="27" t="s">
        <v>11</v>
      </c>
      <c r="N1" s="27" t="s">
        <v>11</v>
      </c>
      <c r="O1" s="28" t="s">
        <v>11</v>
      </c>
    </row>
    <row r="2" spans="1:15" x14ac:dyDescent="0.3">
      <c r="A2" s="489"/>
      <c r="B2" s="489"/>
      <c r="C2" s="489"/>
      <c r="D2" s="488" t="s">
        <v>81</v>
      </c>
      <c r="E2" s="488"/>
      <c r="F2" s="488"/>
      <c r="G2" s="488"/>
      <c r="H2" s="488"/>
      <c r="I2" s="488"/>
      <c r="J2" s="27"/>
      <c r="K2" s="27"/>
      <c r="L2" s="27"/>
      <c r="M2" s="27"/>
      <c r="N2" s="27"/>
      <c r="O2" s="491" t="s">
        <v>82</v>
      </c>
    </row>
    <row r="3" spans="1:15" x14ac:dyDescent="0.3">
      <c r="A3" s="489"/>
      <c r="B3" s="489"/>
      <c r="C3" s="489"/>
      <c r="D3" s="488" t="s">
        <v>83</v>
      </c>
      <c r="E3" s="488"/>
      <c r="F3" s="488"/>
      <c r="G3" s="488"/>
      <c r="H3" s="488"/>
      <c r="I3" s="488"/>
      <c r="J3" s="27"/>
      <c r="K3" s="27"/>
      <c r="L3" s="27"/>
      <c r="M3" s="27"/>
      <c r="N3" s="27"/>
      <c r="O3" s="492"/>
    </row>
    <row r="4" spans="1:15" x14ac:dyDescent="0.3">
      <c r="A4" s="489"/>
      <c r="B4" s="489"/>
      <c r="C4" s="489"/>
      <c r="D4" s="488" t="s">
        <v>84</v>
      </c>
      <c r="E4" s="488"/>
      <c r="F4" s="488"/>
      <c r="G4" s="488"/>
      <c r="H4" s="488"/>
      <c r="I4" s="488"/>
      <c r="J4" s="27"/>
      <c r="K4" s="27"/>
      <c r="L4" s="27"/>
      <c r="M4" s="27"/>
      <c r="N4" s="27"/>
      <c r="O4" s="492"/>
    </row>
    <row r="5" spans="1:15" x14ac:dyDescent="0.3">
      <c r="A5" s="489"/>
      <c r="B5" s="489"/>
      <c r="C5" s="489"/>
      <c r="D5" s="488" t="s">
        <v>85</v>
      </c>
      <c r="E5" s="488"/>
      <c r="F5" s="488"/>
      <c r="G5" s="488"/>
      <c r="H5" s="488"/>
      <c r="I5" s="488"/>
      <c r="J5" s="27"/>
      <c r="K5" s="27"/>
      <c r="L5" s="27"/>
      <c r="M5" s="27"/>
      <c r="N5" s="27"/>
      <c r="O5" s="492"/>
    </row>
    <row r="6" spans="1:15" x14ac:dyDescent="0.3">
      <c r="A6" s="489"/>
      <c r="B6" s="489"/>
      <c r="C6" s="48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492"/>
    </row>
    <row r="7" spans="1:15" x14ac:dyDescent="0.3">
      <c r="A7" s="489"/>
      <c r="B7" s="489"/>
      <c r="C7" s="489"/>
      <c r="D7" s="488" t="s">
        <v>86</v>
      </c>
      <c r="E7" s="488"/>
      <c r="F7" s="488"/>
      <c r="G7" s="488"/>
      <c r="H7" s="488"/>
      <c r="I7" s="488"/>
      <c r="J7" s="27"/>
      <c r="K7" s="27"/>
      <c r="L7" s="27"/>
      <c r="M7" s="27"/>
      <c r="N7" s="27"/>
      <c r="O7" s="29">
        <v>45264.482613275461</v>
      </c>
    </row>
    <row r="8" spans="1:15" x14ac:dyDescent="0.3">
      <c r="A8" s="487" t="s">
        <v>87</v>
      </c>
      <c r="B8" s="487"/>
      <c r="C8" s="487"/>
      <c r="D8" s="487"/>
      <c r="E8" s="487"/>
      <c r="F8" s="487"/>
      <c r="G8" s="487"/>
      <c r="H8" s="487"/>
      <c r="I8" s="487"/>
      <c r="J8" s="487"/>
      <c r="K8" s="487"/>
      <c r="L8" s="487"/>
      <c r="M8" s="487"/>
      <c r="N8" s="487"/>
      <c r="O8" s="487"/>
    </row>
    <row r="9" spans="1:15" ht="27.6" x14ac:dyDescent="0.3">
      <c r="A9" s="30" t="s">
        <v>88</v>
      </c>
      <c r="B9" s="30" t="s">
        <v>89</v>
      </c>
      <c r="C9" s="30" t="s">
        <v>90</v>
      </c>
      <c r="D9" s="30" t="s">
        <v>52</v>
      </c>
      <c r="E9" s="30" t="s">
        <v>91</v>
      </c>
      <c r="F9" s="30" t="s">
        <v>92</v>
      </c>
      <c r="G9" s="30" t="s">
        <v>34</v>
      </c>
      <c r="H9" s="30" t="s">
        <v>93</v>
      </c>
      <c r="I9" s="30" t="s">
        <v>94</v>
      </c>
      <c r="J9" s="30" t="s">
        <v>92</v>
      </c>
      <c r="K9" s="30" t="s">
        <v>95</v>
      </c>
      <c r="L9" s="30" t="s">
        <v>96</v>
      </c>
      <c r="M9" s="30" t="s">
        <v>97</v>
      </c>
      <c r="N9" s="30" t="s">
        <v>98</v>
      </c>
      <c r="O9" s="31" t="s">
        <v>99</v>
      </c>
    </row>
    <row r="10" spans="1:15" x14ac:dyDescent="0.3">
      <c r="A10" s="32" t="s">
        <v>49</v>
      </c>
      <c r="B10" s="33">
        <v>1</v>
      </c>
      <c r="C10" s="32" t="s">
        <v>109</v>
      </c>
      <c r="D10" s="32" t="s">
        <v>63</v>
      </c>
      <c r="E10" s="32">
        <v>1</v>
      </c>
      <c r="F10" s="34">
        <v>20000</v>
      </c>
      <c r="G10" s="34">
        <v>20000</v>
      </c>
      <c r="H10" s="32" t="s">
        <v>103</v>
      </c>
      <c r="I10" s="34">
        <v>9900</v>
      </c>
      <c r="J10" s="34">
        <v>9900</v>
      </c>
      <c r="K10" s="34" t="s">
        <v>104</v>
      </c>
      <c r="L10" s="35" t="s">
        <v>105</v>
      </c>
      <c r="M10" s="35" t="s">
        <v>105</v>
      </c>
      <c r="N10" s="34">
        <v>0</v>
      </c>
      <c r="O10" s="36" t="s">
        <v>11</v>
      </c>
    </row>
    <row r="11" spans="1:15" x14ac:dyDescent="0.3">
      <c r="A11" s="37" t="s">
        <v>49</v>
      </c>
      <c r="B11" s="38">
        <v>2</v>
      </c>
      <c r="C11" s="37" t="s">
        <v>110</v>
      </c>
      <c r="D11" s="37" t="s">
        <v>72</v>
      </c>
      <c r="E11" s="37">
        <v>1</v>
      </c>
      <c r="F11" s="39">
        <v>11500</v>
      </c>
      <c r="G11" s="39">
        <v>11500</v>
      </c>
      <c r="H11" s="37" t="s">
        <v>103</v>
      </c>
      <c r="I11" s="39">
        <v>7400</v>
      </c>
      <c r="J11" s="39">
        <v>7400</v>
      </c>
      <c r="K11" s="39" t="s">
        <v>104</v>
      </c>
      <c r="L11" s="40" t="s">
        <v>105</v>
      </c>
      <c r="M11" s="40" t="s">
        <v>105</v>
      </c>
      <c r="N11" s="39">
        <v>0</v>
      </c>
      <c r="O11" s="41" t="s">
        <v>11</v>
      </c>
    </row>
    <row r="12" spans="1:15" x14ac:dyDescent="0.3">
      <c r="A12" s="32" t="s">
        <v>106</v>
      </c>
      <c r="B12" s="33">
        <v>3</v>
      </c>
      <c r="C12" s="32" t="s">
        <v>111</v>
      </c>
      <c r="D12" s="32" t="s">
        <v>73</v>
      </c>
      <c r="E12" s="32">
        <v>1</v>
      </c>
      <c r="F12" s="34">
        <v>1000</v>
      </c>
      <c r="G12" s="34">
        <v>1000</v>
      </c>
      <c r="H12" s="32" t="s">
        <v>103</v>
      </c>
      <c r="I12" s="34">
        <v>900</v>
      </c>
      <c r="J12" s="34">
        <v>900</v>
      </c>
      <c r="K12" s="34" t="s">
        <v>104</v>
      </c>
      <c r="L12" s="35" t="s">
        <v>112</v>
      </c>
      <c r="M12" s="35" t="s">
        <v>105</v>
      </c>
      <c r="N12" s="34">
        <v>0</v>
      </c>
      <c r="O12" s="36" t="s">
        <v>74</v>
      </c>
    </row>
    <row r="13" spans="1:15" x14ac:dyDescent="0.3">
      <c r="A13" s="37" t="s">
        <v>106</v>
      </c>
      <c r="B13" s="38">
        <v>4</v>
      </c>
      <c r="C13" s="37" t="s">
        <v>113</v>
      </c>
      <c r="D13" s="37" t="s">
        <v>75</v>
      </c>
      <c r="E13" s="37">
        <v>1</v>
      </c>
      <c r="F13" s="39">
        <v>2000</v>
      </c>
      <c r="G13" s="39">
        <v>2000</v>
      </c>
      <c r="H13" s="37" t="s">
        <v>103</v>
      </c>
      <c r="I13" s="39">
        <v>500</v>
      </c>
      <c r="J13" s="39">
        <v>500</v>
      </c>
      <c r="K13" s="39" t="s">
        <v>104</v>
      </c>
      <c r="L13" s="40" t="s">
        <v>112</v>
      </c>
      <c r="M13" s="40" t="s">
        <v>105</v>
      </c>
      <c r="N13" s="39">
        <v>0</v>
      </c>
      <c r="O13" s="41" t="s">
        <v>76</v>
      </c>
    </row>
    <row r="14" spans="1:15" x14ac:dyDescent="0.3">
      <c r="A14" s="32" t="s">
        <v>106</v>
      </c>
      <c r="B14" s="33">
        <v>5</v>
      </c>
      <c r="C14" s="32" t="s">
        <v>114</v>
      </c>
      <c r="D14" s="32" t="s">
        <v>59</v>
      </c>
      <c r="E14" s="32">
        <v>1</v>
      </c>
      <c r="F14" s="34">
        <v>4000</v>
      </c>
      <c r="G14" s="34">
        <v>4000</v>
      </c>
      <c r="H14" s="32" t="s">
        <v>103</v>
      </c>
      <c r="I14" s="34">
        <v>2000</v>
      </c>
      <c r="J14" s="34">
        <v>2000</v>
      </c>
      <c r="K14" s="34" t="s">
        <v>104</v>
      </c>
      <c r="L14" s="35" t="s">
        <v>112</v>
      </c>
      <c r="M14" s="35" t="s">
        <v>105</v>
      </c>
      <c r="N14" s="34">
        <v>0</v>
      </c>
      <c r="O14" s="36" t="s">
        <v>61</v>
      </c>
    </row>
    <row r="15" spans="1:15" x14ac:dyDescent="0.3">
      <c r="A15" s="37" t="s">
        <v>108</v>
      </c>
      <c r="B15" s="38">
        <v>6</v>
      </c>
      <c r="C15" s="37" t="s">
        <v>115</v>
      </c>
      <c r="D15" s="37" t="s">
        <v>107</v>
      </c>
      <c r="E15" s="37">
        <v>1</v>
      </c>
      <c r="F15" s="39">
        <v>0</v>
      </c>
      <c r="G15" s="39">
        <v>0</v>
      </c>
      <c r="H15" s="37" t="s">
        <v>103</v>
      </c>
      <c r="I15" s="39">
        <v>1000</v>
      </c>
      <c r="J15" s="39">
        <v>1000</v>
      </c>
      <c r="K15" s="39" t="s">
        <v>104</v>
      </c>
      <c r="L15" s="40" t="s">
        <v>112</v>
      </c>
      <c r="M15" s="40" t="s">
        <v>105</v>
      </c>
      <c r="N15" s="39">
        <v>0</v>
      </c>
      <c r="O15" s="41" t="s">
        <v>11</v>
      </c>
    </row>
    <row r="16" spans="1:15" x14ac:dyDescent="0.3">
      <c r="A16" s="32" t="s">
        <v>106</v>
      </c>
      <c r="B16" s="33">
        <v>7</v>
      </c>
      <c r="C16" s="32" t="s">
        <v>116</v>
      </c>
      <c r="D16" s="32" t="s">
        <v>60</v>
      </c>
      <c r="E16" s="32">
        <v>1</v>
      </c>
      <c r="F16" s="34">
        <v>2000</v>
      </c>
      <c r="G16" s="34">
        <v>2000</v>
      </c>
      <c r="H16" s="32" t="s">
        <v>103</v>
      </c>
      <c r="I16" s="34">
        <v>1000</v>
      </c>
      <c r="J16" s="34">
        <v>1000</v>
      </c>
      <c r="K16" s="34" t="s">
        <v>104</v>
      </c>
      <c r="L16" s="35" t="s">
        <v>112</v>
      </c>
      <c r="M16" s="35" t="s">
        <v>105</v>
      </c>
      <c r="N16" s="34">
        <v>0</v>
      </c>
      <c r="O16" s="36" t="s">
        <v>62</v>
      </c>
    </row>
    <row r="17" spans="1:15" x14ac:dyDescent="0.3">
      <c r="A17" s="37" t="s">
        <v>108</v>
      </c>
      <c r="B17" s="38">
        <v>14</v>
      </c>
      <c r="C17" s="37" t="s">
        <v>117</v>
      </c>
      <c r="D17" s="37" t="s">
        <v>79</v>
      </c>
      <c r="E17" s="37">
        <v>1</v>
      </c>
      <c r="F17" s="39">
        <v>2500</v>
      </c>
      <c r="G17" s="39">
        <v>2500</v>
      </c>
      <c r="H17" s="37" t="s">
        <v>103</v>
      </c>
      <c r="I17" s="39">
        <v>2000</v>
      </c>
      <c r="J17" s="39">
        <v>2000</v>
      </c>
      <c r="K17" s="39" t="s">
        <v>118</v>
      </c>
      <c r="L17" s="40" t="s">
        <v>119</v>
      </c>
      <c r="M17" s="40" t="s">
        <v>105</v>
      </c>
      <c r="N17" s="39">
        <v>0</v>
      </c>
      <c r="O17" s="41" t="s">
        <v>11</v>
      </c>
    </row>
    <row r="18" spans="1:15" x14ac:dyDescent="0.3">
      <c r="A18" s="32" t="s">
        <v>49</v>
      </c>
      <c r="B18" s="33">
        <v>8</v>
      </c>
      <c r="C18" s="32" t="s">
        <v>120</v>
      </c>
      <c r="D18" s="32" t="s">
        <v>77</v>
      </c>
      <c r="E18" s="32">
        <v>1</v>
      </c>
      <c r="F18" s="34">
        <v>8500</v>
      </c>
      <c r="G18" s="34">
        <v>8500</v>
      </c>
      <c r="H18" s="32" t="s">
        <v>103</v>
      </c>
      <c r="I18" s="34">
        <v>2500</v>
      </c>
      <c r="J18" s="34">
        <v>2500</v>
      </c>
      <c r="K18" s="34" t="s">
        <v>104</v>
      </c>
      <c r="L18" s="35" t="s">
        <v>105</v>
      </c>
      <c r="M18" s="35" t="s">
        <v>105</v>
      </c>
      <c r="N18" s="34">
        <v>0</v>
      </c>
      <c r="O18" s="36" t="s">
        <v>11</v>
      </c>
    </row>
    <row r="19" spans="1:15" ht="72" x14ac:dyDescent="0.3">
      <c r="A19" s="37" t="s">
        <v>106</v>
      </c>
      <c r="B19" s="38">
        <v>9</v>
      </c>
      <c r="C19" s="37" t="s">
        <v>121</v>
      </c>
      <c r="D19" s="37" t="s">
        <v>64</v>
      </c>
      <c r="E19" s="37">
        <v>2</v>
      </c>
      <c r="F19" s="39">
        <v>2000</v>
      </c>
      <c r="G19" s="39">
        <v>4000</v>
      </c>
      <c r="H19" s="37" t="s">
        <v>103</v>
      </c>
      <c r="I19" s="39">
        <v>1000</v>
      </c>
      <c r="J19" s="39">
        <v>500</v>
      </c>
      <c r="K19" s="39" t="s">
        <v>104</v>
      </c>
      <c r="L19" s="40" t="s">
        <v>112</v>
      </c>
      <c r="M19" s="40" t="s">
        <v>105</v>
      </c>
      <c r="N19" s="39">
        <v>0</v>
      </c>
      <c r="O19" s="42" t="s">
        <v>65</v>
      </c>
    </row>
    <row r="20" spans="1:15" ht="28.8" x14ac:dyDescent="0.3">
      <c r="A20" s="32" t="s">
        <v>106</v>
      </c>
      <c r="B20" s="33">
        <v>10</v>
      </c>
      <c r="C20" s="32" t="s">
        <v>122</v>
      </c>
      <c r="D20" s="32" t="s">
        <v>66</v>
      </c>
      <c r="E20" s="32">
        <v>3</v>
      </c>
      <c r="F20" s="34">
        <v>1500</v>
      </c>
      <c r="G20" s="34">
        <v>4500</v>
      </c>
      <c r="H20" s="32" t="s">
        <v>103</v>
      </c>
      <c r="I20" s="34">
        <v>1500</v>
      </c>
      <c r="J20" s="34">
        <v>500</v>
      </c>
      <c r="K20" s="34" t="s">
        <v>104</v>
      </c>
      <c r="L20" s="35" t="s">
        <v>112</v>
      </c>
      <c r="M20" s="35" t="s">
        <v>105</v>
      </c>
      <c r="N20" s="34">
        <v>0</v>
      </c>
      <c r="O20" s="43" t="s">
        <v>67</v>
      </c>
    </row>
    <row r="21" spans="1:15" x14ac:dyDescent="0.3">
      <c r="A21" s="37" t="s">
        <v>49</v>
      </c>
      <c r="B21" s="38">
        <v>11</v>
      </c>
      <c r="C21" s="37" t="s">
        <v>123</v>
      </c>
      <c r="D21" s="37" t="s">
        <v>68</v>
      </c>
      <c r="E21" s="37">
        <v>1</v>
      </c>
      <c r="F21" s="39">
        <v>7000</v>
      </c>
      <c r="G21" s="39">
        <v>7000</v>
      </c>
      <c r="H21" s="37" t="s">
        <v>103</v>
      </c>
      <c r="I21" s="39">
        <v>300</v>
      </c>
      <c r="J21" s="39">
        <v>300</v>
      </c>
      <c r="K21" s="39" t="s">
        <v>104</v>
      </c>
      <c r="L21" s="40" t="s">
        <v>105</v>
      </c>
      <c r="M21" s="40" t="s">
        <v>105</v>
      </c>
      <c r="N21" s="39">
        <v>0</v>
      </c>
      <c r="O21" s="41" t="s">
        <v>11</v>
      </c>
    </row>
    <row r="22" spans="1:15" x14ac:dyDescent="0.3">
      <c r="A22" s="32" t="s">
        <v>49</v>
      </c>
      <c r="B22" s="33">
        <v>12</v>
      </c>
      <c r="C22" s="32" t="s">
        <v>124</v>
      </c>
      <c r="D22" s="32" t="s">
        <v>69</v>
      </c>
      <c r="E22" s="32">
        <v>1</v>
      </c>
      <c r="F22" s="34">
        <v>7000</v>
      </c>
      <c r="G22" s="34">
        <v>7000</v>
      </c>
      <c r="H22" s="32" t="s">
        <v>103</v>
      </c>
      <c r="I22" s="34">
        <v>300</v>
      </c>
      <c r="J22" s="34">
        <v>300</v>
      </c>
      <c r="K22" s="34" t="s">
        <v>104</v>
      </c>
      <c r="L22" s="35" t="s">
        <v>105</v>
      </c>
      <c r="M22" s="35" t="s">
        <v>105</v>
      </c>
      <c r="N22" s="34">
        <v>0</v>
      </c>
      <c r="O22" s="36" t="s">
        <v>11</v>
      </c>
    </row>
    <row r="23" spans="1:15" x14ac:dyDescent="0.3">
      <c r="A23" s="37" t="s">
        <v>106</v>
      </c>
      <c r="B23" s="38">
        <v>13</v>
      </c>
      <c r="C23" s="37" t="s">
        <v>125</v>
      </c>
      <c r="D23" s="37" t="s">
        <v>78</v>
      </c>
      <c r="E23" s="37">
        <v>1</v>
      </c>
      <c r="F23" s="39">
        <v>5000</v>
      </c>
      <c r="G23" s="39">
        <v>5000</v>
      </c>
      <c r="H23" s="37" t="s">
        <v>103</v>
      </c>
      <c r="I23" s="39">
        <v>200</v>
      </c>
      <c r="J23" s="39">
        <v>200</v>
      </c>
      <c r="K23" s="39" t="s">
        <v>104</v>
      </c>
      <c r="L23" s="40" t="s">
        <v>112</v>
      </c>
      <c r="M23" s="40" t="s">
        <v>105</v>
      </c>
      <c r="N23" s="39">
        <v>0</v>
      </c>
      <c r="O23" s="41" t="s">
        <v>11</v>
      </c>
    </row>
    <row r="24" spans="1:15" x14ac:dyDescent="0.3">
      <c r="A24" s="32" t="s">
        <v>106</v>
      </c>
      <c r="B24" s="33">
        <v>15</v>
      </c>
      <c r="C24" s="32" t="s">
        <v>126</v>
      </c>
      <c r="D24" s="32" t="s">
        <v>79</v>
      </c>
      <c r="E24" s="32">
        <v>1</v>
      </c>
      <c r="F24" s="34">
        <v>2000</v>
      </c>
      <c r="G24" s="34">
        <v>2000</v>
      </c>
      <c r="H24" s="32" t="s">
        <v>103</v>
      </c>
      <c r="I24" s="34">
        <v>100</v>
      </c>
      <c r="J24" s="34">
        <v>100</v>
      </c>
      <c r="K24" s="34" t="s">
        <v>104</v>
      </c>
      <c r="L24" s="35" t="s">
        <v>112</v>
      </c>
      <c r="M24" s="35" t="s">
        <v>105</v>
      </c>
      <c r="N24" s="34">
        <v>0</v>
      </c>
      <c r="O24" s="36" t="s">
        <v>11</v>
      </c>
    </row>
    <row r="25" spans="1:15" x14ac:dyDescent="0.3">
      <c r="A25" s="37"/>
      <c r="B25" s="38"/>
      <c r="C25" s="37"/>
      <c r="D25" s="37"/>
      <c r="E25" s="37"/>
      <c r="F25" s="39"/>
      <c r="G25" s="39"/>
      <c r="H25" s="37"/>
      <c r="I25" s="39"/>
      <c r="J25" s="39"/>
      <c r="K25" s="39"/>
      <c r="L25" s="40"/>
      <c r="M25" s="40"/>
      <c r="N25" s="39"/>
      <c r="O25" s="41"/>
    </row>
    <row r="26" spans="1:15" x14ac:dyDescent="0.3">
      <c r="A26" s="32" t="s">
        <v>100</v>
      </c>
      <c r="B26" s="33"/>
      <c r="C26" s="32"/>
      <c r="D26" s="32"/>
      <c r="E26" s="32"/>
      <c r="F26" s="34"/>
      <c r="G26" s="34"/>
      <c r="H26" s="32"/>
      <c r="I26" s="34"/>
      <c r="J26" s="34"/>
      <c r="K26" s="34"/>
      <c r="L26" s="35"/>
      <c r="M26" s="35"/>
      <c r="N26" s="34"/>
      <c r="O26" s="36"/>
    </row>
    <row r="27" spans="1:15" x14ac:dyDescent="0.3">
      <c r="A27" s="37" t="s">
        <v>101</v>
      </c>
      <c r="B27" s="38"/>
      <c r="C27" s="37"/>
      <c r="D27" s="37"/>
      <c r="E27" s="37"/>
      <c r="F27" s="39"/>
      <c r="G27" s="39"/>
      <c r="H27" s="37"/>
      <c r="I27" s="39"/>
      <c r="J27" s="39"/>
      <c r="K27" s="39"/>
      <c r="L27" s="40"/>
      <c r="M27" s="40"/>
      <c r="N27" s="39"/>
      <c r="O27" s="41"/>
    </row>
    <row r="28" spans="1:15" x14ac:dyDescent="0.3">
      <c r="A28" s="44" t="s">
        <v>102</v>
      </c>
      <c r="B28" s="45"/>
      <c r="C28" s="44"/>
      <c r="D28" s="44"/>
      <c r="E28" s="44"/>
      <c r="F28" s="46"/>
      <c r="G28" s="46"/>
      <c r="H28" s="44"/>
      <c r="I28" s="46"/>
      <c r="J28" s="46"/>
      <c r="K28" s="46"/>
      <c r="L28" s="47"/>
      <c r="M28" s="47"/>
      <c r="N28" s="46"/>
      <c r="O28" s="48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554687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526" t="s">
        <v>3</v>
      </c>
      <c r="C2" s="527"/>
      <c r="D2" s="527"/>
      <c r="E2" s="527"/>
      <c r="F2" s="527"/>
      <c r="G2" s="527"/>
      <c r="H2" s="527"/>
      <c r="I2" s="527"/>
      <c r="J2" s="527"/>
      <c r="K2" s="527"/>
      <c r="L2" s="528"/>
    </row>
    <row r="3" spans="2:12" ht="47.4" customHeight="1" thickBot="1" x14ac:dyDescent="0.35">
      <c r="B3" s="529" t="s">
        <v>12</v>
      </c>
      <c r="C3" s="530"/>
      <c r="D3" s="530"/>
      <c r="E3" s="530"/>
      <c r="F3" s="530"/>
      <c r="G3" s="530"/>
      <c r="H3" s="530"/>
      <c r="I3" s="530"/>
      <c r="J3" s="530"/>
      <c r="K3" s="530"/>
      <c r="L3" s="531"/>
    </row>
    <row r="4" spans="2:12" ht="7.2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498" t="s">
        <v>13</v>
      </c>
      <c r="D6" s="498"/>
      <c r="E6" s="498"/>
      <c r="F6" s="498"/>
      <c r="G6" s="498"/>
      <c r="H6" s="498"/>
      <c r="I6" s="498"/>
      <c r="J6" s="498"/>
      <c r="K6" s="498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532" t="s">
        <v>154</v>
      </c>
      <c r="E8" s="533"/>
      <c r="F8" s="533"/>
      <c r="G8" s="533"/>
      <c r="H8" s="533"/>
      <c r="I8" s="533"/>
      <c r="J8" s="533"/>
      <c r="K8" s="534"/>
      <c r="L8" s="5"/>
    </row>
    <row r="9" spans="2:12" x14ac:dyDescent="0.3">
      <c r="B9" s="4"/>
      <c r="C9" s="7" t="s">
        <v>15</v>
      </c>
      <c r="D9" s="519" t="s">
        <v>16</v>
      </c>
      <c r="E9" s="520"/>
      <c r="F9" s="520"/>
      <c r="G9" s="520"/>
      <c r="H9" s="520"/>
      <c r="I9" s="520"/>
      <c r="J9" s="520"/>
      <c r="K9" s="521"/>
      <c r="L9" s="5"/>
    </row>
    <row r="10" spans="2:12" x14ac:dyDescent="0.3">
      <c r="B10" s="4"/>
      <c r="C10" s="7" t="s">
        <v>17</v>
      </c>
      <c r="D10" s="519" t="s">
        <v>11</v>
      </c>
      <c r="E10" s="520"/>
      <c r="F10" s="520"/>
      <c r="G10" s="520"/>
      <c r="H10" s="520"/>
      <c r="I10" s="520"/>
      <c r="J10" s="520"/>
      <c r="K10" s="521"/>
      <c r="L10" s="5"/>
    </row>
    <row r="11" spans="2:12" x14ac:dyDescent="0.3">
      <c r="B11" s="4"/>
      <c r="C11" s="7" t="s">
        <v>18</v>
      </c>
      <c r="D11" s="519" t="s">
        <v>155</v>
      </c>
      <c r="E11" s="520"/>
      <c r="F11" s="520"/>
      <c r="G11" s="520"/>
      <c r="H11" s="520"/>
      <c r="I11" s="520"/>
      <c r="J11" s="520"/>
      <c r="K11" s="521"/>
      <c r="L11" s="5"/>
    </row>
    <row r="12" spans="2:12" x14ac:dyDescent="0.3">
      <c r="B12" s="4"/>
      <c r="C12" s="10" t="s">
        <v>19</v>
      </c>
      <c r="D12" s="516" t="s">
        <v>156</v>
      </c>
      <c r="E12" s="517"/>
      <c r="F12" s="517"/>
      <c r="G12" s="517"/>
      <c r="H12" s="518"/>
      <c r="I12" s="11" t="s">
        <v>20</v>
      </c>
      <c r="J12" s="516" t="s">
        <v>153</v>
      </c>
      <c r="K12" s="518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2" customHeight="1" thickBot="1" x14ac:dyDescent="0.35"/>
    <row r="15" spans="2:12" ht="7.95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498" t="s">
        <v>21</v>
      </c>
      <c r="D16" s="498"/>
      <c r="E16" s="498"/>
      <c r="F16" s="498"/>
      <c r="G16" s="498"/>
      <c r="H16" s="498"/>
      <c r="I16" s="498"/>
      <c r="J16" s="498"/>
      <c r="K16" s="498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522" t="s">
        <v>127</v>
      </c>
      <c r="E18" s="522"/>
      <c r="F18" s="522"/>
      <c r="G18" s="513"/>
      <c r="H18" s="522" t="s">
        <v>22</v>
      </c>
      <c r="I18" s="522"/>
      <c r="J18" s="522"/>
      <c r="K18" s="513"/>
      <c r="L18" s="5"/>
    </row>
    <row r="19" spans="2:12" x14ac:dyDescent="0.3">
      <c r="B19" s="4"/>
      <c r="C19" s="15" t="s">
        <v>23</v>
      </c>
      <c r="D19" s="523" t="s">
        <v>158</v>
      </c>
      <c r="E19" s="524"/>
      <c r="F19" s="524"/>
      <c r="G19" s="524"/>
      <c r="H19" s="524"/>
      <c r="I19" s="524"/>
      <c r="J19" s="524"/>
      <c r="K19" s="525"/>
      <c r="L19" s="5"/>
    </row>
    <row r="20" spans="2:12" x14ac:dyDescent="0.3">
      <c r="B20" s="4"/>
      <c r="C20" s="7" t="s">
        <v>24</v>
      </c>
      <c r="D20" s="519"/>
      <c r="E20" s="520"/>
      <c r="F20" s="520"/>
      <c r="G20" s="520"/>
      <c r="H20" s="520"/>
      <c r="I20" s="520"/>
      <c r="J20" s="520"/>
      <c r="K20" s="521"/>
      <c r="L20" s="5"/>
    </row>
    <row r="21" spans="2:12" x14ac:dyDescent="0.3">
      <c r="B21" s="4"/>
      <c r="C21" s="7" t="s">
        <v>25</v>
      </c>
      <c r="D21" s="519" t="s">
        <v>162</v>
      </c>
      <c r="E21" s="521"/>
      <c r="F21" s="7" t="s">
        <v>57</v>
      </c>
      <c r="G21" s="16" t="s">
        <v>163</v>
      </c>
      <c r="H21" s="7" t="s">
        <v>26</v>
      </c>
      <c r="I21" s="8" t="s">
        <v>164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519" t="s">
        <v>157</v>
      </c>
      <c r="E22" s="520"/>
      <c r="F22" s="520"/>
      <c r="G22" s="521"/>
      <c r="H22" s="7" t="s">
        <v>29</v>
      </c>
      <c r="I22" s="519"/>
      <c r="J22" s="520"/>
      <c r="K22" s="521"/>
      <c r="L22" s="5"/>
    </row>
    <row r="23" spans="2:12" x14ac:dyDescent="0.3">
      <c r="B23" s="4"/>
      <c r="C23" s="10" t="s">
        <v>30</v>
      </c>
      <c r="D23" s="516" t="s">
        <v>159</v>
      </c>
      <c r="E23" s="517"/>
      <c r="F23" s="517"/>
      <c r="G23" s="518"/>
      <c r="H23" s="10" t="s">
        <v>31</v>
      </c>
      <c r="I23" s="516" t="s">
        <v>11</v>
      </c>
      <c r="J23" s="517"/>
      <c r="K23" s="518"/>
      <c r="L23" s="5"/>
    </row>
    <row r="24" spans="2:12" ht="6.6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6" customHeight="1" thickBot="1" x14ac:dyDescent="0.35"/>
    <row r="26" spans="2:12" ht="7.95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498" t="s">
        <v>21</v>
      </c>
      <c r="D27" s="498"/>
      <c r="E27" s="498"/>
      <c r="F27" s="498"/>
      <c r="G27" s="498"/>
      <c r="H27" s="498"/>
      <c r="I27" s="498"/>
      <c r="J27" s="498"/>
      <c r="K27" s="498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512" t="s">
        <v>33</v>
      </c>
      <c r="E29" s="513"/>
      <c r="F29" s="512" t="s">
        <v>34</v>
      </c>
      <c r="G29" s="513"/>
      <c r="H29" s="514" t="s">
        <v>35</v>
      </c>
      <c r="I29" s="514"/>
      <c r="J29" s="514"/>
      <c r="K29" s="515"/>
      <c r="L29" s="5"/>
    </row>
    <row r="30" spans="2:12" x14ac:dyDescent="0.3">
      <c r="B30" s="4"/>
      <c r="C30" s="17" t="s">
        <v>36</v>
      </c>
      <c r="D30" s="499" t="s">
        <v>160</v>
      </c>
      <c r="E30" s="500"/>
      <c r="F30" s="501" t="s">
        <v>165</v>
      </c>
      <c r="G30" s="502"/>
      <c r="H30" s="18" t="s">
        <v>161</v>
      </c>
      <c r="I30" s="512" t="s">
        <v>40</v>
      </c>
      <c r="J30" s="513"/>
      <c r="K30" s="6" t="s">
        <v>38</v>
      </c>
      <c r="L30" s="5"/>
    </row>
    <row r="31" spans="2:12" x14ac:dyDescent="0.3">
      <c r="B31" s="4"/>
      <c r="C31" s="17" t="s">
        <v>39</v>
      </c>
      <c r="D31" s="499" t="s">
        <v>11</v>
      </c>
      <c r="E31" s="500"/>
      <c r="F31" s="501" t="s">
        <v>11</v>
      </c>
      <c r="G31" s="502"/>
      <c r="H31" s="17" t="s">
        <v>37</v>
      </c>
      <c r="I31" s="503" t="s">
        <v>40</v>
      </c>
      <c r="J31" s="504"/>
      <c r="K31" s="7" t="s">
        <v>38</v>
      </c>
      <c r="L31" s="5"/>
    </row>
    <row r="32" spans="2:12" x14ac:dyDescent="0.3">
      <c r="B32" s="4"/>
      <c r="C32" s="17" t="s">
        <v>41</v>
      </c>
      <c r="D32" s="499" t="s">
        <v>11</v>
      </c>
      <c r="E32" s="500"/>
      <c r="F32" s="501" t="s">
        <v>11</v>
      </c>
      <c r="G32" s="502"/>
      <c r="H32" s="17" t="s">
        <v>37</v>
      </c>
      <c r="I32" s="503" t="s">
        <v>40</v>
      </c>
      <c r="J32" s="504"/>
      <c r="K32" s="7" t="s">
        <v>38</v>
      </c>
      <c r="L32" s="5"/>
    </row>
    <row r="33" spans="2:12" x14ac:dyDescent="0.3">
      <c r="B33" s="4"/>
      <c r="C33" s="19" t="s">
        <v>42</v>
      </c>
      <c r="D33" s="499" t="s">
        <v>11</v>
      </c>
      <c r="E33" s="500"/>
      <c r="F33" s="505" t="s">
        <v>11</v>
      </c>
      <c r="G33" s="506"/>
      <c r="H33" s="17" t="s">
        <v>37</v>
      </c>
      <c r="I33" s="503" t="s">
        <v>40</v>
      </c>
      <c r="J33" s="504"/>
      <c r="K33" s="7" t="s">
        <v>38</v>
      </c>
      <c r="L33" s="5"/>
    </row>
    <row r="34" spans="2:12" x14ac:dyDescent="0.3">
      <c r="B34" s="4"/>
      <c r="C34" s="507" t="s">
        <v>43</v>
      </c>
      <c r="D34" s="508"/>
      <c r="E34" s="509"/>
      <c r="F34" s="510" t="s">
        <v>165</v>
      </c>
      <c r="G34" s="511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498" t="s">
        <v>44</v>
      </c>
      <c r="D38" s="498"/>
      <c r="E38" s="498"/>
      <c r="F38" s="498"/>
      <c r="G38" s="498"/>
      <c r="H38" s="498"/>
      <c r="I38" s="498"/>
      <c r="J38" s="498"/>
      <c r="K38" s="498"/>
      <c r="L38" s="5"/>
    </row>
    <row r="39" spans="2:12" x14ac:dyDescent="0.3">
      <c r="B39" s="4"/>
      <c r="C39" s="496" t="s">
        <v>166</v>
      </c>
      <c r="D39" s="496"/>
      <c r="E39" s="496"/>
      <c r="F39" s="496"/>
      <c r="G39" s="496"/>
      <c r="H39" s="496"/>
      <c r="I39" s="496"/>
      <c r="J39" s="496"/>
      <c r="K39" s="496"/>
      <c r="L39" s="5"/>
    </row>
    <row r="40" spans="2:12" x14ac:dyDescent="0.3">
      <c r="B40" s="4"/>
      <c r="C40" s="496"/>
      <c r="D40" s="496"/>
      <c r="E40" s="496"/>
      <c r="F40" s="496"/>
      <c r="G40" s="496"/>
      <c r="H40" s="496"/>
      <c r="I40" s="496"/>
      <c r="J40" s="496"/>
      <c r="K40" s="496"/>
      <c r="L40" s="5"/>
    </row>
    <row r="41" spans="2:12" x14ac:dyDescent="0.3">
      <c r="B41" s="4"/>
      <c r="C41" s="496"/>
      <c r="D41" s="496"/>
      <c r="E41" s="496"/>
      <c r="F41" s="496"/>
      <c r="G41" s="496"/>
      <c r="H41" s="496"/>
      <c r="I41" s="496"/>
      <c r="J41" s="496"/>
      <c r="K41" s="496"/>
      <c r="L41" s="5"/>
    </row>
    <row r="42" spans="2:12" x14ac:dyDescent="0.3">
      <c r="B42" s="4"/>
      <c r="C42" s="496"/>
      <c r="D42" s="496"/>
      <c r="E42" s="496"/>
      <c r="F42" s="496"/>
      <c r="G42" s="496"/>
      <c r="H42" s="496"/>
      <c r="I42" s="496"/>
      <c r="J42" s="496"/>
      <c r="K42" s="496"/>
      <c r="L42" s="5"/>
    </row>
    <row r="43" spans="2:12" x14ac:dyDescent="0.3">
      <c r="B43" s="4"/>
      <c r="C43" s="496"/>
      <c r="D43" s="496"/>
      <c r="E43" s="496"/>
      <c r="F43" s="496"/>
      <c r="G43" s="496"/>
      <c r="H43" s="496"/>
      <c r="I43" s="496"/>
      <c r="J43" s="496"/>
      <c r="K43" s="496"/>
      <c r="L43" s="5"/>
    </row>
    <row r="44" spans="2:12" x14ac:dyDescent="0.3">
      <c r="B44" s="4"/>
      <c r="C44" s="496"/>
      <c r="D44" s="496"/>
      <c r="E44" s="496"/>
      <c r="F44" s="496"/>
      <c r="G44" s="496"/>
      <c r="H44" s="496"/>
      <c r="I44" s="496"/>
      <c r="J44" s="496"/>
      <c r="K44" s="496"/>
      <c r="L44" s="5"/>
    </row>
    <row r="45" spans="2:12" x14ac:dyDescent="0.3">
      <c r="B45" s="4"/>
      <c r="C45" s="497"/>
      <c r="D45" s="497"/>
      <c r="E45" s="497"/>
      <c r="F45" s="497"/>
      <c r="G45" s="497"/>
      <c r="H45" s="497"/>
      <c r="I45" s="497"/>
      <c r="J45" s="497"/>
      <c r="K45" s="497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493" t="s">
        <v>45</v>
      </c>
      <c r="C48" s="494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495" t="s">
        <v>46</v>
      </c>
      <c r="D51" s="495"/>
      <c r="E51" s="495"/>
      <c r="F51" s="495"/>
      <c r="H51" s="495" t="s">
        <v>47</v>
      </c>
      <c r="I51" s="495"/>
      <c r="J51" s="495"/>
      <c r="K51" s="495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f4bf414-7d56-47ef-876f-a064b6139123" xsi:nil="true"/>
    <lcf76f155ced4ddcb4097134ff3c332f xmlns="29a79990-ee87-4241-abc6-9e01ab9b2464">
      <Terms xmlns="http://schemas.microsoft.com/office/infopath/2007/PartnerControls"/>
    </lcf76f155ced4ddcb4097134ff3c332f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DE1667-FFCE-4342-A3C8-C6F7CDD641A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BC3FB43-3B0E-4F4B-8002-33748D5D9A74}">
  <ds:schemaRefs>
    <ds:schemaRef ds:uri="http://schemas.microsoft.com/office/2006/metadata/properties"/>
    <ds:schemaRef ds:uri="http://schemas.microsoft.com/office/infopath/2007/PartnerControls"/>
    <ds:schemaRef ds:uri="8f4bf414-7d56-47ef-876f-a064b6139123"/>
    <ds:schemaRef ds:uri="29a79990-ee87-4241-abc6-9e01ab9b2464"/>
  </ds:schemaRefs>
</ds:datastoreItem>
</file>

<file path=customXml/itemProps3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55940858-AB6F-404F-A6F3-E9B33B623B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15</vt:i4>
      </vt:variant>
    </vt:vector>
  </HeadingPairs>
  <TitlesOfParts>
    <vt:vector size="28" baseType="lpstr">
      <vt:lpstr>RESUMO</vt:lpstr>
      <vt:lpstr>INTERNO</vt:lpstr>
      <vt:lpstr>EVENTO</vt:lpstr>
      <vt:lpstr>EXTRAS EVENTO</vt:lpstr>
      <vt:lpstr>EXTRAS</vt:lpstr>
      <vt:lpstr>Almarena by Melia </vt:lpstr>
      <vt:lpstr>OPCIONAIS</vt:lpstr>
      <vt:lpstr>Solicitações de Pagamento</vt:lpstr>
      <vt:lpstr>TOTAL</vt:lpstr>
      <vt:lpstr>CRONO (2)</vt:lpstr>
      <vt:lpstr>CRONO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2026-06-23T15:31:48Z</cp:lastPrinted>
  <dcterms:created xsi:type="dcterms:W3CDTF">2023-09-21T21:02:20Z</dcterms:created>
  <dcterms:modified xsi:type="dcterms:W3CDTF">2026-06-26T20:54:21Z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