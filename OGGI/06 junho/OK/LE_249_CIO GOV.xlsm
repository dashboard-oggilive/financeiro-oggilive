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codeName="EstaPastaDeTrabalho" hidePivotFieldList="1"/>
  <mc:AlternateContent xmlns:mc="http://schemas.openxmlformats.org/markup-compatibility/2006">
    <mc:Choice Requires="x15">
      <x15ac:absPath xmlns:x15ac="http://schemas.microsoft.com/office/spreadsheetml/2010/11/ac" url="D:\OGGI LIVE\Fechamentos\2026\JOBS\OGGI\06 junho\"/>
    </mc:Choice>
  </mc:AlternateContent>
  <xr:revisionPtr revIDLastSave="0" documentId="13_ncr:1_{EB44975A-E470-4A50-8579-2AFD3B77AF26}" xr6:coauthVersionLast="47" xr6:coauthVersionMax="47" xr10:uidLastSave="{00000000-0000-0000-0000-000000000000}"/>
  <bookViews>
    <workbookView xWindow="-108" yWindow="-108" windowWidth="23256" windowHeight="12456" tabRatio="822" xr2:uid="{83D4A4F0-59AC-45D6-BDA2-9A1B100CD857}"/>
  </bookViews>
  <sheets>
    <sheet name="RESUMO" sheetId="98" r:id="rId1"/>
    <sheet name="PRINCIPAL" sheetId="97" r:id="rId2"/>
    <sheet name="Solicitações de Pagamento" sheetId="4" r:id="rId3"/>
    <sheet name="ItensOrc" sheetId="76" state="hidden" r:id="rId4"/>
    <sheet name="Template SP" sheetId="3" state="hidden" r:id="rId5"/>
  </sheets>
  <definedNames>
    <definedName name="_xlnm._FilterDatabase" localSheetId="1" hidden="1">PRINCIPAL!$A$1:$AD$14</definedName>
    <definedName name="_xleta.N" hidden="1" xlm="1">#NAME?</definedName>
    <definedName name="_xleta.SUM" hidden="1" xlm="1">#NAME?</definedName>
    <definedName name="itensorc_desconto" localSheetId="3">ItensOrc!$M:$M</definedName>
    <definedName name="itensorc_desconto">#REF!</definedName>
    <definedName name="itensorc_descricao" localSheetId="3">ItensOrc!$D:$D</definedName>
    <definedName name="itensorc_descricao">#REF!</definedName>
    <definedName name="itensorc_encargos" localSheetId="3">ItensOrc!$N:$N</definedName>
    <definedName name="itensorc_encargos">#REF!</definedName>
    <definedName name="itensorc_especifica" localSheetId="3">ItensOrc!$O:$O</definedName>
    <definedName name="itensorc_especifica">#REF!</definedName>
    <definedName name="itensorc_item" localSheetId="3">ItensOrc!$C:$C</definedName>
    <definedName name="itensorc_item">#REF!</definedName>
    <definedName name="itensorc_lancamento" localSheetId="3">ItensOrc!$B:$B</definedName>
    <definedName name="itensorc_lancamento">#REF!</definedName>
    <definedName name="itensorc_percentualhonorarios" localSheetId="3">ItensOrc!$L:$L</definedName>
    <definedName name="itensorc_percentualhonorarios">#REF!</definedName>
    <definedName name="itensorc_quantidade" localSheetId="3">ItensOrc!$E:$E</definedName>
    <definedName name="itensorc_quantidade">#REF!</definedName>
    <definedName name="itensorc_situacao" localSheetId="3">ItensOrc!$H:$H</definedName>
    <definedName name="itensorc_situacao">#REF!</definedName>
    <definedName name="itensorc_subtipo" localSheetId="3">ItensOrc!$K:$K</definedName>
    <definedName name="itensorc_subtipo">#REF!</definedName>
    <definedName name="itensorc_tiporeceita" localSheetId="3">ItensOrc!$A:$A</definedName>
    <definedName name="itensorc_tiporeceita">#REF!</definedName>
    <definedName name="itensorc_valor" localSheetId="3">ItensOrc!$G:$G</definedName>
    <definedName name="itensorc_valor">#REF!</definedName>
    <definedName name="itensorc_valorfornecedor" localSheetId="3">ItensOrc!$I:$I</definedName>
    <definedName name="itensorc_valorfornecedor">#REF!</definedName>
    <definedName name="itensorc_valorfornecedorunitario" localSheetId="3">ItensOrc!$J:$J</definedName>
    <definedName name="itensorc_valorfornecedorunitario">#REF!</definedName>
    <definedName name="itensorc_valorunitario" localSheetId="3">ItensOrc!$F:$F</definedName>
    <definedName name="itensorc_valorunitari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8" i="98" l="1"/>
  <c r="F29" i="98"/>
  <c r="D22" i="98"/>
  <c r="D27" i="98" s="1"/>
  <c r="C22" i="98"/>
  <c r="C29" i="98"/>
  <c r="E28" i="98"/>
  <c r="F28" i="98" s="1"/>
  <c r="AB23" i="97"/>
  <c r="AB29" i="97"/>
  <c r="AC53" i="97"/>
  <c r="AC40" i="97"/>
  <c r="AC35" i="97"/>
  <c r="AC25" i="97"/>
  <c r="AB25" i="97" s="1"/>
  <c r="E3" i="98"/>
  <c r="D29" i="98" l="1"/>
  <c r="E27" i="98"/>
  <c r="E29" i="98"/>
  <c r="AC55" i="97"/>
  <c r="F27" i="98" l="1"/>
  <c r="R53" i="97" l="1"/>
  <c r="Q53" i="97"/>
  <c r="K53" i="97"/>
  <c r="R52" i="97"/>
  <c r="Q52" i="97"/>
  <c r="K52" i="97"/>
  <c r="Q51" i="97"/>
  <c r="K51" i="97"/>
  <c r="L51" i="97" s="1"/>
  <c r="R50" i="97"/>
  <c r="Q50" i="97"/>
  <c r="K50" i="97"/>
  <c r="Q49" i="97"/>
  <c r="Q48" i="97"/>
  <c r="R47" i="97"/>
  <c r="Q47" i="97"/>
  <c r="K47" i="97"/>
  <c r="R46" i="97"/>
  <c r="Q46" i="97"/>
  <c r="K46" i="97"/>
  <c r="Q45" i="97"/>
  <c r="Q44" i="97"/>
  <c r="V43" i="97"/>
  <c r="R43" i="97"/>
  <c r="T43" i="97" s="1"/>
  <c r="K43" i="97"/>
  <c r="R42" i="97"/>
  <c r="Q42" i="97"/>
  <c r="K42" i="97"/>
  <c r="R41" i="97"/>
  <c r="Q41" i="97"/>
  <c r="K41" i="97"/>
  <c r="V40" i="97"/>
  <c r="R40" i="97"/>
  <c r="T40" i="97" s="1"/>
  <c r="K40" i="97"/>
  <c r="Q39" i="97"/>
  <c r="Q38" i="97"/>
  <c r="R36" i="97"/>
  <c r="Q36" i="97"/>
  <c r="K36" i="97"/>
  <c r="R35" i="97"/>
  <c r="Q35" i="97"/>
  <c r="K35" i="97"/>
  <c r="R34" i="97"/>
  <c r="Q34" i="97"/>
  <c r="K34" i="97"/>
  <c r="Q33" i="97"/>
  <c r="Q32" i="97"/>
  <c r="V30" i="97"/>
  <c r="T30" i="97"/>
  <c r="K30" i="97"/>
  <c r="V29" i="97"/>
  <c r="R29" i="97"/>
  <c r="K29" i="97"/>
  <c r="Q28" i="97"/>
  <c r="Q27" i="97"/>
  <c r="Q25" i="97"/>
  <c r="K25" i="97"/>
  <c r="Q24" i="97"/>
  <c r="K24" i="97"/>
  <c r="Q23" i="97"/>
  <c r="K23" i="97"/>
  <c r="Q22" i="97"/>
  <c r="Q21" i="97"/>
  <c r="R19" i="97"/>
  <c r="Q19" i="97"/>
  <c r="K19" i="97"/>
  <c r="R18" i="97"/>
  <c r="Q18" i="97"/>
  <c r="K18" i="97"/>
  <c r="R17" i="97"/>
  <c r="Q17" i="97"/>
  <c r="K17" i="97"/>
  <c r="Q16" i="97"/>
  <c r="Q15" i="97"/>
  <c r="Z12" i="97"/>
  <c r="U30" i="97" l="1"/>
  <c r="Z30" i="97" s="1"/>
  <c r="K37" i="97"/>
  <c r="W30" i="97"/>
  <c r="X30" i="97" s="1"/>
  <c r="AB30" i="97" s="1"/>
  <c r="K31" i="97"/>
  <c r="V53" i="97"/>
  <c r="L53" i="97"/>
  <c r="M53" i="97" s="1"/>
  <c r="U52" i="97"/>
  <c r="Z52" i="97" s="1"/>
  <c r="V52" i="97"/>
  <c r="L52" i="97"/>
  <c r="M52" i="97" s="1"/>
  <c r="K54" i="97"/>
  <c r="V51" i="97"/>
  <c r="U51" i="97"/>
  <c r="M51" i="97"/>
  <c r="N51" i="97" s="1"/>
  <c r="U50" i="97"/>
  <c r="V50" i="97"/>
  <c r="L50" i="97"/>
  <c r="M50" i="97" s="1"/>
  <c r="N50" i="97" s="1"/>
  <c r="V47" i="97"/>
  <c r="T47" i="97"/>
  <c r="L47" i="97"/>
  <c r="M47" i="97" s="1"/>
  <c r="N47" i="97" s="1"/>
  <c r="T46" i="97"/>
  <c r="V46" i="97"/>
  <c r="L46" i="97"/>
  <c r="M46" i="97" s="1"/>
  <c r="N46" i="97" s="1"/>
  <c r="U43" i="97"/>
  <c r="L43" i="97"/>
  <c r="M43" i="97" s="1"/>
  <c r="N43" i="97" s="1"/>
  <c r="V42" i="97"/>
  <c r="U42" i="97"/>
  <c r="L42" i="97"/>
  <c r="T41" i="97"/>
  <c r="V41" i="97"/>
  <c r="L41" i="97"/>
  <c r="U40" i="97"/>
  <c r="L40" i="97"/>
  <c r="V36" i="97"/>
  <c r="L36" i="97"/>
  <c r="V35" i="97"/>
  <c r="L35" i="97"/>
  <c r="M35" i="97" s="1"/>
  <c r="N35" i="97" s="1"/>
  <c r="V34" i="97"/>
  <c r="T34" i="97"/>
  <c r="U34" i="97" s="1"/>
  <c r="L34" i="97"/>
  <c r="M34" i="97" s="1"/>
  <c r="L30" i="97"/>
  <c r="T31" i="97"/>
  <c r="U29" i="97"/>
  <c r="L29" i="97"/>
  <c r="V25" i="97"/>
  <c r="T25" i="97"/>
  <c r="L25" i="97"/>
  <c r="T24" i="97"/>
  <c r="U24" i="97" s="1"/>
  <c r="Z24" i="97" s="1"/>
  <c r="V24" i="97"/>
  <c r="L24" i="97"/>
  <c r="M24" i="97" s="1"/>
  <c r="N24" i="97" s="1"/>
  <c r="K26" i="97"/>
  <c r="T23" i="97"/>
  <c r="V23" i="97"/>
  <c r="L23" i="97"/>
  <c r="T19" i="97"/>
  <c r="U19" i="97" s="1"/>
  <c r="V19" i="97"/>
  <c r="L19" i="97"/>
  <c r="M19" i="97" s="1"/>
  <c r="N19" i="97" s="1"/>
  <c r="T18" i="97"/>
  <c r="U18" i="97" s="1"/>
  <c r="Z18" i="97" s="1"/>
  <c r="V18" i="97"/>
  <c r="K20" i="97"/>
  <c r="L18" i="97"/>
  <c r="M18" i="97" s="1"/>
  <c r="V17" i="97"/>
  <c r="U17" i="97"/>
  <c r="Z17" i="97" s="1"/>
  <c r="L17" i="97"/>
  <c r="K55" i="97"/>
  <c r="U41" i="97" l="1"/>
  <c r="Z41" i="97" s="1"/>
  <c r="U25" i="97"/>
  <c r="W25" i="97" s="1"/>
  <c r="N34" i="97"/>
  <c r="U23" i="97"/>
  <c r="W23" i="97" s="1"/>
  <c r="W17" i="97"/>
  <c r="X17" i="97" s="1"/>
  <c r="AB17" i="97" s="1"/>
  <c r="N18" i="97"/>
  <c r="W18" i="97"/>
  <c r="X18" i="97" s="1"/>
  <c r="AB18" i="97" s="1"/>
  <c r="M25" i="97"/>
  <c r="N25" i="97" s="1"/>
  <c r="U53" i="97"/>
  <c r="Z53" i="97" s="1"/>
  <c r="W52" i="97"/>
  <c r="X52" i="97" s="1"/>
  <c r="U46" i="97"/>
  <c r="U36" i="97"/>
  <c r="W24" i="97"/>
  <c r="X24" i="97" s="1"/>
  <c r="AB24" i="97" s="1"/>
  <c r="L31" i="97"/>
  <c r="M29" i="97"/>
  <c r="N29" i="97" s="1"/>
  <c r="T54" i="97"/>
  <c r="W43" i="97"/>
  <c r="X43" i="97" s="1"/>
  <c r="AB43" i="97" s="1"/>
  <c r="Z43" i="97"/>
  <c r="W40" i="97"/>
  <c r="X40" i="97" s="1"/>
  <c r="AB40" i="97" s="1"/>
  <c r="Z40" i="97"/>
  <c r="T37" i="97"/>
  <c r="W29" i="97"/>
  <c r="U31" i="97"/>
  <c r="T26" i="97"/>
  <c r="U20" i="97"/>
  <c r="T55" i="97"/>
  <c r="T20" i="97"/>
  <c r="AA17" i="97" s="1"/>
  <c r="L20" i="97"/>
  <c r="M17" i="97"/>
  <c r="N17" i="97" s="1"/>
  <c r="L55" i="97"/>
  <c r="L54" i="97"/>
  <c r="L37" i="97"/>
  <c r="N53" i="97"/>
  <c r="M54" i="97"/>
  <c r="N52" i="97"/>
  <c r="Z51" i="97"/>
  <c r="W51" i="97"/>
  <c r="X51" i="97" s="1"/>
  <c r="Z50" i="97"/>
  <c r="W50" i="97"/>
  <c r="X50" i="97" s="1"/>
  <c r="AB50" i="97" s="1"/>
  <c r="U47" i="97"/>
  <c r="W42" i="97"/>
  <c r="X42" i="97" s="1"/>
  <c r="AB42" i="97" s="1"/>
  <c r="Z42" i="97"/>
  <c r="M42" i="97"/>
  <c r="N42" i="97" s="1"/>
  <c r="M41" i="97"/>
  <c r="M40" i="97"/>
  <c r="N40" i="97" s="1"/>
  <c r="M36" i="97"/>
  <c r="U35" i="97"/>
  <c r="W34" i="97"/>
  <c r="X34" i="97" s="1"/>
  <c r="AB34" i="97" s="1"/>
  <c r="Z34" i="97"/>
  <c r="M30" i="97"/>
  <c r="N30" i="97" s="1"/>
  <c r="AA30" i="97"/>
  <c r="L26" i="97"/>
  <c r="M23" i="97"/>
  <c r="W19" i="97"/>
  <c r="X19" i="97" s="1"/>
  <c r="AB19" i="97" s="1"/>
  <c r="Z19" i="97"/>
  <c r="Y52" i="97" l="1"/>
  <c r="AB52" i="97"/>
  <c r="Y51" i="97"/>
  <c r="AB51" i="97"/>
  <c r="N54" i="97"/>
  <c r="W41" i="97"/>
  <c r="X41" i="97" s="1"/>
  <c r="AB41" i="97" s="1"/>
  <c r="U37" i="97"/>
  <c r="W53" i="97"/>
  <c r="X53" i="97" s="1"/>
  <c r="Z25" i="97"/>
  <c r="U54" i="97"/>
  <c r="U26" i="97"/>
  <c r="N31" i="97"/>
  <c r="W46" i="97"/>
  <c r="X46" i="97" s="1"/>
  <c r="AB46" i="97" s="1"/>
  <c r="Z46" i="97"/>
  <c r="W36" i="97"/>
  <c r="X36" i="97" s="1"/>
  <c r="AB36" i="97" s="1"/>
  <c r="Z36" i="97"/>
  <c r="U55" i="97"/>
  <c r="AA24" i="97"/>
  <c r="X31" i="97"/>
  <c r="AA18" i="97"/>
  <c r="AA19" i="97"/>
  <c r="N20" i="97"/>
  <c r="M20" i="97"/>
  <c r="M55" i="97"/>
  <c r="Y50" i="97"/>
  <c r="W47" i="97"/>
  <c r="X47" i="97" s="1"/>
  <c r="AB47" i="97" s="1"/>
  <c r="Z47" i="97"/>
  <c r="W35" i="97"/>
  <c r="X35" i="97" s="1"/>
  <c r="AB35" i="97" s="1"/>
  <c r="Z35" i="97"/>
  <c r="M31" i="97"/>
  <c r="Y42" i="97"/>
  <c r="AA53" i="97"/>
  <c r="AA50" i="97"/>
  <c r="AA36" i="97"/>
  <c r="AA34" i="97"/>
  <c r="N41" i="97"/>
  <c r="M37" i="97"/>
  <c r="N36" i="97"/>
  <c r="N37" i="97" s="1"/>
  <c r="X26" i="97"/>
  <c r="M26" i="97"/>
  <c r="N23" i="97"/>
  <c r="Z23" i="97" s="1"/>
  <c r="AA23" i="97" s="1"/>
  <c r="X20" i="97"/>
  <c r="Y53" i="97" l="1"/>
  <c r="AB53" i="97"/>
  <c r="X54" i="97"/>
  <c r="Y54" i="97" s="1"/>
  <c r="AB55" i="97"/>
  <c r="Y26" i="97"/>
  <c r="Y20" i="97"/>
  <c r="X37" i="97"/>
  <c r="Y37" i="97" s="1"/>
  <c r="X55" i="97"/>
  <c r="Y31" i="97"/>
  <c r="Y55" i="97"/>
  <c r="N26" i="97"/>
  <c r="N55" i="97"/>
  <c r="AC59" i="97" l="1"/>
  <c r="D21" i="98"/>
  <c r="AC60" i="97"/>
  <c r="AC61" i="97" s="1"/>
  <c r="C21" i="98"/>
  <c r="Z55" i="97"/>
  <c r="AA55" i="97" s="1"/>
  <c r="E21" i="98" l="1"/>
  <c r="F21" i="98" s="1"/>
  <c r="E22" i="98"/>
  <c r="F22" i="98" s="1"/>
</calcChain>
</file>

<file path=xl/sharedStrings.xml><?xml version="1.0" encoding="utf-8"?>
<sst xmlns="http://schemas.openxmlformats.org/spreadsheetml/2006/main" count="766" uniqueCount="356">
  <si>
    <t>Oggi Comunicação e Eventos</t>
  </si>
  <si>
    <t>CUSTOS (valor de custo c/ NF ou recibo)</t>
  </si>
  <si>
    <t>DIFERENÇA NF (Lucro)</t>
  </si>
  <si>
    <t>SOLICITAÇÃO DE PAGAMENTO</t>
  </si>
  <si>
    <t>ÍNDICE</t>
  </si>
  <si>
    <t>ÍNDICE PUBLI</t>
  </si>
  <si>
    <t>CATEGORIA</t>
  </si>
  <si>
    <t>TIPO DE CUSTOS</t>
  </si>
  <si>
    <t>TIPO DE FATURAMENTO</t>
  </si>
  <si>
    <t>VALOR</t>
  </si>
  <si>
    <t>CNPJ</t>
  </si>
  <si>
    <t/>
  </si>
  <si>
    <t>PREENCHER OS CAMPOS CORRETAMENTE</t>
  </si>
  <si>
    <t>DADOS DO JOB</t>
  </si>
  <si>
    <t>Data:</t>
  </si>
  <si>
    <t>Contratante:</t>
  </si>
  <si>
    <t>Oggi Eventos</t>
  </si>
  <si>
    <t>Cliente:</t>
  </si>
  <si>
    <t>Job:</t>
  </si>
  <si>
    <t>Planilha:</t>
  </si>
  <si>
    <t>Item:</t>
  </si>
  <si>
    <t>DADOS PARA PAGAMENTO</t>
  </si>
  <si>
    <t>() Pessoa Jurídica</t>
  </si>
  <si>
    <t>Razão Social</t>
  </si>
  <si>
    <t>Fantasia:</t>
  </si>
  <si>
    <t>Banco:</t>
  </si>
  <si>
    <t>Conta:</t>
  </si>
  <si>
    <t>Pix:</t>
  </si>
  <si>
    <t>CNPJ:</t>
  </si>
  <si>
    <t>CPF:</t>
  </si>
  <si>
    <t>Contato:</t>
  </si>
  <si>
    <t>Celular:</t>
  </si>
  <si>
    <t>Parcela</t>
  </si>
  <si>
    <t>Data</t>
  </si>
  <si>
    <t>Valor</t>
  </si>
  <si>
    <t>Forma de Pagamento</t>
  </si>
  <si>
    <t>1ª</t>
  </si>
  <si>
    <t>(   ) Boleto</t>
  </si>
  <si>
    <t>(   ) Pix</t>
  </si>
  <si>
    <t>2ª</t>
  </si>
  <si>
    <t>(   ) Depósito</t>
  </si>
  <si>
    <t>3ª</t>
  </si>
  <si>
    <t>4ª</t>
  </si>
  <si>
    <t>TOTAL</t>
  </si>
  <si>
    <t>OBSERVAÇÕES</t>
  </si>
  <si>
    <t>APROVAÇÕES</t>
  </si>
  <si>
    <t>Solicitante</t>
  </si>
  <si>
    <t>Aprovação</t>
  </si>
  <si>
    <t>Índice</t>
  </si>
  <si>
    <t>Grupo</t>
  </si>
  <si>
    <t>Subgrupo</t>
  </si>
  <si>
    <t>Resumo</t>
  </si>
  <si>
    <t>Descrição</t>
  </si>
  <si>
    <t>Data da Solicitação</t>
  </si>
  <si>
    <t>RAZÃO SOCIAL</t>
  </si>
  <si>
    <t>CONTATO</t>
  </si>
  <si>
    <t>ENCARGOS PUBLI</t>
  </si>
  <si>
    <t>Agência</t>
  </si>
  <si>
    <t>RAZÃO SOCIAL:OGGI COMUN. E EV. PROMO. UNIPESSOAL LTDA</t>
  </si>
  <si>
    <t xml:space="preserve">ENDEREÇO:R. ALMIRANTE PEREIRA GUIMARÃES, 327 - </t>
  </si>
  <si>
    <t>OC
38</t>
  </si>
  <si>
    <t>FONE: (11) 3871-5555  SÃO PAULO SP</t>
  </si>
  <si>
    <t>CNPJ: 07.559.587/0001-12</t>
  </si>
  <si>
    <t>INSCRIÇÃO MUNICIPAL: 3.441.108.9</t>
  </si>
  <si>
    <t>E-MAIL:</t>
  </si>
  <si>
    <t>Identificador=38-38-61b77ade14fb9af7e586617fa2e6823e374b1745</t>
  </si>
  <si>
    <t>Tipo Receita</t>
  </si>
  <si>
    <t>Lançamento</t>
  </si>
  <si>
    <t>Item do Orçamento</t>
  </si>
  <si>
    <t>Quantidade</t>
  </si>
  <si>
    <t>Valor Unitário</t>
  </si>
  <si>
    <t>Situação</t>
  </si>
  <si>
    <t>Valor Fornecedor</t>
  </si>
  <si>
    <t>Subtipo</t>
  </si>
  <si>
    <t>Honorários</t>
  </si>
  <si>
    <t>Desconto</t>
  </si>
  <si>
    <t>Encargos</t>
  </si>
  <si>
    <t>Especificação</t>
  </si>
  <si>
    <t>SUBTOTAL</t>
  </si>
  <si>
    <t>Peso</t>
  </si>
  <si>
    <t>RESUMO</t>
  </si>
  <si>
    <t>DESCRITIVO</t>
  </si>
  <si>
    <t>Qtd</t>
  </si>
  <si>
    <t>Diária</t>
  </si>
  <si>
    <t>R$ unit</t>
  </si>
  <si>
    <t>QTDE</t>
  </si>
  <si>
    <t>DIÁRIA</t>
  </si>
  <si>
    <t>VL. UNIT.</t>
  </si>
  <si>
    <t>SUB TOTAL</t>
  </si>
  <si>
    <t>DIFERENÇA</t>
  </si>
  <si>
    <t>% NOTA</t>
  </si>
  <si>
    <t>CUSTO NOTA</t>
  </si>
  <si>
    <t>CUSTO TOTAL (custo + dif. NF)</t>
  </si>
  <si>
    <t>CUSTO TOTAL + IMPOSTOS</t>
  </si>
  <si>
    <t>Margem</t>
  </si>
  <si>
    <t>PENDENTE</t>
  </si>
  <si>
    <t>EFETUADO</t>
  </si>
  <si>
    <t xml:space="preserve"> </t>
  </si>
  <si>
    <t xml:space="preserve">   </t>
  </si>
  <si>
    <t>ORÇAMENTO 5.2</t>
  </si>
  <si>
    <t>GRUPO</t>
  </si>
  <si>
    <t>SUBGRUPO</t>
  </si>
  <si>
    <t>1.1</t>
  </si>
  <si>
    <t>AGENCIAMENTO</t>
  </si>
  <si>
    <t>IMPOSTOS</t>
  </si>
  <si>
    <t>Marg.</t>
  </si>
  <si>
    <t>ITEM</t>
  </si>
  <si>
    <t>1.1.3</t>
  </si>
  <si>
    <t>Criação</t>
  </si>
  <si>
    <t>INTERNO</t>
  </si>
  <si>
    <t>FAT.OGGI</t>
  </si>
  <si>
    <t>SUBTOTAL SUBGRUPO</t>
  </si>
  <si>
    <t>2.1</t>
  </si>
  <si>
    <t>INTERNOS</t>
  </si>
  <si>
    <t>2.1.1</t>
  </si>
  <si>
    <t>2.1.2</t>
  </si>
  <si>
    <t>OPERACIONAL</t>
  </si>
  <si>
    <t>FAT.CLIENTE</t>
  </si>
  <si>
    <t>3.1</t>
  </si>
  <si>
    <t>3.1.2</t>
  </si>
  <si>
    <t>4.1</t>
  </si>
  <si>
    <t>4.1.1</t>
  </si>
  <si>
    <t>SUBTOTAL PLANILHA</t>
  </si>
  <si>
    <t>Marg. Lucro</t>
  </si>
  <si>
    <t>Lucro</t>
  </si>
  <si>
    <t>Produtor financeiro</t>
  </si>
  <si>
    <t>4.1.3</t>
  </si>
  <si>
    <t>BRINDES</t>
  </si>
  <si>
    <t>TAG</t>
  </si>
  <si>
    <t>Subtotal INTERNOS</t>
  </si>
  <si>
    <t>LENOVO</t>
  </si>
  <si>
    <t xml:space="preserve">CÓDIGO DO JOB: </t>
  </si>
  <si>
    <t>CLIENTE:</t>
  </si>
  <si>
    <t>EVENTO:</t>
  </si>
  <si>
    <t>LOCAL:</t>
  </si>
  <si>
    <t>DATA:</t>
  </si>
  <si>
    <t>ATENDIMENTO:</t>
  </si>
  <si>
    <t>PRODUTOR:</t>
  </si>
  <si>
    <t>NOME PLANILHA:</t>
  </si>
  <si>
    <t xml:space="preserve">PATRICK / GIOVANNI </t>
  </si>
  <si>
    <t xml:space="preserve">OPERACIONAL </t>
  </si>
  <si>
    <t xml:space="preserve">STAFF </t>
  </si>
  <si>
    <t xml:space="preserve">Coordenador local </t>
  </si>
  <si>
    <t xml:space="preserve">Coordenador local (Florianopolis) para recebimento de produtos, brindes e materiais, separação, organização da sala jutamente a montadora e hotel </t>
  </si>
  <si>
    <t xml:space="preserve">Recepcionista </t>
  </si>
  <si>
    <t xml:space="preserve">Promotora contratada por 08h para auxiliar no decorrer do evento </t>
  </si>
  <si>
    <t xml:space="preserve">Subtotal STAFF </t>
  </si>
  <si>
    <t xml:space="preserve">Uniforme staff Lenovo </t>
  </si>
  <si>
    <t xml:space="preserve">Bordado Lenovo e AMD </t>
  </si>
  <si>
    <t xml:space="preserve">Bordado com logos na camisa Polo </t>
  </si>
  <si>
    <t xml:space="preserve">Subtotal OPERACIONAL </t>
  </si>
  <si>
    <t>SALA DE APRESENTAÇÃO</t>
  </si>
  <si>
    <t xml:space="preserve">Sala de apresentação </t>
  </si>
  <si>
    <t xml:space="preserve">Água e café </t>
  </si>
  <si>
    <t>Subtotal SALA DE APRESENTAÇÃO</t>
  </si>
  <si>
    <t xml:space="preserve">LOGISTICA / OPERACIONAL </t>
  </si>
  <si>
    <t xml:space="preserve">Logística Terrestre </t>
  </si>
  <si>
    <t>Logística terrestre  ida e volta para materiais (brindes, equipamento, dentre outros)</t>
  </si>
  <si>
    <t xml:space="preserve">Custos operacionais </t>
  </si>
  <si>
    <t xml:space="preserve">Verba prevista para custos internos, testes de brindes e uniformes, motoboy para retirada de amostras, telefonias, amostra de brindes e borados, </t>
  </si>
  <si>
    <t xml:space="preserve">Subtotal LOGISTICA / OPERACIONAL </t>
  </si>
  <si>
    <t>Placas de produtos</t>
  </si>
  <si>
    <t xml:space="preserve">Locação de máquina de café Nespresso + cafés + água </t>
  </si>
  <si>
    <t>Atendimento/Produção</t>
  </si>
  <si>
    <t>Polos Hering com logo Lenovo + parceira bordada</t>
  </si>
  <si>
    <t xml:space="preserve">BIANCA </t>
  </si>
  <si>
    <t>05/03/2026</t>
  </si>
  <si>
    <t xml:space="preserve">HERING </t>
  </si>
  <si>
    <t>R$ 79,79</t>
  </si>
  <si>
    <t>PETEROSN</t>
  </si>
  <si>
    <t>10/03/2026</t>
  </si>
  <si>
    <t>362.257.668-55</t>
  </si>
  <si>
    <t xml:space="preserve">GIOVANNI FERREIRA </t>
  </si>
  <si>
    <t>R$ 167,61</t>
  </si>
  <si>
    <t xml:space="preserve">Placas de produtos (verba estimada, verificar quantidade de produtos) </t>
  </si>
  <si>
    <t xml:space="preserve">PETERSON </t>
  </si>
  <si>
    <t>16/03/2026</t>
  </si>
  <si>
    <t>R$ 1.050,00</t>
  </si>
  <si>
    <t>08.750.285/0001-90</t>
  </si>
  <si>
    <t>SK COPIADORA E IMPRESSAO DIGITAL LTDA</t>
  </si>
  <si>
    <t>(11) 2905-7107 / (11) 3255-5572</t>
  </si>
  <si>
    <t>R$ 554,00</t>
  </si>
  <si>
    <t>TAG personalizada para brindes  (cortesia)</t>
  </si>
  <si>
    <t>R$ 100,00</t>
  </si>
  <si>
    <t>231.993.678-52</t>
  </si>
  <si>
    <t xml:space="preserve">CLAUDIA MACEDO NEVES </t>
  </si>
  <si>
    <t>GIOVANNI</t>
  </si>
  <si>
    <t>221.554.688-30</t>
  </si>
  <si>
    <t xml:space="preserve">CLESSIO ADALBERTO DO BOMFIM </t>
  </si>
  <si>
    <t>R$ 60,00</t>
  </si>
  <si>
    <t>821.100.934-04</t>
  </si>
  <si>
    <t xml:space="preserve">RONALDO TIGUEIRO DA SILVA </t>
  </si>
  <si>
    <t>R$ 150,00</t>
  </si>
  <si>
    <t>52.537.588/0001-10</t>
  </si>
  <si>
    <t>BLUMEN LOCACOES E PRODUCOES LTDA</t>
  </si>
  <si>
    <t>(41) 9921-6383 / (0000) 0000-0000</t>
  </si>
  <si>
    <t>R$ 40.000,00</t>
  </si>
  <si>
    <t>01 Painel Estruturado com comunicação visual em lona com 6,75m x 2,50m (larg x alt) com estrutura para suporte de TV e detalhe em
Mdf e Led conforme indicado em projeto - Arte por conta do cliente*
01 Painel Estruturado com comunicação visual em lona com 5,50m x 2,50m (larg x alt) Lateral das Portas - Arte por conta do cliente*
01 Painel Estruturado com comunicação visual em lona com 1,20m x 2,50m (larg x alt) Frente e Verso na Entrada - Arte por conta do
cliente*
01 Painel Estruturado com comunicação visual em lona com 4,50m x 2,50m (larg x alt) Lateral - Arte por conta do cliente*
02 Paineis Estruturados em lona preta com 1,45m x 2,50m (larg x alt) Área do Café - Arte por conta do cliente*
01 Painel Estruturado em lona com detalhe em MDF com 1,65m x 2,50m (larg x alt) Área do Café - Arte por conta do cliente*
01 Painel Estruturado em lona preta com 0,60m x 2,50m (larg x alt) Área do Café - Arte por conta do cliente*
18 Poltronas em Bouclé Cinza
01 Planta ornamental
02 Aparadores com armário para armazenamento
02 Aparadores
01 Balcão Preto com área de armazenamento adesivado - Arte por conta do cliente*
01 Letreiro em Neon led para área do Café
(Desconto concedido)</t>
  </si>
  <si>
    <t>PETERSON</t>
  </si>
  <si>
    <t>1.1.1</t>
  </si>
  <si>
    <t>1.1.2</t>
  </si>
  <si>
    <t>3.1.1</t>
  </si>
  <si>
    <t>4.1.2</t>
  </si>
  <si>
    <t>5.1</t>
  </si>
  <si>
    <t>5.1.1</t>
  </si>
  <si>
    <t>5.1.2</t>
  </si>
  <si>
    <t>LOGISTICS / OPERATIONS</t>
  </si>
  <si>
    <t>Land Logistics</t>
  </si>
  <si>
    <t>Ground transportation to and from the location for materials (gifts, equipment, etc.)</t>
  </si>
  <si>
    <t>16/04/2026</t>
  </si>
  <si>
    <t>29.833.284/0001-89</t>
  </si>
  <si>
    <t>DA ORIKASSA TRANSPORTES E LOGISTICA</t>
  </si>
  <si>
    <t>(11) 2154-6898</t>
  </si>
  <si>
    <t>R$ 2.383,14</t>
  </si>
  <si>
    <t>24/04/2026</t>
  </si>
  <si>
    <t>07.148.623/0001-55</t>
  </si>
  <si>
    <t>IT4CIO NETWORK TECHNOLOGY LTDA</t>
  </si>
  <si>
    <t>(41) 3202-5900</t>
  </si>
  <si>
    <t>R$ 4.000,00</t>
  </si>
  <si>
    <t xml:space="preserve">Bordado Logos </t>
  </si>
  <si>
    <t>2.1.3</t>
  </si>
  <si>
    <t xml:space="preserve">Produtor de produtos </t>
  </si>
  <si>
    <t xml:space="preserve">Produtor responsável pela montagem e desmontagem dos equipamentos </t>
  </si>
  <si>
    <t>5.1.3</t>
  </si>
  <si>
    <t>5.1.4</t>
  </si>
  <si>
    <t xml:space="preserve">Hospedagem </t>
  </si>
  <si>
    <t xml:space="preserve">Hospedagem em hotel próximo ao Costão do Saninho </t>
  </si>
  <si>
    <t>Passagem aérea ida e volta  (Valor estimado)</t>
  </si>
  <si>
    <t xml:space="preserve">Produtor responsável por fechamento de contratos, pagamentos, emissão de notas e recibos </t>
  </si>
  <si>
    <t xml:space="preserve">Verba prevista para custos internos, testes de brindes e uniformes, motoboy para retirada de amostras, telefonias, amostra de brindes e borados, transporte e alimentação no evento </t>
  </si>
  <si>
    <t>Aereo produtor produtos SP</t>
  </si>
  <si>
    <t>6.1</t>
  </si>
  <si>
    <t>6.1.1</t>
  </si>
  <si>
    <t>Copo de café</t>
  </si>
  <si>
    <t xml:space="preserve">Tag </t>
  </si>
  <si>
    <t xml:space="preserve">Embalagem </t>
  </si>
  <si>
    <t>Placa de acrílico com descritivo do produto impresso em papal couché</t>
  </si>
  <si>
    <t>Locação de máquina de café Nespresso + cafés + água (disponível durante as apresentações na sala)</t>
  </si>
  <si>
    <t>Copo de café estilo Nespresso Inox com capacidade de 150ml</t>
  </si>
  <si>
    <t xml:space="preserve">Saquinho de algodão cru com amarril </t>
  </si>
  <si>
    <t xml:space="preserve">TAG para embalagem 6x6cm </t>
  </si>
  <si>
    <t xml:space="preserve">UNIFORME  </t>
  </si>
  <si>
    <t xml:space="preserve">UNIFORME </t>
  </si>
  <si>
    <t>7.1</t>
  </si>
  <si>
    <t>7.1.1</t>
  </si>
  <si>
    <t>7.1.2</t>
  </si>
  <si>
    <t>7.1.3</t>
  </si>
  <si>
    <t>7.1.4</t>
  </si>
  <si>
    <t>Credencial extra</t>
  </si>
  <si>
    <t xml:space="preserve">CREDENCIAL EXTRA  </t>
  </si>
  <si>
    <t>TOTAL CIO GOV</t>
  </si>
  <si>
    <t xml:space="preserve">Bordado com logos na camisa Polo (3 Bbordados em cada polo com as respectivas logos das alianças) </t>
  </si>
  <si>
    <t>LE_249_CIO GOV</t>
  </si>
  <si>
    <t xml:space="preserve">MAIO </t>
  </si>
  <si>
    <t xml:space="preserve">FLORIANOPOLIS </t>
  </si>
  <si>
    <t xml:space="preserve">CIO GOV </t>
  </si>
  <si>
    <t xml:space="preserve">NILSON MIGUEL </t>
  </si>
  <si>
    <t xml:space="preserve">GIOVANNI/PATRICK </t>
  </si>
  <si>
    <t>LE_249_CIO GOV_2026</t>
  </si>
  <si>
    <t>6.1.2</t>
  </si>
  <si>
    <t>Hospedagem extra</t>
  </si>
  <si>
    <t xml:space="preserve">Hospedagem extra para executivo Lenovo no Costão do Santinho </t>
  </si>
  <si>
    <t>08/05/2026</t>
  </si>
  <si>
    <t xml:space="preserve">LE_249_CIO GOV CIO GOV </t>
  </si>
  <si>
    <t>LE_249_CIO GOV.xlsm</t>
  </si>
  <si>
    <t>65.228.737/0001-01</t>
  </si>
  <si>
    <t>AVANCE BRINDES CORPORATIVOS LTDA</t>
  </si>
  <si>
    <t>(11) 9476-4522</t>
  </si>
  <si>
    <t>R$ 5.200,00</t>
  </si>
  <si>
    <t>Polos Fifa</t>
  </si>
  <si>
    <t xml:space="preserve">Polos Fifa </t>
  </si>
  <si>
    <t>12/05/2026</t>
  </si>
  <si>
    <t>301.222.808-06</t>
  </si>
  <si>
    <t xml:space="preserve">MARCELO BAYEUX DA SILVA </t>
  </si>
  <si>
    <t>R$ 1.379,88</t>
  </si>
  <si>
    <t xml:space="preserve">PETEROSN </t>
  </si>
  <si>
    <t>R$ 1.889,79</t>
  </si>
  <si>
    <t>02.332.375/0001-84</t>
  </si>
  <si>
    <t>TREVISO AGENCIA DE VIAGENS E TURISMO LTDA</t>
  </si>
  <si>
    <t>(41) 3352-8889</t>
  </si>
  <si>
    <t>R$ 6.152,47</t>
  </si>
  <si>
    <t>30.170.745/0001-60</t>
  </si>
  <si>
    <t>LARISSA MARTINS MODA LTDA</t>
  </si>
  <si>
    <t>(11) 2373-8984</t>
  </si>
  <si>
    <t>R$ 2.025,00</t>
  </si>
  <si>
    <t>R$ 650,00</t>
  </si>
  <si>
    <t xml:space="preserve">SAKURA PASSAGENS AEREAS </t>
  </si>
  <si>
    <t>R$ 3.934,15</t>
  </si>
  <si>
    <t>15/05/2026</t>
  </si>
  <si>
    <t>R$ 35.025,00</t>
  </si>
  <si>
    <t>Credencial extra para evento CIO GOV (Valor já negociado com a organização)</t>
  </si>
  <si>
    <t>18/05/2026</t>
  </si>
  <si>
    <t>R$ 2.500,00</t>
  </si>
  <si>
    <t>( X ) Depósito</t>
  </si>
  <si>
    <t xml:space="preserve">01 Painel Estruturado com comunicação visual em lona com 6,75m x 2,50m (larg x alt) com estrutura para suporte de TV e detalhe em
Mdf e Led conforme indicado em projeto 
01 Painel Estruturado com comunicação visual em lona com 5,50m x 2,50m (larg x alt) Lateral das Portas 
01 Painel Estruturado com comunicação visual em lona com 1,20m x 2,50m (larg x alt) Frente e Verso na Entrada 
01 Painel Estruturado com comunicação visual em lona com 4,50m x 2,50m (larg x alt) Lateral 
02 Paineis Estruturados em lona preta com 1,45m x 2,50m (larg x alt) Área do Café 
01 Painel Estruturado em lona com detalhe em MDF com 1,65m x 2,50m (larg x alt) Área do Café 
01 Painel Estruturado em lona preta com 0,60m x 2,50m (larg x alt) Área do Café 
18 Poltronas em Bouclé Cinza
01 Planta ornamental
02 Aparadores com armário para armazenamento
02 Aparadores
01 Balcão Preto com área de armazenamento adesivado 
01 Letreiro em Neon led para área do Café (Valor negociado na edição anterior) 
</t>
  </si>
  <si>
    <t>(11) 2905-7107</t>
  </si>
  <si>
    <t>R$ 580,00</t>
  </si>
  <si>
    <t>R$ 1.900,00</t>
  </si>
  <si>
    <t>R$ 500,00</t>
  </si>
  <si>
    <t>OLE</t>
  </si>
  <si>
    <t>05.857.422/0001-00</t>
  </si>
  <si>
    <t>M. R. DA COSTA</t>
  </si>
  <si>
    <t>(11) 3223-5528</t>
  </si>
  <si>
    <t>R$ 1.116,00</t>
  </si>
  <si>
    <t>19/05/2026</t>
  </si>
  <si>
    <t>GIOVANNI FERREIRA</t>
  </si>
  <si>
    <t>R$ 800,00</t>
  </si>
  <si>
    <t>25/05/2026</t>
  </si>
  <si>
    <t>53.924.674/0001-49</t>
  </si>
  <si>
    <t>AGENCIA DE PUBLICIDADE E CRIADORES DE CONTEUDO PETELECO LTDA</t>
  </si>
  <si>
    <t>(11) 6623-3247</t>
  </si>
  <si>
    <t>R$ 3.200,00</t>
  </si>
  <si>
    <t>413.825.228-27</t>
  </si>
  <si>
    <t>Giovanni Fioriti de Oliveira Veloso Perestrelo</t>
  </si>
  <si>
    <t>R$ 1.252,00</t>
  </si>
  <si>
    <t>27/05/2026</t>
  </si>
  <si>
    <t>( X ) Pessoa Jurídica</t>
  </si>
  <si>
    <t>22.669.057/0001-10</t>
  </si>
  <si>
    <t>ZILIOTTO ORGANIZACOES DE EVENTOS LTDA</t>
  </si>
  <si>
    <t>(48) 9615-2418</t>
  </si>
  <si>
    <t>R$ 4.550,00</t>
  </si>
  <si>
    <t>01/06/2026</t>
  </si>
  <si>
    <t xml:space="preserve">C6 S.A </t>
  </si>
  <si>
    <t>0001</t>
  </si>
  <si>
    <t>41515539-8</t>
  </si>
  <si>
    <t>03/06/26</t>
  </si>
  <si>
    <t>R$ 5.700,00</t>
  </si>
  <si>
    <t xml:space="preserve">VALOR REFERETE A BRINDES </t>
  </si>
  <si>
    <r>
      <t>Resp. pela interface de atendimento junto ao cliente, elaboração de plano estratégico para briefing interno da agencia após reunião de Brainstorming,  alinhamentos gerais, fluxo interno, alterações e condução de pauta.</t>
    </r>
    <r>
      <rPr>
        <sz val="14"/>
        <color rgb="FFFF0000"/>
        <rFont val="Trebuchet MS"/>
        <family val="2"/>
      </rPr>
      <t>)</t>
    </r>
    <r>
      <rPr>
        <sz val="14"/>
        <color theme="1"/>
        <rFont val="Trebuchet MS"/>
        <family val="2"/>
      </rPr>
      <t xml:space="preserve">  </t>
    </r>
    <r>
      <rPr>
        <sz val="14"/>
        <color rgb="FFFF0000"/>
        <rFont val="Trebuchet MS"/>
        <family val="2"/>
      </rPr>
      <t>(Desconto concedido)</t>
    </r>
  </si>
  <si>
    <r>
      <t xml:space="preserve">Criação e desenvolvimento de todas as peças do evento + sala de apresentação </t>
    </r>
    <r>
      <rPr>
        <sz val="14"/>
        <color rgb="FFFF0000"/>
        <rFont val="Trebuchet MS"/>
        <family val="2"/>
      </rPr>
      <t>(Desconto concedido)</t>
    </r>
  </si>
  <si>
    <r>
      <t xml:space="preserve">01 Painel Estruturado com comunicação visual em lona com 6,75m x 2,50m (larg x alt) com estrutura para suporte de TV e detalhe em
Mdf e Led conforme indicado em projeto 
01 Painel Estruturado com comunicação visual em lona com 5,50m x 2,50m (larg x alt) Lateral das Portas 
01 Painel Estruturado com comunicação visual em lona com 1,20m x 2,50m (larg x alt) Frente e Verso na Entrada 
01 Painel Estruturado com comunicação visual em lona com 4,50m x 2,50m (larg x alt) Lateral 
02 Paineis Estruturados em lona preta com 1,45m x 2,50m (larg x alt) Área do Café 
01 Painel Estruturado em lona com detalhe em MDF com 1,65m x 2,50m (larg x alt) Área do Café 
01 Painel Estruturado em lona preta com 0,60m x 2,50m (larg x alt) Área do Café 
18 Poltronas em Bouclé Cinza
01 Planta ornamental
02 Aparadores com armário para armazenamento
02 Aparadores
01 Balcão Preto com área de armazenamento adesivado 
01 Letreiro em Neon led para área do Café </t>
    </r>
    <r>
      <rPr>
        <sz val="14"/>
        <color rgb="FFFF0000"/>
        <rFont val="Trebuchet MS"/>
        <family val="2"/>
      </rPr>
      <t xml:space="preserve">(Valor negociado na edição anterior) </t>
    </r>
    <r>
      <rPr>
        <sz val="14"/>
        <color theme="1"/>
        <rFont val="Trebuchet MS"/>
        <family val="2"/>
      </rPr>
      <t xml:space="preserve">
</t>
    </r>
  </si>
  <si>
    <r>
      <t xml:space="preserve">Credencial extra para evento CIO GOV </t>
    </r>
    <r>
      <rPr>
        <b/>
        <sz val="14"/>
        <color rgb="FFFF0000"/>
        <rFont val="Trebuchet MS"/>
        <family val="2"/>
      </rPr>
      <t>(Valor já negociado com a organização)</t>
    </r>
  </si>
  <si>
    <t>VÍDEO</t>
  </si>
  <si>
    <t>STUDIO ROCA</t>
  </si>
  <si>
    <t>VENDA</t>
  </si>
  <si>
    <t xml:space="preserve">CUSTO </t>
  </si>
  <si>
    <t>LUCRO</t>
  </si>
  <si>
    <t>PRINCIPAL</t>
  </si>
  <si>
    <t>NOTAS EMITIDAS</t>
  </si>
  <si>
    <t>IMPOSTO</t>
  </si>
  <si>
    <t>CUSTO TOTAL</t>
  </si>
  <si>
    <t>ZILIOTTO</t>
  </si>
  <si>
    <t>AGENCIA DE PUBLI - GIOVANNI PERESTRELO</t>
  </si>
  <si>
    <t>MARCELO (HERING)</t>
  </si>
  <si>
    <t>MR DA COSTA</t>
  </si>
  <si>
    <t>BLUMEN</t>
  </si>
  <si>
    <t>SK COPIADORA</t>
  </si>
  <si>
    <t>IT4CIO</t>
  </si>
  <si>
    <t>AVANCE BRINDES</t>
  </si>
  <si>
    <t>MARCELO</t>
  </si>
  <si>
    <t>LARISSA MARTINS</t>
  </si>
  <si>
    <t>TREVISO</t>
  </si>
  <si>
    <t>GIOVANNI - SAKURA</t>
  </si>
  <si>
    <t>DA ORIKASSA</t>
  </si>
  <si>
    <t>NOTA DE DÉBITO 262</t>
  </si>
  <si>
    <t>NOTA FISCAL 2986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</si>
</sst>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R$&quot;\ * #,##0.00_-;\-&quot;R$&quot;\ * #,##0.00_-;_-&quot;R$&quot;\ * &quot;-&quot;??_-;_-@_-"/>
    <numFmt numFmtId="164" formatCode="00&quot;/&quot;00&quot;/&quot;0000"/>
    <numFmt numFmtId="165" formatCode="_(&quot;R$ &quot;* #,##0.00_);_(&quot;R$ &quot;* \(#,##0.00\);_(&quot;R$ &quot;* &quot;-&quot;??_);_(@_)"/>
    <numFmt numFmtId="166" formatCode="_-[$R$-416]\ * #,##0.00_-;\-[$R$-416]\ * #,##0.00_-;_-[$R$-416]\ * &quot;-&quot;??_-;_-@_-"/>
    <numFmt numFmtId="167" formatCode="_(&quot;R$&quot;* #,##0.00_);_(&quot;R$&quot;* \(#,##0.00\);_(&quot;R$&quot;* &quot;-&quot;??_);_(@_)"/>
    <numFmt numFmtId="168" formatCode="0.000000000%"/>
    <numFmt numFmtId="169" formatCode="_-&quot;R$&quot;* #,##0.00_-;\-&quot;R$&quot;* #,##0.00_-;_-&quot;R$&quot;* &quot;-&quot;??_-;_-@_-"/>
    <numFmt numFmtId="170" formatCode="&quot;R$&quot;\ #,##0.00"/>
  </numFmts>
  <fonts count="41"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2"/>
      <name val="Trebuchet MS"/>
      <family val="2"/>
    </font>
    <font>
      <b/>
      <sz val="14"/>
      <name val="Trebuchet MS"/>
      <family val="2"/>
    </font>
    <font>
      <sz val="11"/>
      <name val="Verdana"/>
      <family val="2"/>
    </font>
    <font>
      <b/>
      <sz val="18"/>
      <color theme="1"/>
      <name val="Arial"/>
      <family val="2"/>
    </font>
    <font>
      <b/>
      <sz val="12"/>
      <color theme="1"/>
      <name val="Arial"/>
      <family val="2"/>
    </font>
    <font>
      <sz val="12"/>
      <color theme="0"/>
      <name val="Trebuchet MS"/>
      <family val="2"/>
    </font>
    <font>
      <sz val="11"/>
      <color indexed="8"/>
      <name val="Calibri"/>
      <family val="2"/>
    </font>
    <font>
      <sz val="11"/>
      <color theme="1"/>
      <name val="Calibri"/>
      <family val="2"/>
      <scheme val="minor"/>
    </font>
    <font>
      <b/>
      <sz val="14"/>
      <color theme="1"/>
      <name val="Trebuchet MS"/>
      <family val="2"/>
    </font>
    <font>
      <sz val="8"/>
      <color rgb="FFFFFFFF"/>
      <name val="Arial"/>
      <family val="2"/>
    </font>
    <font>
      <b/>
      <sz val="10"/>
      <color rgb="FFFFFFFF"/>
      <name val="Arial"/>
      <family val="2"/>
    </font>
    <font>
      <sz val="12"/>
      <color rgb="FFFFFFFF"/>
      <name val="Arial"/>
      <family val="2"/>
    </font>
    <font>
      <b/>
      <sz val="18"/>
      <color rgb="FFFFFFFF"/>
      <name val="Arial"/>
      <family val="2"/>
    </font>
    <font>
      <b/>
      <sz val="11"/>
      <color rgb="FFFFFFFF"/>
      <name val="Arial"/>
      <family val="2"/>
    </font>
    <font>
      <b/>
      <sz val="14"/>
      <color theme="1"/>
      <name val="Gadugi"/>
      <family val="2"/>
    </font>
    <font>
      <sz val="10"/>
      <name val="Verdana"/>
      <family val="2"/>
    </font>
    <font>
      <sz val="12"/>
      <color theme="1"/>
      <name val="Trebuchet MS"/>
      <family val="2"/>
    </font>
    <font>
      <b/>
      <sz val="12"/>
      <color theme="1"/>
      <name val="Trebuchet MS"/>
      <family val="2"/>
    </font>
    <font>
      <b/>
      <sz val="14"/>
      <color theme="0"/>
      <name val="Trebuchet MS"/>
      <family val="2"/>
    </font>
    <font>
      <b/>
      <sz val="16"/>
      <color theme="0"/>
      <name val="Trebuchet MS"/>
      <family val="2"/>
    </font>
    <font>
      <b/>
      <sz val="12"/>
      <color theme="0"/>
      <name val="Trebuchet MS"/>
      <family val="2"/>
    </font>
    <font>
      <sz val="14"/>
      <color theme="1"/>
      <name val="Calibri"/>
      <family val="2"/>
      <scheme val="minor"/>
    </font>
    <font>
      <b/>
      <sz val="14"/>
      <color indexed="63"/>
      <name val="Trebuchet MS"/>
      <family val="2"/>
    </font>
    <font>
      <b/>
      <sz val="14"/>
      <color theme="1"/>
      <name val="Calibri"/>
      <family val="2"/>
      <scheme val="minor"/>
    </font>
    <font>
      <sz val="14"/>
      <color theme="0"/>
      <name val="Calibri"/>
      <family val="2"/>
      <scheme val="minor"/>
    </font>
    <font>
      <sz val="14"/>
      <color theme="1"/>
      <name val="Trebuchet MS"/>
      <family val="2"/>
    </font>
    <font>
      <b/>
      <sz val="14"/>
      <color rgb="FFFF0000"/>
      <name val="Trebuchet MS"/>
      <family val="2"/>
    </font>
    <font>
      <sz val="14"/>
      <color rgb="FFFF0000"/>
      <name val="Trebuchet MS"/>
      <family val="2"/>
    </font>
    <font>
      <b/>
      <sz val="11"/>
      <color theme="1"/>
      <name val="Trebuchet MS"/>
      <family val="2"/>
    </font>
    <font>
      <sz val="11"/>
      <color theme="1"/>
      <name val="Trebuchet MS"/>
      <family val="2"/>
    </font>
    <font>
      <b/>
      <sz val="11"/>
      <name val="Trebuchet MS"/>
      <family val="2"/>
    </font>
    <font>
      <b/>
      <sz val="16"/>
      <color rgb="FFFF0000"/>
      <name val="Trebuchet MS"/>
      <family val="2"/>
    </font>
    <font>
      <b/>
      <sz val="16"/>
      <color rgb="FF00B050"/>
      <name val="Trebuchet MS"/>
      <family val="2"/>
    </font>
    <font>
      <b/>
      <sz val="16"/>
      <color rgb="FFFF0000"/>
      <name val="Calibri"/>
      <family val="2"/>
      <scheme val="minor"/>
    </font>
    <font>
      <b/>
      <sz val="16"/>
      <color rgb="FF00B050"/>
      <name val="Calibri"/>
      <family val="2"/>
      <scheme val="minor"/>
    </font>
    <font>
      <sz val="14"/>
      <name val="Calibri"/>
      <family val="2"/>
      <scheme val="minor"/>
    </font>
    <font>
      <b/>
      <sz val="14"/>
      <name val="Calibri"/>
      <family val="2"/>
      <scheme val="minor"/>
    </font>
  </fonts>
  <fills count="24">
    <fill>
      <patternFill patternType="none"/>
    </fill>
    <fill>
      <patternFill patternType="gray125"/>
    </fill>
    <fill>
      <patternFill patternType="solid">
        <fgColor rgb="FFFFFF99"/>
        <bgColor indexed="64"/>
      </patternFill>
    </fill>
    <fill>
      <patternFill patternType="solid">
        <fgColor indexed="47"/>
        <bgColor indexed="64"/>
      </patternFill>
    </fill>
    <fill>
      <patternFill patternType="solid">
        <fgColor theme="7" tint="-0.249977111117893"/>
        <bgColor indexed="64"/>
      </patternFill>
    </fill>
    <fill>
      <patternFill patternType="solid">
        <fgColor theme="5"/>
        <bgColor indexed="64"/>
      </patternFill>
    </fill>
    <fill>
      <patternFill patternType="solid">
        <fgColor indexed="22"/>
        <bgColor indexed="64"/>
      </patternFill>
    </fill>
    <fill>
      <patternFill patternType="solid">
        <fgColor rgb="FFFF964F"/>
        <bgColor indexed="64"/>
      </patternFill>
    </fill>
    <fill>
      <patternFill patternType="solid">
        <fgColor rgb="FF0476D0"/>
      </patternFill>
    </fill>
    <fill>
      <patternFill patternType="solid">
        <fgColor theme="3" tint="-0.249977111117893"/>
        <bgColor indexed="64"/>
      </patternFill>
    </fill>
    <fill>
      <patternFill patternType="solid">
        <fgColor theme="3" tint="0.39994506668294322"/>
        <bgColor indexed="64"/>
      </patternFill>
    </fill>
    <fill>
      <patternFill patternType="solid">
        <fgColor theme="0" tint="-0.249977111117893"/>
        <bgColor indexed="64"/>
      </patternFill>
    </fill>
    <fill>
      <patternFill patternType="solid">
        <fgColor rgb="FFFFFFCC"/>
        <bgColor indexed="64"/>
      </patternFill>
    </fill>
    <fill>
      <patternFill patternType="solid">
        <fgColor rgb="FFFDE9D9"/>
        <bgColor indexed="64"/>
      </patternFill>
    </fill>
    <fill>
      <patternFill patternType="solid">
        <fgColor rgb="FFE4DFEC"/>
        <bgColor indexed="64"/>
      </patternFill>
    </fill>
    <fill>
      <patternFill patternType="solid">
        <fgColor theme="3" tint="-0.499984740745262"/>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1"/>
        <bgColor indexed="64"/>
      </patternFill>
    </fill>
    <fill>
      <patternFill patternType="solid">
        <fgColor theme="0" tint="-0.34998626667073579"/>
        <bgColor indexed="64"/>
      </patternFill>
    </fill>
  </fills>
  <borders count="92">
    <border>
      <left/>
      <right/>
      <top/>
      <bottom/>
      <diagonal/>
    </border>
    <border>
      <left/>
      <right/>
      <top/>
      <bottom style="hair">
        <color auto="1"/>
      </bottom>
      <diagonal/>
    </border>
    <border>
      <left/>
      <right/>
      <top style="hair">
        <color auto="1"/>
      </top>
      <bottom style="hair">
        <color auto="1"/>
      </bottom>
      <diagonal/>
    </border>
    <border>
      <left style="medium">
        <color indexed="64"/>
      </left>
      <right style="thin">
        <color rgb="FF000000"/>
      </right>
      <top style="medium">
        <color indexed="64"/>
      </top>
      <bottom style="medium">
        <color indexed="64"/>
      </bottom>
      <diagonal/>
    </border>
    <border>
      <left/>
      <right style="thin">
        <color rgb="FF00000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auto="1"/>
      </right>
      <top/>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indexed="64"/>
      </left>
      <right style="thin">
        <color auto="1"/>
      </right>
      <top style="hair">
        <color auto="1"/>
      </top>
      <bottom style="hair">
        <color indexed="64"/>
      </bottom>
      <diagonal/>
    </border>
    <border>
      <left style="thin">
        <color indexed="64"/>
      </left>
      <right/>
      <top style="hair">
        <color indexed="64"/>
      </top>
      <bottom style="hair">
        <color indexed="64"/>
      </bottom>
      <diagonal/>
    </border>
    <border>
      <left/>
      <right style="thin">
        <color auto="1"/>
      </right>
      <top style="hair">
        <color auto="1"/>
      </top>
      <bottom style="hair">
        <color indexed="64"/>
      </bottom>
      <diagonal/>
    </border>
    <border>
      <left style="thin">
        <color indexed="64"/>
      </left>
      <right style="thin">
        <color auto="1"/>
      </right>
      <top style="hair">
        <color auto="1"/>
      </top>
      <bottom style="thin">
        <color indexed="64"/>
      </bottom>
      <diagonal/>
    </border>
    <border>
      <left style="thin">
        <color auto="1"/>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style="thin">
        <color auto="1"/>
      </right>
      <top/>
      <bottom style="hair">
        <color indexed="64"/>
      </bottom>
      <diagonal/>
    </border>
    <border>
      <left style="thin">
        <color indexed="64"/>
      </left>
      <right/>
      <top/>
      <bottom style="hair">
        <color indexed="64"/>
      </bottom>
      <diagonal/>
    </border>
    <border>
      <left/>
      <right style="thin">
        <color auto="1"/>
      </right>
      <top/>
      <bottom style="hair">
        <color indexed="64"/>
      </bottom>
      <diagonal/>
    </border>
    <border>
      <left/>
      <right style="thin">
        <color auto="1"/>
      </right>
      <top style="thin">
        <color auto="1"/>
      </top>
      <bottom/>
      <diagonal/>
    </border>
    <border>
      <left style="thin">
        <color indexed="64"/>
      </left>
      <right style="thin">
        <color auto="1"/>
      </right>
      <top style="hair">
        <color auto="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rgb="FFA9A9A9"/>
      </top>
      <bottom/>
      <diagonal/>
    </border>
    <border>
      <left style="thin">
        <color rgb="FFBFD7ED"/>
      </left>
      <right/>
      <top style="thin">
        <color rgb="FFBFD7ED"/>
      </top>
      <bottom/>
      <diagonal/>
    </border>
    <border>
      <left style="thin">
        <color rgb="FFBFD7ED"/>
      </left>
      <right style="thin">
        <color rgb="FFBFD7ED"/>
      </right>
      <top style="thin">
        <color rgb="FFBFD7ED"/>
      </top>
      <bottom/>
      <diagonal/>
    </border>
    <border>
      <left style="thin">
        <color theme="0" tint="-0.14990691854609822"/>
      </left>
      <right/>
      <top style="thin">
        <color theme="0" tint="-0.14990691854609822"/>
      </top>
      <bottom/>
      <diagonal/>
    </border>
    <border>
      <left style="thin">
        <color theme="0" tint="-0.14990691854609822"/>
      </left>
      <right style="thin">
        <color theme="0" tint="-0.14990691854609822"/>
      </right>
      <top style="thin">
        <color theme="0" tint="-0.14990691854609822"/>
      </top>
      <bottom/>
      <diagonal/>
    </border>
    <border>
      <left/>
      <right/>
      <top style="thin">
        <color theme="0" tint="-0.14990691854609822"/>
      </top>
      <bottom/>
      <diagonal/>
    </border>
    <border>
      <left/>
      <right style="thin">
        <color indexed="64"/>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theme="0" tint="-0.14990691854609822"/>
      </left>
      <right/>
      <top/>
      <bottom/>
      <diagonal/>
    </border>
    <border>
      <left style="thin">
        <color theme="0" tint="-0.14990691854609822"/>
      </left>
      <right/>
      <top style="thin">
        <color theme="0" tint="-0.14990691854609822"/>
      </top>
      <bottom style="thin">
        <color theme="0" tint="-0.149906918546098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right/>
      <top style="thin">
        <color theme="0" tint="-0.14990691854609822"/>
      </top>
      <bottom style="thin">
        <color theme="0" tint="-0.149906918546098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top/>
      <bottom style="hair">
        <color indexed="64"/>
      </bottom>
      <diagonal/>
    </border>
    <border>
      <left style="thin">
        <color auto="1"/>
      </left>
      <right style="medium">
        <color indexed="64"/>
      </right>
      <top style="thin">
        <color auto="1"/>
      </top>
      <bottom style="hair">
        <color auto="1"/>
      </bottom>
      <diagonal/>
    </border>
    <border>
      <left style="medium">
        <color auto="1"/>
      </left>
      <right/>
      <top style="medium">
        <color indexed="64"/>
      </top>
      <bottom style="medium">
        <color indexed="64"/>
      </bottom>
      <diagonal/>
    </border>
    <border>
      <left style="medium">
        <color auto="1"/>
      </left>
      <right style="thin">
        <color auto="1"/>
      </right>
      <top/>
      <bottom/>
      <diagonal/>
    </border>
    <border>
      <left style="medium">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medium">
        <color indexed="64"/>
      </left>
      <right/>
      <top style="thin">
        <color indexed="64"/>
      </top>
      <bottom/>
      <diagonal/>
    </border>
    <border>
      <left/>
      <right style="thin">
        <color auto="1"/>
      </right>
      <top style="medium">
        <color indexed="64"/>
      </top>
      <bottom/>
      <diagonal/>
    </border>
    <border>
      <left style="thin">
        <color indexed="64"/>
      </left>
      <right/>
      <top style="medium">
        <color indexed="64"/>
      </top>
      <bottom/>
      <diagonal/>
    </border>
    <border>
      <left style="medium">
        <color indexed="64"/>
      </left>
      <right/>
      <top style="thin">
        <color indexed="64"/>
      </top>
      <bottom style="thin">
        <color indexed="64"/>
      </bottom>
      <diagonal/>
    </border>
    <border>
      <left/>
      <right style="medium">
        <color auto="1"/>
      </right>
      <top style="medium">
        <color indexed="64"/>
      </top>
      <bottom/>
      <diagonal/>
    </border>
    <border>
      <left/>
      <right style="medium">
        <color auto="1"/>
      </right>
      <top style="medium">
        <color indexed="64"/>
      </top>
      <bottom style="medium">
        <color indexed="64"/>
      </bottom>
      <diagonal/>
    </border>
    <border>
      <left/>
      <right style="medium">
        <color auto="1"/>
      </right>
      <top style="medium">
        <color indexed="64"/>
      </top>
      <bottom/>
      <diagonal/>
    </border>
    <border>
      <left/>
      <right style="medium">
        <color auto="1"/>
      </right>
      <top/>
      <bottom style="medium">
        <color indexed="64"/>
      </bottom>
      <diagonal/>
    </border>
    <border>
      <left style="thin">
        <color theme="0" tint="-0.14990691854609822"/>
      </left>
      <right style="thin">
        <color theme="0" tint="-0.14990691854609822"/>
      </right>
      <top/>
      <bottom/>
      <diagonal/>
    </border>
    <border>
      <left style="thin">
        <color theme="0" tint="-0.14990691854609822"/>
      </left>
      <right/>
      <top style="thin">
        <color indexed="64"/>
      </top>
      <bottom/>
      <diagonal/>
    </border>
    <border>
      <left/>
      <right style="thin">
        <color auto="1"/>
      </right>
      <top/>
      <bottom/>
      <diagonal/>
    </border>
    <border>
      <left style="medium">
        <color indexed="64"/>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s>
  <cellStyleXfs count="18">
    <xf numFmtId="0" fontId="0" fillId="0" borderId="0"/>
    <xf numFmtId="9" fontId="1" fillId="0" borderId="0" applyFont="0" applyFill="0" applyBorder="0" applyAlignment="0" applyProtection="0"/>
    <xf numFmtId="0" fontId="3" fillId="0" borderId="0"/>
    <xf numFmtId="0" fontId="6" fillId="0" borderId="0"/>
    <xf numFmtId="165" fontId="3" fillId="0" borderId="0" applyFont="0" applyFill="0" applyBorder="0" applyAlignment="0" applyProtection="0"/>
    <xf numFmtId="9" fontId="3" fillId="0" borderId="0" applyFont="0" applyFill="0" applyBorder="0" applyAlignment="0" applyProtection="0"/>
    <xf numFmtId="167" fontId="10" fillId="0" borderId="0" applyFont="0" applyFill="0" applyBorder="0" applyAlignment="0" applyProtection="0"/>
    <xf numFmtId="0" fontId="11" fillId="0" borderId="0"/>
    <xf numFmtId="44" fontId="1" fillId="0" borderId="0" applyFont="0" applyFill="0" applyBorder="0" applyAlignment="0" applyProtection="0"/>
    <xf numFmtId="44" fontId="1" fillId="0" borderId="0" applyFont="0" applyFill="0" applyBorder="0" applyAlignment="0" applyProtection="0"/>
    <xf numFmtId="44" fontId="10" fillId="0" borderId="0" applyFont="0" applyFill="0" applyBorder="0" applyAlignment="0" applyProtection="0"/>
    <xf numFmtId="44" fontId="1" fillId="0" borderId="0" applyFont="0" applyFill="0" applyBorder="0" applyAlignment="0" applyProtection="0"/>
    <xf numFmtId="0" fontId="19"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0" fillId="0" borderId="0" applyFont="0" applyFill="0" applyBorder="0" applyAlignment="0" applyProtection="0"/>
    <xf numFmtId="44" fontId="1" fillId="0" borderId="0" applyFont="0" applyFill="0" applyBorder="0" applyAlignment="0" applyProtection="0"/>
  </cellStyleXfs>
  <cellXfs count="390">
    <xf numFmtId="0" fontId="0" fillId="0" borderId="0" xfId="0"/>
    <xf numFmtId="0" fontId="0" fillId="0" borderId="11" xfId="0" applyBorder="1"/>
    <xf numFmtId="0" fontId="0" fillId="0" borderId="12" xfId="0" applyBorder="1"/>
    <xf numFmtId="0" fontId="0" fillId="0" borderId="13" xfId="0" applyBorder="1"/>
    <xf numFmtId="0" fontId="0" fillId="0" borderId="17" xfId="0" applyBorder="1"/>
    <xf numFmtId="0" fontId="0" fillId="0" borderId="18" xfId="0" applyBorder="1"/>
    <xf numFmtId="0" fontId="2" fillId="0" borderId="19" xfId="0" applyFont="1" applyBorder="1"/>
    <xf numFmtId="0" fontId="2" fillId="0" borderId="23" xfId="0" applyFont="1" applyBorder="1"/>
    <xf numFmtId="0" fontId="0" fillId="0" borderId="2" xfId="0" applyBorder="1" applyAlignment="1">
      <alignment horizontal="left"/>
    </xf>
    <xf numFmtId="0" fontId="0" fillId="0" borderId="25" xfId="0" applyBorder="1" applyAlignment="1">
      <alignment horizontal="left"/>
    </xf>
    <xf numFmtId="0" fontId="2" fillId="0" borderId="26" xfId="0" applyFont="1" applyBorder="1"/>
    <xf numFmtId="0" fontId="2" fillId="0" borderId="26" xfId="0" applyFont="1" applyBorder="1" applyAlignment="1">
      <alignment horizontal="center"/>
    </xf>
    <xf numFmtId="0" fontId="0" fillId="0" borderId="14" xfId="0" applyBorder="1"/>
    <xf numFmtId="0" fontId="0" fillId="0" borderId="15" xfId="0" applyBorder="1"/>
    <xf numFmtId="0" fontId="0" fillId="0" borderId="16" xfId="0" applyBorder="1"/>
    <xf numFmtId="0" fontId="2" fillId="0" borderId="30" xfId="0" applyFont="1" applyBorder="1"/>
    <xf numFmtId="0" fontId="2" fillId="0" borderId="2" xfId="0" applyFont="1" applyBorder="1" applyAlignment="1">
      <alignment horizontal="left"/>
    </xf>
    <xf numFmtId="0" fontId="2" fillId="0" borderId="23" xfId="0" applyFont="1" applyBorder="1" applyAlignment="1">
      <alignment horizontal="center"/>
    </xf>
    <xf numFmtId="0" fontId="2" fillId="0" borderId="19" xfId="0" applyFont="1" applyBorder="1" applyAlignment="1">
      <alignment horizontal="center"/>
    </xf>
    <xf numFmtId="0" fontId="2" fillId="0" borderId="34" xfId="0" applyFont="1" applyBorder="1" applyAlignment="1">
      <alignment horizontal="center"/>
    </xf>
    <xf numFmtId="0" fontId="0" fillId="0" borderId="26" xfId="0" applyBorder="1"/>
    <xf numFmtId="0" fontId="0" fillId="0" borderId="27" xfId="0" applyBorder="1"/>
    <xf numFmtId="0" fontId="0" fillId="0" borderId="29" xfId="0" applyBorder="1"/>
    <xf numFmtId="0" fontId="0" fillId="0" borderId="0" xfId="0" applyAlignment="1">
      <alignment horizontal="right"/>
    </xf>
    <xf numFmtId="0" fontId="9" fillId="4" borderId="35" xfId="0" applyFont="1" applyFill="1" applyBorder="1"/>
    <xf numFmtId="0" fontId="9" fillId="4" borderId="36" xfId="0" applyFont="1" applyFill="1" applyBorder="1"/>
    <xf numFmtId="0" fontId="12" fillId="5" borderId="0" xfId="0" applyFont="1" applyFill="1"/>
    <xf numFmtId="49" fontId="12" fillId="5" borderId="0" xfId="0" applyNumberFormat="1" applyFont="1" applyFill="1"/>
    <xf numFmtId="164" fontId="5" fillId="0" borderId="0" xfId="2" applyNumberFormat="1" applyFont="1" applyAlignment="1">
      <alignment horizontal="left" vertical="center"/>
    </xf>
    <xf numFmtId="0" fontId="13" fillId="8" borderId="39" xfId="0" applyFont="1" applyFill="1" applyBorder="1" applyAlignment="1">
      <alignment vertical="center"/>
    </xf>
    <xf numFmtId="0" fontId="15" fillId="8" borderId="39" xfId="0" applyFont="1" applyFill="1" applyBorder="1" applyAlignment="1">
      <alignment horizontal="center" vertical="center"/>
    </xf>
    <xf numFmtId="22" fontId="13" fillId="8" borderId="39" xfId="0" applyNumberFormat="1" applyFont="1" applyFill="1" applyBorder="1" applyAlignment="1">
      <alignment horizontal="center" vertical="center"/>
    </xf>
    <xf numFmtId="0" fontId="17" fillId="8" borderId="40" xfId="0" applyFont="1" applyFill="1" applyBorder="1" applyAlignment="1">
      <alignment horizontal="center" vertical="center" wrapText="1"/>
    </xf>
    <xf numFmtId="0" fontId="17" fillId="8" borderId="41" xfId="0" applyFont="1" applyFill="1" applyBorder="1" applyAlignment="1">
      <alignment horizontal="center" vertical="center" wrapText="1"/>
    </xf>
    <xf numFmtId="0" fontId="18" fillId="0" borderId="0" xfId="0" applyFont="1" applyAlignment="1">
      <alignment horizontal="center"/>
    </xf>
    <xf numFmtId="164" fontId="5" fillId="0" borderId="67" xfId="2" applyNumberFormat="1" applyFont="1" applyBorder="1" applyAlignment="1" applyProtection="1">
      <alignment horizontal="left" vertical="center"/>
      <protection locked="0"/>
    </xf>
    <xf numFmtId="164" fontId="5" fillId="0" borderId="68" xfId="2" applyNumberFormat="1" applyFont="1" applyBorder="1" applyAlignment="1" applyProtection="1">
      <alignment horizontal="left" vertical="center"/>
      <protection locked="0"/>
    </xf>
    <xf numFmtId="164" fontId="5" fillId="0" borderId="69" xfId="2" applyNumberFormat="1" applyFont="1" applyBorder="1" applyAlignment="1" applyProtection="1">
      <alignment horizontal="left" vertical="center"/>
      <protection locked="0"/>
    </xf>
    <xf numFmtId="164" fontId="5" fillId="0" borderId="70" xfId="2" applyNumberFormat="1" applyFont="1" applyBorder="1" applyAlignment="1" applyProtection="1">
      <alignment horizontal="left" vertical="center"/>
      <protection locked="0"/>
    </xf>
    <xf numFmtId="164" fontId="5" fillId="0" borderId="14" xfId="2" applyNumberFormat="1" applyFont="1" applyBorder="1" applyAlignment="1" applyProtection="1">
      <alignment horizontal="left" vertical="center"/>
      <protection locked="0"/>
    </xf>
    <xf numFmtId="164" fontId="5" fillId="0" borderId="66" xfId="2" applyNumberFormat="1" applyFont="1" applyBorder="1" applyAlignment="1" applyProtection="1">
      <alignment horizontal="left" vertical="center"/>
      <protection locked="0"/>
    </xf>
    <xf numFmtId="170" fontId="22" fillId="10" borderId="58" xfId="8" applyNumberFormat="1" applyFont="1" applyFill="1" applyBorder="1" applyAlignment="1">
      <alignment horizontal="right"/>
    </xf>
    <xf numFmtId="170" fontId="22" fillId="10" borderId="49" xfId="8" applyNumberFormat="1" applyFont="1" applyFill="1" applyBorder="1" applyAlignment="1">
      <alignment horizontal="right"/>
    </xf>
    <xf numFmtId="44" fontId="22" fillId="10" borderId="58" xfId="8" applyFont="1" applyFill="1" applyBorder="1" applyAlignment="1">
      <alignment horizontal="right"/>
    </xf>
    <xf numFmtId="44" fontId="12" fillId="14" borderId="58" xfId="8" applyFont="1" applyFill="1" applyBorder="1" applyAlignment="1">
      <alignment vertical="center"/>
    </xf>
    <xf numFmtId="44" fontId="12" fillId="13" borderId="58" xfId="8" applyFont="1" applyFill="1" applyBorder="1" applyAlignment="1">
      <alignment vertical="center"/>
    </xf>
    <xf numFmtId="44" fontId="12" fillId="13" borderId="49" xfId="8" applyFont="1" applyFill="1" applyBorder="1" applyAlignment="1">
      <alignment vertical="center"/>
    </xf>
    <xf numFmtId="44" fontId="22" fillId="10" borderId="15" xfId="0" applyNumberFormat="1" applyFont="1" applyFill="1" applyBorder="1" applyAlignment="1">
      <alignment horizontal="right"/>
    </xf>
    <xf numFmtId="170" fontId="22" fillId="10" borderId="15" xfId="0" applyNumberFormat="1" applyFont="1" applyFill="1" applyBorder="1" applyAlignment="1">
      <alignment horizontal="right"/>
    </xf>
    <xf numFmtId="44" fontId="22" fillId="10" borderId="0" xfId="0" applyNumberFormat="1" applyFont="1" applyFill="1" applyAlignment="1">
      <alignment horizontal="right"/>
    </xf>
    <xf numFmtId="44" fontId="12" fillId="14" borderId="0" xfId="0" applyNumberFormat="1" applyFont="1" applyFill="1"/>
    <xf numFmtId="44" fontId="12" fillId="13" borderId="0" xfId="0" applyNumberFormat="1" applyFont="1" applyFill="1"/>
    <xf numFmtId="44" fontId="12" fillId="14" borderId="15" xfId="0" applyNumberFormat="1" applyFont="1" applyFill="1" applyBorder="1"/>
    <xf numFmtId="44" fontId="12" fillId="13" borderId="15" xfId="0" applyNumberFormat="1" applyFont="1" applyFill="1" applyBorder="1"/>
    <xf numFmtId="170" fontId="22" fillId="10" borderId="0" xfId="0" applyNumberFormat="1" applyFont="1" applyFill="1" applyAlignment="1">
      <alignment horizontal="right"/>
    </xf>
    <xf numFmtId="170" fontId="22" fillId="10" borderId="18" xfId="0" applyNumberFormat="1" applyFont="1" applyFill="1" applyBorder="1" applyAlignment="1">
      <alignment horizontal="right"/>
    </xf>
    <xf numFmtId="170" fontId="22" fillId="10" borderId="83" xfId="0" applyNumberFormat="1" applyFont="1" applyFill="1" applyBorder="1" applyAlignment="1">
      <alignment horizontal="right"/>
    </xf>
    <xf numFmtId="44" fontId="12" fillId="13" borderId="83" xfId="8" applyFont="1" applyFill="1" applyBorder="1"/>
    <xf numFmtId="44" fontId="12" fillId="13" borderId="18" xfId="8" applyFont="1" applyFill="1" applyBorder="1"/>
    <xf numFmtId="0" fontId="0" fillId="0" borderId="0" xfId="0" applyAlignment="1">
      <alignment wrapText="1"/>
    </xf>
    <xf numFmtId="0" fontId="25" fillId="0" borderId="0" xfId="0" applyFont="1"/>
    <xf numFmtId="49" fontId="5" fillId="0" borderId="0" xfId="2" applyNumberFormat="1" applyFont="1" applyAlignment="1">
      <alignment horizontal="left" vertical="center" wrapText="1"/>
    </xf>
    <xf numFmtId="0" fontId="5" fillId="0" borderId="0" xfId="2" applyFont="1" applyAlignment="1">
      <alignment horizontal="left" vertical="center" wrapText="1"/>
    </xf>
    <xf numFmtId="0" fontId="25" fillId="0" borderId="0" xfId="0" applyFont="1" applyAlignment="1">
      <alignment horizontal="center" vertical="center"/>
    </xf>
    <xf numFmtId="0" fontId="25" fillId="0" borderId="0" xfId="0" applyFont="1" applyAlignment="1">
      <alignment horizontal="center"/>
    </xf>
    <xf numFmtId="49" fontId="25" fillId="0" borderId="0" xfId="0" applyNumberFormat="1" applyFont="1"/>
    <xf numFmtId="0" fontId="25" fillId="0" borderId="0" xfId="1" applyNumberFormat="1" applyFont="1"/>
    <xf numFmtId="165" fontId="26" fillId="6" borderId="38" xfId="4" applyFont="1" applyFill="1" applyBorder="1" applyAlignment="1">
      <alignment horizontal="center" vertical="center" wrapText="1"/>
    </xf>
    <xf numFmtId="168" fontId="27" fillId="0" borderId="5" xfId="1" applyNumberFormat="1" applyFont="1" applyBorder="1"/>
    <xf numFmtId="0" fontId="28" fillId="0" borderId="0" xfId="0" applyFont="1"/>
    <xf numFmtId="0" fontId="29" fillId="0" borderId="42" xfId="0" applyFont="1" applyBorder="1" applyAlignment="1">
      <alignment horizontal="left" vertical="center"/>
    </xf>
    <xf numFmtId="49" fontId="29" fillId="0" borderId="43" xfId="0" applyNumberFormat="1" applyFont="1" applyBorder="1" applyAlignment="1">
      <alignment horizontal="left" vertical="center"/>
    </xf>
    <xf numFmtId="0" fontId="29" fillId="0" borderId="44" xfId="0" applyFont="1" applyBorder="1" applyAlignment="1">
      <alignment horizontal="left" vertical="center"/>
    </xf>
    <xf numFmtId="0" fontId="29" fillId="0" borderId="42" xfId="0" applyFont="1" applyBorder="1" applyAlignment="1">
      <alignment horizontal="left" vertical="center" wrapText="1"/>
    </xf>
    <xf numFmtId="0" fontId="5" fillId="6" borderId="50" xfId="3" applyFont="1" applyFill="1" applyBorder="1" applyAlignment="1">
      <alignment horizontal="left" vertical="center"/>
    </xf>
    <xf numFmtId="0" fontId="5" fillId="6" borderId="51" xfId="3" applyFont="1" applyFill="1" applyBorder="1" applyAlignment="1">
      <alignment horizontal="center" vertical="center"/>
    </xf>
    <xf numFmtId="0" fontId="12" fillId="6" borderId="51" xfId="3" applyFont="1" applyFill="1" applyBorder="1" applyAlignment="1">
      <alignment horizontal="center" vertical="center"/>
    </xf>
    <xf numFmtId="169" fontId="12" fillId="6" borderId="51" xfId="3" applyNumberFormat="1" applyFont="1" applyFill="1" applyBorder="1" applyAlignment="1">
      <alignment horizontal="center" vertical="center" wrapText="1"/>
    </xf>
    <xf numFmtId="0" fontId="12" fillId="6" borderId="51" xfId="3" applyFont="1" applyFill="1" applyBorder="1" applyAlignment="1">
      <alignment horizontal="center" vertical="center" wrapText="1"/>
    </xf>
    <xf numFmtId="9" fontId="12" fillId="6" borderId="51" xfId="1" applyFont="1" applyFill="1" applyBorder="1" applyAlignment="1">
      <alignment horizontal="center" vertical="center" wrapText="1"/>
    </xf>
    <xf numFmtId="10" fontId="12" fillId="6" borderId="51" xfId="1" applyNumberFormat="1" applyFont="1" applyFill="1" applyBorder="1" applyAlignment="1">
      <alignment horizontal="center" vertical="center" wrapText="1"/>
    </xf>
    <xf numFmtId="0" fontId="12" fillId="6" borderId="52" xfId="3" applyFont="1" applyFill="1" applyBorder="1" applyAlignment="1">
      <alignment horizontal="center" vertical="center" wrapText="1"/>
    </xf>
    <xf numFmtId="37" fontId="26" fillId="6" borderId="50" xfId="3" applyNumberFormat="1" applyFont="1" applyFill="1" applyBorder="1" applyAlignment="1">
      <alignment horizontal="center" vertical="center"/>
    </xf>
    <xf numFmtId="37" fontId="26" fillId="6" borderId="51" xfId="3" applyNumberFormat="1" applyFont="1" applyFill="1" applyBorder="1" applyAlignment="1">
      <alignment horizontal="center" vertical="center"/>
    </xf>
    <xf numFmtId="40" fontId="26" fillId="6" borderId="51" xfId="4" applyNumberFormat="1" applyFont="1" applyFill="1" applyBorder="1" applyAlignment="1">
      <alignment horizontal="center" vertical="center"/>
    </xf>
    <xf numFmtId="165" fontId="26" fillId="6" borderId="51" xfId="4" applyFont="1" applyFill="1" applyBorder="1" applyAlignment="1">
      <alignment horizontal="right" vertical="center"/>
    </xf>
    <xf numFmtId="40" fontId="26" fillId="6" borderId="51" xfId="4" applyNumberFormat="1" applyFont="1" applyFill="1" applyBorder="1" applyAlignment="1">
      <alignment horizontal="center" vertical="center" wrapText="1"/>
    </xf>
    <xf numFmtId="10" fontId="26" fillId="6" borderId="51" xfId="5" applyNumberFormat="1" applyFont="1" applyFill="1" applyBorder="1" applyAlignment="1">
      <alignment horizontal="center" vertical="center" wrapText="1"/>
    </xf>
    <xf numFmtId="165" fontId="26" fillId="6" borderId="51" xfId="4" applyFont="1" applyFill="1" applyBorder="1" applyAlignment="1">
      <alignment horizontal="center" vertical="center" wrapText="1"/>
    </xf>
    <xf numFmtId="165" fontId="26" fillId="6" borderId="52" xfId="4" applyFont="1" applyFill="1" applyBorder="1" applyAlignment="1">
      <alignment horizontal="center" vertical="center" wrapText="1"/>
    </xf>
    <xf numFmtId="10" fontId="26" fillId="6" borderId="45" xfId="5" applyNumberFormat="1" applyFont="1" applyFill="1" applyBorder="1" applyAlignment="1">
      <alignment horizontal="center" vertical="center" wrapText="1"/>
    </xf>
    <xf numFmtId="10" fontId="26" fillId="6" borderId="46" xfId="5" applyNumberFormat="1" applyFont="1" applyFill="1" applyBorder="1" applyAlignment="1">
      <alignment horizontal="center" vertical="center" wrapText="1"/>
    </xf>
    <xf numFmtId="49" fontId="29" fillId="0" borderId="43" xfId="0" applyNumberFormat="1" applyFont="1" applyBorder="1" applyAlignment="1">
      <alignment horizontal="left" vertical="center" wrapText="1"/>
    </xf>
    <xf numFmtId="0" fontId="29" fillId="0" borderId="44" xfId="0" applyFont="1" applyBorder="1" applyAlignment="1">
      <alignment horizontal="left" vertical="center" wrapText="1"/>
    </xf>
    <xf numFmtId="10" fontId="29" fillId="14" borderId="10" xfId="0" applyNumberFormat="1" applyFont="1" applyFill="1" applyBorder="1" applyAlignment="1">
      <alignment horizontal="center" vertical="center"/>
    </xf>
    <xf numFmtId="0" fontId="12" fillId="11" borderId="60" xfId="0" applyFont="1" applyFill="1" applyBorder="1" applyAlignment="1">
      <alignment horizontal="center" vertical="center"/>
    </xf>
    <xf numFmtId="0" fontId="12" fillId="11" borderId="65" xfId="0" applyFont="1" applyFill="1" applyBorder="1" applyAlignment="1">
      <alignment horizontal="center" vertical="center"/>
    </xf>
    <xf numFmtId="0" fontId="27" fillId="11" borderId="10" xfId="0" applyFont="1" applyFill="1" applyBorder="1" applyAlignment="1">
      <alignment horizontal="center" vertical="center"/>
    </xf>
    <xf numFmtId="0" fontId="27" fillId="11" borderId="57" xfId="0" applyFont="1" applyFill="1" applyBorder="1" applyAlignment="1">
      <alignment horizontal="center" vertical="center"/>
    </xf>
    <xf numFmtId="0" fontId="29" fillId="17" borderId="61" xfId="0" applyFont="1" applyFill="1" applyBorder="1" applyAlignment="1">
      <alignment horizontal="left" vertical="center" wrapText="1"/>
    </xf>
    <xf numFmtId="0" fontId="29" fillId="16" borderId="57" xfId="0" applyFont="1" applyFill="1" applyBorder="1" applyAlignment="1">
      <alignment horizontal="left" vertical="center" wrapText="1"/>
    </xf>
    <xf numFmtId="0" fontId="29" fillId="0" borderId="57" xfId="0" applyFont="1" applyBorder="1" applyAlignment="1">
      <alignment horizontal="center" vertical="center"/>
    </xf>
    <xf numFmtId="44" fontId="29" fillId="0" borderId="57" xfId="8" applyFont="1" applyBorder="1" applyAlignment="1">
      <alignment vertical="center"/>
    </xf>
    <xf numFmtId="44" fontId="29" fillId="0" borderId="62" xfId="8" applyFont="1" applyBorder="1" applyAlignment="1">
      <alignment vertical="center"/>
    </xf>
    <xf numFmtId="1" fontId="29" fillId="12" borderId="61" xfId="0" applyNumberFormat="1" applyFont="1" applyFill="1" applyBorder="1" applyAlignment="1">
      <alignment horizontal="center" vertical="center"/>
    </xf>
    <xf numFmtId="1" fontId="29" fillId="12" borderId="57" xfId="0" applyNumberFormat="1" applyFont="1" applyFill="1" applyBorder="1" applyAlignment="1">
      <alignment horizontal="center" vertical="center"/>
    </xf>
    <xf numFmtId="44" fontId="29" fillId="12" borderId="57" xfId="8" applyFont="1" applyFill="1" applyBorder="1" applyAlignment="1">
      <alignment vertical="center"/>
    </xf>
    <xf numFmtId="44" fontId="29" fillId="14" borderId="57" xfId="8" applyFont="1" applyFill="1" applyBorder="1" applyAlignment="1">
      <alignment vertical="center"/>
    </xf>
    <xf numFmtId="9" fontId="29" fillId="13" borderId="57" xfId="1" applyFont="1" applyFill="1" applyBorder="1" applyAlignment="1">
      <alignment vertical="center"/>
    </xf>
    <xf numFmtId="44" fontId="29" fillId="13" borderId="57" xfId="8" applyFont="1" applyFill="1" applyBorder="1" applyAlignment="1">
      <alignment vertical="center"/>
    </xf>
    <xf numFmtId="44" fontId="29" fillId="13" borderId="62" xfId="8" applyFont="1" applyFill="1" applyBorder="1" applyAlignment="1">
      <alignment vertical="center"/>
    </xf>
    <xf numFmtId="10" fontId="29" fillId="14" borderId="57" xfId="0" applyNumberFormat="1" applyFont="1" applyFill="1" applyBorder="1" applyAlignment="1">
      <alignment horizontal="center" vertical="center"/>
    </xf>
    <xf numFmtId="9" fontId="29" fillId="13" borderId="58" xfId="1" applyFont="1" applyFill="1" applyBorder="1" applyAlignment="1">
      <alignment vertical="center"/>
    </xf>
    <xf numFmtId="44" fontId="29" fillId="13" borderId="58" xfId="8" applyFont="1" applyFill="1" applyBorder="1" applyAlignment="1">
      <alignment vertical="center"/>
    </xf>
    <xf numFmtId="10" fontId="29" fillId="14" borderId="0" xfId="0" applyNumberFormat="1" applyFont="1" applyFill="1" applyAlignment="1">
      <alignment horizontal="center" vertical="center"/>
    </xf>
    <xf numFmtId="0" fontId="12" fillId="11" borderId="78" xfId="0" applyFont="1" applyFill="1" applyBorder="1" applyAlignment="1">
      <alignment horizontal="center" vertical="center"/>
    </xf>
    <xf numFmtId="0" fontId="12" fillId="11" borderId="51" xfId="0" applyFont="1" applyFill="1" applyBorder="1" applyAlignment="1">
      <alignment horizontal="center" vertical="center"/>
    </xf>
    <xf numFmtId="0" fontId="12" fillId="11" borderId="82" xfId="0" applyFont="1" applyFill="1" applyBorder="1" applyAlignment="1">
      <alignment horizontal="center" vertical="center"/>
    </xf>
    <xf numFmtId="0" fontId="29" fillId="18" borderId="48" xfId="0" applyFont="1" applyFill="1" applyBorder="1" applyAlignment="1">
      <alignment horizontal="left" vertical="center" wrapText="1"/>
    </xf>
    <xf numFmtId="0" fontId="29" fillId="16" borderId="58" xfId="0" applyFont="1" applyFill="1" applyBorder="1" applyAlignment="1">
      <alignment horizontal="left" vertical="center" wrapText="1"/>
    </xf>
    <xf numFmtId="0" fontId="29" fillId="0" borderId="58" xfId="0" applyFont="1" applyBorder="1" applyAlignment="1">
      <alignment horizontal="center" vertical="center"/>
    </xf>
    <xf numFmtId="44" fontId="29" fillId="0" borderId="58" xfId="8" applyFont="1" applyBorder="1" applyAlignment="1">
      <alignment vertical="center"/>
    </xf>
    <xf numFmtId="44" fontId="29" fillId="0" borderId="49" xfId="8" applyFont="1" applyBorder="1" applyAlignment="1">
      <alignment vertical="center"/>
    </xf>
    <xf numFmtId="1" fontId="29" fillId="12" borderId="76" xfId="0" applyNumberFormat="1" applyFont="1" applyFill="1" applyBorder="1" applyAlignment="1">
      <alignment horizontal="center" vertical="center"/>
    </xf>
    <xf numFmtId="1" fontId="29" fillId="12" borderId="74" xfId="0" applyNumberFormat="1" applyFont="1" applyFill="1" applyBorder="1" applyAlignment="1">
      <alignment horizontal="center" vertical="center"/>
    </xf>
    <xf numFmtId="44" fontId="29" fillId="12" borderId="74" xfId="8" applyFont="1" applyFill="1" applyBorder="1" applyAlignment="1">
      <alignment vertical="center"/>
    </xf>
    <xf numFmtId="44" fontId="29" fillId="14" borderId="74" xfId="8" applyFont="1" applyFill="1" applyBorder="1" applyAlignment="1">
      <alignment vertical="center"/>
    </xf>
    <xf numFmtId="9" fontId="29" fillId="13" borderId="74" xfId="1" applyFont="1" applyFill="1" applyBorder="1" applyAlignment="1">
      <alignment vertical="center"/>
    </xf>
    <xf numFmtId="44" fontId="29" fillId="13" borderId="74" xfId="8" applyFont="1" applyFill="1" applyBorder="1" applyAlignment="1">
      <alignment vertical="center"/>
    </xf>
    <xf numFmtId="44" fontId="29" fillId="13" borderId="49" xfId="8" applyFont="1" applyFill="1" applyBorder="1" applyAlignment="1">
      <alignment vertical="center"/>
    </xf>
    <xf numFmtId="0" fontId="29" fillId="0" borderId="54" xfId="0" applyFont="1" applyBorder="1" applyAlignment="1">
      <alignment horizontal="left" vertical="center" wrapText="1"/>
    </xf>
    <xf numFmtId="0" fontId="29" fillId="0" borderId="56" xfId="0" applyFont="1" applyBorder="1" applyAlignment="1">
      <alignment horizontal="left" vertical="center" wrapText="1"/>
    </xf>
    <xf numFmtId="0" fontId="29" fillId="18" borderId="57" xfId="0" applyFont="1" applyFill="1" applyBorder="1" applyAlignment="1">
      <alignment horizontal="left" vertical="center" wrapText="1"/>
    </xf>
    <xf numFmtId="1" fontId="29" fillId="12" borderId="7" xfId="0" applyNumberFormat="1" applyFont="1" applyFill="1" applyBorder="1" applyAlignment="1">
      <alignment horizontal="center" vertical="center"/>
    </xf>
    <xf numFmtId="44" fontId="29" fillId="12" borderId="7" xfId="8" applyFont="1" applyFill="1" applyBorder="1" applyAlignment="1">
      <alignment vertical="center"/>
    </xf>
    <xf numFmtId="44" fontId="29" fillId="14" borderId="7" xfId="8" applyFont="1" applyFill="1" applyBorder="1" applyAlignment="1">
      <alignment vertical="center"/>
    </xf>
    <xf numFmtId="9" fontId="29" fillId="13" borderId="7" xfId="1" applyFont="1" applyFill="1" applyBorder="1" applyAlignment="1">
      <alignment vertical="center"/>
    </xf>
    <xf numFmtId="44" fontId="29" fillId="13" borderId="7" xfId="8" applyFont="1" applyFill="1" applyBorder="1" applyAlignment="1">
      <alignment vertical="center"/>
    </xf>
    <xf numFmtId="0" fontId="29" fillId="0" borderId="53" xfId="0" applyFont="1" applyBorder="1" applyAlignment="1">
      <alignment horizontal="left" vertical="center" wrapText="1"/>
    </xf>
    <xf numFmtId="0" fontId="29" fillId="0" borderId="0" xfId="0" applyFont="1" applyAlignment="1">
      <alignment horizontal="left" vertical="center" wrapText="1"/>
    </xf>
    <xf numFmtId="0" fontId="25" fillId="13" borderId="15" xfId="0" applyFont="1" applyFill="1" applyBorder="1"/>
    <xf numFmtId="0" fontId="29" fillId="18" borderId="61" xfId="0" applyFont="1" applyFill="1" applyBorder="1" applyAlignment="1">
      <alignment horizontal="left" vertical="center" wrapText="1"/>
    </xf>
    <xf numFmtId="1" fontId="29" fillId="12" borderId="79" xfId="0" applyNumberFormat="1" applyFont="1" applyFill="1" applyBorder="1" applyAlignment="1">
      <alignment horizontal="center" vertical="center"/>
    </xf>
    <xf numFmtId="0" fontId="29" fillId="0" borderId="58" xfId="0" applyFont="1" applyBorder="1" applyAlignment="1">
      <alignment horizontal="left" vertical="center" wrapText="1"/>
    </xf>
    <xf numFmtId="0" fontId="29" fillId="18" borderId="72" xfId="0" applyFont="1" applyFill="1" applyBorder="1" applyAlignment="1">
      <alignment horizontal="left" vertical="center" wrapText="1"/>
    </xf>
    <xf numFmtId="0" fontId="29" fillId="16" borderId="59" xfId="0" applyFont="1" applyFill="1" applyBorder="1" applyAlignment="1">
      <alignment horizontal="left" vertical="center" wrapText="1"/>
    </xf>
    <xf numFmtId="0" fontId="29" fillId="16" borderId="59" xfId="0" applyFont="1" applyFill="1" applyBorder="1" applyAlignment="1">
      <alignment horizontal="center" vertical="center"/>
    </xf>
    <xf numFmtId="44" fontId="29" fillId="16" borderId="59" xfId="8" applyFont="1" applyFill="1" applyBorder="1" applyAlignment="1">
      <alignment vertical="center"/>
    </xf>
    <xf numFmtId="44" fontId="29" fillId="16" borderId="63" xfId="8" applyFont="1" applyFill="1" applyBorder="1" applyAlignment="1">
      <alignment vertical="center"/>
    </xf>
    <xf numFmtId="1" fontId="29" fillId="12" borderId="17" xfId="0" applyNumberFormat="1" applyFont="1" applyFill="1" applyBorder="1" applyAlignment="1">
      <alignment horizontal="center" vertical="center"/>
    </xf>
    <xf numFmtId="1" fontId="29" fillId="12" borderId="75" xfId="0" applyNumberFormat="1" applyFont="1" applyFill="1" applyBorder="1" applyAlignment="1">
      <alignment horizontal="center" vertical="center"/>
    </xf>
    <xf numFmtId="44" fontId="29" fillId="12" borderId="75" xfId="8" applyFont="1" applyFill="1" applyBorder="1" applyAlignment="1">
      <alignment vertical="center"/>
    </xf>
    <xf numFmtId="44" fontId="29" fillId="14" borderId="75" xfId="8" applyFont="1" applyFill="1" applyBorder="1" applyAlignment="1">
      <alignment vertical="center"/>
    </xf>
    <xf numFmtId="9" fontId="29" fillId="13" borderId="75" xfId="1" applyFont="1" applyFill="1" applyBorder="1" applyAlignment="1">
      <alignment vertical="center"/>
    </xf>
    <xf numFmtId="44" fontId="29" fillId="13" borderId="75" xfId="8" applyFont="1" applyFill="1" applyBorder="1" applyAlignment="1">
      <alignment vertical="center"/>
    </xf>
    <xf numFmtId="44" fontId="29" fillId="13" borderId="63" xfId="8" applyFont="1" applyFill="1" applyBorder="1" applyAlignment="1">
      <alignment vertical="center"/>
    </xf>
    <xf numFmtId="0" fontId="29" fillId="0" borderId="43" xfId="0" applyFont="1" applyBorder="1" applyAlignment="1">
      <alignment horizontal="left" vertical="center" wrapText="1"/>
    </xf>
    <xf numFmtId="0" fontId="12" fillId="11" borderId="74" xfId="0" applyFont="1" applyFill="1" applyBorder="1" applyAlignment="1">
      <alignment horizontal="center" vertical="center"/>
    </xf>
    <xf numFmtId="0" fontId="12" fillId="11" borderId="58" xfId="0" applyFont="1" applyFill="1" applyBorder="1" applyAlignment="1">
      <alignment horizontal="center" vertical="center"/>
    </xf>
    <xf numFmtId="0" fontId="22" fillId="11" borderId="18" xfId="0" applyFont="1" applyFill="1" applyBorder="1" applyAlignment="1">
      <alignment horizontal="center" vertical="center"/>
    </xf>
    <xf numFmtId="0" fontId="12" fillId="18" borderId="58" xfId="0" applyFont="1" applyFill="1" applyBorder="1" applyAlignment="1">
      <alignment horizontal="left" vertical="center" wrapText="1"/>
    </xf>
    <xf numFmtId="0" fontId="12" fillId="16" borderId="58" xfId="0" applyFont="1" applyFill="1" applyBorder="1" applyAlignment="1">
      <alignment horizontal="left" vertical="center" wrapText="1"/>
    </xf>
    <xf numFmtId="0" fontId="12" fillId="16" borderId="58" xfId="0" applyFont="1" applyFill="1" applyBorder="1" applyAlignment="1">
      <alignment horizontal="center" vertical="center"/>
    </xf>
    <xf numFmtId="44" fontId="12" fillId="16" borderId="58" xfId="8" applyFont="1" applyFill="1" applyBorder="1" applyAlignment="1">
      <alignment vertical="center"/>
    </xf>
    <xf numFmtId="1" fontId="12" fillId="12" borderId="74" xfId="0" applyNumberFormat="1" applyFont="1" applyFill="1" applyBorder="1" applyAlignment="1">
      <alignment vertical="center"/>
    </xf>
    <xf numFmtId="44" fontId="12" fillId="12" borderId="74" xfId="8" applyFont="1" applyFill="1" applyBorder="1" applyAlignment="1">
      <alignment vertical="center"/>
    </xf>
    <xf numFmtId="44" fontId="12" fillId="14" borderId="74" xfId="8" applyFont="1" applyFill="1" applyBorder="1" applyAlignment="1">
      <alignment vertical="center"/>
    </xf>
    <xf numFmtId="9" fontId="12" fillId="13" borderId="74" xfId="1" applyFont="1" applyFill="1" applyBorder="1" applyAlignment="1">
      <alignment vertical="center"/>
    </xf>
    <xf numFmtId="44" fontId="12" fillId="13" borderId="74" xfId="8" applyFont="1" applyFill="1" applyBorder="1" applyAlignment="1">
      <alignment vertical="center"/>
    </xf>
    <xf numFmtId="10" fontId="12" fillId="14" borderId="57" xfId="0" applyNumberFormat="1" applyFont="1" applyFill="1" applyBorder="1" applyAlignment="1">
      <alignment horizontal="center" vertical="center"/>
    </xf>
    <xf numFmtId="0" fontId="27" fillId="11" borderId="0" xfId="0" applyFont="1" applyFill="1" applyAlignment="1">
      <alignment horizontal="center" vertical="center"/>
    </xf>
    <xf numFmtId="0" fontId="12" fillId="18" borderId="57" xfId="0" applyFont="1" applyFill="1" applyBorder="1" applyAlignment="1">
      <alignment horizontal="left" vertical="center" wrapText="1"/>
    </xf>
    <xf numFmtId="0" fontId="12" fillId="16" borderId="57" xfId="0" applyFont="1" applyFill="1" applyBorder="1" applyAlignment="1">
      <alignment horizontal="left" vertical="center" wrapText="1"/>
    </xf>
    <xf numFmtId="0" fontId="12" fillId="16" borderId="57" xfId="0" applyFont="1" applyFill="1" applyBorder="1" applyAlignment="1">
      <alignment horizontal="center" vertical="center"/>
    </xf>
    <xf numFmtId="44" fontId="12" fillId="16" borderId="57" xfId="8" applyFont="1" applyFill="1" applyBorder="1" applyAlignment="1">
      <alignment vertical="center"/>
    </xf>
    <xf numFmtId="1" fontId="12" fillId="12" borderId="7" xfId="0" applyNumberFormat="1" applyFont="1" applyFill="1" applyBorder="1" applyAlignment="1">
      <alignment vertical="center"/>
    </xf>
    <xf numFmtId="44" fontId="12" fillId="12" borderId="7" xfId="8" applyFont="1" applyFill="1" applyBorder="1" applyAlignment="1">
      <alignment vertical="center"/>
    </xf>
    <xf numFmtId="44" fontId="12" fillId="14" borderId="7" xfId="8" applyFont="1" applyFill="1" applyBorder="1" applyAlignment="1">
      <alignment vertical="center"/>
    </xf>
    <xf numFmtId="9" fontId="12" fillId="13" borderId="7" xfId="1" applyFont="1" applyFill="1" applyBorder="1" applyAlignment="1">
      <alignment vertical="center"/>
    </xf>
    <xf numFmtId="44" fontId="12" fillId="13" borderId="7" xfId="8" applyFont="1" applyFill="1" applyBorder="1" applyAlignment="1">
      <alignment vertical="center"/>
    </xf>
    <xf numFmtId="44" fontId="12" fillId="13" borderId="57" xfId="8" applyFont="1" applyFill="1" applyBorder="1" applyAlignment="1">
      <alignment vertical="center"/>
    </xf>
    <xf numFmtId="0" fontId="12" fillId="18" borderId="59" xfId="0" applyFont="1" applyFill="1" applyBorder="1" applyAlignment="1">
      <alignment horizontal="left" vertical="center" wrapText="1"/>
    </xf>
    <xf numFmtId="0" fontId="12" fillId="16" borderId="59" xfId="0" applyFont="1" applyFill="1" applyBorder="1" applyAlignment="1">
      <alignment horizontal="left" vertical="center" wrapText="1"/>
    </xf>
    <xf numFmtId="0" fontId="12" fillId="16" borderId="59" xfId="0" applyFont="1" applyFill="1" applyBorder="1" applyAlignment="1">
      <alignment horizontal="center" vertical="center"/>
    </xf>
    <xf numFmtId="44" fontId="12" fillId="16" borderId="59" xfId="8" applyFont="1" applyFill="1" applyBorder="1" applyAlignment="1">
      <alignment vertical="center"/>
    </xf>
    <xf numFmtId="1" fontId="12" fillId="12" borderId="75" xfId="0" applyNumberFormat="1" applyFont="1" applyFill="1" applyBorder="1" applyAlignment="1">
      <alignment vertical="center"/>
    </xf>
    <xf numFmtId="44" fontId="12" fillId="12" borderId="75" xfId="8" applyFont="1" applyFill="1" applyBorder="1" applyAlignment="1">
      <alignment vertical="center"/>
    </xf>
    <xf numFmtId="44" fontId="12" fillId="14" borderId="75" xfId="8" applyFont="1" applyFill="1" applyBorder="1" applyAlignment="1">
      <alignment vertical="center"/>
    </xf>
    <xf numFmtId="9" fontId="12" fillId="13" borderId="75" xfId="1" applyFont="1" applyFill="1" applyBorder="1" applyAlignment="1">
      <alignment vertical="center"/>
    </xf>
    <xf numFmtId="44" fontId="12" fillId="13" borderId="75" xfId="8" applyFont="1" applyFill="1" applyBorder="1" applyAlignment="1">
      <alignment vertical="center"/>
    </xf>
    <xf numFmtId="44" fontId="12" fillId="13" borderId="59" xfId="8" applyFont="1" applyFill="1" applyBorder="1" applyAlignment="1">
      <alignment vertical="center"/>
    </xf>
    <xf numFmtId="0" fontId="29" fillId="0" borderId="55" xfId="0" applyFont="1" applyBorder="1" applyAlignment="1">
      <alignment horizontal="left" vertical="center" wrapText="1"/>
    </xf>
    <xf numFmtId="0" fontId="29" fillId="0" borderId="84" xfId="0" applyFont="1" applyBorder="1" applyAlignment="1">
      <alignment horizontal="left" vertical="center" wrapText="1"/>
    </xf>
    <xf numFmtId="44" fontId="12" fillId="11" borderId="75" xfId="8" applyFont="1" applyFill="1" applyBorder="1" applyAlignment="1">
      <alignment horizontal="center" vertical="center"/>
    </xf>
    <xf numFmtId="44" fontId="12" fillId="11" borderId="59" xfId="8" applyFont="1" applyFill="1" applyBorder="1" applyAlignment="1">
      <alignment horizontal="center" vertical="center"/>
    </xf>
    <xf numFmtId="44" fontId="12" fillId="11" borderId="0" xfId="8" applyFont="1" applyFill="1" applyBorder="1" applyAlignment="1">
      <alignment horizontal="center" vertical="center"/>
    </xf>
    <xf numFmtId="10" fontId="12" fillId="11" borderId="57" xfId="0" applyNumberFormat="1" applyFont="1" applyFill="1" applyBorder="1" applyAlignment="1">
      <alignment horizontal="center" vertical="center"/>
    </xf>
    <xf numFmtId="0" fontId="29" fillId="16" borderId="72" xfId="0" applyFont="1" applyFill="1" applyBorder="1" applyAlignment="1">
      <alignment horizontal="left" vertical="center" wrapText="1"/>
    </xf>
    <xf numFmtId="0" fontId="29" fillId="0" borderId="59" xfId="0" applyFont="1" applyBorder="1" applyAlignment="1">
      <alignment horizontal="center" vertical="center"/>
    </xf>
    <xf numFmtId="44" fontId="29" fillId="0" borderId="59" xfId="8" applyFont="1" applyBorder="1" applyAlignment="1">
      <alignment vertical="center"/>
    </xf>
    <xf numFmtId="44" fontId="29" fillId="0" borderId="63" xfId="8" applyFont="1" applyBorder="1" applyAlignment="1">
      <alignment vertical="center"/>
    </xf>
    <xf numFmtId="0" fontId="29" fillId="18" borderId="58" xfId="0" applyFont="1" applyFill="1" applyBorder="1" applyAlignment="1">
      <alignment horizontal="left" vertical="center" wrapText="1"/>
    </xf>
    <xf numFmtId="10" fontId="29" fillId="14" borderId="58" xfId="0" applyNumberFormat="1" applyFont="1" applyFill="1" applyBorder="1" applyAlignment="1">
      <alignment horizontal="center" vertical="center"/>
    </xf>
    <xf numFmtId="44" fontId="29" fillId="12" borderId="74" xfId="8" applyFont="1" applyFill="1" applyBorder="1" applyAlignment="1">
      <alignment horizontal="center" vertical="center"/>
    </xf>
    <xf numFmtId="0" fontId="29" fillId="18" borderId="73" xfId="0" applyFont="1" applyFill="1" applyBorder="1" applyAlignment="1">
      <alignment horizontal="left" vertical="center" wrapText="1"/>
    </xf>
    <xf numFmtId="0" fontId="29" fillId="16" borderId="60" xfId="0" applyFont="1" applyFill="1" applyBorder="1" applyAlignment="1">
      <alignment horizontal="left" vertical="center" wrapText="1"/>
    </xf>
    <xf numFmtId="0" fontId="29" fillId="0" borderId="60" xfId="0" applyFont="1" applyBorder="1" applyAlignment="1">
      <alignment horizontal="center" vertical="center"/>
    </xf>
    <xf numFmtId="44" fontId="29" fillId="0" borderId="60" xfId="8" applyFont="1" applyBorder="1" applyAlignment="1">
      <alignment vertical="center"/>
    </xf>
    <xf numFmtId="44" fontId="29" fillId="0" borderId="65" xfId="8" applyFont="1" applyBorder="1" applyAlignment="1">
      <alignment vertical="center"/>
    </xf>
    <xf numFmtId="1" fontId="29" fillId="12" borderId="87" xfId="0" applyNumberFormat="1" applyFont="1" applyFill="1" applyBorder="1" applyAlignment="1">
      <alignment horizontal="center" vertical="center"/>
    </xf>
    <xf numFmtId="1" fontId="29" fillId="12" borderId="88" xfId="0" applyNumberFormat="1" applyFont="1" applyFill="1" applyBorder="1" applyAlignment="1">
      <alignment horizontal="center" vertical="center"/>
    </xf>
    <xf numFmtId="44" fontId="29" fillId="12" borderId="88" xfId="8" applyFont="1" applyFill="1" applyBorder="1" applyAlignment="1">
      <alignment horizontal="center" vertical="center"/>
    </xf>
    <xf numFmtId="44" fontId="29" fillId="14" borderId="88" xfId="8" applyFont="1" applyFill="1" applyBorder="1" applyAlignment="1">
      <alignment vertical="center"/>
    </xf>
    <xf numFmtId="9" fontId="29" fillId="13" borderId="88" xfId="1" applyFont="1" applyFill="1" applyBorder="1" applyAlignment="1">
      <alignment vertical="center"/>
    </xf>
    <xf numFmtId="44" fontId="29" fillId="13" borderId="88" xfId="8" applyFont="1" applyFill="1" applyBorder="1" applyAlignment="1">
      <alignment vertical="center"/>
    </xf>
    <xf numFmtId="44" fontId="29" fillId="13" borderId="65" xfId="8" applyFont="1" applyFill="1" applyBorder="1" applyAlignment="1">
      <alignment vertical="center"/>
    </xf>
    <xf numFmtId="10" fontId="29" fillId="14" borderId="33" xfId="0" applyNumberFormat="1" applyFont="1" applyFill="1" applyBorder="1" applyAlignment="1">
      <alignment horizontal="center" vertical="center"/>
    </xf>
    <xf numFmtId="0" fontId="25" fillId="13" borderId="0" xfId="0" applyFont="1" applyFill="1"/>
    <xf numFmtId="44" fontId="22" fillId="15" borderId="12" xfId="8" applyFont="1" applyFill="1" applyBorder="1" applyAlignment="1">
      <alignment horizontal="center"/>
    </xf>
    <xf numFmtId="44" fontId="22" fillId="15" borderId="80" xfId="8" applyFont="1" applyFill="1" applyBorder="1" applyAlignment="1">
      <alignment horizontal="center"/>
    </xf>
    <xf numFmtId="49" fontId="29" fillId="0" borderId="55" xfId="0" applyNumberFormat="1" applyFont="1" applyBorder="1" applyAlignment="1">
      <alignment horizontal="left" vertical="center" wrapText="1"/>
    </xf>
    <xf numFmtId="0" fontId="22" fillId="15" borderId="71" xfId="0" applyFont="1" applyFill="1" applyBorder="1"/>
    <xf numFmtId="0" fontId="22" fillId="15" borderId="37" xfId="0" applyFont="1" applyFill="1" applyBorder="1"/>
    <xf numFmtId="0" fontId="22" fillId="15" borderId="37" xfId="0" applyFont="1" applyFill="1" applyBorder="1" applyAlignment="1">
      <alignment horizontal="center" vertical="center"/>
    </xf>
    <xf numFmtId="44" fontId="22" fillId="15" borderId="37" xfId="0" applyNumberFormat="1" applyFont="1" applyFill="1" applyBorder="1"/>
    <xf numFmtId="44" fontId="22" fillId="15" borderId="81" xfId="0" applyNumberFormat="1" applyFont="1" applyFill="1" applyBorder="1"/>
    <xf numFmtId="0" fontId="22" fillId="15" borderId="71" xfId="0" applyFont="1" applyFill="1" applyBorder="1" applyAlignment="1">
      <alignment horizontal="center" vertical="center"/>
    </xf>
    <xf numFmtId="9" fontId="22" fillId="15" borderId="15" xfId="1" applyFont="1" applyFill="1" applyBorder="1"/>
    <xf numFmtId="44" fontId="22" fillId="15" borderId="83" xfId="8" applyFont="1" applyFill="1" applyBorder="1"/>
    <xf numFmtId="4" fontId="27" fillId="0" borderId="0" xfId="0" applyNumberFormat="1" applyFont="1"/>
    <xf numFmtId="0" fontId="20" fillId="0" borderId="0" xfId="0" applyFont="1"/>
    <xf numFmtId="0" fontId="20" fillId="0" borderId="0" xfId="0" applyFont="1" applyAlignment="1">
      <alignment horizontal="center"/>
    </xf>
    <xf numFmtId="16" fontId="20" fillId="19" borderId="11" xfId="0" applyNumberFormat="1" applyFont="1" applyFill="1" applyBorder="1"/>
    <xf numFmtId="16" fontId="20" fillId="19" borderId="12" xfId="0" applyNumberFormat="1" applyFont="1" applyFill="1" applyBorder="1"/>
    <xf numFmtId="16" fontId="20" fillId="20" borderId="14" xfId="0" applyNumberFormat="1" applyFont="1" applyFill="1" applyBorder="1"/>
    <xf numFmtId="16" fontId="20" fillId="20" borderId="15" xfId="0" applyNumberFormat="1" applyFont="1" applyFill="1" applyBorder="1"/>
    <xf numFmtId="0" fontId="20" fillId="21" borderId="17" xfId="0" applyFont="1" applyFill="1" applyBorder="1" applyAlignment="1">
      <alignment horizontal="right"/>
    </xf>
    <xf numFmtId="0" fontId="20" fillId="21" borderId="0" xfId="0" applyFont="1" applyFill="1" applyAlignment="1">
      <alignment horizontal="right"/>
    </xf>
    <xf numFmtId="0" fontId="24" fillId="22" borderId="14" xfId="0" applyFont="1" applyFill="1" applyBorder="1"/>
    <xf numFmtId="0" fontId="24" fillId="22" borderId="15" xfId="0" applyFont="1" applyFill="1" applyBorder="1"/>
    <xf numFmtId="164" fontId="4" fillId="0" borderId="0" xfId="2" applyNumberFormat="1" applyFont="1" applyAlignment="1" applyProtection="1">
      <alignment horizontal="left" vertical="center"/>
      <protection locked="0"/>
    </xf>
    <xf numFmtId="0" fontId="4" fillId="0" borderId="0" xfId="2" applyFont="1" applyAlignment="1" applyProtection="1">
      <alignment horizontal="left" vertical="center"/>
      <protection locked="0"/>
    </xf>
    <xf numFmtId="14" fontId="4" fillId="0" borderId="0" xfId="2" applyNumberFormat="1" applyFont="1" applyAlignment="1" applyProtection="1">
      <alignment horizontal="left" vertical="center"/>
      <protection locked="0"/>
    </xf>
    <xf numFmtId="0" fontId="32" fillId="23" borderId="57" xfId="0" applyFont="1" applyFill="1" applyBorder="1" applyAlignment="1">
      <alignment horizontal="center"/>
    </xf>
    <xf numFmtId="0" fontId="33" fillId="0" borderId="0" xfId="0" applyFont="1" applyAlignment="1">
      <alignment horizontal="center"/>
    </xf>
    <xf numFmtId="164" fontId="34" fillId="0" borderId="57" xfId="2" applyNumberFormat="1" applyFont="1" applyBorder="1" applyAlignment="1" applyProtection="1">
      <alignment horizontal="left" vertical="center"/>
      <protection locked="0"/>
    </xf>
    <xf numFmtId="44" fontId="32" fillId="0" borderId="57" xfId="0" applyNumberFormat="1" applyFont="1" applyBorder="1"/>
    <xf numFmtId="9" fontId="32" fillId="0" borderId="57" xfId="1" applyFont="1" applyBorder="1" applyAlignment="1">
      <alignment horizontal="center"/>
    </xf>
    <xf numFmtId="44" fontId="32" fillId="23" borderId="57" xfId="0" applyNumberFormat="1" applyFont="1" applyFill="1" applyBorder="1" applyAlignment="1">
      <alignment horizontal="center"/>
    </xf>
    <xf numFmtId="0" fontId="21" fillId="0" borderId="47" xfId="0" applyFont="1" applyBorder="1"/>
    <xf numFmtId="170" fontId="21" fillId="0" borderId="64" xfId="0" applyNumberFormat="1" applyFont="1" applyBorder="1" applyAlignment="1">
      <alignment horizontal="center"/>
    </xf>
    <xf numFmtId="44" fontId="21" fillId="0" borderId="64" xfId="0" applyNumberFormat="1" applyFont="1" applyBorder="1"/>
    <xf numFmtId="170" fontId="21" fillId="0" borderId="64" xfId="0" applyNumberFormat="1" applyFont="1" applyBorder="1"/>
    <xf numFmtId="9" fontId="21" fillId="0" borderId="46" xfId="1" applyFont="1" applyBorder="1" applyAlignment="1">
      <alignment horizontal="center"/>
    </xf>
    <xf numFmtId="0" fontId="21" fillId="0" borderId="89" xfId="0" applyFont="1" applyBorder="1"/>
    <xf numFmtId="170" fontId="21" fillId="0" borderId="90" xfId="0" applyNumberFormat="1" applyFont="1" applyBorder="1" applyAlignment="1">
      <alignment horizontal="center"/>
    </xf>
    <xf numFmtId="170" fontId="21" fillId="0" borderId="59" xfId="0" applyNumberFormat="1" applyFont="1" applyBorder="1"/>
    <xf numFmtId="0" fontId="21" fillId="0" borderId="0" xfId="0" applyFont="1"/>
    <xf numFmtId="170" fontId="21" fillId="23" borderId="60" xfId="0" applyNumberFormat="1" applyFont="1" applyFill="1" applyBorder="1" applyAlignment="1">
      <alignment horizontal="center"/>
    </xf>
    <xf numFmtId="44" fontId="21" fillId="23" borderId="57" xfId="0" applyNumberFormat="1" applyFont="1" applyFill="1" applyBorder="1"/>
    <xf numFmtId="170" fontId="21" fillId="23" borderId="57" xfId="0" applyNumberFormat="1" applyFont="1" applyFill="1" applyBorder="1"/>
    <xf numFmtId="44" fontId="20" fillId="0" borderId="0" xfId="0" applyNumberFormat="1" applyFont="1"/>
    <xf numFmtId="170" fontId="20" fillId="0" borderId="0" xfId="0" applyNumberFormat="1" applyFont="1"/>
    <xf numFmtId="164" fontId="4" fillId="0" borderId="67" xfId="2" applyNumberFormat="1" applyFont="1" applyBorder="1" applyAlignment="1" applyProtection="1">
      <alignment horizontal="left" vertical="center"/>
      <protection locked="0"/>
    </xf>
    <xf numFmtId="164" fontId="4" fillId="0" borderId="68" xfId="2" applyNumberFormat="1" applyFont="1" applyBorder="1" applyAlignment="1" applyProtection="1">
      <alignment horizontal="left" vertical="center"/>
      <protection locked="0"/>
    </xf>
    <xf numFmtId="164" fontId="4" fillId="0" borderId="69" xfId="2" applyNumberFormat="1" applyFont="1" applyBorder="1" applyAlignment="1" applyProtection="1">
      <alignment horizontal="left" vertical="center"/>
      <protection locked="0"/>
    </xf>
    <xf numFmtId="164" fontId="4" fillId="0" borderId="70" xfId="2" applyNumberFormat="1" applyFont="1" applyBorder="1" applyAlignment="1" applyProtection="1">
      <alignment horizontal="left" vertical="center"/>
      <protection locked="0"/>
    </xf>
    <xf numFmtId="164" fontId="4" fillId="0" borderId="14" xfId="2" applyNumberFormat="1" applyFont="1" applyBorder="1" applyAlignment="1" applyProtection="1">
      <alignment horizontal="left" vertical="center"/>
      <protection locked="0"/>
    </xf>
    <xf numFmtId="164" fontId="4" fillId="0" borderId="66" xfId="2" applyNumberFormat="1" applyFont="1" applyBorder="1" applyAlignment="1" applyProtection="1">
      <alignment horizontal="left" vertical="center"/>
      <protection locked="0"/>
    </xf>
    <xf numFmtId="166" fontId="35" fillId="6" borderId="48" xfId="4" applyNumberFormat="1" applyFont="1" applyFill="1" applyBorder="1" applyAlignment="1">
      <alignment horizontal="center" vertical="center" wrapText="1"/>
    </xf>
    <xf numFmtId="44" fontId="37" fillId="0" borderId="57" xfId="8" applyFont="1" applyBorder="1"/>
    <xf numFmtId="44" fontId="38" fillId="0" borderId="57" xfId="8" applyFont="1" applyBorder="1"/>
    <xf numFmtId="0" fontId="27" fillId="0" borderId="0" xfId="0" applyFont="1"/>
    <xf numFmtId="0" fontId="39" fillId="0" borderId="0" xfId="0" applyFont="1"/>
    <xf numFmtId="0" fontId="40" fillId="0" borderId="0" xfId="0" applyFont="1"/>
    <xf numFmtId="166" fontId="30" fillId="0" borderId="0" xfId="4" applyNumberFormat="1" applyFont="1" applyFill="1" applyBorder="1" applyAlignment="1">
      <alignment horizontal="center" vertical="center" wrapText="1"/>
    </xf>
    <xf numFmtId="166" fontId="36" fillId="6" borderId="57" xfId="4" applyNumberFormat="1" applyFont="1" applyFill="1" applyBorder="1" applyAlignment="1">
      <alignment horizontal="center" vertical="center" wrapText="1"/>
    </xf>
    <xf numFmtId="0" fontId="5" fillId="0" borderId="0" xfId="0" applyFont="1" applyAlignment="1">
      <alignment horizontal="left"/>
    </xf>
    <xf numFmtId="44" fontId="39" fillId="0" borderId="0" xfId="0" applyNumberFormat="1" applyFont="1"/>
    <xf numFmtId="9" fontId="40" fillId="0" borderId="0" xfId="1" applyFont="1"/>
    <xf numFmtId="0" fontId="22" fillId="9" borderId="85" xfId="0" applyFont="1" applyFill="1" applyBorder="1" applyAlignment="1">
      <alignment horizontal="center"/>
    </xf>
    <xf numFmtId="0" fontId="22" fillId="9" borderId="8" xfId="0" applyFont="1" applyFill="1" applyBorder="1" applyAlignment="1">
      <alignment horizontal="center"/>
    </xf>
    <xf numFmtId="1" fontId="22" fillId="9" borderId="9" xfId="0" applyNumberFormat="1" applyFont="1" applyFill="1" applyBorder="1" applyAlignment="1">
      <alignment horizontal="center"/>
    </xf>
    <xf numFmtId="1" fontId="22" fillId="9" borderId="10" xfId="0" applyNumberFormat="1" applyFont="1" applyFill="1" applyBorder="1" applyAlignment="1">
      <alignment horizontal="center"/>
    </xf>
    <xf numFmtId="0" fontId="22" fillId="10" borderId="76" xfId="0" applyFont="1" applyFill="1" applyBorder="1" applyAlignment="1">
      <alignment horizontal="left"/>
    </xf>
    <xf numFmtId="0" fontId="22" fillId="10" borderId="8" xfId="0" applyFont="1" applyFill="1" applyBorder="1" applyAlignment="1">
      <alignment horizontal="left"/>
    </xf>
    <xf numFmtId="0" fontId="22" fillId="10" borderId="85" xfId="0" applyFont="1" applyFill="1" applyBorder="1" applyAlignment="1">
      <alignment horizontal="left"/>
    </xf>
    <xf numFmtId="0" fontId="22" fillId="10" borderId="33" xfId="0" applyFont="1" applyFill="1" applyBorder="1" applyAlignment="1">
      <alignment horizontal="left"/>
    </xf>
    <xf numFmtId="1" fontId="22" fillId="10" borderId="8" xfId="0" applyNumberFormat="1" applyFont="1" applyFill="1" applyBorder="1" applyAlignment="1">
      <alignment horizontal="left"/>
    </xf>
    <xf numFmtId="0" fontId="22" fillId="9" borderId="14" xfId="0" applyFont="1" applyFill="1" applyBorder="1" applyAlignment="1">
      <alignment horizontal="center"/>
    </xf>
    <xf numFmtId="0" fontId="22" fillId="9" borderId="15" xfId="0" applyFont="1" applyFill="1" applyBorder="1" applyAlignment="1">
      <alignment horizontal="center"/>
    </xf>
    <xf numFmtId="0" fontId="22" fillId="9" borderId="83" xfId="0" applyFont="1" applyFill="1" applyBorder="1" applyAlignment="1">
      <alignment horizontal="center"/>
    </xf>
    <xf numFmtId="0" fontId="22" fillId="9" borderId="17" xfId="0" applyFont="1" applyFill="1" applyBorder="1" applyAlignment="1">
      <alignment horizontal="center"/>
    </xf>
    <xf numFmtId="0" fontId="22" fillId="9" borderId="0" xfId="0" applyFont="1" applyFill="1" applyAlignment="1">
      <alignment horizontal="center"/>
    </xf>
    <xf numFmtId="0" fontId="22" fillId="9" borderId="18" xfId="0" applyFont="1" applyFill="1" applyBorder="1" applyAlignment="1">
      <alignment horizontal="center"/>
    </xf>
    <xf numFmtId="0" fontId="22" fillId="10" borderId="11" xfId="0" applyFont="1" applyFill="1" applyBorder="1" applyAlignment="1">
      <alignment horizontal="left"/>
    </xf>
    <xf numFmtId="0" fontId="22" fillId="10" borderId="12" xfId="0" applyFont="1" applyFill="1" applyBorder="1" applyAlignment="1">
      <alignment horizontal="left"/>
    </xf>
    <xf numFmtId="0" fontId="22" fillId="10" borderId="77" xfId="0" applyFont="1" applyFill="1" applyBorder="1" applyAlignment="1">
      <alignment horizontal="left"/>
    </xf>
    <xf numFmtId="0" fontId="22" fillId="10" borderId="82" xfId="0" applyFont="1" applyFill="1" applyBorder="1" applyAlignment="1">
      <alignment horizontal="left"/>
    </xf>
    <xf numFmtId="0" fontId="22" fillId="10" borderId="14" xfId="0" applyFont="1" applyFill="1" applyBorder="1" applyAlignment="1">
      <alignment horizontal="left"/>
    </xf>
    <xf numFmtId="0" fontId="22" fillId="10" borderId="15" xfId="0" applyFont="1" applyFill="1" applyBorder="1" applyAlignment="1">
      <alignment horizontal="left"/>
    </xf>
    <xf numFmtId="0" fontId="22" fillId="9" borderId="53" xfId="0" applyFont="1" applyFill="1" applyBorder="1" applyAlignment="1">
      <alignment horizontal="center"/>
    </xf>
    <xf numFmtId="0" fontId="22" fillId="9" borderId="71" xfId="0" applyFont="1" applyFill="1" applyBorder="1" applyAlignment="1">
      <alignment horizontal="center"/>
    </xf>
    <xf numFmtId="0" fontId="22" fillId="9" borderId="37" xfId="0" applyFont="1" applyFill="1" applyBorder="1" applyAlignment="1">
      <alignment horizontal="center"/>
    </xf>
    <xf numFmtId="0" fontId="22" fillId="9" borderId="81" xfId="0" applyFont="1" applyFill="1" applyBorder="1" applyAlignment="1">
      <alignment horizontal="center"/>
    </xf>
    <xf numFmtId="0" fontId="22" fillId="10" borderId="53" xfId="0" applyFont="1" applyFill="1" applyBorder="1" applyAlignment="1">
      <alignment horizontal="left"/>
    </xf>
    <xf numFmtId="0" fontId="22" fillId="10" borderId="0" xfId="0" applyFont="1" applyFill="1" applyAlignment="1">
      <alignment horizontal="left"/>
    </xf>
    <xf numFmtId="0" fontId="22" fillId="10" borderId="86" xfId="0" applyFont="1" applyFill="1" applyBorder="1" applyAlignment="1">
      <alignment horizontal="left"/>
    </xf>
    <xf numFmtId="0" fontId="22" fillId="9" borderId="11" xfId="0" applyFont="1" applyFill="1" applyBorder="1" applyAlignment="1">
      <alignment horizontal="center"/>
    </xf>
    <xf numFmtId="0" fontId="22" fillId="9" borderId="12" xfId="0" applyFont="1" applyFill="1" applyBorder="1" applyAlignment="1">
      <alignment horizontal="center"/>
    </xf>
    <xf numFmtId="0" fontId="22" fillId="9" borderId="82" xfId="0" applyFont="1" applyFill="1" applyBorder="1" applyAlignment="1">
      <alignment horizontal="center"/>
    </xf>
    <xf numFmtId="0" fontId="22" fillId="10" borderId="17" xfId="0" applyFont="1" applyFill="1" applyBorder="1" applyAlignment="1">
      <alignment horizontal="left"/>
    </xf>
    <xf numFmtId="0" fontId="23" fillId="9" borderId="91" xfId="0" applyFont="1" applyFill="1" applyBorder="1" applyAlignment="1">
      <alignment horizontal="center"/>
    </xf>
    <xf numFmtId="0" fontId="23" fillId="9" borderId="60" xfId="0" applyFont="1" applyFill="1" applyBorder="1" applyAlignment="1">
      <alignment horizontal="center"/>
    </xf>
    <xf numFmtId="0" fontId="23" fillId="10" borderId="61" xfId="0" applyFont="1" applyFill="1" applyBorder="1" applyAlignment="1">
      <alignment horizontal="left"/>
    </xf>
    <xf numFmtId="0" fontId="23" fillId="10" borderId="57" xfId="0" applyFont="1" applyFill="1" applyBorder="1" applyAlignment="1">
      <alignment horizontal="left"/>
    </xf>
    <xf numFmtId="0" fontId="22" fillId="10" borderId="48" xfId="0" applyFont="1" applyFill="1" applyBorder="1" applyAlignment="1">
      <alignment horizontal="left"/>
    </xf>
    <xf numFmtId="0" fontId="22" fillId="10" borderId="58" xfId="0" applyFont="1" applyFill="1" applyBorder="1" applyAlignment="1">
      <alignment horizontal="left"/>
    </xf>
    <xf numFmtId="1" fontId="22" fillId="10" borderId="48" xfId="0" applyNumberFormat="1" applyFont="1" applyFill="1" applyBorder="1" applyAlignment="1">
      <alignment horizontal="left"/>
    </xf>
    <xf numFmtId="1" fontId="22" fillId="10" borderId="58" xfId="0" applyNumberFormat="1" applyFont="1" applyFill="1" applyBorder="1" applyAlignment="1">
      <alignment horizontal="left"/>
    </xf>
    <xf numFmtId="0" fontId="22" fillId="10" borderId="73" xfId="0" applyFont="1" applyFill="1" applyBorder="1" applyAlignment="1">
      <alignment horizontal="left"/>
    </xf>
    <xf numFmtId="0" fontId="22" fillId="10" borderId="60" xfId="0" applyFont="1" applyFill="1" applyBorder="1" applyAlignment="1">
      <alignment horizontal="left"/>
    </xf>
    <xf numFmtId="0" fontId="22" fillId="10" borderId="65" xfId="0" applyFont="1" applyFill="1" applyBorder="1" applyAlignment="1">
      <alignment horizontal="left"/>
    </xf>
    <xf numFmtId="0" fontId="5" fillId="0" borderId="0" xfId="2" applyFont="1" applyAlignment="1">
      <alignment horizontal="left" vertical="center" wrapText="1"/>
    </xf>
    <xf numFmtId="0" fontId="5" fillId="0" borderId="0" xfId="2" applyFont="1" applyAlignment="1">
      <alignment horizontal="left" vertical="top"/>
    </xf>
    <xf numFmtId="0" fontId="26" fillId="2" borderId="3" xfId="3" applyFont="1" applyFill="1" applyBorder="1" applyAlignment="1">
      <alignment horizontal="center" vertical="center"/>
    </xf>
    <xf numFmtId="0" fontId="26" fillId="2" borderId="4" xfId="3" applyFont="1" applyFill="1" applyBorder="1" applyAlignment="1">
      <alignment horizontal="center" vertical="center"/>
    </xf>
    <xf numFmtId="0" fontId="26" fillId="2" borderId="5" xfId="3" applyFont="1" applyFill="1" applyBorder="1" applyAlignment="1">
      <alignment horizontal="center" vertical="center"/>
    </xf>
    <xf numFmtId="0" fontId="22" fillId="9" borderId="47" xfId="0" applyFont="1" applyFill="1" applyBorder="1" applyAlignment="1">
      <alignment horizontal="center"/>
    </xf>
    <xf numFmtId="0" fontId="22" fillId="9" borderId="64" xfId="0" applyFont="1" applyFill="1" applyBorder="1" applyAlignment="1">
      <alignment horizontal="center"/>
    </xf>
    <xf numFmtId="0" fontId="22" fillId="9" borderId="46" xfId="0" applyFont="1" applyFill="1" applyBorder="1" applyAlignment="1">
      <alignment horizontal="center"/>
    </xf>
    <xf numFmtId="1" fontId="22" fillId="9" borderId="47" xfId="0" applyNumberFormat="1" applyFont="1" applyFill="1" applyBorder="1" applyAlignment="1">
      <alignment horizontal="center"/>
    </xf>
    <xf numFmtId="1" fontId="22" fillId="9" borderId="64" xfId="0" applyNumberFormat="1" applyFont="1" applyFill="1" applyBorder="1" applyAlignment="1">
      <alignment horizontal="center"/>
    </xf>
    <xf numFmtId="1" fontId="22" fillId="9" borderId="46" xfId="0" applyNumberFormat="1" applyFont="1" applyFill="1" applyBorder="1" applyAlignment="1">
      <alignment horizontal="center"/>
    </xf>
    <xf numFmtId="0" fontId="26" fillId="3" borderId="6" xfId="0" applyFont="1" applyFill="1" applyBorder="1" applyAlignment="1">
      <alignment horizontal="center" vertical="center" wrapText="1"/>
    </xf>
    <xf numFmtId="0" fontId="26" fillId="3" borderId="37" xfId="0" applyFont="1" applyFill="1" applyBorder="1" applyAlignment="1">
      <alignment horizontal="center" vertical="center" wrapText="1"/>
    </xf>
    <xf numFmtId="0" fontId="26" fillId="3" borderId="5" xfId="0" applyFont="1" applyFill="1" applyBorder="1" applyAlignment="1">
      <alignment horizontal="center" vertical="center" wrapText="1"/>
    </xf>
    <xf numFmtId="44" fontId="20" fillId="0" borderId="82" xfId="0" applyNumberFormat="1" applyFont="1" applyBorder="1" applyAlignment="1">
      <alignment horizontal="center" vertical="center"/>
    </xf>
    <xf numFmtId="0" fontId="20" fillId="0" borderId="83" xfId="0" applyFont="1" applyBorder="1" applyAlignment="1">
      <alignment horizontal="center" vertical="center"/>
    </xf>
    <xf numFmtId="0" fontId="21" fillId="23" borderId="71" xfId="0" applyFont="1" applyFill="1" applyBorder="1" applyAlignment="1">
      <alignment horizontal="center"/>
    </xf>
    <xf numFmtId="0" fontId="21" fillId="23" borderId="37" xfId="0" applyFont="1" applyFill="1" applyBorder="1" applyAlignment="1">
      <alignment horizontal="center"/>
    </xf>
    <xf numFmtId="0" fontId="21" fillId="23" borderId="81" xfId="0" applyFont="1" applyFill="1" applyBorder="1" applyAlignment="1">
      <alignment horizontal="center"/>
    </xf>
    <xf numFmtId="0" fontId="13" fillId="8" borderId="39" xfId="0" applyFont="1" applyFill="1" applyBorder="1" applyAlignment="1">
      <alignment horizontal="left" vertical="center"/>
    </xf>
    <xf numFmtId="0" fontId="13" fillId="8" borderId="39" xfId="0" applyFont="1" applyFill="1" applyBorder="1" applyAlignment="1">
      <alignment vertical="center"/>
    </xf>
    <xf numFmtId="0" fontId="13" fillId="8" borderId="0" xfId="0" applyFont="1" applyFill="1" applyAlignment="1">
      <alignment vertical="center"/>
    </xf>
    <xf numFmtId="0" fontId="14" fillId="8" borderId="39" xfId="0" applyFont="1" applyFill="1" applyBorder="1" applyAlignment="1">
      <alignment horizontal="left" vertical="top"/>
    </xf>
    <xf numFmtId="0" fontId="16" fillId="8" borderId="39" xfId="0" applyFont="1" applyFill="1" applyBorder="1" applyAlignment="1">
      <alignment horizontal="center" vertical="center" wrapText="1"/>
    </xf>
    <xf numFmtId="0" fontId="16" fillId="8" borderId="0" xfId="0" applyFont="1" applyFill="1" applyAlignment="1">
      <alignment horizontal="center" vertical="center" wrapText="1"/>
    </xf>
    <xf numFmtId="0" fontId="2" fillId="0" borderId="11" xfId="0" applyFont="1" applyBorder="1" applyAlignment="1">
      <alignment horizontal="left"/>
    </xf>
    <xf numFmtId="0" fontId="2" fillId="0" borderId="12" xfId="0" applyFont="1" applyBorder="1" applyAlignment="1">
      <alignment horizontal="left"/>
    </xf>
    <xf numFmtId="0" fontId="0" fillId="0" borderId="0" xfId="0" applyAlignment="1">
      <alignment horizontal="center"/>
    </xf>
    <xf numFmtId="0" fontId="0" fillId="0" borderId="0" xfId="0" applyAlignment="1">
      <alignment horizontal="left" vertical="top" wrapText="1"/>
    </xf>
    <xf numFmtId="0" fontId="0" fillId="0" borderId="1" xfId="0" applyBorder="1" applyAlignment="1">
      <alignment horizontal="left" vertical="top" wrapText="1"/>
    </xf>
    <xf numFmtId="0" fontId="2" fillId="7" borderId="0" xfId="0" applyFont="1" applyFill="1" applyAlignment="1">
      <alignment horizontal="center"/>
    </xf>
    <xf numFmtId="0" fontId="0" fillId="0" borderId="24" xfId="0" applyBorder="1" applyAlignment="1">
      <alignment horizontal="center"/>
    </xf>
    <xf numFmtId="0" fontId="0" fillId="0" borderId="25" xfId="0" applyBorder="1" applyAlignment="1">
      <alignment horizontal="center"/>
    </xf>
    <xf numFmtId="44" fontId="0" fillId="0" borderId="24" xfId="8" applyFont="1" applyBorder="1" applyAlignment="1">
      <alignment horizontal="center"/>
    </xf>
    <xf numFmtId="44" fontId="0" fillId="0" borderId="25" xfId="8"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44" fontId="0" fillId="0" borderId="27" xfId="8" applyFont="1" applyBorder="1" applyAlignment="1">
      <alignment horizontal="center"/>
    </xf>
    <xf numFmtId="44" fontId="0" fillId="0" borderId="29" xfId="8"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0" fillId="0" borderId="7" xfId="0" applyBorder="1" applyAlignment="1">
      <alignment horizontal="center"/>
    </xf>
    <xf numFmtId="0" fontId="0" fillId="0" borderId="10" xfId="0" applyBorder="1" applyAlignment="1">
      <alignment horizontal="center"/>
    </xf>
    <xf numFmtId="0" fontId="2" fillId="0" borderId="20" xfId="0" applyFont="1" applyBorder="1" applyAlignment="1">
      <alignment horizontal="center"/>
    </xf>
    <xf numFmtId="0" fontId="2" fillId="0" borderId="22" xfId="0" applyFont="1" applyBorder="1" applyAlignment="1">
      <alignment horizontal="center"/>
    </xf>
    <xf numFmtId="0" fontId="2" fillId="0" borderId="8" xfId="0" applyFont="1" applyBorder="1" applyAlignment="1">
      <alignment horizontal="center"/>
    </xf>
    <xf numFmtId="0" fontId="2" fillId="0" borderId="33" xfId="0" applyFont="1" applyBorder="1" applyAlignment="1">
      <alignment horizontal="center"/>
    </xf>
    <xf numFmtId="0" fontId="0" fillId="0" borderId="27" xfId="0" applyBorder="1" applyAlignment="1">
      <alignment horizontal="left"/>
    </xf>
    <xf numFmtId="0" fontId="0" fillId="0" borderId="28" xfId="0" applyBorder="1" applyAlignment="1">
      <alignment horizontal="left"/>
    </xf>
    <xf numFmtId="0" fontId="0" fillId="0" borderId="29" xfId="0" applyBorder="1" applyAlignment="1">
      <alignment horizontal="left"/>
    </xf>
    <xf numFmtId="0" fontId="0" fillId="0" borderId="24" xfId="0" applyBorder="1" applyAlignment="1">
      <alignment horizontal="left"/>
    </xf>
    <xf numFmtId="0" fontId="0" fillId="0" borderId="2" xfId="0" applyBorder="1" applyAlignment="1">
      <alignment horizontal="left"/>
    </xf>
    <xf numFmtId="0" fontId="0" fillId="0" borderId="25" xfId="0" applyBorder="1" applyAlignment="1">
      <alignment horizontal="left"/>
    </xf>
    <xf numFmtId="0" fontId="2" fillId="0" borderId="21" xfId="0" applyFont="1" applyBorder="1" applyAlignment="1">
      <alignment horizontal="center"/>
    </xf>
    <xf numFmtId="0" fontId="0" fillId="0" borderId="31" xfId="0" applyBorder="1" applyAlignment="1">
      <alignment horizontal="left"/>
    </xf>
    <xf numFmtId="0" fontId="0" fillId="0" borderId="1" xfId="0" applyBorder="1" applyAlignment="1">
      <alignment horizontal="left"/>
    </xf>
    <xf numFmtId="0" fontId="0" fillId="0" borderId="32" xfId="0" applyBorder="1" applyAlignment="1">
      <alignment horizontal="left"/>
    </xf>
    <xf numFmtId="0" fontId="7" fillId="0" borderId="11"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cellXfs>
  <cellStyles count="18">
    <cellStyle name="Moeda" xfId="8" builtinId="4"/>
    <cellStyle name="Moeda 2" xfId="4" xr:uid="{88D8EF41-8435-41DD-B95B-CB2197D8CF8B}"/>
    <cellStyle name="Moeda 3" xfId="9" xr:uid="{18A079E9-578A-4840-BD6F-5C55BE5AE376}"/>
    <cellStyle name="Moeda 3 2" xfId="15" xr:uid="{53D7C568-CC58-4B15-B9DD-1867C128147F}"/>
    <cellStyle name="Moeda 4" xfId="6" xr:uid="{87039FAF-445E-422B-A516-66BA7E305CF9}"/>
    <cellStyle name="Moeda 4 2" xfId="10" xr:uid="{636A40C2-255F-46EF-84CA-98953AE8866B}"/>
    <cellStyle name="Moeda 4 2 2" xfId="16" xr:uid="{7BDB4489-6168-4BE0-A964-5DE628ED1876}"/>
    <cellStyle name="Moeda 5" xfId="11" xr:uid="{2124AE60-0557-4AC3-B48A-633CB17E3340}"/>
    <cellStyle name="Moeda 5 2" xfId="17" xr:uid="{0C993D40-EFA9-480A-9766-C4BE8F04E4F7}"/>
    <cellStyle name="Moeda 6" xfId="14" xr:uid="{574A822A-71B7-46B2-A0C3-1C5E8591DADA}"/>
    <cellStyle name="Normal" xfId="0" builtinId="0"/>
    <cellStyle name="Normal 2" xfId="2" xr:uid="{BD42359E-6099-413E-81D2-0E0BA4C03DB2}"/>
    <cellStyle name="Normal 3" xfId="7" xr:uid="{68151FFA-A329-4F7F-B412-27BE57253D9C}"/>
    <cellStyle name="Normal 3 2" xfId="13" xr:uid="{EDD1A25C-4E09-47DE-9478-AA6861AFB48F}"/>
    <cellStyle name="Normal 6" xfId="12" xr:uid="{2888F636-9924-454F-857E-E38553BD81CD}"/>
    <cellStyle name="Normal_Plan1" xfId="3" xr:uid="{ABCD160A-D73A-4213-9DF3-17A45862579B}"/>
    <cellStyle name="Porcentagem" xfId="1" builtinId="5"/>
    <cellStyle name="Porcentagem 2" xfId="5" xr:uid="{58C97418-D6D1-4F2E-95E9-1B0ADE8B90D4}"/>
  </cellStyles>
  <dxfs count="0"/>
  <tableStyles count="0" defaultTableStyle="TableStyleMedium2" defaultPivotStyle="PivotStyleLight16"/>
  <colors>
    <mruColors>
      <color rgb="FFFFFFFF"/>
      <color rgb="FF0476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absolute">
    <xdr:from>
      <xdr:col>5</xdr:col>
      <xdr:colOff>34927</xdr:colOff>
      <xdr:row>0</xdr:row>
      <xdr:rowOff>152400</xdr:rowOff>
    </xdr:from>
    <xdr:to>
      <xdr:col>5</xdr:col>
      <xdr:colOff>888564</xdr:colOff>
      <xdr:row>1</xdr:row>
      <xdr:rowOff>69850</xdr:rowOff>
    </xdr:to>
    <xdr:sp macro="" textlink="">
      <xdr:nvSpPr>
        <xdr:cNvPr id="2" name="Label1" hidden="1">
          <a:extLst>
            <a:ext uri="{63B3BB69-23CF-44E3-9099-C40C66FF867C}">
              <a14:compatExt xmlns:a14="http://schemas.microsoft.com/office/drawing/2010/main" spid="_x0000_s23553"/>
            </a:ext>
            <a:ext uri="{FF2B5EF4-FFF2-40B4-BE49-F238E27FC236}">
              <a16:creationId xmlns:a16="http://schemas.microsoft.com/office/drawing/2014/main" id="{361F1EEF-A5BE-4CF7-A188-0EE478F65A06}"/>
            </a:ext>
          </a:extLst>
        </xdr:cNvPr>
        <xdr:cNvSpPr/>
      </xdr:nvSpPr>
      <xdr:spPr bwMode="auto">
        <a:xfrm>
          <a:off x="699863" y="152400"/>
          <a:ext cx="879944" cy="5397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250031</xdr:colOff>
      <xdr:row>0</xdr:row>
      <xdr:rowOff>130971</xdr:rowOff>
    </xdr:from>
    <xdr:to>
      <xdr:col>1</xdr:col>
      <xdr:colOff>605227</xdr:colOff>
      <xdr:row>0</xdr:row>
      <xdr:rowOff>509588</xdr:rowOff>
    </xdr:to>
    <xdr:pic macro="[0]!ChamaForm_Menu">
      <xdr:nvPicPr>
        <xdr:cNvPr id="3" name="Imagem 2">
          <a:extLst>
            <a:ext uri="{FF2B5EF4-FFF2-40B4-BE49-F238E27FC236}">
              <a16:creationId xmlns:a16="http://schemas.microsoft.com/office/drawing/2014/main" id="{50AEDF99-01DD-4267-AD25-D2BDF24EEC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0031" y="130971"/>
          <a:ext cx="363814" cy="372267"/>
        </a:xfrm>
        <a:prstGeom prst="rect">
          <a:avLst/>
        </a:prstGeom>
      </xdr:spPr>
    </xdr:pic>
    <xdr:clientData/>
  </xdr:twoCellAnchor>
  <xdr:twoCellAnchor editAs="absolute">
    <xdr:from>
      <xdr:col>37</xdr:col>
      <xdr:colOff>475569</xdr:colOff>
      <xdr:row>0</xdr:row>
      <xdr:rowOff>190500</xdr:rowOff>
    </xdr:from>
    <xdr:to>
      <xdr:col>39</xdr:col>
      <xdr:colOff>283652</xdr:colOff>
      <xdr:row>1</xdr:row>
      <xdr:rowOff>114300</xdr:rowOff>
    </xdr:to>
    <xdr:sp macro="" textlink="">
      <xdr:nvSpPr>
        <xdr:cNvPr id="4" name="Label2" hidden="1">
          <a:extLst>
            <a:ext uri="{63B3BB69-23CF-44E3-9099-C40C66FF867C}">
              <a14:compatExt xmlns:a14="http://schemas.microsoft.com/office/drawing/2010/main" spid="_x0000_s23554"/>
            </a:ext>
            <a:ext uri="{FF2B5EF4-FFF2-40B4-BE49-F238E27FC236}">
              <a16:creationId xmlns:a16="http://schemas.microsoft.com/office/drawing/2014/main" id="{87320A62-B4BA-46B7-8F93-32A1FBF90307}"/>
            </a:ext>
          </a:extLst>
        </xdr:cNvPr>
        <xdr:cNvSpPr/>
      </xdr:nvSpPr>
      <xdr:spPr bwMode="auto">
        <a:xfrm>
          <a:off x="29626151" y="190500"/>
          <a:ext cx="998255" cy="552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37</xdr:col>
      <xdr:colOff>16649</xdr:colOff>
      <xdr:row>0</xdr:row>
      <xdr:rowOff>185741</xdr:rowOff>
    </xdr:from>
    <xdr:to>
      <xdr:col>37</xdr:col>
      <xdr:colOff>399366</xdr:colOff>
      <xdr:row>0</xdr:row>
      <xdr:rowOff>548483</xdr:rowOff>
    </xdr:to>
    <xdr:pic macro="[0]!ChamaForm_Menu">
      <xdr:nvPicPr>
        <xdr:cNvPr id="5" name="Imagem 4">
          <a:extLst>
            <a:ext uri="{FF2B5EF4-FFF2-40B4-BE49-F238E27FC236}">
              <a16:creationId xmlns:a16="http://schemas.microsoft.com/office/drawing/2014/main" id="{B362D1DC-54B3-419C-A7F4-946156CC76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04638" y="179391"/>
          <a:ext cx="445310" cy="362742"/>
        </a:xfrm>
        <a:prstGeom prst="rect">
          <a:avLst/>
        </a:prstGeom>
      </xdr:spPr>
    </xdr:pic>
    <xdr:clientData/>
  </xdr:twoCellAnchor>
  <xdr:twoCellAnchor editAs="absolute">
    <xdr:from>
      <xdr:col>5</xdr:col>
      <xdr:colOff>34927</xdr:colOff>
      <xdr:row>0</xdr:row>
      <xdr:rowOff>152400</xdr:rowOff>
    </xdr:from>
    <xdr:to>
      <xdr:col>5</xdr:col>
      <xdr:colOff>888564</xdr:colOff>
      <xdr:row>1</xdr:row>
      <xdr:rowOff>69850</xdr:rowOff>
    </xdr:to>
    <xdr:pic>
      <xdr:nvPicPr>
        <xdr:cNvPr id="6" name="Label1">
          <a:extLst>
            <a:ext uri="{FF2B5EF4-FFF2-40B4-BE49-F238E27FC236}">
              <a16:creationId xmlns:a16="http://schemas.microsoft.com/office/drawing/2014/main" id="{8654206D-A9DB-4B1F-9234-6EE3E093245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9863" y="152400"/>
          <a:ext cx="879944" cy="5397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37</xdr:col>
      <xdr:colOff>475569</xdr:colOff>
      <xdr:row>0</xdr:row>
      <xdr:rowOff>190500</xdr:rowOff>
    </xdr:from>
    <xdr:to>
      <xdr:col>39</xdr:col>
      <xdr:colOff>283652</xdr:colOff>
      <xdr:row>1</xdr:row>
      <xdr:rowOff>114300</xdr:rowOff>
    </xdr:to>
    <xdr:pic>
      <xdr:nvPicPr>
        <xdr:cNvPr id="7" name="Label2">
          <a:extLst>
            <a:ext uri="{FF2B5EF4-FFF2-40B4-BE49-F238E27FC236}">
              <a16:creationId xmlns:a16="http://schemas.microsoft.com/office/drawing/2014/main" id="{9FDD288B-45C4-4B24-B9E9-7A7F42E17B1B}"/>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626151" y="190500"/>
          <a:ext cx="998255"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199571</xdr:colOff>
      <xdr:row>4</xdr:row>
      <xdr:rowOff>217715</xdr:rowOff>
    </xdr:from>
    <xdr:to>
      <xdr:col>11</xdr:col>
      <xdr:colOff>395742</xdr:colOff>
      <xdr:row>9</xdr:row>
      <xdr:rowOff>73525</xdr:rowOff>
    </xdr:to>
    <xdr:pic>
      <xdr:nvPicPr>
        <xdr:cNvPr id="8" name="Imagem 7">
          <a:extLst>
            <a:ext uri="{FF2B5EF4-FFF2-40B4-BE49-F238E27FC236}">
              <a16:creationId xmlns:a16="http://schemas.microsoft.com/office/drawing/2014/main" id="{E15E63D3-8888-4B63-8378-63B4F4EC7AC7}"/>
            </a:ext>
          </a:extLst>
        </xdr:cNvPr>
        <xdr:cNvPicPr>
          <a:picLocks noChangeAspect="1"/>
        </xdr:cNvPicPr>
      </xdr:nvPicPr>
      <xdr:blipFill>
        <a:blip xmlns:r="http://schemas.openxmlformats.org/officeDocument/2006/relationships" r:embed="rId4"/>
        <a:stretch>
          <a:fillRect/>
        </a:stretch>
      </xdr:blipFill>
      <xdr:spPr>
        <a:xfrm>
          <a:off x="11070771" y="1773465"/>
          <a:ext cx="2186442" cy="1525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2667000" cy="1238250"/>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667000" cy="123825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167640</xdr:colOff>
      <xdr:row>49</xdr:row>
      <xdr:rowOff>137160</xdr:rowOff>
    </xdr:from>
    <xdr:to>
      <xdr:col>5</xdr:col>
      <xdr:colOff>259080</xdr:colOff>
      <xdr:row>49</xdr:row>
      <xdr:rowOff>137160</xdr:rowOff>
    </xdr:to>
    <xdr:cxnSp macro="">
      <xdr:nvCxnSpPr>
        <xdr:cNvPr id="2" name="Conector reto 1">
          <a:extLst>
            <a:ext uri="{FF2B5EF4-FFF2-40B4-BE49-F238E27FC236}">
              <a16:creationId xmlns:a16="http://schemas.microsoft.com/office/drawing/2014/main" id="{00000000-0008-0000-0800-000002000000}"/>
            </a:ext>
          </a:extLst>
        </xdr:cNvPr>
        <xdr:cNvCxnSpPr/>
      </xdr:nvCxnSpPr>
      <xdr:spPr>
        <a:xfrm>
          <a:off x="396240" y="8717280"/>
          <a:ext cx="199644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487680</xdr:colOff>
      <xdr:row>49</xdr:row>
      <xdr:rowOff>137160</xdr:rowOff>
    </xdr:from>
    <xdr:to>
      <xdr:col>10</xdr:col>
      <xdr:colOff>472440</xdr:colOff>
      <xdr:row>49</xdr:row>
      <xdr:rowOff>137160</xdr:rowOff>
    </xdr:to>
    <xdr:cxnSp macro="">
      <xdr:nvCxnSpPr>
        <xdr:cNvPr id="3" name="Conector reto 2">
          <a:extLst>
            <a:ext uri="{FF2B5EF4-FFF2-40B4-BE49-F238E27FC236}">
              <a16:creationId xmlns:a16="http://schemas.microsoft.com/office/drawing/2014/main" id="{00000000-0008-0000-0800-000003000000}"/>
            </a:ext>
          </a:extLst>
        </xdr:cNvPr>
        <xdr:cNvCxnSpPr/>
      </xdr:nvCxnSpPr>
      <xdr:spPr>
        <a:xfrm>
          <a:off x="3665220" y="8717280"/>
          <a:ext cx="187452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53340</xdr:colOff>
      <xdr:row>1</xdr:row>
      <xdr:rowOff>91440</xdr:rowOff>
    </xdr:from>
    <xdr:ext cx="916651" cy="861060"/>
    <xdr:pic>
      <xdr:nvPicPr>
        <xdr:cNvPr id="4" name="Picture 28">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120640" y="198120"/>
          <a:ext cx="916651" cy="861060"/>
        </a:xfrm>
        <a:prstGeom prst="rect">
          <a:avLst/>
        </a:prstGeom>
        <a:noFill/>
        <a:ln w="9525">
          <a:noFill/>
          <a:miter lim="800000"/>
          <a:headEnd/>
          <a:tailEnd/>
        </a:ln>
      </xdr:spPr>
    </xdr:pic>
    <xdr:clientData/>
  </xdr:oneCellAnchor>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vertOverflow="clip" horzOverflow="clip" wrap="none" rtlCol="0" anchor="t">
        <a:noAutofit/>
      </a:bodyPr>
      <a:lstStyle>
        <a:defPPr algn="ctr">
          <a:defRPr sz="1600" b="0">
            <a:latin typeface="Abadi" panose="020B0604020104020204" pitchFamily="34" charset="0"/>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9216F-25CC-4912-A45A-1D48454EA2A4}">
  <dimension ref="A1:F31"/>
  <sheetViews>
    <sheetView showGridLines="0" tabSelected="1" topLeftCell="A13" zoomScaleNormal="100" workbookViewId="0">
      <selection activeCell="C29" sqref="C29:D29"/>
    </sheetView>
  </sheetViews>
  <sheetFormatPr defaultColWidth="8.6640625" defaultRowHeight="16.2" x14ac:dyDescent="0.35"/>
  <cols>
    <col min="1" max="1" width="8.6640625" style="230"/>
    <col min="2" max="2" width="30.6640625" style="230" customWidth="1"/>
    <col min="3" max="3" width="31.6640625" style="230" customWidth="1"/>
    <col min="4" max="4" width="20.44140625" style="230" customWidth="1"/>
    <col min="5" max="5" width="18.44140625" style="230" customWidth="1"/>
    <col min="6" max="6" width="11.88671875" style="231" bestFit="1" customWidth="1"/>
    <col min="7" max="7" width="12.88671875" style="230" bestFit="1" customWidth="1"/>
    <col min="8" max="8" width="12.5546875" style="230" bestFit="1" customWidth="1"/>
    <col min="9" max="16384" width="8.6640625" style="230"/>
  </cols>
  <sheetData>
    <row r="1" spans="1:5" s="231" customFormat="1" hidden="1" x14ac:dyDescent="0.35">
      <c r="A1" s="230"/>
      <c r="B1" s="230"/>
      <c r="C1" s="230"/>
      <c r="D1" s="230"/>
      <c r="E1" s="230"/>
    </row>
    <row r="2" spans="1:5" s="231" customFormat="1" hidden="1" x14ac:dyDescent="0.35">
      <c r="A2" s="230"/>
      <c r="B2" s="230"/>
      <c r="C2" s="230"/>
      <c r="D2" s="230"/>
      <c r="E2" s="230"/>
    </row>
    <row r="3" spans="1:5" s="231" customFormat="1" hidden="1" x14ac:dyDescent="0.35">
      <c r="A3" s="230"/>
      <c r="B3" s="230"/>
      <c r="C3" s="232">
        <v>45866</v>
      </c>
      <c r="D3" s="233"/>
      <c r="E3" s="337" t="e">
        <f>SUM(#REF!)</f>
        <v>#REF!</v>
      </c>
    </row>
    <row r="4" spans="1:5" s="231" customFormat="1" ht="15.6" hidden="1" customHeight="1" thickBot="1" x14ac:dyDescent="0.4">
      <c r="A4" s="230"/>
      <c r="B4" s="230"/>
      <c r="C4" s="234">
        <v>45867</v>
      </c>
      <c r="D4" s="235"/>
      <c r="E4" s="338"/>
    </row>
    <row r="5" spans="1:5" s="231" customFormat="1" hidden="1" x14ac:dyDescent="0.35">
      <c r="A5" s="230"/>
      <c r="B5" s="230"/>
      <c r="C5" s="236" t="s">
        <v>332</v>
      </c>
      <c r="D5" s="237"/>
      <c r="E5" s="230"/>
    </row>
    <row r="6" spans="1:5" s="231" customFormat="1" hidden="1" x14ac:dyDescent="0.35">
      <c r="A6" s="230"/>
      <c r="B6" s="230"/>
      <c r="C6" s="236" t="s">
        <v>333</v>
      </c>
      <c r="D6" s="237"/>
      <c r="E6" s="230"/>
    </row>
    <row r="7" spans="1:5" s="231" customFormat="1" ht="16.8" hidden="1" thickBot="1" x14ac:dyDescent="0.4">
      <c r="A7" s="230"/>
      <c r="B7" s="230"/>
      <c r="C7" s="238" t="s">
        <v>43</v>
      </c>
      <c r="D7" s="239"/>
      <c r="E7" s="230"/>
    </row>
    <row r="9" spans="1:5" s="231" customFormat="1" ht="24" customHeight="1" x14ac:dyDescent="0.35">
      <c r="A9" s="230"/>
      <c r="B9" s="230"/>
      <c r="C9" s="230"/>
      <c r="D9" s="230"/>
      <c r="E9" s="230"/>
    </row>
    <row r="10" spans="1:5" ht="16.8" thickBot="1" x14ac:dyDescent="0.4"/>
    <row r="11" spans="1:5" s="231" customFormat="1" ht="15" customHeight="1" x14ac:dyDescent="0.35">
      <c r="A11" s="230"/>
      <c r="B11" s="263" t="s">
        <v>131</v>
      </c>
      <c r="C11" s="264" t="s">
        <v>252</v>
      </c>
      <c r="D11" s="240"/>
      <c r="E11" s="230"/>
    </row>
    <row r="12" spans="1:5" s="231" customFormat="1" ht="15" customHeight="1" x14ac:dyDescent="0.35">
      <c r="A12" s="230"/>
      <c r="B12" s="265" t="s">
        <v>132</v>
      </c>
      <c r="C12" s="266" t="s">
        <v>130</v>
      </c>
      <c r="D12" s="240"/>
      <c r="E12" s="230"/>
    </row>
    <row r="13" spans="1:5" s="231" customFormat="1" ht="15" customHeight="1" x14ac:dyDescent="0.35">
      <c r="A13" s="230"/>
      <c r="B13" s="265" t="s">
        <v>133</v>
      </c>
      <c r="C13" s="266" t="s">
        <v>255</v>
      </c>
      <c r="D13" s="241"/>
      <c r="E13" s="230"/>
    </row>
    <row r="14" spans="1:5" s="231" customFormat="1" ht="15" customHeight="1" x14ac:dyDescent="0.35">
      <c r="A14" s="230"/>
      <c r="B14" s="265" t="s">
        <v>134</v>
      </c>
      <c r="C14" s="266" t="s">
        <v>254</v>
      </c>
      <c r="D14" s="241"/>
      <c r="E14" s="230"/>
    </row>
    <row r="15" spans="1:5" s="231" customFormat="1" ht="15" customHeight="1" x14ac:dyDescent="0.35">
      <c r="A15" s="230"/>
      <c r="B15" s="265" t="s">
        <v>135</v>
      </c>
      <c r="C15" s="266" t="s">
        <v>253</v>
      </c>
      <c r="D15" s="242"/>
      <c r="E15" s="230"/>
    </row>
    <row r="16" spans="1:5" ht="15" customHeight="1" x14ac:dyDescent="0.35">
      <c r="B16" s="265" t="s">
        <v>136</v>
      </c>
      <c r="C16" s="266" t="s">
        <v>256</v>
      </c>
      <c r="D16" s="241"/>
    </row>
    <row r="17" spans="2:6" ht="15" customHeight="1" x14ac:dyDescent="0.35">
      <c r="B17" s="265" t="s">
        <v>137</v>
      </c>
      <c r="C17" s="266" t="s">
        <v>257</v>
      </c>
      <c r="D17" s="241"/>
    </row>
    <row r="18" spans="2:6" ht="15" customHeight="1" thickBot="1" x14ac:dyDescent="0.4">
      <c r="B18" s="267" t="s">
        <v>138</v>
      </c>
      <c r="C18" s="268" t="s">
        <v>258</v>
      </c>
      <c r="D18" s="241"/>
    </row>
    <row r="20" spans="2:6" ht="15.6" customHeight="1" x14ac:dyDescent="0.35">
      <c r="B20" s="243"/>
      <c r="C20" s="243" t="s">
        <v>334</v>
      </c>
      <c r="D20" s="243" t="s">
        <v>335</v>
      </c>
      <c r="E20" s="243" t="s">
        <v>336</v>
      </c>
      <c r="F20" s="244"/>
    </row>
    <row r="21" spans="2:6" x14ac:dyDescent="0.35">
      <c r="B21" s="245" t="s">
        <v>337</v>
      </c>
      <c r="C21" s="246">
        <f>PRINCIPAL!N55</f>
        <v>158034.60812476696</v>
      </c>
      <c r="D21" s="246">
        <f>PRINCIPAL!X55</f>
        <v>120610.04</v>
      </c>
      <c r="E21" s="246">
        <f>C21-D21</f>
        <v>37424.568124766971</v>
      </c>
      <c r="F21" s="247">
        <f>E21*100%/C21</f>
        <v>0.23681248410614336</v>
      </c>
    </row>
    <row r="22" spans="2:6" x14ac:dyDescent="0.35">
      <c r="B22" s="243" t="s">
        <v>43</v>
      </c>
      <c r="C22" s="248">
        <f>SUM(C21:C21)</f>
        <v>158034.60812476696</v>
      </c>
      <c r="D22" s="248">
        <f>SUM(D21:D21)</f>
        <v>120610.04</v>
      </c>
      <c r="E22" s="248">
        <f>C22-D22</f>
        <v>37424.568124766971</v>
      </c>
      <c r="F22" s="247">
        <f t="shared" ref="F22" si="0">E22*100%/C22</f>
        <v>0.23681248410614336</v>
      </c>
    </row>
    <row r="24" spans="2:6" ht="200.1" hidden="1" customHeight="1" x14ac:dyDescent="0.35"/>
    <row r="25" spans="2:6" ht="16.8" thickBot="1" x14ac:dyDescent="0.4"/>
    <row r="26" spans="2:6" ht="21.9" customHeight="1" thickBot="1" x14ac:dyDescent="0.4">
      <c r="B26" s="339" t="s">
        <v>338</v>
      </c>
      <c r="C26" s="340"/>
      <c r="D26" s="340"/>
      <c r="E26" s="340"/>
      <c r="F26" s="341"/>
    </row>
    <row r="27" spans="2:6" ht="24.9" customHeight="1" thickBot="1" x14ac:dyDescent="0.4">
      <c r="B27" s="249" t="s">
        <v>354</v>
      </c>
      <c r="C27" s="250">
        <v>132637.14000000001</v>
      </c>
      <c r="D27" s="251">
        <f>D22</f>
        <v>120610.04</v>
      </c>
      <c r="E27" s="252">
        <f>C27-D27</f>
        <v>12027.10000000002</v>
      </c>
      <c r="F27" s="253">
        <f>E27*100%/C27</f>
        <v>9.0676713927939176E-2</v>
      </c>
    </row>
    <row r="28" spans="2:6" ht="29.4" customHeight="1" thickBot="1" x14ac:dyDescent="0.4">
      <c r="B28" s="254" t="s">
        <v>355</v>
      </c>
      <c r="C28" s="255">
        <v>25397.47</v>
      </c>
      <c r="D28" s="256">
        <f>C28*0.15</f>
        <v>3809.6205</v>
      </c>
      <c r="E28" s="252">
        <f>C28-D28</f>
        <v>21587.8495</v>
      </c>
      <c r="F28" s="253">
        <f>E28*100%/C28</f>
        <v>0.85</v>
      </c>
    </row>
    <row r="29" spans="2:6" ht="20.25" customHeight="1" thickBot="1" x14ac:dyDescent="0.4">
      <c r="B29" s="257"/>
      <c r="C29" s="258">
        <f>SUM(C27:C28)</f>
        <v>158034.61000000002</v>
      </c>
      <c r="D29" s="259">
        <f>SUM(D27:D28)</f>
        <v>124419.6605</v>
      </c>
      <c r="E29" s="260">
        <f>C29-D29</f>
        <v>33614.949500000017</v>
      </c>
      <c r="F29" s="253">
        <f>E29*100%/C29</f>
        <v>0.21270625149769418</v>
      </c>
    </row>
    <row r="30" spans="2:6" x14ac:dyDescent="0.35">
      <c r="C30" s="261"/>
    </row>
    <row r="31" spans="2:6" x14ac:dyDescent="0.35">
      <c r="C31" s="262"/>
    </row>
  </sheetData>
  <mergeCells count="2">
    <mergeCell ref="E3:E4"/>
    <mergeCell ref="B26:F26"/>
  </mergeCells>
  <pageMargins left="0.51181102362204722" right="0.51181102362204722" top="0.78740157480314965" bottom="0.78740157480314965" header="0.31496062992125984" footer="0.31496062992125984"/>
  <pageSetup paperSize="9" scale="85" orientation="landscape"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98AC8-8690-4D9A-9E8D-2290D2039497}">
  <sheetPr codeName="Planilha17">
    <pageSetUpPr autoPageBreaks="0"/>
  </sheetPr>
  <dimension ref="A1:AD62"/>
  <sheetViews>
    <sheetView showGridLines="0" topLeftCell="G1" zoomScale="60" zoomScaleNormal="60" workbookViewId="0">
      <pane ySplit="1" topLeftCell="A51" activePane="bottomLeft" state="frozen"/>
      <selection pane="bottomLeft" activeCell="N64" sqref="N64"/>
    </sheetView>
  </sheetViews>
  <sheetFormatPr defaultColWidth="8.88671875" defaultRowHeight="18" x14ac:dyDescent="0.35"/>
  <cols>
    <col min="1" max="1" width="5.88671875" style="60" hidden="1" customWidth="1"/>
    <col min="2" max="2" width="9.88671875" style="60" customWidth="1"/>
    <col min="3" max="3" width="11" style="60" hidden="1" customWidth="1"/>
    <col min="4" max="4" width="10.5546875" style="60" hidden="1" customWidth="1"/>
    <col min="5" max="5" width="5.5546875" style="60" hidden="1" customWidth="1"/>
    <col min="6" max="6" width="32.44140625" style="60" customWidth="1"/>
    <col min="7" max="7" width="74.44140625" style="60" customWidth="1"/>
    <col min="8" max="8" width="5.88671875" style="63" hidden="1" customWidth="1"/>
    <col min="9" max="9" width="7.88671875" style="63" hidden="1" customWidth="1"/>
    <col min="10" max="10" width="16.44140625" style="60" hidden="1" customWidth="1"/>
    <col min="11" max="11" width="25.88671875" style="60" customWidth="1"/>
    <col min="12" max="12" width="23.5546875" style="60" customWidth="1"/>
    <col min="13" max="13" width="20.6640625" style="60" bestFit="1" customWidth="1"/>
    <col min="14" max="14" width="24.33203125" style="60" bestFit="1" customWidth="1"/>
    <col min="15" max="15" width="30.33203125" style="60" hidden="1" customWidth="1"/>
    <col min="16" max="16" width="1.88671875" style="60" hidden="1" customWidth="1"/>
    <col min="17" max="17" width="11.33203125" style="63" bestFit="1" customWidth="1"/>
    <col min="18" max="18" width="8.44140625" style="63" hidden="1" customWidth="1"/>
    <col min="19" max="19" width="17.88671875" style="60" hidden="1" customWidth="1"/>
    <col min="20" max="20" width="26.88671875" style="60" bestFit="1" customWidth="1"/>
    <col min="21" max="21" width="24.6640625" style="60" hidden="1" customWidth="1"/>
    <col min="22" max="22" width="9.6640625" style="60" hidden="1" customWidth="1"/>
    <col min="23" max="23" width="16.109375" style="60" hidden="1" customWidth="1"/>
    <col min="24" max="24" width="27.33203125" style="60" bestFit="1" customWidth="1"/>
    <col min="25" max="25" width="26.88671875" style="60" hidden="1" customWidth="1"/>
    <col min="26" max="26" width="14.6640625" style="60" hidden="1" customWidth="1"/>
    <col min="27" max="27" width="24.6640625" style="60" hidden="1" customWidth="1"/>
    <col min="28" max="28" width="29.88671875" style="60" customWidth="1"/>
    <col min="29" max="29" width="25.88671875" style="60" customWidth="1"/>
    <col min="30" max="30" width="23.109375" style="272" customWidth="1"/>
    <col min="31" max="16384" width="8.88671875" style="60"/>
  </cols>
  <sheetData>
    <row r="1" spans="1:30" ht="49.5" customHeight="1" x14ac:dyDescent="0.35">
      <c r="B1" s="61"/>
      <c r="C1" s="62"/>
      <c r="D1" s="62"/>
      <c r="F1" s="323" t="s">
        <v>99</v>
      </c>
      <c r="G1" s="323"/>
    </row>
    <row r="2" spans="1:30" ht="24.75" customHeight="1" x14ac:dyDescent="0.35">
      <c r="B2" s="64"/>
      <c r="D2" s="62"/>
      <c r="F2" s="324" t="s">
        <v>0</v>
      </c>
      <c r="G2" s="324"/>
    </row>
    <row r="3" spans="1:30" ht="18.600000000000001" thickBot="1" x14ac:dyDescent="0.4">
      <c r="B3" s="34"/>
      <c r="F3" s="28"/>
      <c r="G3" s="28"/>
    </row>
    <row r="4" spans="1:30" ht="29.1" customHeight="1" x14ac:dyDescent="0.35">
      <c r="F4" s="35" t="s">
        <v>131</v>
      </c>
      <c r="G4" s="36" t="s">
        <v>252</v>
      </c>
    </row>
    <row r="5" spans="1:30" ht="27.6" customHeight="1" x14ac:dyDescent="0.35">
      <c r="F5" s="37" t="s">
        <v>132</v>
      </c>
      <c r="G5" s="38" t="s">
        <v>130</v>
      </c>
    </row>
    <row r="6" spans="1:30" ht="24.9" customHeight="1" x14ac:dyDescent="0.35">
      <c r="D6" s="60" t="s">
        <v>97</v>
      </c>
      <c r="F6" s="37" t="s">
        <v>133</v>
      </c>
      <c r="G6" s="38" t="s">
        <v>255</v>
      </c>
    </row>
    <row r="7" spans="1:30" ht="25.5" customHeight="1" x14ac:dyDescent="0.35">
      <c r="F7" s="37" t="s">
        <v>134</v>
      </c>
      <c r="G7" s="38" t="s">
        <v>254</v>
      </c>
      <c r="J7" s="60" t="s">
        <v>98</v>
      </c>
    </row>
    <row r="8" spans="1:30" ht="26.1" customHeight="1" x14ac:dyDescent="0.35">
      <c r="F8" s="37" t="s">
        <v>135</v>
      </c>
      <c r="G8" s="38" t="s">
        <v>253</v>
      </c>
    </row>
    <row r="9" spans="1:30" ht="27.6" customHeight="1" x14ac:dyDescent="0.35">
      <c r="F9" s="37" t="s">
        <v>136</v>
      </c>
      <c r="G9" s="38" t="s">
        <v>256</v>
      </c>
      <c r="J9" s="60" t="s">
        <v>97</v>
      </c>
    </row>
    <row r="10" spans="1:30" ht="27" customHeight="1" x14ac:dyDescent="0.35">
      <c r="F10" s="37" t="s">
        <v>137</v>
      </c>
      <c r="G10" s="38" t="s">
        <v>257</v>
      </c>
    </row>
    <row r="11" spans="1:30" ht="18.600000000000001" thickBot="1" x14ac:dyDescent="0.4">
      <c r="F11" s="39" t="s">
        <v>138</v>
      </c>
      <c r="G11" s="40" t="s">
        <v>258</v>
      </c>
    </row>
    <row r="12" spans="1:30" ht="18.600000000000001" hidden="1" thickBot="1" x14ac:dyDescent="0.4">
      <c r="B12" s="65"/>
      <c r="M12" s="66"/>
      <c r="Q12" s="325" t="s">
        <v>1</v>
      </c>
      <c r="R12" s="326"/>
      <c r="S12" s="326"/>
      <c r="T12" s="327"/>
      <c r="U12" s="334" t="s">
        <v>2</v>
      </c>
      <c r="V12" s="335"/>
      <c r="W12" s="335"/>
      <c r="X12" s="336"/>
      <c r="Y12" s="67" t="s">
        <v>56</v>
      </c>
      <c r="Z12" s="68">
        <f>(1/(1-M14))-1</f>
        <v>0.24269914253759173</v>
      </c>
    </row>
    <row r="13" spans="1:30" ht="18.600000000000001" thickBot="1" x14ac:dyDescent="0.4">
      <c r="A13" s="26" t="s">
        <v>4</v>
      </c>
      <c r="B13" s="27" t="s">
        <v>5</v>
      </c>
      <c r="C13" s="26" t="s">
        <v>6</v>
      </c>
      <c r="D13" s="26" t="s">
        <v>7</v>
      </c>
      <c r="E13" s="26" t="s">
        <v>8</v>
      </c>
      <c r="M13" s="69">
        <v>0.81</v>
      </c>
    </row>
    <row r="14" spans="1:30" ht="46.5" customHeight="1" thickBot="1" x14ac:dyDescent="0.4">
      <c r="A14" s="70">
        <v>0</v>
      </c>
      <c r="B14" s="71"/>
      <c r="C14" s="72"/>
      <c r="D14" s="73"/>
      <c r="E14" s="73"/>
      <c r="F14" s="74" t="s">
        <v>80</v>
      </c>
      <c r="G14" s="75" t="s">
        <v>81</v>
      </c>
      <c r="H14" s="76" t="s">
        <v>82</v>
      </c>
      <c r="I14" s="76" t="s">
        <v>83</v>
      </c>
      <c r="J14" s="77" t="s">
        <v>84</v>
      </c>
      <c r="K14" s="78" t="s">
        <v>9</v>
      </c>
      <c r="L14" s="79">
        <v>0.09</v>
      </c>
      <c r="M14" s="80">
        <v>0.1953</v>
      </c>
      <c r="N14" s="81" t="s">
        <v>78</v>
      </c>
      <c r="Q14" s="82" t="s">
        <v>85</v>
      </c>
      <c r="R14" s="83" t="s">
        <v>86</v>
      </c>
      <c r="S14" s="84" t="s">
        <v>87</v>
      </c>
      <c r="T14" s="85" t="s">
        <v>88</v>
      </c>
      <c r="U14" s="86" t="s">
        <v>89</v>
      </c>
      <c r="V14" s="87" t="s">
        <v>90</v>
      </c>
      <c r="W14" s="88" t="s">
        <v>91</v>
      </c>
      <c r="X14" s="88" t="s">
        <v>92</v>
      </c>
      <c r="Y14" s="89" t="s">
        <v>93</v>
      </c>
      <c r="Z14" s="90" t="s">
        <v>94</v>
      </c>
      <c r="AA14" s="91" t="s">
        <v>79</v>
      </c>
      <c r="AB14" s="269" t="s">
        <v>95</v>
      </c>
      <c r="AC14" s="276" t="s">
        <v>96</v>
      </c>
      <c r="AD14" s="275"/>
    </row>
    <row r="15" spans="1:30" ht="30" customHeight="1" thickBot="1" x14ac:dyDescent="0.5">
      <c r="A15" s="73">
        <v>1</v>
      </c>
      <c r="B15" s="92">
        <v>1</v>
      </c>
      <c r="C15" s="93" t="s">
        <v>100</v>
      </c>
      <c r="D15" s="73"/>
      <c r="E15" s="73"/>
      <c r="F15" s="328" t="s">
        <v>113</v>
      </c>
      <c r="G15" s="329"/>
      <c r="H15" s="329"/>
      <c r="I15" s="329"/>
      <c r="J15" s="329"/>
      <c r="K15" s="329"/>
      <c r="L15" s="329"/>
      <c r="M15" s="329"/>
      <c r="N15" s="330"/>
      <c r="Q15" s="331" t="str">
        <f>IF(F15&lt;&gt;"",F15,"")</f>
        <v>INTERNOS</v>
      </c>
      <c r="R15" s="332"/>
      <c r="S15" s="332"/>
      <c r="T15" s="332"/>
      <c r="U15" s="332"/>
      <c r="V15" s="332"/>
      <c r="W15" s="332"/>
      <c r="X15" s="332"/>
      <c r="Y15" s="333"/>
      <c r="Z15" s="94"/>
      <c r="AB15" s="312"/>
      <c r="AC15" s="313"/>
    </row>
    <row r="16" spans="1:30" ht="30" customHeight="1" x14ac:dyDescent="0.45">
      <c r="A16" s="73">
        <v>2</v>
      </c>
      <c r="B16" s="92" t="s">
        <v>102</v>
      </c>
      <c r="C16" s="93" t="s">
        <v>101</v>
      </c>
      <c r="D16" s="73"/>
      <c r="E16" s="73"/>
      <c r="F16" s="320" t="s">
        <v>113</v>
      </c>
      <c r="G16" s="321"/>
      <c r="H16" s="321"/>
      <c r="I16" s="321"/>
      <c r="J16" s="321"/>
      <c r="K16" s="321"/>
      <c r="L16" s="95" t="s">
        <v>103</v>
      </c>
      <c r="M16" s="95" t="s">
        <v>104</v>
      </c>
      <c r="N16" s="96" t="s">
        <v>78</v>
      </c>
      <c r="Q16" s="320" t="str">
        <f>IF(F16&lt;&gt;"",F16,"")</f>
        <v>INTERNOS</v>
      </c>
      <c r="R16" s="321"/>
      <c r="S16" s="321"/>
      <c r="T16" s="321"/>
      <c r="U16" s="321"/>
      <c r="V16" s="321"/>
      <c r="W16" s="321"/>
      <c r="X16" s="321"/>
      <c r="Y16" s="322"/>
      <c r="Z16" s="97" t="s">
        <v>105</v>
      </c>
      <c r="AA16" s="98" t="s">
        <v>79</v>
      </c>
      <c r="AB16" s="314"/>
      <c r="AC16" s="315"/>
    </row>
    <row r="17" spans="1:30" ht="80.099999999999994" customHeight="1" x14ac:dyDescent="0.4">
      <c r="A17" s="73">
        <v>3</v>
      </c>
      <c r="B17" s="92" t="s">
        <v>199</v>
      </c>
      <c r="C17" s="93" t="s">
        <v>106</v>
      </c>
      <c r="D17" s="73" t="s">
        <v>109</v>
      </c>
      <c r="E17" s="73" t="s">
        <v>110</v>
      </c>
      <c r="F17" s="99" t="s">
        <v>163</v>
      </c>
      <c r="G17" s="100" t="s">
        <v>328</v>
      </c>
      <c r="H17" s="101">
        <v>1</v>
      </c>
      <c r="I17" s="101">
        <v>1</v>
      </c>
      <c r="J17" s="102">
        <v>5000</v>
      </c>
      <c r="K17" s="102">
        <f>IF(F17&lt;&gt;"",H17*I17*J17,"")</f>
        <v>5000</v>
      </c>
      <c r="L17" s="102">
        <f>IF(K17&lt;&gt;"",IF(D17="INTERNO",0,K17*$L$14),"")</f>
        <v>0</v>
      </c>
      <c r="M17" s="102">
        <f>IF(K17&lt;&gt;"",IF(E17="FAT.OGGI",SUM(K17:L17)*(1/(1-$M$14)-1),L17*(1/(1-$M$14)-1)),0)</f>
        <v>1213.4957126879585</v>
      </c>
      <c r="N17" s="103">
        <f>SUM(K17:M17)</f>
        <v>6213.4957126879581</v>
      </c>
      <c r="Q17" s="104">
        <f t="shared" ref="Q17:R18" si="0">IF(H17&lt;&gt;"",H17,"")</f>
        <v>1</v>
      </c>
      <c r="R17" s="105">
        <f t="shared" si="0"/>
        <v>1</v>
      </c>
      <c r="S17" s="106">
        <v>0</v>
      </c>
      <c r="T17" s="106">
        <v>650</v>
      </c>
      <c r="U17" s="107">
        <f>IF(Q17&lt;&gt;"",K17-T17,"")</f>
        <v>4350</v>
      </c>
      <c r="V17" s="108">
        <f>IF(Q17&lt;&gt;"",0%,"")</f>
        <v>0</v>
      </c>
      <c r="W17" s="109">
        <f>IF(Q17&lt;&gt;"",V17*U17,"")</f>
        <v>0</v>
      </c>
      <c r="X17" s="109">
        <f>IF(Q17&lt;&gt;"",W17+T17,"")</f>
        <v>650</v>
      </c>
      <c r="Y17" s="110">
        <v>650</v>
      </c>
      <c r="Z17" s="94">
        <f>IF(Q17&lt;&gt;"", IFERROR(U17/K17, 0), 0)</f>
        <v>0.87</v>
      </c>
      <c r="AA17" s="111">
        <f>IFERROR(T17/$T$20, "")</f>
        <v>1</v>
      </c>
      <c r="AB17" s="270">
        <f>X17-AC17</f>
        <v>0</v>
      </c>
      <c r="AC17" s="271">
        <v>650</v>
      </c>
      <c r="AD17" s="272" t="s">
        <v>349</v>
      </c>
    </row>
    <row r="18" spans="1:30" ht="80.099999999999994" customHeight="1" x14ac:dyDescent="0.4">
      <c r="A18" s="73">
        <v>4</v>
      </c>
      <c r="B18" s="92" t="s">
        <v>200</v>
      </c>
      <c r="C18" s="93" t="s">
        <v>106</v>
      </c>
      <c r="D18" s="73" t="s">
        <v>109</v>
      </c>
      <c r="E18" s="73" t="s">
        <v>110</v>
      </c>
      <c r="F18" s="99" t="s">
        <v>108</v>
      </c>
      <c r="G18" s="100" t="s">
        <v>329</v>
      </c>
      <c r="H18" s="101">
        <v>1</v>
      </c>
      <c r="I18" s="101">
        <v>1</v>
      </c>
      <c r="J18" s="102">
        <v>2000</v>
      </c>
      <c r="K18" s="102">
        <f>IF(F18&lt;&gt;"",H18*I18*J18,"")</f>
        <v>2000</v>
      </c>
      <c r="L18" s="102">
        <f>IF(K18&lt;&gt;"",IF(D18="INTERNO",0,K18*$L$14),"")</f>
        <v>0</v>
      </c>
      <c r="M18" s="102">
        <f>IF(K18&lt;&gt;"",IF(E18="FAT.OGGI",SUM(K18:L18)*(1/(1-$M$14)-1),L18*(1/(1-$M$14)-1)),0)</f>
        <v>485.39828507518348</v>
      </c>
      <c r="N18" s="103">
        <f>SUM(K18:M18)</f>
        <v>2485.3982850751836</v>
      </c>
      <c r="Q18" s="104">
        <f t="shared" si="0"/>
        <v>1</v>
      </c>
      <c r="R18" s="105">
        <f t="shared" si="0"/>
        <v>1</v>
      </c>
      <c r="S18" s="106">
        <v>0</v>
      </c>
      <c r="T18" s="106">
        <f>IF(Q18&lt;&gt;"",Q18*R18*S18,"")</f>
        <v>0</v>
      </c>
      <c r="U18" s="107">
        <f>IF(Q18&lt;&gt;"",K18-T18,"")</f>
        <v>2000</v>
      </c>
      <c r="V18" s="108">
        <f>IF(Q18&lt;&gt;"",0%,"")</f>
        <v>0</v>
      </c>
      <c r="W18" s="109">
        <f>IF(Q18&lt;&gt;"",V18*U18,"")</f>
        <v>0</v>
      </c>
      <c r="X18" s="109">
        <f>IF(Q18&lt;&gt;"",W18+T18,"")</f>
        <v>0</v>
      </c>
      <c r="Y18" s="110">
        <v>0</v>
      </c>
      <c r="Z18" s="94">
        <f>IF(Q18&lt;&gt;"", IFERROR(U18/K18, 0), 0)</f>
        <v>1</v>
      </c>
      <c r="AA18" s="111">
        <f>IFERROR(T18/$T$20, "")</f>
        <v>0</v>
      </c>
      <c r="AB18" s="270">
        <f t="shared" ref="AB18:AB53" si="1">X18-AC18</f>
        <v>0</v>
      </c>
      <c r="AC18" s="271"/>
    </row>
    <row r="19" spans="1:30" ht="80.099999999999994" customHeight="1" x14ac:dyDescent="0.4">
      <c r="A19" s="73">
        <v>5</v>
      </c>
      <c r="B19" s="92" t="s">
        <v>107</v>
      </c>
      <c r="C19" s="93" t="s">
        <v>106</v>
      </c>
      <c r="D19" s="73" t="s">
        <v>109</v>
      </c>
      <c r="E19" s="73" t="s">
        <v>110</v>
      </c>
      <c r="F19" s="99" t="s">
        <v>125</v>
      </c>
      <c r="G19" s="100" t="s">
        <v>228</v>
      </c>
      <c r="H19" s="101">
        <v>1</v>
      </c>
      <c r="I19" s="101">
        <v>1</v>
      </c>
      <c r="J19" s="102">
        <v>1500</v>
      </c>
      <c r="K19" s="102">
        <f>IF(F19&lt;&gt;"",H19*I19*J19,"")</f>
        <v>1500</v>
      </c>
      <c r="L19" s="102">
        <f>IF(K19&lt;&gt;"",IF(D19="INTERNO",0,K19*$L$14),"")</f>
        <v>0</v>
      </c>
      <c r="M19" s="102">
        <f>IF(K19&lt;&gt;"",IF(E19="FAT.OGGI",SUM(K19:L19)*(1/(1-$M$14)-1),L19*(1/(1-$M$14)-1)),0)</f>
        <v>364.04871380638758</v>
      </c>
      <c r="N19" s="103">
        <f>SUM(K19:M19)</f>
        <v>1864.0487138063877</v>
      </c>
      <c r="Q19" s="104">
        <f>IF(H19&lt;&gt;"",H19,"")</f>
        <v>1</v>
      </c>
      <c r="R19" s="105">
        <f>IF(I19&lt;&gt;"",I19,"")</f>
        <v>1</v>
      </c>
      <c r="S19" s="106">
        <v>0</v>
      </c>
      <c r="T19" s="106">
        <f>IF(Q19&lt;&gt;"",Q19*R19*S19,"")</f>
        <v>0</v>
      </c>
      <c r="U19" s="107">
        <f>IF(Q19&lt;&gt;"",K19-T19,"")</f>
        <v>1500</v>
      </c>
      <c r="V19" s="108">
        <f>IF(Q19&lt;&gt;"",0%,"")</f>
        <v>0</v>
      </c>
      <c r="W19" s="109">
        <f>IF(Q19&lt;&gt;"",V19*U19,"")</f>
        <v>0</v>
      </c>
      <c r="X19" s="109">
        <f>IF(Q19&lt;&gt;"",W19+T19,"")</f>
        <v>0</v>
      </c>
      <c r="Y19" s="110">
        <v>0</v>
      </c>
      <c r="Z19" s="94">
        <f>IF(Q19&lt;&gt;"", IFERROR(U19/K19, 0), 0)</f>
        <v>1</v>
      </c>
      <c r="AA19" s="111">
        <f>IFERROR(T19/$T$20, "")</f>
        <v>0</v>
      </c>
      <c r="AB19" s="270">
        <f t="shared" si="1"/>
        <v>0</v>
      </c>
      <c r="AC19" s="271"/>
    </row>
    <row r="20" spans="1:30" ht="30" customHeight="1" thickBot="1" x14ac:dyDescent="0.45">
      <c r="A20" s="73">
        <v>6</v>
      </c>
      <c r="B20" s="92"/>
      <c r="C20" s="93" t="s">
        <v>111</v>
      </c>
      <c r="D20" s="73"/>
      <c r="E20" s="73"/>
      <c r="F20" s="316" t="s">
        <v>129</v>
      </c>
      <c r="G20" s="317"/>
      <c r="H20" s="317"/>
      <c r="I20" s="317"/>
      <c r="J20" s="317"/>
      <c r="K20" s="41">
        <f>SUM(K17:K19)</f>
        <v>8500</v>
      </c>
      <c r="L20" s="41">
        <f>SUM(L17:L19)</f>
        <v>0</v>
      </c>
      <c r="M20" s="41">
        <f>SUM(M17:M19)</f>
        <v>2062.9427115695298</v>
      </c>
      <c r="N20" s="42">
        <f>SUM(N17:N19)</f>
        <v>10562.942711569529</v>
      </c>
      <c r="Q20" s="318" t="s">
        <v>129</v>
      </c>
      <c r="R20" s="319"/>
      <c r="S20" s="319"/>
      <c r="T20" s="43">
        <f>SUM(T17:T19)</f>
        <v>650</v>
      </c>
      <c r="U20" s="44">
        <f>SUM(U17:U19)</f>
        <v>7850</v>
      </c>
      <c r="V20" s="112"/>
      <c r="W20" s="113"/>
      <c r="X20" s="45">
        <f>SUM(X17:X19)</f>
        <v>650</v>
      </c>
      <c r="Y20" s="46">
        <f t="shared" ref="Y20" si="2">IF(Q20&lt;&gt;"",X20+M20,"")</f>
        <v>2712.9427115695298</v>
      </c>
      <c r="Z20" s="94"/>
      <c r="AA20" s="114"/>
      <c r="AB20" s="270"/>
      <c r="AC20" s="271"/>
    </row>
    <row r="21" spans="1:30" ht="30" customHeight="1" thickBot="1" x14ac:dyDescent="0.45">
      <c r="A21" s="73">
        <v>7</v>
      </c>
      <c r="B21" s="92">
        <v>2</v>
      </c>
      <c r="C21" s="93" t="s">
        <v>100</v>
      </c>
      <c r="D21" s="73"/>
      <c r="E21" s="73"/>
      <c r="F21" s="302" t="s">
        <v>141</v>
      </c>
      <c r="G21" s="303"/>
      <c r="H21" s="303"/>
      <c r="I21" s="303"/>
      <c r="J21" s="303"/>
      <c r="K21" s="303"/>
      <c r="L21" s="303"/>
      <c r="M21" s="303"/>
      <c r="N21" s="304"/>
      <c r="Q21" s="292" t="str">
        <f>IF(F21&lt;&gt;"",F21,"")</f>
        <v xml:space="preserve">STAFF </v>
      </c>
      <c r="R21" s="293"/>
      <c r="S21" s="293"/>
      <c r="T21" s="293"/>
      <c r="U21" s="293"/>
      <c r="V21" s="293"/>
      <c r="W21" s="293"/>
      <c r="X21" s="293"/>
      <c r="Y21" s="294"/>
      <c r="AB21" s="270"/>
      <c r="AC21" s="271"/>
    </row>
    <row r="22" spans="1:30" ht="30" customHeight="1" x14ac:dyDescent="0.4">
      <c r="A22" s="73">
        <v>8</v>
      </c>
      <c r="B22" s="92" t="s">
        <v>112</v>
      </c>
      <c r="C22" s="93" t="s">
        <v>101</v>
      </c>
      <c r="D22" s="73"/>
      <c r="E22" s="73"/>
      <c r="F22" s="295" t="s">
        <v>141</v>
      </c>
      <c r="G22" s="296"/>
      <c r="H22" s="296"/>
      <c r="I22" s="296"/>
      <c r="J22" s="296"/>
      <c r="K22" s="297"/>
      <c r="L22" s="115" t="s">
        <v>103</v>
      </c>
      <c r="M22" s="116" t="s">
        <v>104</v>
      </c>
      <c r="N22" s="117" t="s">
        <v>78</v>
      </c>
      <c r="Q22" s="295" t="str">
        <f>IF(F22&lt;&gt;"",F22,"")</f>
        <v xml:space="preserve">STAFF </v>
      </c>
      <c r="R22" s="296"/>
      <c r="S22" s="296"/>
      <c r="T22" s="296"/>
      <c r="U22" s="296"/>
      <c r="V22" s="296"/>
      <c r="W22" s="296"/>
      <c r="X22" s="296"/>
      <c r="Y22" s="298"/>
      <c r="Z22" s="97" t="s">
        <v>105</v>
      </c>
      <c r="AA22" s="98" t="s">
        <v>79</v>
      </c>
      <c r="AB22" s="270"/>
      <c r="AC22" s="271"/>
    </row>
    <row r="23" spans="1:30" ht="80.099999999999994" customHeight="1" x14ac:dyDescent="0.4">
      <c r="A23" s="73">
        <v>9</v>
      </c>
      <c r="B23" s="92" t="s">
        <v>114</v>
      </c>
      <c r="C23" s="93" t="s">
        <v>106</v>
      </c>
      <c r="D23" s="73" t="s">
        <v>116</v>
      </c>
      <c r="E23" s="73" t="s">
        <v>117</v>
      </c>
      <c r="F23" s="118" t="s">
        <v>142</v>
      </c>
      <c r="G23" s="119" t="s">
        <v>143</v>
      </c>
      <c r="H23" s="120">
        <v>1</v>
      </c>
      <c r="I23" s="120">
        <v>4</v>
      </c>
      <c r="J23" s="121">
        <v>800</v>
      </c>
      <c r="K23" s="121">
        <f>IF(F23&lt;&gt;"",H23*I23*J23,"")</f>
        <v>3200</v>
      </c>
      <c r="L23" s="121">
        <f>IF(K23&lt;&gt;"",IF(D23="INTERNO",0,K23*$L$14),"")</f>
        <v>288</v>
      </c>
      <c r="M23" s="121">
        <f>IF(K23&lt;&gt;"",IF(E23="FAT.OGGI",SUM(K23:L23)*(1/(1-$M$14)-1),L23*(1/(1-$M$14)-1)),"")</f>
        <v>69.89735305082641</v>
      </c>
      <c r="N23" s="122">
        <f>SUM(K23:M23)</f>
        <v>3557.8973530508265</v>
      </c>
      <c r="Q23" s="123">
        <f t="shared" ref="Q23:Q24" si="3">IF(H23&lt;&gt;"",H23,"")</f>
        <v>1</v>
      </c>
      <c r="R23" s="124">
        <v>1</v>
      </c>
      <c r="S23" s="125">
        <v>4550</v>
      </c>
      <c r="T23" s="125">
        <f>IF(Q23&lt;&gt;"",Q23*R23*S23,"")</f>
        <v>4550</v>
      </c>
      <c r="U23" s="126">
        <f>IF(Q23&lt;&gt;"",K23-T23,"")</f>
        <v>-1350</v>
      </c>
      <c r="V23" s="127">
        <f>IF(Q23&lt;&gt;"",0%,"")</f>
        <v>0</v>
      </c>
      <c r="W23" s="128">
        <f>IF(Q23&lt;&gt;"",V23*U23,"")</f>
        <v>0</v>
      </c>
      <c r="X23" s="128">
        <v>4550</v>
      </c>
      <c r="Y23" s="129"/>
      <c r="Z23" s="129">
        <f t="shared" ref="Z23:AA23" si="4">IF(R23&lt;&gt;"",Y23+N23,"")</f>
        <v>3557.8973530508265</v>
      </c>
      <c r="AA23" s="129">
        <f t="shared" si="4"/>
        <v>3557.8973530508265</v>
      </c>
      <c r="AB23" s="270">
        <f t="shared" si="1"/>
        <v>0</v>
      </c>
      <c r="AC23" s="271">
        <v>4550</v>
      </c>
      <c r="AD23" s="272" t="s">
        <v>341</v>
      </c>
    </row>
    <row r="24" spans="1:30" ht="80.099999999999994" customHeight="1" x14ac:dyDescent="0.4">
      <c r="A24" s="73">
        <v>10</v>
      </c>
      <c r="B24" s="92" t="s">
        <v>115</v>
      </c>
      <c r="C24" s="93" t="s">
        <v>106</v>
      </c>
      <c r="D24" s="73" t="s">
        <v>116</v>
      </c>
      <c r="E24" s="73" t="s">
        <v>117</v>
      </c>
      <c r="F24" s="118" t="s">
        <v>144</v>
      </c>
      <c r="G24" s="119" t="s">
        <v>145</v>
      </c>
      <c r="H24" s="120">
        <v>1</v>
      </c>
      <c r="I24" s="120">
        <v>3</v>
      </c>
      <c r="J24" s="121">
        <v>600</v>
      </c>
      <c r="K24" s="121">
        <f>IF(F24&lt;&gt;"",H24*I24*J24,"")</f>
        <v>1800</v>
      </c>
      <c r="L24" s="121">
        <f>IF(K24&lt;&gt;"",IF(D24="INTERNO",0,K24*$L$14),"")</f>
        <v>162</v>
      </c>
      <c r="M24" s="121">
        <f>IF(K24&lt;&gt;"",IF(E24="FAT.OGGI",SUM(K24:L24)*(1/(1-$M$14)-1),L24*(1/(1-$M$14)-1)),"")</f>
        <v>39.317261091089861</v>
      </c>
      <c r="N24" s="122">
        <f>SUM(K24:M24)</f>
        <v>2001.3172610910899</v>
      </c>
      <c r="Q24" s="123">
        <f t="shared" si="3"/>
        <v>1</v>
      </c>
      <c r="R24" s="124">
        <v>1</v>
      </c>
      <c r="S24" s="125">
        <v>0</v>
      </c>
      <c r="T24" s="125">
        <f>IF(Q24&lt;&gt;"",Q24*R24*S24,"")</f>
        <v>0</v>
      </c>
      <c r="U24" s="126">
        <f>IF(Q24&lt;&gt;"",K24-T24,"")</f>
        <v>1800</v>
      </c>
      <c r="V24" s="127">
        <f>IF(Q24&lt;&gt;"",0%,"")</f>
        <v>0</v>
      </c>
      <c r="W24" s="128">
        <f>IF(Q24&lt;&gt;"",V24*U24,"")</f>
        <v>0</v>
      </c>
      <c r="X24" s="128">
        <f>IF(Q24&lt;&gt;"",W24+T24,"")</f>
        <v>0</v>
      </c>
      <c r="Y24" s="129">
        <v>0</v>
      </c>
      <c r="Z24" s="94">
        <f>IF(Q24&lt;&gt;"",U24/K24,"")</f>
        <v>1</v>
      </c>
      <c r="AA24" s="111">
        <f>T24/$T$26</f>
        <v>0</v>
      </c>
      <c r="AB24" s="270">
        <f t="shared" si="1"/>
        <v>0</v>
      </c>
      <c r="AC24" s="271"/>
    </row>
    <row r="25" spans="1:30" ht="80.099999999999994" customHeight="1" x14ac:dyDescent="0.4">
      <c r="A25" s="130">
        <v>11</v>
      </c>
      <c r="B25" s="92" t="s">
        <v>220</v>
      </c>
      <c r="C25" s="131" t="s">
        <v>106</v>
      </c>
      <c r="D25" s="73" t="s">
        <v>116</v>
      </c>
      <c r="E25" s="73" t="s">
        <v>117</v>
      </c>
      <c r="F25" s="132" t="s">
        <v>221</v>
      </c>
      <c r="G25" s="100" t="s">
        <v>222</v>
      </c>
      <c r="H25" s="101">
        <v>1</v>
      </c>
      <c r="I25" s="101">
        <v>4</v>
      </c>
      <c r="J25" s="102">
        <v>800</v>
      </c>
      <c r="K25" s="102">
        <f>IF(F25&lt;&gt;"",H25*I25*J25,"")</f>
        <v>3200</v>
      </c>
      <c r="L25" s="102">
        <f>IF(K25&lt;&gt;"",IF(D25="INTERNO",0,K25*$L$14),"")</f>
        <v>288</v>
      </c>
      <c r="M25" s="102">
        <f>IF(K25&lt;&gt;"",IF(E25="FAT.OGGI",SUM(K25:L25)*(1/(1-$M$14)-1),L25*(1/(1-$M$14)-1)),"")</f>
        <v>69.89735305082641</v>
      </c>
      <c r="N25" s="102">
        <f>SUM(K25:M25)</f>
        <v>3557.8973530508265</v>
      </c>
      <c r="Q25" s="133">
        <f>IF(H25&lt;&gt;"",H25,"")</f>
        <v>1</v>
      </c>
      <c r="R25" s="133">
        <v>1</v>
      </c>
      <c r="S25" s="134">
        <v>4452</v>
      </c>
      <c r="T25" s="134">
        <f>IF(Q25&lt;&gt;"",Q25*R25*S25,"")</f>
        <v>4452</v>
      </c>
      <c r="U25" s="135">
        <f>IF(Q25&lt;&gt;"",K25-T25,"")</f>
        <v>-1252</v>
      </c>
      <c r="V25" s="136">
        <f>IF(Q25&lt;&gt;"",0%,"")</f>
        <v>0</v>
      </c>
      <c r="W25" s="137">
        <f>IF(Q25&lt;&gt;"",V25*U25,"")</f>
        <v>0</v>
      </c>
      <c r="X25" s="137">
        <v>4452</v>
      </c>
      <c r="Y25" s="137">
        <v>4452</v>
      </c>
      <c r="Z25" s="111">
        <f>IF(Q25&lt;&gt;"",U25/K25,"")</f>
        <v>-0.39124999999999999</v>
      </c>
      <c r="AA25" s="114"/>
      <c r="AB25" s="270">
        <f t="shared" si="1"/>
        <v>0</v>
      </c>
      <c r="AC25" s="271">
        <f>3200+1252</f>
        <v>4452</v>
      </c>
      <c r="AD25" s="272" t="s">
        <v>342</v>
      </c>
    </row>
    <row r="26" spans="1:30" ht="30" customHeight="1" thickBot="1" x14ac:dyDescent="0.45">
      <c r="A26" s="138">
        <v>11</v>
      </c>
      <c r="B26" s="92"/>
      <c r="C26" s="139" t="s">
        <v>111</v>
      </c>
      <c r="D26" s="138"/>
      <c r="E26" s="138"/>
      <c r="F26" s="311" t="s">
        <v>146</v>
      </c>
      <c r="G26" s="306"/>
      <c r="H26" s="306"/>
      <c r="I26" s="306"/>
      <c r="J26" s="306"/>
      <c r="K26" s="54">
        <f>SUM(K23:K25)</f>
        <v>8200</v>
      </c>
      <c r="L26" s="54">
        <f>SUM(L23:L25)</f>
        <v>738</v>
      </c>
      <c r="M26" s="54">
        <f>SUM(M23:M25)</f>
        <v>179.11196719274267</v>
      </c>
      <c r="N26" s="55">
        <f>SUM(N23:N25)</f>
        <v>9117.1119671927427</v>
      </c>
      <c r="Q26" s="299" t="s">
        <v>146</v>
      </c>
      <c r="R26" s="300"/>
      <c r="S26" s="300"/>
      <c r="T26" s="47">
        <f>SUM(T23:T25)</f>
        <v>9002</v>
      </c>
      <c r="U26" s="52">
        <f>SUM(U23:U25)</f>
        <v>-802</v>
      </c>
      <c r="V26" s="140"/>
      <c r="W26" s="140"/>
      <c r="X26" s="53">
        <f>SUM(X23:X25)</f>
        <v>9002</v>
      </c>
      <c r="Y26" s="57">
        <f>IF(Q26&lt;&gt;"",X26+M26,"")</f>
        <v>9181.1119671927427</v>
      </c>
      <c r="AB26" s="270"/>
      <c r="AC26" s="271"/>
    </row>
    <row r="27" spans="1:30" ht="30" customHeight="1" thickBot="1" x14ac:dyDescent="0.45">
      <c r="A27" s="73">
        <v>12</v>
      </c>
      <c r="B27" s="92">
        <v>3</v>
      </c>
      <c r="C27" s="93" t="s">
        <v>100</v>
      </c>
      <c r="D27" s="73"/>
      <c r="E27" s="73"/>
      <c r="F27" s="302" t="s">
        <v>241</v>
      </c>
      <c r="G27" s="303"/>
      <c r="H27" s="303"/>
      <c r="I27" s="303"/>
      <c r="J27" s="303"/>
      <c r="K27" s="303"/>
      <c r="L27" s="303"/>
      <c r="M27" s="303"/>
      <c r="N27" s="304"/>
      <c r="Q27" s="308" t="str">
        <f>IF(F27&lt;&gt;"",F27,"")</f>
        <v xml:space="preserve">UNIFORME  </v>
      </c>
      <c r="R27" s="309"/>
      <c r="S27" s="309"/>
      <c r="T27" s="309"/>
      <c r="U27" s="309"/>
      <c r="V27" s="309"/>
      <c r="W27" s="309"/>
      <c r="X27" s="309"/>
      <c r="Y27" s="310"/>
      <c r="AB27" s="270"/>
      <c r="AC27" s="271"/>
    </row>
    <row r="28" spans="1:30" ht="30" customHeight="1" x14ac:dyDescent="0.4">
      <c r="A28" s="73">
        <v>13</v>
      </c>
      <c r="B28" s="92" t="s">
        <v>118</v>
      </c>
      <c r="C28" s="93" t="s">
        <v>101</v>
      </c>
      <c r="D28" s="73"/>
      <c r="E28" s="73"/>
      <c r="F28" s="295" t="s">
        <v>242</v>
      </c>
      <c r="G28" s="296"/>
      <c r="H28" s="296"/>
      <c r="I28" s="296"/>
      <c r="J28" s="296"/>
      <c r="K28" s="297"/>
      <c r="L28" s="115" t="s">
        <v>103</v>
      </c>
      <c r="M28" s="116" t="s">
        <v>104</v>
      </c>
      <c r="N28" s="117" t="s">
        <v>78</v>
      </c>
      <c r="Q28" s="295" t="str">
        <f>IF(F28&lt;&gt;"",F28,"")</f>
        <v xml:space="preserve">UNIFORME </v>
      </c>
      <c r="R28" s="296"/>
      <c r="S28" s="296"/>
      <c r="T28" s="296"/>
      <c r="U28" s="296"/>
      <c r="V28" s="296"/>
      <c r="W28" s="296"/>
      <c r="X28" s="296"/>
      <c r="Y28" s="298"/>
      <c r="Z28" s="97" t="s">
        <v>105</v>
      </c>
      <c r="AA28" s="98" t="s">
        <v>79</v>
      </c>
      <c r="AB28" s="270"/>
      <c r="AC28" s="271"/>
    </row>
    <row r="29" spans="1:30" ht="80.099999999999994" customHeight="1" x14ac:dyDescent="0.4">
      <c r="A29" s="73">
        <v>14</v>
      </c>
      <c r="B29" s="92" t="s">
        <v>201</v>
      </c>
      <c r="C29" s="93" t="s">
        <v>106</v>
      </c>
      <c r="D29" s="73" t="s">
        <v>116</v>
      </c>
      <c r="E29" s="73" t="s">
        <v>117</v>
      </c>
      <c r="F29" s="118" t="s">
        <v>147</v>
      </c>
      <c r="G29" s="119" t="s">
        <v>164</v>
      </c>
      <c r="H29" s="120">
        <v>21</v>
      </c>
      <c r="I29" s="120">
        <v>1</v>
      </c>
      <c r="J29" s="121">
        <v>89.99</v>
      </c>
      <c r="K29" s="121">
        <f t="shared" ref="K29:K30" si="5">IF(F29&lt;&gt;"",H29*I29*J29,"")</f>
        <v>1889.79</v>
      </c>
      <c r="L29" s="121">
        <f t="shared" ref="L29:L30" si="6">IF(K29&lt;&gt;"",IF(D29="INTERNO",0,K29*$L$14),"")</f>
        <v>170.08109999999999</v>
      </c>
      <c r="M29" s="121">
        <f t="shared" ref="M29:M30" si="7">IF(K29&lt;&gt;"",IF(E29="FAT.OGGI",SUM(K29:L29)*(1/(1-$M$14)-1),L29*(1/(1-$M$14)-1)),"")</f>
        <v>41.278537131850392</v>
      </c>
      <c r="N29" s="122">
        <f t="shared" ref="N29:N30" si="8">SUM(K29:M29)</f>
        <v>2101.1496371318503</v>
      </c>
      <c r="Q29" s="123">
        <v>1</v>
      </c>
      <c r="R29" s="124">
        <f t="shared" ref="R29" si="9">IF(I29&lt;&gt;"",I29,"")</f>
        <v>1</v>
      </c>
      <c r="S29" s="125">
        <v>1889.79</v>
      </c>
      <c r="T29" s="125">
        <v>1889.79</v>
      </c>
      <c r="U29" s="126">
        <f t="shared" ref="U29:U30" si="10">IF(Q29&lt;&gt;"",K29-T29,"")</f>
        <v>0</v>
      </c>
      <c r="V29" s="127">
        <f t="shared" ref="V29:V30" si="11">IF(Q29&lt;&gt;"",0%,"")</f>
        <v>0</v>
      </c>
      <c r="W29" s="128">
        <f t="shared" ref="W29:W30" si="12">IF(Q29&lt;&gt;"",V29*U29,"")</f>
        <v>0</v>
      </c>
      <c r="X29" s="128">
        <v>1889.79</v>
      </c>
      <c r="Y29" s="128">
        <v>1889.79</v>
      </c>
      <c r="Z29" s="128">
        <v>1889.79</v>
      </c>
      <c r="AA29" s="128">
        <v>1889.79</v>
      </c>
      <c r="AB29" s="270">
        <f t="shared" si="1"/>
        <v>0</v>
      </c>
      <c r="AC29" s="271">
        <v>1889.79</v>
      </c>
      <c r="AD29" s="272" t="s">
        <v>343</v>
      </c>
    </row>
    <row r="30" spans="1:30" ht="80.099999999999994" customHeight="1" x14ac:dyDescent="0.4">
      <c r="A30" s="73">
        <v>15</v>
      </c>
      <c r="B30" s="92" t="s">
        <v>119</v>
      </c>
      <c r="C30" s="93" t="s">
        <v>106</v>
      </c>
      <c r="D30" s="73" t="s">
        <v>116</v>
      </c>
      <c r="E30" s="73" t="s">
        <v>117</v>
      </c>
      <c r="F30" s="141" t="s">
        <v>219</v>
      </c>
      <c r="G30" s="100" t="s">
        <v>251</v>
      </c>
      <c r="H30" s="101">
        <v>1</v>
      </c>
      <c r="I30" s="101">
        <v>1</v>
      </c>
      <c r="J30" s="102">
        <v>1390</v>
      </c>
      <c r="K30" s="102">
        <f t="shared" si="5"/>
        <v>1390</v>
      </c>
      <c r="L30" s="102">
        <f t="shared" si="6"/>
        <v>125.1</v>
      </c>
      <c r="M30" s="102">
        <f t="shared" si="7"/>
        <v>30.361662731452725</v>
      </c>
      <c r="N30" s="103">
        <f t="shared" si="8"/>
        <v>1545.4616627314526</v>
      </c>
      <c r="Q30" s="142">
        <v>1</v>
      </c>
      <c r="R30" s="133">
        <v>1</v>
      </c>
      <c r="S30" s="134">
        <v>1116</v>
      </c>
      <c r="T30" s="134">
        <f t="shared" ref="T30" si="13">IF(Q30&lt;&gt;"",Q30*R30*S30,"")</f>
        <v>1116</v>
      </c>
      <c r="U30" s="135">
        <f t="shared" si="10"/>
        <v>274</v>
      </c>
      <c r="V30" s="136">
        <f t="shared" si="11"/>
        <v>0</v>
      </c>
      <c r="W30" s="137">
        <f t="shared" si="12"/>
        <v>0</v>
      </c>
      <c r="X30" s="137">
        <f t="shared" ref="X30" si="14">IF(Q30&lt;&gt;"",W30+T30,"")</f>
        <v>1116</v>
      </c>
      <c r="Y30" s="137">
        <v>1116</v>
      </c>
      <c r="Z30" s="94">
        <f t="shared" ref="Z30" si="15">IF(Q30&lt;&gt;"",U30/K30,"")</f>
        <v>0.19712230215827339</v>
      </c>
      <c r="AA30" s="111">
        <f>T30/$T$31</f>
        <v>0.37128342299362233</v>
      </c>
      <c r="AB30" s="270">
        <f t="shared" si="1"/>
        <v>0</v>
      </c>
      <c r="AC30" s="271">
        <v>1116</v>
      </c>
      <c r="AD30" s="272" t="s">
        <v>344</v>
      </c>
    </row>
    <row r="31" spans="1:30" ht="30" customHeight="1" thickBot="1" x14ac:dyDescent="0.45">
      <c r="A31" s="73">
        <v>16</v>
      </c>
      <c r="B31" s="92"/>
      <c r="C31" s="93" t="s">
        <v>111</v>
      </c>
      <c r="D31" s="73"/>
      <c r="E31" s="73"/>
      <c r="F31" s="299" t="s">
        <v>150</v>
      </c>
      <c r="G31" s="300"/>
      <c r="H31" s="300"/>
      <c r="I31" s="300"/>
      <c r="J31" s="300"/>
      <c r="K31" s="48">
        <f>SUM(K29:K30)</f>
        <v>3279.79</v>
      </c>
      <c r="L31" s="54">
        <f>SUM(L29:L30)</f>
        <v>295.18110000000001</v>
      </c>
      <c r="M31" s="54">
        <f>SUM(M29:M30)</f>
        <v>71.64019986330311</v>
      </c>
      <c r="N31" s="56">
        <f>SUM(N29:N30)</f>
        <v>3646.611299863303</v>
      </c>
      <c r="Q31" s="299" t="s">
        <v>150</v>
      </c>
      <c r="R31" s="300"/>
      <c r="S31" s="300"/>
      <c r="T31" s="47">
        <f>SUM(T29:T30)</f>
        <v>3005.79</v>
      </c>
      <c r="U31" s="52">
        <f>SUM(U29:U30)</f>
        <v>274</v>
      </c>
      <c r="V31" s="140"/>
      <c r="W31" s="140"/>
      <c r="X31" s="53">
        <f>SUM(X29:X30)</f>
        <v>3005.79</v>
      </c>
      <c r="Y31" s="57">
        <f t="shared" ref="Y31" si="16">IF(Q31&lt;&gt;"",X31+M31,"")</f>
        <v>3077.4301998633032</v>
      </c>
      <c r="AB31" s="270"/>
      <c r="AC31" s="271"/>
    </row>
    <row r="32" spans="1:30" ht="30" customHeight="1" thickBot="1" x14ac:dyDescent="0.45">
      <c r="A32" s="73">
        <v>17</v>
      </c>
      <c r="B32" s="92">
        <v>4</v>
      </c>
      <c r="C32" s="93" t="s">
        <v>100</v>
      </c>
      <c r="D32" s="73"/>
      <c r="E32" s="73"/>
      <c r="F32" s="292" t="s">
        <v>151</v>
      </c>
      <c r="G32" s="293"/>
      <c r="H32" s="293"/>
      <c r="I32" s="293"/>
      <c r="J32" s="293"/>
      <c r="K32" s="293"/>
      <c r="L32" s="293"/>
      <c r="M32" s="293"/>
      <c r="N32" s="294"/>
      <c r="Q32" s="308" t="str">
        <f>IF(F32&lt;&gt;"",F32,"")</f>
        <v>SALA DE APRESENTAÇÃO</v>
      </c>
      <c r="R32" s="309"/>
      <c r="S32" s="309"/>
      <c r="T32" s="309"/>
      <c r="U32" s="309"/>
      <c r="V32" s="309"/>
      <c r="W32" s="309"/>
      <c r="X32" s="309"/>
      <c r="Y32" s="310"/>
      <c r="AB32" s="270"/>
      <c r="AC32" s="271"/>
    </row>
    <row r="33" spans="1:30" ht="30" customHeight="1" x14ac:dyDescent="0.4">
      <c r="A33" s="73">
        <v>18</v>
      </c>
      <c r="B33" s="92" t="s">
        <v>120</v>
      </c>
      <c r="C33" s="93" t="s">
        <v>101</v>
      </c>
      <c r="D33" s="73"/>
      <c r="E33" s="73"/>
      <c r="F33" s="295" t="s">
        <v>151</v>
      </c>
      <c r="G33" s="296"/>
      <c r="H33" s="296"/>
      <c r="I33" s="296"/>
      <c r="J33" s="296"/>
      <c r="K33" s="297"/>
      <c r="L33" s="115" t="s">
        <v>103</v>
      </c>
      <c r="M33" s="116" t="s">
        <v>104</v>
      </c>
      <c r="N33" s="117" t="s">
        <v>78</v>
      </c>
      <c r="Q33" s="295" t="str">
        <f>IF(F33&lt;&gt;"",F33,"")</f>
        <v>SALA DE APRESENTAÇÃO</v>
      </c>
      <c r="R33" s="296"/>
      <c r="S33" s="296"/>
      <c r="T33" s="296"/>
      <c r="U33" s="296"/>
      <c r="V33" s="296"/>
      <c r="W33" s="296"/>
      <c r="X33" s="296"/>
      <c r="Y33" s="298"/>
      <c r="Z33" s="97" t="s">
        <v>105</v>
      </c>
      <c r="AA33" s="98" t="s">
        <v>79</v>
      </c>
      <c r="AB33" s="270"/>
      <c r="AC33" s="271"/>
    </row>
    <row r="34" spans="1:30" ht="80.099999999999994" customHeight="1" x14ac:dyDescent="0.4">
      <c r="A34" s="73">
        <v>19</v>
      </c>
      <c r="B34" s="92" t="s">
        <v>121</v>
      </c>
      <c r="C34" s="93" t="s">
        <v>106</v>
      </c>
      <c r="D34" s="73" t="s">
        <v>116</v>
      </c>
      <c r="E34" s="73" t="s">
        <v>117</v>
      </c>
      <c r="F34" s="118" t="s">
        <v>152</v>
      </c>
      <c r="G34" s="143" t="s">
        <v>330</v>
      </c>
      <c r="H34" s="120">
        <v>1</v>
      </c>
      <c r="I34" s="120">
        <v>1</v>
      </c>
      <c r="J34" s="121">
        <v>40000</v>
      </c>
      <c r="K34" s="121">
        <f t="shared" ref="K34:K36" si="17">IF(F34&lt;&gt;"",H34*I34*J34,"")</f>
        <v>40000</v>
      </c>
      <c r="L34" s="121">
        <f>IF(K34&lt;&gt;"",IF(D34="INTERNO",0,K34*$L$14),"")</f>
        <v>3600</v>
      </c>
      <c r="M34" s="121">
        <f t="shared" ref="M34:M36" si="18">IF(K34&lt;&gt;"",IF(E34="FAT.OGGI",SUM(K34:L34)*(1/(1-$M$14)-1),L34*(1/(1-$M$14)-1)),"")</f>
        <v>873.71691313533017</v>
      </c>
      <c r="N34" s="122">
        <f t="shared" ref="N34:N36" si="19">SUM(K34:M34)</f>
        <v>44473.716913135329</v>
      </c>
      <c r="O34" s="60" t="s">
        <v>165</v>
      </c>
      <c r="Q34" s="123">
        <f t="shared" ref="Q34:R36" si="20">IF(H34&lt;&gt;"",H34,"")</f>
        <v>1</v>
      </c>
      <c r="R34" s="124">
        <f t="shared" si="20"/>
        <v>1</v>
      </c>
      <c r="S34" s="125">
        <v>40000</v>
      </c>
      <c r="T34" s="125">
        <f t="shared" ref="T34" si="21">IF(Q34&lt;&gt;"",Q34*R34*S34,"")</f>
        <v>40000</v>
      </c>
      <c r="U34" s="126">
        <f t="shared" ref="U34:U36" si="22">IF(Q34&lt;&gt;"",K34-T34,"")</f>
        <v>0</v>
      </c>
      <c r="V34" s="127">
        <f t="shared" ref="V34:V36" si="23">IF(Q34&lt;&gt;"",0%,"")</f>
        <v>0</v>
      </c>
      <c r="W34" s="128">
        <f t="shared" ref="W34:W36" si="24">IF(Q34&lt;&gt;"",V34*U34,"")</f>
        <v>0</v>
      </c>
      <c r="X34" s="128">
        <f t="shared" ref="X34:X36" si="25">IF(Q34&lt;&gt;"",W34+T34,"")</f>
        <v>40000</v>
      </c>
      <c r="Y34" s="129">
        <v>40000</v>
      </c>
      <c r="Z34" s="94">
        <f t="shared" ref="Z34:Z36" si="26">IF(Q34&lt;&gt;"",U34/K34,"")</f>
        <v>0</v>
      </c>
      <c r="AA34" s="111">
        <f>T34/$T$37</f>
        <v>0.98425196850393704</v>
      </c>
      <c r="AB34" s="270">
        <f t="shared" si="1"/>
        <v>0</v>
      </c>
      <c r="AC34" s="271">
        <v>40000</v>
      </c>
      <c r="AD34" s="272" t="s">
        <v>345</v>
      </c>
    </row>
    <row r="35" spans="1:30" ht="80.099999999999994" customHeight="1" x14ac:dyDescent="0.4">
      <c r="A35" s="130">
        <v>20</v>
      </c>
      <c r="B35" s="92" t="s">
        <v>202</v>
      </c>
      <c r="C35" s="131" t="s">
        <v>106</v>
      </c>
      <c r="D35" s="73" t="s">
        <v>116</v>
      </c>
      <c r="E35" s="73" t="s">
        <v>117</v>
      </c>
      <c r="F35" s="141" t="s">
        <v>161</v>
      </c>
      <c r="G35" s="100" t="s">
        <v>236</v>
      </c>
      <c r="H35" s="101">
        <v>1</v>
      </c>
      <c r="I35" s="101">
        <v>1</v>
      </c>
      <c r="J35" s="102">
        <v>550</v>
      </c>
      <c r="K35" s="102">
        <f t="shared" si="17"/>
        <v>550</v>
      </c>
      <c r="L35" s="102">
        <f t="shared" ref="L35:L36" si="27">IF(K35&lt;&gt;"",IF(D35="INTERNO",0,K35*$L$14),"")</f>
        <v>49.5</v>
      </c>
      <c r="M35" s="102">
        <f t="shared" si="18"/>
        <v>12.01360755561079</v>
      </c>
      <c r="N35" s="103">
        <f t="shared" si="19"/>
        <v>611.51360755561075</v>
      </c>
      <c r="Q35" s="142">
        <f>IF(H35&lt;&gt;"",H35,"")</f>
        <v>1</v>
      </c>
      <c r="R35" s="133">
        <f>IF(I35&lt;&gt;"",I35,"")</f>
        <v>1</v>
      </c>
      <c r="S35" s="134">
        <v>60</v>
      </c>
      <c r="T35" s="134">
        <v>640</v>
      </c>
      <c r="U35" s="135">
        <f t="shared" si="22"/>
        <v>-90</v>
      </c>
      <c r="V35" s="136">
        <f t="shared" si="23"/>
        <v>0</v>
      </c>
      <c r="W35" s="137">
        <f t="shared" si="24"/>
        <v>0</v>
      </c>
      <c r="X35" s="137">
        <f t="shared" si="25"/>
        <v>640</v>
      </c>
      <c r="Y35" s="110">
        <v>640</v>
      </c>
      <c r="Z35" s="94">
        <f t="shared" si="26"/>
        <v>-0.16363636363636364</v>
      </c>
      <c r="AA35" s="111"/>
      <c r="AB35" s="270">
        <f t="shared" si="1"/>
        <v>0</v>
      </c>
      <c r="AC35" s="271">
        <f>580+60</f>
        <v>640</v>
      </c>
      <c r="AD35" s="272" t="s">
        <v>346</v>
      </c>
    </row>
    <row r="36" spans="1:30" ht="80.099999999999994" customHeight="1" x14ac:dyDescent="0.4">
      <c r="A36" s="138">
        <v>21</v>
      </c>
      <c r="B36" s="92" t="s">
        <v>126</v>
      </c>
      <c r="C36" s="139" t="s">
        <v>106</v>
      </c>
      <c r="D36" s="138" t="s">
        <v>116</v>
      </c>
      <c r="E36" s="138" t="s">
        <v>117</v>
      </c>
      <c r="F36" s="144" t="s">
        <v>153</v>
      </c>
      <c r="G36" s="145" t="s">
        <v>237</v>
      </c>
      <c r="H36" s="146">
        <v>1</v>
      </c>
      <c r="I36" s="146">
        <v>1</v>
      </c>
      <c r="J36" s="147">
        <v>4000</v>
      </c>
      <c r="K36" s="147">
        <f t="shared" si="17"/>
        <v>4000</v>
      </c>
      <c r="L36" s="147">
        <f t="shared" si="27"/>
        <v>360</v>
      </c>
      <c r="M36" s="147">
        <f t="shared" si="18"/>
        <v>87.37169131353302</v>
      </c>
      <c r="N36" s="148">
        <f t="shared" si="19"/>
        <v>4447.3716913135331</v>
      </c>
      <c r="Q36" s="149">
        <f t="shared" si="20"/>
        <v>1</v>
      </c>
      <c r="R36" s="150">
        <f t="shared" si="20"/>
        <v>1</v>
      </c>
      <c r="S36" s="151">
        <v>0</v>
      </c>
      <c r="T36" s="151">
        <v>0</v>
      </c>
      <c r="U36" s="152">
        <f t="shared" si="22"/>
        <v>4000</v>
      </c>
      <c r="V36" s="153">
        <f t="shared" si="23"/>
        <v>0</v>
      </c>
      <c r="W36" s="154">
        <f t="shared" si="24"/>
        <v>0</v>
      </c>
      <c r="X36" s="154">
        <f t="shared" si="25"/>
        <v>0</v>
      </c>
      <c r="Y36" s="155">
        <v>0</v>
      </c>
      <c r="Z36" s="94">
        <f t="shared" si="26"/>
        <v>1</v>
      </c>
      <c r="AA36" s="111">
        <f>T36/$T$37</f>
        <v>0</v>
      </c>
      <c r="AB36" s="270">
        <f t="shared" si="1"/>
        <v>0</v>
      </c>
      <c r="AC36" s="271">
        <v>0</v>
      </c>
    </row>
    <row r="37" spans="1:30" ht="30" customHeight="1" thickBot="1" x14ac:dyDescent="0.45">
      <c r="A37" s="138">
        <v>22</v>
      </c>
      <c r="B37" s="92"/>
      <c r="C37" s="139" t="s">
        <v>111</v>
      </c>
      <c r="D37" s="138"/>
      <c r="E37" s="138"/>
      <c r="F37" s="299" t="s">
        <v>154</v>
      </c>
      <c r="G37" s="300"/>
      <c r="H37" s="300"/>
      <c r="I37" s="300"/>
      <c r="J37" s="300"/>
      <c r="K37" s="48">
        <f>SUM(K34:K36)</f>
        <v>44550</v>
      </c>
      <c r="L37" s="54">
        <f>SUM(L34:L36)</f>
        <v>4009.5</v>
      </c>
      <c r="M37" s="54">
        <f>SUM(M34:M36)</f>
        <v>973.10221200447393</v>
      </c>
      <c r="N37" s="56">
        <f>SUM(N34:N36)</f>
        <v>49532.602212004473</v>
      </c>
      <c r="Q37" s="299" t="s">
        <v>154</v>
      </c>
      <c r="R37" s="300"/>
      <c r="S37" s="300"/>
      <c r="T37" s="47">
        <f>SUM(T34:T36)</f>
        <v>40640</v>
      </c>
      <c r="U37" s="52">
        <f>SUM(U34:U36)</f>
        <v>3910</v>
      </c>
      <c r="V37" s="140"/>
      <c r="W37" s="140"/>
      <c r="X37" s="53">
        <f>SUM(X34:X36)</f>
        <v>40640</v>
      </c>
      <c r="Y37" s="57">
        <f t="shared" ref="Y37" si="28">IF(Q37&lt;&gt;"",X37+M37,"")</f>
        <v>41613.102212004473</v>
      </c>
      <c r="AB37" s="270"/>
      <c r="AC37" s="271"/>
    </row>
    <row r="38" spans="1:30" ht="30" customHeight="1" thickBot="1" x14ac:dyDescent="0.45">
      <c r="A38" s="73">
        <v>23</v>
      </c>
      <c r="B38" s="92">
        <v>5</v>
      </c>
      <c r="C38" s="93" t="s">
        <v>100</v>
      </c>
      <c r="D38" s="73"/>
      <c r="E38" s="156"/>
      <c r="F38" s="301" t="s">
        <v>127</v>
      </c>
      <c r="G38" s="293"/>
      <c r="H38" s="293"/>
      <c r="I38" s="293"/>
      <c r="J38" s="293"/>
      <c r="K38" s="293"/>
      <c r="L38" s="293"/>
      <c r="M38" s="293"/>
      <c r="N38" s="294"/>
      <c r="Q38" s="302" t="str">
        <f>IF(F38&lt;&gt;"",F38,"")</f>
        <v>BRINDES</v>
      </c>
      <c r="R38" s="303"/>
      <c r="S38" s="303"/>
      <c r="T38" s="303"/>
      <c r="U38" s="303"/>
      <c r="V38" s="303"/>
      <c r="W38" s="303"/>
      <c r="X38" s="303"/>
      <c r="Y38" s="304"/>
      <c r="AB38" s="270"/>
      <c r="AC38" s="271"/>
    </row>
    <row r="39" spans="1:30" ht="30" customHeight="1" x14ac:dyDescent="0.4">
      <c r="A39" s="73">
        <v>24</v>
      </c>
      <c r="B39" s="92" t="s">
        <v>203</v>
      </c>
      <c r="C39" s="93" t="s">
        <v>101</v>
      </c>
      <c r="D39" s="73"/>
      <c r="E39" s="156"/>
      <c r="F39" s="305" t="s">
        <v>127</v>
      </c>
      <c r="G39" s="306"/>
      <c r="H39" s="306"/>
      <c r="I39" s="306"/>
      <c r="J39" s="306"/>
      <c r="K39" s="307"/>
      <c r="L39" s="157" t="s">
        <v>103</v>
      </c>
      <c r="M39" s="158" t="s">
        <v>104</v>
      </c>
      <c r="N39" s="159" t="s">
        <v>78</v>
      </c>
      <c r="Q39" s="295" t="str">
        <f>IF(F39&lt;&gt;"",F39,"")</f>
        <v>BRINDES</v>
      </c>
      <c r="R39" s="296"/>
      <c r="S39" s="296"/>
      <c r="T39" s="296"/>
      <c r="U39" s="296"/>
      <c r="V39" s="296"/>
      <c r="W39" s="296"/>
      <c r="X39" s="296"/>
      <c r="Y39" s="296"/>
      <c r="Z39" s="98" t="s">
        <v>105</v>
      </c>
      <c r="AA39" s="98" t="s">
        <v>79</v>
      </c>
      <c r="AB39" s="270"/>
      <c r="AC39" s="271"/>
    </row>
    <row r="40" spans="1:30" ht="80.099999999999994" customHeight="1" x14ac:dyDescent="0.4">
      <c r="A40" s="73">
        <v>26</v>
      </c>
      <c r="B40" s="92" t="s">
        <v>204</v>
      </c>
      <c r="C40" s="93" t="s">
        <v>106</v>
      </c>
      <c r="D40" s="73" t="s">
        <v>116</v>
      </c>
      <c r="E40" s="73" t="s">
        <v>117</v>
      </c>
      <c r="F40" s="160" t="s">
        <v>233</v>
      </c>
      <c r="G40" s="161" t="s">
        <v>238</v>
      </c>
      <c r="H40" s="162">
        <v>400</v>
      </c>
      <c r="I40" s="162">
        <v>1</v>
      </c>
      <c r="J40" s="163">
        <v>48</v>
      </c>
      <c r="K40" s="163">
        <f>IF(F40&lt;&gt;"",H40*I40*J40,"")</f>
        <v>19200</v>
      </c>
      <c r="L40" s="163">
        <f>IF(K40&lt;&gt;"",IF(D40="INTERNO",0,K40*$L$14),"")</f>
        <v>1728</v>
      </c>
      <c r="M40" s="163">
        <f>IF(K40&lt;&gt;"",IF(E40="FAT.OGGI",SUM(K40:L40)*(1/(1-$M$14)-1),L40*(1/(1-$M$14)-1)),"")</f>
        <v>419.38411830495852</v>
      </c>
      <c r="N40" s="163">
        <f>SUM(K40:M40)</f>
        <v>21347.384118304959</v>
      </c>
      <c r="Q40" s="164">
        <v>1</v>
      </c>
      <c r="R40" s="164">
        <f t="shared" ref="Q40:R42" si="29">IF(I40&lt;&gt;"",I40,"")</f>
        <v>1</v>
      </c>
      <c r="S40" s="165">
        <v>13300</v>
      </c>
      <c r="T40" s="165">
        <f>IF(Q40&lt;&gt;"",Q40*R40*S40,"")</f>
        <v>13300</v>
      </c>
      <c r="U40" s="166">
        <f>IF(Q40&lt;&gt;"",K40-T40,"")</f>
        <v>5900</v>
      </c>
      <c r="V40" s="167">
        <f>IF(Q40&lt;&gt;"",0%,"")</f>
        <v>0</v>
      </c>
      <c r="W40" s="168">
        <f>IF(Q40&lt;&gt;"",V40*U40,"")</f>
        <v>0</v>
      </c>
      <c r="X40" s="168">
        <f>IF(Q40&lt;&gt;"",W40+T40,"")</f>
        <v>13300</v>
      </c>
      <c r="Y40" s="45">
        <v>13300</v>
      </c>
      <c r="Z40" s="169">
        <f>IF(Q40&lt;&gt;"",U40/K40,"")</f>
        <v>0.30729166666666669</v>
      </c>
      <c r="AA40" s="170"/>
      <c r="AB40" s="270">
        <f t="shared" si="1"/>
        <v>0</v>
      </c>
      <c r="AC40" s="271">
        <f>500+1900+2600+2600+5700</f>
        <v>13300</v>
      </c>
      <c r="AD40" s="272" t="s">
        <v>348</v>
      </c>
    </row>
    <row r="41" spans="1:30" ht="80.099999999999994" customHeight="1" x14ac:dyDescent="0.4">
      <c r="A41" s="130">
        <v>27</v>
      </c>
      <c r="B41" s="92" t="s">
        <v>205</v>
      </c>
      <c r="C41" s="131" t="s">
        <v>106</v>
      </c>
      <c r="D41" s="73" t="s">
        <v>116</v>
      </c>
      <c r="E41" s="73" t="s">
        <v>117</v>
      </c>
      <c r="F41" s="171" t="s">
        <v>269</v>
      </c>
      <c r="G41" s="172" t="s">
        <v>270</v>
      </c>
      <c r="H41" s="173">
        <v>1</v>
      </c>
      <c r="I41" s="173">
        <v>1</v>
      </c>
      <c r="J41" s="174">
        <v>1379.88</v>
      </c>
      <c r="K41" s="174">
        <f>IF(F41&lt;&gt;"",H41*I41*J41,"")</f>
        <v>1379.88</v>
      </c>
      <c r="L41" s="174">
        <f>IF(K41&lt;&gt;"",IF(D41="INTERNO",0,K41*$L$14),"")</f>
        <v>124.1892</v>
      </c>
      <c r="M41" s="174">
        <f>IF(K41&lt;&gt;"",IF(E41="FAT.OGGI",SUM(K41:L41)*(1/(1-$M$14)-1),L41*(1/(1-$M$14)-1)),"")</f>
        <v>30.140612352429486</v>
      </c>
      <c r="N41" s="174">
        <f>SUM(K41:M41)</f>
        <v>1534.2098123524297</v>
      </c>
      <c r="Q41" s="175">
        <f>IF(H41&lt;&gt;"",H41,"")</f>
        <v>1</v>
      </c>
      <c r="R41" s="175">
        <f>IF(I41&lt;&gt;"",I41,"")</f>
        <v>1</v>
      </c>
      <c r="S41" s="176">
        <v>1379.88</v>
      </c>
      <c r="T41" s="176">
        <f>IF(Q41&lt;&gt;"",Q41*R41*S41,"")</f>
        <v>1379.88</v>
      </c>
      <c r="U41" s="177">
        <f>IF(Q41&lt;&gt;"",K41-T41,"")</f>
        <v>0</v>
      </c>
      <c r="V41" s="178">
        <f>IF(Q41&lt;&gt;"",0%,"")</f>
        <v>0</v>
      </c>
      <c r="W41" s="179">
        <f>IF(Q41&lt;&gt;"",V41*U41,"")</f>
        <v>0</v>
      </c>
      <c r="X41" s="179">
        <f>IF(Q41&lt;&gt;"",W41+T41,"")</f>
        <v>1379.88</v>
      </c>
      <c r="Y41" s="180">
        <v>1379.88</v>
      </c>
      <c r="Z41" s="169">
        <f>IF(Q41&lt;&gt;"",U41/K41,"")</f>
        <v>0</v>
      </c>
      <c r="AA41" s="170"/>
      <c r="AB41" s="270">
        <f t="shared" si="1"/>
        <v>0</v>
      </c>
      <c r="AC41" s="271">
        <v>1379.88</v>
      </c>
      <c r="AD41" s="272" t="s">
        <v>349</v>
      </c>
    </row>
    <row r="42" spans="1:30" ht="80.099999999999994" customHeight="1" x14ac:dyDescent="0.4">
      <c r="A42" s="138">
        <v>27</v>
      </c>
      <c r="B42" s="92" t="s">
        <v>223</v>
      </c>
      <c r="C42" s="139" t="s">
        <v>106</v>
      </c>
      <c r="D42" s="138" t="s">
        <v>116</v>
      </c>
      <c r="E42" s="138" t="s">
        <v>117</v>
      </c>
      <c r="F42" s="181" t="s">
        <v>234</v>
      </c>
      <c r="G42" s="182" t="s">
        <v>240</v>
      </c>
      <c r="H42" s="183">
        <v>1</v>
      </c>
      <c r="I42" s="183">
        <v>1</v>
      </c>
      <c r="J42" s="184">
        <v>550</v>
      </c>
      <c r="K42" s="184">
        <f>IF(F42&lt;&gt;"",H42*I42*J42,"")</f>
        <v>550</v>
      </c>
      <c r="L42" s="184">
        <f>IF(K42&lt;&gt;"",IF(D42="INTERNO",0,K42*$L$14),"")</f>
        <v>49.5</v>
      </c>
      <c r="M42" s="184">
        <f>IF(K42&lt;&gt;"",IF(E42="FAT.OGGI",SUM(K42:L42)*(1/(1-$M$14)-1),L42*(1/(1-$M$14)-1)),"")</f>
        <v>12.01360755561079</v>
      </c>
      <c r="N42" s="184">
        <f>SUM(K42:M42)</f>
        <v>611.51360755561075</v>
      </c>
      <c r="Q42" s="185">
        <f t="shared" si="29"/>
        <v>1</v>
      </c>
      <c r="R42" s="185">
        <f t="shared" si="29"/>
        <v>1</v>
      </c>
      <c r="S42" s="186">
        <v>580</v>
      </c>
      <c r="T42" s="186">
        <v>0</v>
      </c>
      <c r="U42" s="187">
        <f>IF(Q42&lt;&gt;"",K42-T42,"")</f>
        <v>550</v>
      </c>
      <c r="V42" s="188">
        <f>IF(Q42&lt;&gt;"",0%,"")</f>
        <v>0</v>
      </c>
      <c r="W42" s="189">
        <f>IF(Q42&lt;&gt;"",V42*U42,"")</f>
        <v>0</v>
      </c>
      <c r="X42" s="189">
        <f>IF(Q42&lt;&gt;"",W42+T42,"")</f>
        <v>0</v>
      </c>
      <c r="Y42" s="190">
        <f>IF(Q42&lt;&gt;"",X42+M42,"")</f>
        <v>12.01360755561079</v>
      </c>
      <c r="Z42" s="169">
        <f>IF(Q42&lt;&gt;"",U42/K42,"")</f>
        <v>1</v>
      </c>
      <c r="AA42" s="170"/>
      <c r="AB42" s="270">
        <f t="shared" si="1"/>
        <v>0</v>
      </c>
      <c r="AC42" s="271"/>
    </row>
    <row r="43" spans="1:30" ht="80.099999999999994" customHeight="1" x14ac:dyDescent="0.4">
      <c r="A43" s="73">
        <v>28</v>
      </c>
      <c r="B43" s="92" t="s">
        <v>224</v>
      </c>
      <c r="C43" s="93" t="s">
        <v>106</v>
      </c>
      <c r="D43" s="73" t="s">
        <v>116</v>
      </c>
      <c r="E43" s="73" t="s">
        <v>117</v>
      </c>
      <c r="F43" s="171" t="s">
        <v>235</v>
      </c>
      <c r="G43" s="172" t="s">
        <v>239</v>
      </c>
      <c r="H43" s="173">
        <v>200</v>
      </c>
      <c r="I43" s="173">
        <v>1</v>
      </c>
      <c r="J43" s="174">
        <v>16</v>
      </c>
      <c r="K43" s="174">
        <f>IF(F43&lt;&gt;"",H43*I43*J43,"")</f>
        <v>3200</v>
      </c>
      <c r="L43" s="163">
        <f>IF(K43&lt;&gt;"",IF(D43="INTERNO",0,K43*$L$14),"")</f>
        <v>288</v>
      </c>
      <c r="M43" s="163">
        <f>IF(K43&lt;&gt;"",IF(E43="FAT.OGGI",SUM(K43:L43)*(1/(1-$M$14)-1),L43*(1/(1-$M$14)-1)),"")</f>
        <v>69.89735305082641</v>
      </c>
      <c r="N43" s="174">
        <f>SUM(K43:M43)</f>
        <v>3557.8973530508265</v>
      </c>
      <c r="Q43" s="175">
        <v>1</v>
      </c>
      <c r="R43" s="175">
        <f>IF(I43&lt;&gt;"",I43,"")</f>
        <v>1</v>
      </c>
      <c r="S43" s="176">
        <v>2025</v>
      </c>
      <c r="T43" s="176">
        <f>IF(Q43&lt;&gt;"",Q43*R43*S43,"")</f>
        <v>2025</v>
      </c>
      <c r="U43" s="177">
        <f>IF(Q43&lt;&gt;"",K43-T43,"")</f>
        <v>1175</v>
      </c>
      <c r="V43" s="178">
        <f>IF(Q43&lt;&gt;"",0%,"")</f>
        <v>0</v>
      </c>
      <c r="W43" s="179">
        <f>IF(Q43&lt;&gt;"",V43*U43,"")</f>
        <v>0</v>
      </c>
      <c r="X43" s="179">
        <f>IF(Q43&lt;&gt;"",W43+T43,"")</f>
        <v>2025</v>
      </c>
      <c r="Y43" s="180">
        <v>2025</v>
      </c>
      <c r="Z43" s="169">
        <f>IF(Q43&lt;&gt;"",U43/K43,"")</f>
        <v>0.3671875</v>
      </c>
      <c r="AA43" s="170"/>
      <c r="AB43" s="270">
        <f t="shared" si="1"/>
        <v>0</v>
      </c>
      <c r="AC43" s="271">
        <v>2025</v>
      </c>
      <c r="AD43" s="272" t="s">
        <v>350</v>
      </c>
    </row>
    <row r="44" spans="1:30" ht="30" customHeight="1" x14ac:dyDescent="0.4">
      <c r="A44" s="130">
        <v>29</v>
      </c>
      <c r="B44" s="92">
        <v>6</v>
      </c>
      <c r="C44" s="131" t="s">
        <v>100</v>
      </c>
      <c r="D44" s="130"/>
      <c r="E44" s="191"/>
      <c r="F44" s="280" t="s">
        <v>249</v>
      </c>
      <c r="G44" s="281"/>
      <c r="H44" s="281"/>
      <c r="I44" s="281"/>
      <c r="J44" s="281"/>
      <c r="K44" s="281"/>
      <c r="L44" s="281"/>
      <c r="M44" s="281"/>
      <c r="N44" s="281"/>
      <c r="Q44" s="282" t="str">
        <f>IF(F44&lt;&gt;"",F44,"")</f>
        <v xml:space="preserve">CREDENCIAL EXTRA  </v>
      </c>
      <c r="R44" s="282"/>
      <c r="S44" s="282"/>
      <c r="T44" s="282"/>
      <c r="U44" s="282"/>
      <c r="V44" s="282"/>
      <c r="W44" s="282"/>
      <c r="X44" s="282"/>
      <c r="Y44" s="283"/>
      <c r="Z44" s="169"/>
      <c r="AA44" s="170"/>
      <c r="AB44" s="270"/>
      <c r="AC44" s="271"/>
    </row>
    <row r="45" spans="1:30" ht="30" customHeight="1" x14ac:dyDescent="0.4">
      <c r="A45" s="138">
        <v>29</v>
      </c>
      <c r="B45" s="92" t="s">
        <v>231</v>
      </c>
      <c r="C45" s="139" t="s">
        <v>101</v>
      </c>
      <c r="D45" s="138"/>
      <c r="E45" s="192"/>
      <c r="F45" s="286" t="s">
        <v>249</v>
      </c>
      <c r="G45" s="285"/>
      <c r="H45" s="285"/>
      <c r="I45" s="285"/>
      <c r="J45" s="285"/>
      <c r="K45" s="287"/>
      <c r="L45" s="193" t="s">
        <v>103</v>
      </c>
      <c r="M45" s="194" t="s">
        <v>104</v>
      </c>
      <c r="N45" s="195" t="s">
        <v>78</v>
      </c>
      <c r="Q45" s="288" t="str">
        <f>IF(F45&lt;&gt;"",F45,"")</f>
        <v xml:space="preserve">CREDENCIAL EXTRA  </v>
      </c>
      <c r="R45" s="288"/>
      <c r="S45" s="288"/>
      <c r="T45" s="288"/>
      <c r="U45" s="288"/>
      <c r="V45" s="288"/>
      <c r="W45" s="288"/>
      <c r="X45" s="288"/>
      <c r="Y45" s="288"/>
      <c r="Z45" s="196" t="s">
        <v>105</v>
      </c>
      <c r="AA45" s="98" t="s">
        <v>79</v>
      </c>
      <c r="AB45" s="270"/>
      <c r="AC45" s="271"/>
    </row>
    <row r="46" spans="1:30" ht="80.099999999999994" customHeight="1" x14ac:dyDescent="0.4">
      <c r="A46" s="73">
        <v>30</v>
      </c>
      <c r="B46" s="92" t="s">
        <v>232</v>
      </c>
      <c r="C46" s="93" t="s">
        <v>106</v>
      </c>
      <c r="D46" s="73" t="s">
        <v>116</v>
      </c>
      <c r="E46" s="73" t="s">
        <v>117</v>
      </c>
      <c r="F46" s="160" t="s">
        <v>248</v>
      </c>
      <c r="G46" s="161" t="s">
        <v>331</v>
      </c>
      <c r="H46" s="162">
        <v>1</v>
      </c>
      <c r="I46" s="162">
        <v>1</v>
      </c>
      <c r="J46" s="163">
        <v>31025</v>
      </c>
      <c r="K46" s="163">
        <f>IF(F46&lt;&gt;"",H46*I46*J46,"")</f>
        <v>31025</v>
      </c>
      <c r="L46" s="163">
        <f>IF(K46&lt;&gt;"",IF(D46="INTERNO",0,K46*$L$14),"")</f>
        <v>2792.25</v>
      </c>
      <c r="M46" s="163">
        <f>IF(K46&lt;&gt;"",IF(E46="FAT.OGGI",SUM(K46:L46)*(1/(1-$M$14)-1),L46*(1/(1-$M$14)-1)),"")</f>
        <v>677.67668075059055</v>
      </c>
      <c r="N46" s="163">
        <f>SUM(K46:M46)</f>
        <v>34494.926680750592</v>
      </c>
      <c r="Q46" s="164">
        <f>IF(H46&lt;&gt;"",H46,"")</f>
        <v>1</v>
      </c>
      <c r="R46" s="164">
        <f>IF(I46&lt;&gt;"",I46,"")</f>
        <v>1</v>
      </c>
      <c r="S46" s="165">
        <v>35025</v>
      </c>
      <c r="T46" s="165">
        <f>IF(Q46&lt;&gt;"",Q46*R46*S46,"")</f>
        <v>35025</v>
      </c>
      <c r="U46" s="166">
        <f>IF(Q46&lt;&gt;"",K46-T46,"")</f>
        <v>-4000</v>
      </c>
      <c r="V46" s="167">
        <f>IF(Q46&lt;&gt;"",0%,"")</f>
        <v>0</v>
      </c>
      <c r="W46" s="168">
        <f>IF(Q46&lt;&gt;"",V46*U46,"")</f>
        <v>0</v>
      </c>
      <c r="X46" s="168">
        <f>IF(Q46&lt;&gt;"",W46+T46,"")</f>
        <v>35025</v>
      </c>
      <c r="Y46" s="45">
        <v>35025</v>
      </c>
      <c r="Z46" s="169">
        <f>IF(Q46&lt;&gt;"",U46/K46,"")</f>
        <v>-0.128928283642224</v>
      </c>
      <c r="AA46" s="170"/>
      <c r="AB46" s="270">
        <f t="shared" si="1"/>
        <v>0</v>
      </c>
      <c r="AC46" s="271">
        <v>35025</v>
      </c>
      <c r="AD46" s="272" t="s">
        <v>347</v>
      </c>
    </row>
    <row r="47" spans="1:30" ht="80.099999999999994" customHeight="1" x14ac:dyDescent="0.4">
      <c r="A47" s="130">
        <v>31</v>
      </c>
      <c r="B47" s="92" t="s">
        <v>259</v>
      </c>
      <c r="C47" s="131" t="s">
        <v>106</v>
      </c>
      <c r="D47" s="73" t="s">
        <v>116</v>
      </c>
      <c r="E47" s="73" t="s">
        <v>117</v>
      </c>
      <c r="F47" s="171" t="s">
        <v>260</v>
      </c>
      <c r="G47" s="172" t="s">
        <v>261</v>
      </c>
      <c r="H47" s="173">
        <v>1</v>
      </c>
      <c r="I47" s="173">
        <v>1</v>
      </c>
      <c r="J47" s="174">
        <v>6152.47</v>
      </c>
      <c r="K47" s="174">
        <f>IF(F47&lt;&gt;"",H47*I47*J47,"")</f>
        <v>6152.47</v>
      </c>
      <c r="L47" s="174">
        <f>IF(K47&lt;&gt;"",IF(D47="INTERNO",0,K47*$L$14),"")</f>
        <v>553.72230000000002</v>
      </c>
      <c r="M47" s="174">
        <f>IF(K47&lt;&gt;"",IF(E47="FAT.OGGI",SUM(K47:L47)*(1/(1-$M$14)-1),L47*(1/(1-$M$14)-1)),"")</f>
        <v>134.38792741394315</v>
      </c>
      <c r="N47" s="174">
        <f>SUM(K47:M47)</f>
        <v>6840.5802274139442</v>
      </c>
      <c r="Q47" s="175">
        <f>IF(H47&lt;&gt;"",H47,"")</f>
        <v>1</v>
      </c>
      <c r="R47" s="175">
        <f>IF(I47&lt;&gt;"",I47,"")</f>
        <v>1</v>
      </c>
      <c r="S47" s="176">
        <v>6152.47</v>
      </c>
      <c r="T47" s="176">
        <f>IF(Q47&lt;&gt;"",Q47*R47*S47,"")</f>
        <v>6152.47</v>
      </c>
      <c r="U47" s="177">
        <f>IF(Q47&lt;&gt;"",K47-T47,"")</f>
        <v>0</v>
      </c>
      <c r="V47" s="178">
        <f>IF(Q47&lt;&gt;"",0%,"")</f>
        <v>0</v>
      </c>
      <c r="W47" s="179">
        <f>IF(Q47&lt;&gt;"",V47*U47,"")</f>
        <v>0</v>
      </c>
      <c r="X47" s="179">
        <f>IF(Q47&lt;&gt;"",W47+T47,"")</f>
        <v>6152.47</v>
      </c>
      <c r="Y47" s="180">
        <v>6152.47</v>
      </c>
      <c r="Z47" s="169">
        <f>IF(Q47&lt;&gt;"",U47/K47,"")</f>
        <v>0</v>
      </c>
      <c r="AA47" s="170"/>
      <c r="AB47" s="270">
        <f t="shared" si="1"/>
        <v>0</v>
      </c>
      <c r="AC47" s="271">
        <v>6152.47</v>
      </c>
      <c r="AD47" s="272" t="s">
        <v>351</v>
      </c>
    </row>
    <row r="48" spans="1:30" ht="30" customHeight="1" thickBot="1" x14ac:dyDescent="0.45">
      <c r="A48" s="138">
        <v>23</v>
      </c>
      <c r="B48" s="92">
        <v>7</v>
      </c>
      <c r="C48" s="139" t="s">
        <v>100</v>
      </c>
      <c r="D48" s="138"/>
      <c r="E48" s="138"/>
      <c r="F48" s="289" t="s">
        <v>155</v>
      </c>
      <c r="G48" s="290"/>
      <c r="H48" s="290"/>
      <c r="I48" s="290"/>
      <c r="J48" s="290"/>
      <c r="K48" s="290"/>
      <c r="L48" s="290"/>
      <c r="M48" s="290"/>
      <c r="N48" s="291"/>
      <c r="Q48" s="292" t="str">
        <f>IF(F48&lt;&gt;"",F48,"")</f>
        <v xml:space="preserve">LOGISTICA / OPERACIONAL </v>
      </c>
      <c r="R48" s="293"/>
      <c r="S48" s="293"/>
      <c r="T48" s="293"/>
      <c r="U48" s="293"/>
      <c r="V48" s="293"/>
      <c r="W48" s="293"/>
      <c r="X48" s="293"/>
      <c r="Y48" s="294"/>
      <c r="AB48" s="270"/>
      <c r="AC48" s="271"/>
    </row>
    <row r="49" spans="1:30" ht="30" customHeight="1" x14ac:dyDescent="0.4">
      <c r="A49" s="73">
        <v>24</v>
      </c>
      <c r="B49" s="92" t="s">
        <v>243</v>
      </c>
      <c r="C49" s="93" t="s">
        <v>101</v>
      </c>
      <c r="D49" s="73"/>
      <c r="E49" s="73"/>
      <c r="F49" s="295" t="s">
        <v>155</v>
      </c>
      <c r="G49" s="296"/>
      <c r="H49" s="296"/>
      <c r="I49" s="296"/>
      <c r="J49" s="296"/>
      <c r="K49" s="297"/>
      <c r="L49" s="115" t="s">
        <v>103</v>
      </c>
      <c r="M49" s="116" t="s">
        <v>104</v>
      </c>
      <c r="N49" s="117" t="s">
        <v>78</v>
      </c>
      <c r="Q49" s="295" t="str">
        <f>IF(F49&lt;&gt;"",F49,"")</f>
        <v xml:space="preserve">LOGISTICA / OPERACIONAL </v>
      </c>
      <c r="R49" s="296"/>
      <c r="S49" s="296"/>
      <c r="T49" s="296"/>
      <c r="U49" s="296"/>
      <c r="V49" s="296"/>
      <c r="W49" s="296"/>
      <c r="X49" s="296"/>
      <c r="Y49" s="298"/>
      <c r="Z49" s="97" t="s">
        <v>105</v>
      </c>
      <c r="AA49" s="98" t="s">
        <v>79</v>
      </c>
      <c r="AB49" s="270"/>
      <c r="AC49" s="271"/>
    </row>
    <row r="50" spans="1:30" ht="80.099999999999994" customHeight="1" x14ac:dyDescent="0.4">
      <c r="A50" s="138">
        <v>25</v>
      </c>
      <c r="B50" s="92" t="s">
        <v>244</v>
      </c>
      <c r="C50" s="139" t="s">
        <v>106</v>
      </c>
      <c r="D50" s="138" t="s">
        <v>116</v>
      </c>
      <c r="E50" s="138" t="s">
        <v>117</v>
      </c>
      <c r="F50" s="197" t="s">
        <v>156</v>
      </c>
      <c r="G50" s="145" t="s">
        <v>157</v>
      </c>
      <c r="H50" s="198">
        <v>1</v>
      </c>
      <c r="I50" s="198">
        <v>1</v>
      </c>
      <c r="J50" s="199">
        <v>5500</v>
      </c>
      <c r="K50" s="199">
        <f t="shared" ref="K50:K53" si="30">IF(F50&lt;&gt;"",H50*I50*J50,"")</f>
        <v>5500</v>
      </c>
      <c r="L50" s="199">
        <f t="shared" ref="L50:L53" si="31">IF(K50&lt;&gt;"",IF(D50="INTERNO",0,K50*$L$14),"")</f>
        <v>495</v>
      </c>
      <c r="M50" s="199">
        <f t="shared" ref="M50:M53" si="32">IF(K50&lt;&gt;"",IF(E50="FAT.OGGI",SUM(K50:L50)*(1/(1-$M$14)-1),L50*(1/(1-$M$14)-1)),"")</f>
        <v>120.13607555610791</v>
      </c>
      <c r="N50" s="200">
        <f t="shared" ref="N50:N53" si="33">SUM(K50:M50)</f>
        <v>6115.1360755561082</v>
      </c>
      <c r="Q50" s="149">
        <f t="shared" ref="Q50:R53" si="34">IF(H50&lt;&gt;"",H50,"")</f>
        <v>1</v>
      </c>
      <c r="R50" s="150">
        <f t="shared" si="34"/>
        <v>1</v>
      </c>
      <c r="S50" s="151">
        <v>2500</v>
      </c>
      <c r="T50" s="151">
        <v>2195.75</v>
      </c>
      <c r="U50" s="152">
        <f t="shared" ref="U50:U53" si="35">IF(Q50&lt;&gt;"",K50-T50,"")</f>
        <v>3304.25</v>
      </c>
      <c r="V50" s="153">
        <f t="shared" ref="V50:V53" si="36">IF(Q50&lt;&gt;"",0%,"")</f>
        <v>0</v>
      </c>
      <c r="W50" s="154">
        <f t="shared" ref="W50:W53" si="37">IF(Q50&lt;&gt;"",V50*U50,"")</f>
        <v>0</v>
      </c>
      <c r="X50" s="154">
        <f t="shared" ref="X50:X53" si="38">IF(Q50&lt;&gt;"",W50+T50,"")</f>
        <v>2195.75</v>
      </c>
      <c r="Y50" s="155">
        <f t="shared" ref="Y50:Y54" si="39">IF(Q50&lt;&gt;"",X50+M50,"")</f>
        <v>2315.8860755561077</v>
      </c>
      <c r="Z50" s="94">
        <f t="shared" ref="Z50:Z53" si="40">IF(Q50&lt;&gt;"",U50/K50,"")</f>
        <v>0.60077272727272724</v>
      </c>
      <c r="AA50" s="111">
        <f>T50/$T$54</f>
        <v>0.23284976510885588</v>
      </c>
      <c r="AB50" s="270">
        <f t="shared" si="1"/>
        <v>0</v>
      </c>
      <c r="AC50" s="271">
        <v>2195.75</v>
      </c>
      <c r="AD50" s="272" t="s">
        <v>353</v>
      </c>
    </row>
    <row r="51" spans="1:30" ht="80.099999999999994" customHeight="1" x14ac:dyDescent="0.4">
      <c r="A51" s="73">
        <v>26</v>
      </c>
      <c r="B51" s="92" t="s">
        <v>245</v>
      </c>
      <c r="C51" s="93" t="s">
        <v>106</v>
      </c>
      <c r="D51" s="138" t="s">
        <v>116</v>
      </c>
      <c r="E51" s="138" t="s">
        <v>117</v>
      </c>
      <c r="F51" s="201" t="s">
        <v>225</v>
      </c>
      <c r="G51" s="119" t="s">
        <v>226</v>
      </c>
      <c r="H51" s="120">
        <v>1</v>
      </c>
      <c r="I51" s="120">
        <v>4</v>
      </c>
      <c r="J51" s="121">
        <v>650</v>
      </c>
      <c r="K51" s="121">
        <f>IF(F51&lt;&gt;"",H51*I51*J51,"")</f>
        <v>2600</v>
      </c>
      <c r="L51" s="121">
        <f>IF(K51&lt;&gt;"",IF(D51="INTERNO",0,K51*$L$14),"")</f>
        <v>234</v>
      </c>
      <c r="M51" s="121">
        <f>IF(K51&lt;&gt;"",IF(E51="FAT.OGGI",SUM(K51:L51)*(1/(1-$M$14)-1),L51*(1/(1-$M$14)-1)),"")</f>
        <v>56.791599353796464</v>
      </c>
      <c r="N51" s="121">
        <f>SUM(K51:M51)</f>
        <v>2890.7915993537963</v>
      </c>
      <c r="O51" s="60" t="s">
        <v>299</v>
      </c>
      <c r="Q51" s="124">
        <f>IF(H51&lt;&gt;"",H51,"")</f>
        <v>1</v>
      </c>
      <c r="R51" s="124">
        <v>1</v>
      </c>
      <c r="S51" s="125">
        <v>800</v>
      </c>
      <c r="T51" s="125">
        <v>0</v>
      </c>
      <c r="U51" s="126">
        <f>IF(Q51&lt;&gt;"",K51-T51,"")</f>
        <v>2600</v>
      </c>
      <c r="V51" s="127">
        <f>IF(Q51&lt;&gt;"",0%,"")</f>
        <v>0</v>
      </c>
      <c r="W51" s="128">
        <f>IF(Q51&lt;&gt;"",V51*U51,"")</f>
        <v>0</v>
      </c>
      <c r="X51" s="128">
        <f>IF(Q51&lt;&gt;"",W51+T51,"")</f>
        <v>0</v>
      </c>
      <c r="Y51" s="113">
        <f>IF(Q51&lt;&gt;"",X51+M51,"")</f>
        <v>56.791599353796464</v>
      </c>
      <c r="Z51" s="111">
        <f>IF(Q51&lt;&gt;"",U51/K51,"")</f>
        <v>1</v>
      </c>
      <c r="AA51" s="202"/>
      <c r="AB51" s="270">
        <f t="shared" si="1"/>
        <v>0</v>
      </c>
      <c r="AC51" s="271"/>
    </row>
    <row r="52" spans="1:30" ht="80.099999999999994" customHeight="1" x14ac:dyDescent="0.4">
      <c r="A52" s="73">
        <v>27</v>
      </c>
      <c r="B52" s="92" t="s">
        <v>246</v>
      </c>
      <c r="C52" s="93" t="s">
        <v>106</v>
      </c>
      <c r="D52" s="138" t="s">
        <v>116</v>
      </c>
      <c r="E52" s="138" t="s">
        <v>117</v>
      </c>
      <c r="F52" s="132" t="s">
        <v>230</v>
      </c>
      <c r="G52" s="100" t="s">
        <v>227</v>
      </c>
      <c r="H52" s="101">
        <v>1</v>
      </c>
      <c r="I52" s="101">
        <v>1</v>
      </c>
      <c r="J52" s="102">
        <v>4000</v>
      </c>
      <c r="K52" s="102">
        <f>IF(F52&lt;&gt;"",H52*I52*J52,"")</f>
        <v>4000</v>
      </c>
      <c r="L52" s="102">
        <f>IF(K52&lt;&gt;"",IF(D52="INTERNO",0,K52*$L$14),"")</f>
        <v>360</v>
      </c>
      <c r="M52" s="102">
        <f>IF(K52&lt;&gt;"",IF(E52="FAT.OGGI",SUM(K52:L52)*(1/(1-$M$14)-1),L52*(1/(1-$M$14)-1)),"")</f>
        <v>87.37169131353302</v>
      </c>
      <c r="N52" s="102">
        <f>SUM(K52:M52)</f>
        <v>4447.3716913135331</v>
      </c>
      <c r="O52" s="60" t="s">
        <v>299</v>
      </c>
      <c r="Q52" s="124">
        <f>IF(H52&lt;&gt;"",H52,"")</f>
        <v>1</v>
      </c>
      <c r="R52" s="124">
        <f>IF(I52&lt;&gt;"",I52,"")</f>
        <v>1</v>
      </c>
      <c r="S52" s="203">
        <v>3934.15</v>
      </c>
      <c r="T52" s="203">
        <v>0</v>
      </c>
      <c r="U52" s="126">
        <f>IF(Q52&lt;&gt;"",K52-T52,"")</f>
        <v>4000</v>
      </c>
      <c r="V52" s="127">
        <f>IF(Q52&lt;&gt;"",0%,"")</f>
        <v>0</v>
      </c>
      <c r="W52" s="128">
        <f>IF(Q52&lt;&gt;"",V52*U52,"")</f>
        <v>0</v>
      </c>
      <c r="X52" s="128">
        <f>IF(Q52&lt;&gt;"",W52+T52,"")</f>
        <v>0</v>
      </c>
      <c r="Y52" s="113">
        <f>IF(Q52&lt;&gt;"",X52+M52,"")</f>
        <v>87.37169131353302</v>
      </c>
      <c r="Z52" s="111">
        <f>IF(Q52&lt;&gt;"",U52/K52,"")</f>
        <v>1</v>
      </c>
      <c r="AA52" s="202"/>
      <c r="AB52" s="270">
        <f t="shared" si="1"/>
        <v>0</v>
      </c>
      <c r="AC52" s="271"/>
    </row>
    <row r="53" spans="1:30" ht="80.099999999999994" customHeight="1" thickBot="1" x14ac:dyDescent="0.45">
      <c r="A53" s="138">
        <v>26</v>
      </c>
      <c r="B53" s="92" t="s">
        <v>247</v>
      </c>
      <c r="C53" s="139" t="s">
        <v>106</v>
      </c>
      <c r="D53" s="138" t="s">
        <v>116</v>
      </c>
      <c r="E53" s="138" t="s">
        <v>117</v>
      </c>
      <c r="F53" s="204" t="s">
        <v>158</v>
      </c>
      <c r="G53" s="205" t="s">
        <v>229</v>
      </c>
      <c r="H53" s="206">
        <v>1</v>
      </c>
      <c r="I53" s="206">
        <v>1</v>
      </c>
      <c r="J53" s="207">
        <v>3000</v>
      </c>
      <c r="K53" s="207">
        <f t="shared" si="30"/>
        <v>3000</v>
      </c>
      <c r="L53" s="207">
        <f t="shared" si="31"/>
        <v>270</v>
      </c>
      <c r="M53" s="207">
        <f t="shared" si="32"/>
        <v>65.528768485149769</v>
      </c>
      <c r="N53" s="208">
        <f t="shared" si="33"/>
        <v>3335.5287684851496</v>
      </c>
      <c r="Q53" s="209">
        <f t="shared" si="34"/>
        <v>1</v>
      </c>
      <c r="R53" s="210">
        <f t="shared" si="34"/>
        <v>1</v>
      </c>
      <c r="S53" s="211">
        <v>1487.24</v>
      </c>
      <c r="T53" s="211">
        <v>7234.15</v>
      </c>
      <c r="U53" s="212">
        <f t="shared" si="35"/>
        <v>-4234.1499999999996</v>
      </c>
      <c r="V53" s="213">
        <f t="shared" si="36"/>
        <v>0</v>
      </c>
      <c r="W53" s="214">
        <f t="shared" si="37"/>
        <v>0</v>
      </c>
      <c r="X53" s="214">
        <f t="shared" si="38"/>
        <v>7234.15</v>
      </c>
      <c r="Y53" s="215">
        <f t="shared" si="39"/>
        <v>7299.6787684851497</v>
      </c>
      <c r="Z53" s="216">
        <f t="shared" si="40"/>
        <v>-1.4113833333333332</v>
      </c>
      <c r="AA53" s="202">
        <f>T53/$T$54</f>
        <v>0.76715023489114409</v>
      </c>
      <c r="AB53" s="270">
        <f t="shared" si="1"/>
        <v>0</v>
      </c>
      <c r="AC53" s="271">
        <f>3934.15+800+2500</f>
        <v>7234.15</v>
      </c>
      <c r="AD53" s="272" t="s">
        <v>352</v>
      </c>
    </row>
    <row r="54" spans="1:30" ht="30" customHeight="1" thickBot="1" x14ac:dyDescent="0.45">
      <c r="A54" s="73">
        <v>27</v>
      </c>
      <c r="B54" s="92"/>
      <c r="C54" s="93" t="s">
        <v>111</v>
      </c>
      <c r="D54" s="73"/>
      <c r="E54" s="73"/>
      <c r="F54" s="284"/>
      <c r="G54" s="285"/>
      <c r="H54" s="285"/>
      <c r="I54" s="285"/>
      <c r="J54" s="285"/>
      <c r="K54" s="54">
        <f>SUM(K50:K53)</f>
        <v>15100</v>
      </c>
      <c r="L54" s="54">
        <f>SUM(L50:L53)</f>
        <v>1359</v>
      </c>
      <c r="M54" s="54">
        <f>SUM(M50:M53)</f>
        <v>329.82813470858719</v>
      </c>
      <c r="N54" s="55">
        <f>SUM(N50:N53)</f>
        <v>16788.828134708587</v>
      </c>
      <c r="Q54" s="284" t="s">
        <v>160</v>
      </c>
      <c r="R54" s="285"/>
      <c r="S54" s="285"/>
      <c r="T54" s="49">
        <f>SUM(T50:T53)</f>
        <v>9429.9</v>
      </c>
      <c r="U54" s="50">
        <f>SUM(U50:U53)</f>
        <v>5670.1</v>
      </c>
      <c r="V54" s="217"/>
      <c r="W54" s="217"/>
      <c r="X54" s="51">
        <f>SUM(X50:X53)</f>
        <v>9429.9</v>
      </c>
      <c r="Y54" s="58">
        <f t="shared" si="39"/>
        <v>9759.7281347085864</v>
      </c>
      <c r="Z54" s="218" t="s">
        <v>123</v>
      </c>
      <c r="AA54" s="219" t="s">
        <v>124</v>
      </c>
      <c r="AB54" s="270"/>
      <c r="AC54" s="271"/>
    </row>
    <row r="55" spans="1:30" ht="30" customHeight="1" thickBot="1" x14ac:dyDescent="0.45">
      <c r="A55" s="130">
        <v>28</v>
      </c>
      <c r="B55" s="220"/>
      <c r="C55" s="131" t="s">
        <v>122</v>
      </c>
      <c r="D55" s="130"/>
      <c r="E55" s="130"/>
      <c r="F55" s="221" t="s">
        <v>250</v>
      </c>
      <c r="G55" s="222"/>
      <c r="H55" s="223"/>
      <c r="I55" s="223"/>
      <c r="J55" s="222"/>
      <c r="K55" s="224">
        <f>SUM(K17:K19)+SUM(K23:K25)+SUM(K29:K30)+SUM(K34:K36)+SUM(K40:K43)+SUM(K46:K47)+SUM(K50:K53)</f>
        <v>141137.14000000001</v>
      </c>
      <c r="L55" s="224">
        <f>SUM(L17:L19)+SUM(L23:L25)+SUM(L29:L30)+SUM(L34:L36)+SUM(L40:L43)+SUM(L46:L47)+SUM(L50:L53)</f>
        <v>11937.3426</v>
      </c>
      <c r="M55" s="224">
        <f>SUM(M17:M19)+SUM(M23:M25)+SUM(M29:M30)+SUM(M34:M36)+SUM(M40:M43)+SUM(M46:M47)+SUM(M50:M53)</f>
        <v>4960.125524766996</v>
      </c>
      <c r="N55" s="225">
        <f>SUM(N17:N19)+SUM(N23:N25)+SUM(N29:N30)+SUM(N34:N36)+SUM(N40:N43)+SUM(N46:N47)+SUM(N50:N53)</f>
        <v>158034.60812476696</v>
      </c>
      <c r="Q55" s="226" t="s">
        <v>43</v>
      </c>
      <c r="R55" s="223"/>
      <c r="S55" s="222"/>
      <c r="T55" s="224">
        <f>SUM(T17:T19)+SUM(T23:T25)+SUM(T29:T30)+SUM(T34:T36)+SUM(T40:T43)+SUM(T46:T47)+SUM(T50:T53)</f>
        <v>120610.04</v>
      </c>
      <c r="U55" s="224">
        <f>SUM(U17:U19)+SUM(U23:U25)+SUM(U29:U30)+SUM(U34:U36)+SUM(U40:U43)+SUM(U46:U47)+SUM(U50:U53)</f>
        <v>20527.099999999999</v>
      </c>
      <c r="V55" s="222"/>
      <c r="W55" s="222"/>
      <c r="X55" s="224">
        <f>SUM(X17:X19)+SUM(X23:X25)+SUM(X29:X30)+SUM(X34:X36)+SUM(X40:X43)+SUM(X46:X47)+SUM(X50:X53)</f>
        <v>120610.04</v>
      </c>
      <c r="Y55" s="225">
        <f>SUM(Y17:Y19)+SUM(Y23:Y25)+SUM(Y29:Y30)+SUM(Y34:Y36)+SUM(Y40:Y43)+SUM(Y46:Y47)+SUM(Y50:Y53)</f>
        <v>116401.88174226419</v>
      </c>
      <c r="Z55" s="227">
        <f>IF(Q55&lt;&gt;"",(N55-Y55)/N55,"")</f>
        <v>0.26344056454795078</v>
      </c>
      <c r="AA55" s="228">
        <f>IF(Z55&lt;&gt;"",(N55-Y55),"")</f>
        <v>41632.726382502777</v>
      </c>
      <c r="AB55" s="270">
        <f>SUM(AB17:AB54)</f>
        <v>0</v>
      </c>
      <c r="AC55" s="271">
        <f>SUM(AC17:AC54)</f>
        <v>120610.04000000001</v>
      </c>
    </row>
    <row r="57" spans="1:30" x14ac:dyDescent="0.35">
      <c r="N57" s="229"/>
    </row>
    <row r="58" spans="1:30" x14ac:dyDescent="0.35">
      <c r="AC58" s="273"/>
      <c r="AD58" s="277" t="s">
        <v>339</v>
      </c>
    </row>
    <row r="59" spans="1:30" x14ac:dyDescent="0.35">
      <c r="AC59" s="278">
        <f>X55</f>
        <v>120610.04</v>
      </c>
      <c r="AD59" s="277" t="s">
        <v>340</v>
      </c>
    </row>
    <row r="60" spans="1:30" x14ac:dyDescent="0.35">
      <c r="AC60" s="278">
        <f>N55-X55</f>
        <v>37424.568124766971</v>
      </c>
      <c r="AD60" s="277" t="s">
        <v>336</v>
      </c>
    </row>
    <row r="61" spans="1:30" x14ac:dyDescent="0.35">
      <c r="AC61" s="279">
        <f>AC60*100%/N55</f>
        <v>0.23681248410614336</v>
      </c>
      <c r="AD61" s="274"/>
    </row>
    <row r="62" spans="1:30" x14ac:dyDescent="0.35">
      <c r="AC62" s="273"/>
      <c r="AD62" s="274"/>
    </row>
  </sheetData>
  <autoFilter ref="A1:AD14" xr:uid="{107B9E09-8154-459A-AE62-6A4242823A27}">
    <filterColumn colId="5" showButton="0"/>
  </autoFilter>
  <mergeCells count="44">
    <mergeCell ref="F1:G1"/>
    <mergeCell ref="F2:G2"/>
    <mergeCell ref="Q12:T12"/>
    <mergeCell ref="F15:N15"/>
    <mergeCell ref="Q15:Y15"/>
    <mergeCell ref="U12:X12"/>
    <mergeCell ref="AB15:AC15"/>
    <mergeCell ref="AB16:AC16"/>
    <mergeCell ref="F21:N21"/>
    <mergeCell ref="Q21:Y21"/>
    <mergeCell ref="F22:K22"/>
    <mergeCell ref="Q22:Y22"/>
    <mergeCell ref="F20:J20"/>
    <mergeCell ref="Q20:S20"/>
    <mergeCell ref="F16:K16"/>
    <mergeCell ref="Q16:Y16"/>
    <mergeCell ref="F26:J26"/>
    <mergeCell ref="Q26:S26"/>
    <mergeCell ref="F27:N27"/>
    <mergeCell ref="Q27:Y27"/>
    <mergeCell ref="F28:K28"/>
    <mergeCell ref="Q28:Y28"/>
    <mergeCell ref="F31:J31"/>
    <mergeCell ref="Q31:S31"/>
    <mergeCell ref="F32:N32"/>
    <mergeCell ref="Q32:Y32"/>
    <mergeCell ref="F33:K33"/>
    <mergeCell ref="Q33:Y33"/>
    <mergeCell ref="F37:J37"/>
    <mergeCell ref="Q37:S37"/>
    <mergeCell ref="F38:N38"/>
    <mergeCell ref="Q38:Y38"/>
    <mergeCell ref="F39:K39"/>
    <mergeCell ref="Q39:Y39"/>
    <mergeCell ref="F44:N44"/>
    <mergeCell ref="Q44:Y44"/>
    <mergeCell ref="F54:J54"/>
    <mergeCell ref="Q54:S54"/>
    <mergeCell ref="F45:K45"/>
    <mergeCell ref="Q45:Y45"/>
    <mergeCell ref="F48:N48"/>
    <mergeCell ref="Q48:Y48"/>
    <mergeCell ref="F49:K49"/>
    <mergeCell ref="Q49:Y49"/>
  </mergeCells>
  <dataValidations disablePrompts="1" count="3">
    <dataValidation type="list" allowBlank="1" showInputMessage="1" showErrorMessage="1" sqref="E55" xr:uid="{17F2BC7B-9D85-4BEE-8B29-4D7A5E2DD035}">
      <formula1>"FAT.OGGI,FAT.CLIENTE "</formula1>
    </dataValidation>
    <dataValidation type="list" allowBlank="1" showInputMessage="1" showErrorMessage="1" sqref="D23:D25 D29:D30 D55 D17:D20 D50:D53 D34:D36 D40:D47" xr:uid="{D59E80B9-C4B4-4FF9-B674-29DE93014B5F}">
      <formula1>"INTERNO,OPERACIONAL"</formula1>
    </dataValidation>
    <dataValidation type="list" allowBlank="1" showInputMessage="1" showErrorMessage="1" sqref="E23:E25 E29:E30 E17:E20 E50:E53 E34:E36 E40:E47" xr:uid="{B05E9598-DF8D-4A5E-8830-5C2A747C18CA}">
      <formula1>"FAT.OGGI,FAT.CLIENTE"</formula1>
    </dataValidation>
  </dataValidations>
  <pageMargins left="0.511811024" right="0.511811024" top="0.78740157499999996" bottom="0.78740157499999996" header="0.31496062000000002" footer="0.31496062000000002"/>
  <pageSetup paperSize="9" orientation="portrait" horizontalDpi="360" verticalDpi="36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C3C35-C715-4E1B-8C6F-64ECF3B892BB}">
  <sheetPr codeName="Planilha3"/>
  <dimension ref="A8:L39"/>
  <sheetViews>
    <sheetView zoomScale="70" zoomScaleNormal="70" workbookViewId="0">
      <selection activeCell="A8" sqref="A8"/>
    </sheetView>
  </sheetViews>
  <sheetFormatPr defaultColWidth="46.33203125" defaultRowHeight="14.4" x14ac:dyDescent="0.3"/>
  <cols>
    <col min="1" max="1" width="7.109375" bestFit="1" customWidth="1"/>
    <col min="2" max="2" width="23.109375" customWidth="1"/>
    <col min="3" max="3" width="50" customWidth="1"/>
    <col min="4" max="4" width="54.44140625" bestFit="1" customWidth="1"/>
    <col min="5" max="5" width="73.109375" customWidth="1"/>
    <col min="6" max="6" width="20.6640625" bestFit="1" customWidth="1"/>
    <col min="7" max="7" width="20.88671875" bestFit="1" customWidth="1"/>
    <col min="8" max="8" width="11.6640625" bestFit="1" customWidth="1"/>
    <col min="9" max="9" width="13.33203125" customWidth="1"/>
  </cols>
  <sheetData>
    <row r="8" spans="1:12" ht="16.2" x14ac:dyDescent="0.35">
      <c r="A8" s="24" t="s">
        <v>48</v>
      </c>
      <c r="B8" s="24" t="s">
        <v>49</v>
      </c>
      <c r="C8" s="24" t="s">
        <v>50</v>
      </c>
      <c r="D8" s="24" t="s">
        <v>51</v>
      </c>
      <c r="E8" s="24" t="s">
        <v>52</v>
      </c>
      <c r="F8" s="24" t="s">
        <v>53</v>
      </c>
      <c r="G8" s="25" t="s">
        <v>46</v>
      </c>
      <c r="H8" s="25" t="s">
        <v>47</v>
      </c>
      <c r="I8" s="25" t="s">
        <v>9</v>
      </c>
      <c r="J8" s="25" t="s">
        <v>10</v>
      </c>
      <c r="K8" s="25" t="s">
        <v>54</v>
      </c>
      <c r="L8" s="25" t="s">
        <v>55</v>
      </c>
    </row>
    <row r="9" spans="1:12" x14ac:dyDescent="0.3">
      <c r="A9">
        <v>18</v>
      </c>
      <c r="B9" t="s">
        <v>140</v>
      </c>
      <c r="C9" t="s">
        <v>140</v>
      </c>
      <c r="D9" t="s">
        <v>147</v>
      </c>
      <c r="E9" t="s">
        <v>164</v>
      </c>
      <c r="F9" t="s">
        <v>166</v>
      </c>
      <c r="G9" t="s">
        <v>139</v>
      </c>
      <c r="H9" t="s">
        <v>169</v>
      </c>
      <c r="I9" t="s">
        <v>168</v>
      </c>
      <c r="J9" t="s">
        <v>11</v>
      </c>
      <c r="K9" t="s">
        <v>167</v>
      </c>
      <c r="L9" t="s">
        <v>11</v>
      </c>
    </row>
    <row r="10" spans="1:12" x14ac:dyDescent="0.3">
      <c r="A10">
        <v>27</v>
      </c>
      <c r="B10" t="s">
        <v>151</v>
      </c>
      <c r="C10" t="s">
        <v>151</v>
      </c>
      <c r="D10" t="s">
        <v>161</v>
      </c>
      <c r="E10" t="s">
        <v>174</v>
      </c>
      <c r="F10" t="s">
        <v>170</v>
      </c>
      <c r="G10" t="s">
        <v>139</v>
      </c>
      <c r="H10" t="s">
        <v>175</v>
      </c>
      <c r="I10" t="s">
        <v>173</v>
      </c>
      <c r="J10" t="s">
        <v>171</v>
      </c>
      <c r="K10" t="s">
        <v>172</v>
      </c>
      <c r="L10" t="s">
        <v>11</v>
      </c>
    </row>
    <row r="11" spans="1:12" x14ac:dyDescent="0.3">
      <c r="A11">
        <v>19</v>
      </c>
      <c r="B11" t="s">
        <v>140</v>
      </c>
      <c r="C11" t="s">
        <v>140</v>
      </c>
      <c r="D11" t="s">
        <v>148</v>
      </c>
      <c r="E11" t="s">
        <v>149</v>
      </c>
      <c r="F11" t="s">
        <v>176</v>
      </c>
      <c r="G11" t="s">
        <v>139</v>
      </c>
      <c r="H11" t="s">
        <v>175</v>
      </c>
      <c r="I11" t="s">
        <v>177</v>
      </c>
      <c r="J11" t="s">
        <v>171</v>
      </c>
      <c r="K11" t="s">
        <v>172</v>
      </c>
      <c r="L11" t="s">
        <v>11</v>
      </c>
    </row>
    <row r="12" spans="1:12" x14ac:dyDescent="0.3">
      <c r="A12">
        <v>36</v>
      </c>
      <c r="B12" t="s">
        <v>127</v>
      </c>
      <c r="C12" t="s">
        <v>127</v>
      </c>
      <c r="D12" t="s">
        <v>128</v>
      </c>
      <c r="E12" t="s">
        <v>182</v>
      </c>
      <c r="F12" t="s">
        <v>176</v>
      </c>
      <c r="G12" t="s">
        <v>139</v>
      </c>
      <c r="H12" t="s">
        <v>175</v>
      </c>
      <c r="I12" t="s">
        <v>181</v>
      </c>
      <c r="J12" t="s">
        <v>178</v>
      </c>
      <c r="K12" t="s">
        <v>179</v>
      </c>
      <c r="L12" t="s">
        <v>180</v>
      </c>
    </row>
    <row r="13" spans="1:12" x14ac:dyDescent="0.3">
      <c r="A13">
        <v>27</v>
      </c>
      <c r="B13" t="s">
        <v>151</v>
      </c>
      <c r="C13" t="s">
        <v>151</v>
      </c>
      <c r="D13" t="s">
        <v>161</v>
      </c>
      <c r="E13" t="s">
        <v>174</v>
      </c>
      <c r="F13" t="s">
        <v>176</v>
      </c>
      <c r="G13" t="s">
        <v>139</v>
      </c>
      <c r="H13" t="s">
        <v>175</v>
      </c>
      <c r="I13" t="s">
        <v>183</v>
      </c>
      <c r="J13" t="s">
        <v>178</v>
      </c>
      <c r="K13" t="s">
        <v>179</v>
      </c>
      <c r="L13" t="s">
        <v>180</v>
      </c>
    </row>
    <row r="14" spans="1:12" x14ac:dyDescent="0.3">
      <c r="A14">
        <v>46</v>
      </c>
      <c r="B14" t="s">
        <v>155</v>
      </c>
      <c r="C14" t="s">
        <v>155</v>
      </c>
      <c r="D14" t="s">
        <v>158</v>
      </c>
      <c r="E14" t="s">
        <v>159</v>
      </c>
      <c r="F14" t="s">
        <v>176</v>
      </c>
      <c r="G14" t="s">
        <v>139</v>
      </c>
      <c r="H14" t="s">
        <v>186</v>
      </c>
      <c r="I14" t="s">
        <v>183</v>
      </c>
      <c r="J14" t="s">
        <v>184</v>
      </c>
      <c r="K14" t="s">
        <v>185</v>
      </c>
      <c r="L14" t="s">
        <v>11</v>
      </c>
    </row>
    <row r="15" spans="1:12" x14ac:dyDescent="0.3">
      <c r="A15">
        <v>46</v>
      </c>
      <c r="B15" t="s">
        <v>155</v>
      </c>
      <c r="C15" t="s">
        <v>155</v>
      </c>
      <c r="D15" t="s">
        <v>158</v>
      </c>
      <c r="E15" t="s">
        <v>159</v>
      </c>
      <c r="F15" t="s">
        <v>176</v>
      </c>
      <c r="G15" t="s">
        <v>139</v>
      </c>
      <c r="H15" t="s">
        <v>175</v>
      </c>
      <c r="I15" t="s">
        <v>189</v>
      </c>
      <c r="J15" t="s">
        <v>187</v>
      </c>
      <c r="K15" t="s">
        <v>188</v>
      </c>
      <c r="L15" t="s">
        <v>11</v>
      </c>
    </row>
    <row r="16" spans="1:12" x14ac:dyDescent="0.3">
      <c r="A16">
        <v>46</v>
      </c>
      <c r="B16" t="s">
        <v>155</v>
      </c>
      <c r="C16" t="s">
        <v>155</v>
      </c>
      <c r="D16" t="s">
        <v>158</v>
      </c>
      <c r="E16" t="s">
        <v>159</v>
      </c>
      <c r="F16" t="s">
        <v>176</v>
      </c>
      <c r="G16" t="s">
        <v>139</v>
      </c>
      <c r="H16" t="s">
        <v>175</v>
      </c>
      <c r="I16" t="s">
        <v>192</v>
      </c>
      <c r="J16" t="s">
        <v>190</v>
      </c>
      <c r="K16" t="s">
        <v>191</v>
      </c>
      <c r="L16" t="s">
        <v>11</v>
      </c>
    </row>
    <row r="17" spans="1:12" ht="331.2" x14ac:dyDescent="0.3">
      <c r="A17">
        <v>25</v>
      </c>
      <c r="B17" t="s">
        <v>151</v>
      </c>
      <c r="C17" t="s">
        <v>151</v>
      </c>
      <c r="D17" t="s">
        <v>152</v>
      </c>
      <c r="E17" s="59" t="s">
        <v>197</v>
      </c>
      <c r="F17" t="s">
        <v>176</v>
      </c>
      <c r="G17" t="s">
        <v>139</v>
      </c>
      <c r="H17" t="s">
        <v>198</v>
      </c>
      <c r="I17" t="s">
        <v>196</v>
      </c>
      <c r="J17" t="s">
        <v>193</v>
      </c>
      <c r="K17" t="s">
        <v>194</v>
      </c>
      <c r="L17" t="s">
        <v>195</v>
      </c>
    </row>
    <row r="18" spans="1:12" x14ac:dyDescent="0.3">
      <c r="A18">
        <v>25</v>
      </c>
      <c r="B18" t="s">
        <v>206</v>
      </c>
      <c r="C18" t="s">
        <v>206</v>
      </c>
      <c r="D18" t="s">
        <v>207</v>
      </c>
      <c r="E18" t="s">
        <v>208</v>
      </c>
      <c r="F18" t="s">
        <v>209</v>
      </c>
      <c r="G18" t="s">
        <v>139</v>
      </c>
      <c r="H18" t="s">
        <v>11</v>
      </c>
      <c r="I18" t="s">
        <v>213</v>
      </c>
      <c r="J18" t="s">
        <v>210</v>
      </c>
      <c r="K18" t="s">
        <v>211</v>
      </c>
      <c r="L18" t="s">
        <v>212</v>
      </c>
    </row>
    <row r="19" spans="1:12" x14ac:dyDescent="0.3">
      <c r="A19">
        <v>21</v>
      </c>
      <c r="B19" t="s">
        <v>151</v>
      </c>
      <c r="C19" t="s">
        <v>151</v>
      </c>
      <c r="D19" t="s">
        <v>153</v>
      </c>
      <c r="E19" t="s">
        <v>162</v>
      </c>
      <c r="F19" t="s">
        <v>214</v>
      </c>
      <c r="G19" t="s">
        <v>139</v>
      </c>
      <c r="H19" t="s">
        <v>11</v>
      </c>
      <c r="I19" t="s">
        <v>218</v>
      </c>
      <c r="J19" t="s">
        <v>215</v>
      </c>
      <c r="K19" t="s">
        <v>216</v>
      </c>
      <c r="L19" t="s">
        <v>217</v>
      </c>
    </row>
    <row r="20" spans="1:12" x14ac:dyDescent="0.3">
      <c r="A20">
        <v>25</v>
      </c>
      <c r="B20" t="s">
        <v>155</v>
      </c>
      <c r="C20" t="s">
        <v>155</v>
      </c>
      <c r="D20" t="s">
        <v>156</v>
      </c>
      <c r="E20" t="s">
        <v>157</v>
      </c>
      <c r="F20" t="s">
        <v>262</v>
      </c>
      <c r="G20" t="s">
        <v>257</v>
      </c>
      <c r="H20" t="s">
        <v>175</v>
      </c>
      <c r="I20" t="s">
        <v>268</v>
      </c>
      <c r="J20" t="s">
        <v>265</v>
      </c>
      <c r="K20" t="s">
        <v>266</v>
      </c>
      <c r="L20" t="s">
        <v>267</v>
      </c>
    </row>
    <row r="21" spans="1:12" x14ac:dyDescent="0.3">
      <c r="A21">
        <v>27</v>
      </c>
      <c r="B21" t="s">
        <v>127</v>
      </c>
      <c r="C21" t="s">
        <v>127</v>
      </c>
      <c r="D21" t="s">
        <v>269</v>
      </c>
      <c r="E21" t="s">
        <v>270</v>
      </c>
      <c r="F21" t="s">
        <v>271</v>
      </c>
      <c r="G21" t="s">
        <v>257</v>
      </c>
      <c r="H21" t="s">
        <v>275</v>
      </c>
      <c r="I21" t="s">
        <v>274</v>
      </c>
      <c r="J21" t="s">
        <v>272</v>
      </c>
      <c r="K21" t="s">
        <v>273</v>
      </c>
      <c r="L21" t="s">
        <v>11</v>
      </c>
    </row>
    <row r="22" spans="1:12" x14ac:dyDescent="0.3">
      <c r="A22">
        <v>14</v>
      </c>
      <c r="B22" t="s">
        <v>241</v>
      </c>
      <c r="C22" t="s">
        <v>242</v>
      </c>
      <c r="D22" t="s">
        <v>147</v>
      </c>
      <c r="E22" t="s">
        <v>164</v>
      </c>
      <c r="F22" t="s">
        <v>271</v>
      </c>
      <c r="G22" t="s">
        <v>257</v>
      </c>
      <c r="H22" t="s">
        <v>175</v>
      </c>
      <c r="I22" t="s">
        <v>276</v>
      </c>
      <c r="J22" t="s">
        <v>272</v>
      </c>
      <c r="K22" t="s">
        <v>273</v>
      </c>
      <c r="L22" t="s">
        <v>11</v>
      </c>
    </row>
    <row r="23" spans="1:12" x14ac:dyDescent="0.3">
      <c r="A23">
        <v>31</v>
      </c>
      <c r="B23" t="s">
        <v>249</v>
      </c>
      <c r="C23" t="s">
        <v>249</v>
      </c>
      <c r="D23" t="s">
        <v>260</v>
      </c>
      <c r="E23" t="s">
        <v>261</v>
      </c>
      <c r="F23" t="s">
        <v>271</v>
      </c>
      <c r="G23" t="s">
        <v>257</v>
      </c>
      <c r="H23" t="s">
        <v>175</v>
      </c>
      <c r="I23" t="s">
        <v>280</v>
      </c>
      <c r="J23" t="s">
        <v>277</v>
      </c>
      <c r="K23" t="s">
        <v>278</v>
      </c>
      <c r="L23" t="s">
        <v>279</v>
      </c>
    </row>
    <row r="24" spans="1:12" x14ac:dyDescent="0.3">
      <c r="A24">
        <v>28</v>
      </c>
      <c r="B24" t="s">
        <v>127</v>
      </c>
      <c r="C24" t="s">
        <v>127</v>
      </c>
      <c r="D24" t="s">
        <v>235</v>
      </c>
      <c r="E24" t="s">
        <v>239</v>
      </c>
      <c r="F24" t="s">
        <v>271</v>
      </c>
      <c r="G24" t="s">
        <v>257</v>
      </c>
      <c r="H24" t="s">
        <v>11</v>
      </c>
      <c r="I24" t="s">
        <v>284</v>
      </c>
      <c r="J24" t="s">
        <v>281</v>
      </c>
      <c r="K24" t="s">
        <v>282</v>
      </c>
      <c r="L24" t="s">
        <v>283</v>
      </c>
    </row>
    <row r="25" spans="1:12" x14ac:dyDescent="0.3">
      <c r="A25">
        <v>26</v>
      </c>
      <c r="B25" t="s">
        <v>127</v>
      </c>
      <c r="C25" t="s">
        <v>127</v>
      </c>
      <c r="D25" t="s">
        <v>233</v>
      </c>
      <c r="E25" t="s">
        <v>238</v>
      </c>
      <c r="F25" t="s">
        <v>271</v>
      </c>
      <c r="G25" t="s">
        <v>257</v>
      </c>
      <c r="H25" t="s">
        <v>11</v>
      </c>
      <c r="I25" t="s">
        <v>285</v>
      </c>
      <c r="J25" t="s">
        <v>272</v>
      </c>
      <c r="K25" t="s">
        <v>273</v>
      </c>
      <c r="L25" t="s">
        <v>11</v>
      </c>
    </row>
    <row r="26" spans="1:12" x14ac:dyDescent="0.3">
      <c r="A26">
        <v>27</v>
      </c>
      <c r="B26" t="s">
        <v>127</v>
      </c>
      <c r="C26" t="s">
        <v>127</v>
      </c>
      <c r="D26" t="s">
        <v>269</v>
      </c>
      <c r="E26" t="s">
        <v>270</v>
      </c>
      <c r="F26" t="s">
        <v>271</v>
      </c>
      <c r="G26" t="s">
        <v>257</v>
      </c>
      <c r="H26" t="s">
        <v>11</v>
      </c>
      <c r="I26" t="s">
        <v>287</v>
      </c>
      <c r="J26" t="s">
        <v>11</v>
      </c>
      <c r="K26" t="s">
        <v>286</v>
      </c>
      <c r="L26" t="s">
        <v>11</v>
      </c>
    </row>
    <row r="27" spans="1:12" x14ac:dyDescent="0.3">
      <c r="A27">
        <v>30</v>
      </c>
      <c r="B27" t="s">
        <v>249</v>
      </c>
      <c r="C27" t="s">
        <v>249</v>
      </c>
      <c r="D27" t="s">
        <v>248</v>
      </c>
      <c r="E27" t="s">
        <v>290</v>
      </c>
      <c r="F27" t="s">
        <v>288</v>
      </c>
      <c r="G27" t="s">
        <v>257</v>
      </c>
      <c r="H27" t="s">
        <v>11</v>
      </c>
      <c r="I27" t="s">
        <v>289</v>
      </c>
      <c r="J27" t="s">
        <v>215</v>
      </c>
      <c r="K27" t="s">
        <v>216</v>
      </c>
      <c r="L27" t="s">
        <v>217</v>
      </c>
    </row>
    <row r="28" spans="1:12" x14ac:dyDescent="0.3">
      <c r="A28">
        <v>26</v>
      </c>
      <c r="B28" t="s">
        <v>127</v>
      </c>
      <c r="C28" t="s">
        <v>127</v>
      </c>
      <c r="D28" t="s">
        <v>233</v>
      </c>
      <c r="E28" t="s">
        <v>238</v>
      </c>
      <c r="F28" t="s">
        <v>291</v>
      </c>
      <c r="G28" t="s">
        <v>257</v>
      </c>
      <c r="H28" t="s">
        <v>11</v>
      </c>
      <c r="I28" t="s">
        <v>292</v>
      </c>
      <c r="J28" t="s">
        <v>171</v>
      </c>
      <c r="K28" t="s">
        <v>172</v>
      </c>
      <c r="L28" t="s">
        <v>11</v>
      </c>
    </row>
    <row r="29" spans="1:12" ht="288" x14ac:dyDescent="0.3">
      <c r="A29">
        <v>19</v>
      </c>
      <c r="B29" t="s">
        <v>151</v>
      </c>
      <c r="C29" t="s">
        <v>151</v>
      </c>
      <c r="D29" t="s">
        <v>152</v>
      </c>
      <c r="E29" s="59" t="s">
        <v>294</v>
      </c>
      <c r="F29" t="s">
        <v>291</v>
      </c>
      <c r="G29" t="s">
        <v>257</v>
      </c>
      <c r="H29" t="s">
        <v>11</v>
      </c>
      <c r="I29" t="s">
        <v>196</v>
      </c>
      <c r="J29" t="s">
        <v>193</v>
      </c>
      <c r="K29" t="s">
        <v>194</v>
      </c>
      <c r="L29" t="s">
        <v>195</v>
      </c>
    </row>
    <row r="30" spans="1:12" x14ac:dyDescent="0.3">
      <c r="A30">
        <v>27</v>
      </c>
      <c r="B30" t="s">
        <v>127</v>
      </c>
      <c r="C30" t="s">
        <v>127</v>
      </c>
      <c r="D30" t="s">
        <v>269</v>
      </c>
      <c r="E30" t="s">
        <v>270</v>
      </c>
      <c r="F30" t="s">
        <v>291</v>
      </c>
      <c r="G30" t="s">
        <v>257</v>
      </c>
      <c r="H30" t="s">
        <v>11</v>
      </c>
      <c r="I30" t="s">
        <v>296</v>
      </c>
      <c r="J30" t="s">
        <v>178</v>
      </c>
      <c r="K30" t="s">
        <v>179</v>
      </c>
      <c r="L30" t="s">
        <v>295</v>
      </c>
    </row>
    <row r="31" spans="1:12" x14ac:dyDescent="0.3">
      <c r="A31">
        <v>26</v>
      </c>
      <c r="B31" t="s">
        <v>127</v>
      </c>
      <c r="C31" t="s">
        <v>127</v>
      </c>
      <c r="D31" t="s">
        <v>233</v>
      </c>
      <c r="E31" t="s">
        <v>238</v>
      </c>
      <c r="F31" t="s">
        <v>291</v>
      </c>
      <c r="G31" t="s">
        <v>257</v>
      </c>
      <c r="H31" t="s">
        <v>11</v>
      </c>
      <c r="I31" t="s">
        <v>297</v>
      </c>
      <c r="J31" t="s">
        <v>265</v>
      </c>
      <c r="K31" t="s">
        <v>266</v>
      </c>
      <c r="L31" t="s">
        <v>267</v>
      </c>
    </row>
    <row r="32" spans="1:12" x14ac:dyDescent="0.3">
      <c r="A32">
        <v>26</v>
      </c>
      <c r="B32" t="s">
        <v>127</v>
      </c>
      <c r="C32" t="s">
        <v>127</v>
      </c>
      <c r="D32" t="s">
        <v>233</v>
      </c>
      <c r="E32" t="s">
        <v>238</v>
      </c>
      <c r="F32" t="s">
        <v>291</v>
      </c>
      <c r="G32" t="s">
        <v>257</v>
      </c>
      <c r="H32" t="s">
        <v>11</v>
      </c>
      <c r="I32" t="s">
        <v>298</v>
      </c>
      <c r="J32" t="s">
        <v>265</v>
      </c>
      <c r="K32" t="s">
        <v>266</v>
      </c>
      <c r="L32" t="s">
        <v>267</v>
      </c>
    </row>
    <row r="33" spans="1:12" x14ac:dyDescent="0.3">
      <c r="A33">
        <v>15</v>
      </c>
      <c r="B33" t="s">
        <v>241</v>
      </c>
      <c r="C33" t="s">
        <v>242</v>
      </c>
      <c r="D33" t="s">
        <v>219</v>
      </c>
      <c r="E33" t="s">
        <v>251</v>
      </c>
      <c r="F33" t="s">
        <v>291</v>
      </c>
      <c r="G33" t="s">
        <v>257</v>
      </c>
      <c r="H33" t="s">
        <v>11</v>
      </c>
      <c r="I33" t="s">
        <v>303</v>
      </c>
      <c r="J33" t="s">
        <v>300</v>
      </c>
      <c r="K33" t="s">
        <v>301</v>
      </c>
      <c r="L33" t="s">
        <v>302</v>
      </c>
    </row>
    <row r="34" spans="1:12" x14ac:dyDescent="0.3">
      <c r="A34">
        <v>26</v>
      </c>
      <c r="B34" t="s">
        <v>127</v>
      </c>
      <c r="C34" t="s">
        <v>127</v>
      </c>
      <c r="D34" t="s">
        <v>233</v>
      </c>
      <c r="E34" t="s">
        <v>238</v>
      </c>
      <c r="F34" t="s">
        <v>304</v>
      </c>
      <c r="G34" t="s">
        <v>257</v>
      </c>
      <c r="H34" t="s">
        <v>11</v>
      </c>
      <c r="I34" t="s">
        <v>306</v>
      </c>
      <c r="J34" t="s">
        <v>171</v>
      </c>
      <c r="K34" t="s">
        <v>305</v>
      </c>
      <c r="L34" t="s">
        <v>11</v>
      </c>
    </row>
    <row r="35" spans="1:12" x14ac:dyDescent="0.3">
      <c r="A35">
        <v>11</v>
      </c>
      <c r="B35" t="s">
        <v>141</v>
      </c>
      <c r="C35" t="s">
        <v>141</v>
      </c>
      <c r="D35" t="s">
        <v>221</v>
      </c>
      <c r="E35" t="s">
        <v>222</v>
      </c>
      <c r="F35" t="s">
        <v>307</v>
      </c>
      <c r="G35" t="s">
        <v>257</v>
      </c>
      <c r="H35" t="s">
        <v>11</v>
      </c>
      <c r="I35" t="s">
        <v>311</v>
      </c>
      <c r="J35" t="s">
        <v>308</v>
      </c>
      <c r="K35" t="s">
        <v>309</v>
      </c>
      <c r="L35" t="s">
        <v>310</v>
      </c>
    </row>
    <row r="36" spans="1:12" x14ac:dyDescent="0.3">
      <c r="A36">
        <v>11</v>
      </c>
      <c r="B36" t="s">
        <v>141</v>
      </c>
      <c r="C36" t="s">
        <v>141</v>
      </c>
      <c r="D36" t="s">
        <v>221</v>
      </c>
      <c r="E36" t="s">
        <v>222</v>
      </c>
      <c r="F36" t="s">
        <v>307</v>
      </c>
      <c r="G36" t="s">
        <v>257</v>
      </c>
      <c r="H36" t="s">
        <v>11</v>
      </c>
      <c r="I36" t="s">
        <v>314</v>
      </c>
      <c r="J36" t="s">
        <v>312</v>
      </c>
      <c r="K36" t="s">
        <v>313</v>
      </c>
      <c r="L36" t="s">
        <v>11</v>
      </c>
    </row>
    <row r="37" spans="1:12" x14ac:dyDescent="0.3">
      <c r="A37">
        <v>20</v>
      </c>
      <c r="B37" t="s">
        <v>151</v>
      </c>
      <c r="C37" t="s">
        <v>151</v>
      </c>
      <c r="D37" t="s">
        <v>161</v>
      </c>
      <c r="E37" t="s">
        <v>236</v>
      </c>
      <c r="F37" t="s">
        <v>315</v>
      </c>
      <c r="G37" t="s">
        <v>257</v>
      </c>
      <c r="H37" t="s">
        <v>11</v>
      </c>
      <c r="I37" t="s">
        <v>189</v>
      </c>
      <c r="J37" t="s">
        <v>178</v>
      </c>
      <c r="K37" t="s">
        <v>179</v>
      </c>
      <c r="L37" t="s">
        <v>295</v>
      </c>
    </row>
    <row r="38" spans="1:12" x14ac:dyDescent="0.3">
      <c r="A38">
        <v>9</v>
      </c>
      <c r="B38" t="s">
        <v>141</v>
      </c>
      <c r="C38" t="s">
        <v>141</v>
      </c>
      <c r="D38" t="s">
        <v>142</v>
      </c>
      <c r="E38" t="s">
        <v>143</v>
      </c>
      <c r="F38" t="s">
        <v>315</v>
      </c>
      <c r="G38" t="s">
        <v>257</v>
      </c>
      <c r="H38" t="s">
        <v>11</v>
      </c>
      <c r="I38" t="s">
        <v>320</v>
      </c>
      <c r="J38" t="s">
        <v>317</v>
      </c>
      <c r="K38" t="s">
        <v>318</v>
      </c>
      <c r="L38" t="s">
        <v>319</v>
      </c>
    </row>
    <row r="39" spans="1:12" x14ac:dyDescent="0.3">
      <c r="A39">
        <v>26</v>
      </c>
      <c r="B39" t="s">
        <v>127</v>
      </c>
      <c r="C39" t="s">
        <v>127</v>
      </c>
      <c r="D39" t="s">
        <v>233</v>
      </c>
      <c r="E39" t="s">
        <v>238</v>
      </c>
      <c r="F39" t="s">
        <v>321</v>
      </c>
      <c r="G39" t="s">
        <v>257</v>
      </c>
      <c r="H39" t="s">
        <v>11</v>
      </c>
      <c r="I39" t="s">
        <v>326</v>
      </c>
      <c r="J39" t="s">
        <v>265</v>
      </c>
      <c r="K39" t="s">
        <v>266</v>
      </c>
      <c r="L39" t="s">
        <v>267</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7A351-E9F1-4E5C-8A08-61072E4C8BD4}">
  <sheetPr codeName="Planilha7"/>
  <dimension ref="A1:O9"/>
  <sheetViews>
    <sheetView zoomScaleNormal="100" workbookViewId="0">
      <selection activeCell="A10" sqref="A10:XFD28"/>
    </sheetView>
  </sheetViews>
  <sheetFormatPr defaultColWidth="8.88671875" defaultRowHeight="14.4" x14ac:dyDescent="0.3"/>
  <cols>
    <col min="1" max="1" width="35.33203125" customWidth="1"/>
    <col min="2" max="3" width="20.33203125" customWidth="1"/>
    <col min="4" max="4" width="40.44140625" customWidth="1"/>
    <col min="5" max="5" width="17.6640625" customWidth="1"/>
    <col min="6" max="7" width="15.109375" customWidth="1"/>
    <col min="8" max="8" width="25.33203125" customWidth="1"/>
    <col min="9" max="10" width="15.109375" customWidth="1"/>
    <col min="11" max="11" width="10.109375" customWidth="1"/>
    <col min="12" max="12" width="15.109375" customWidth="1"/>
    <col min="13" max="13" width="12.6640625" customWidth="1"/>
    <col min="14" max="14" width="15.109375" customWidth="1"/>
    <col min="15" max="15" width="40.44140625" customWidth="1"/>
  </cols>
  <sheetData>
    <row r="1" spans="1:15" ht="15" x14ac:dyDescent="0.3">
      <c r="A1" s="343" t="s">
        <v>11</v>
      </c>
      <c r="B1" s="343"/>
      <c r="C1" s="343"/>
      <c r="D1" s="345" t="s">
        <v>58</v>
      </c>
      <c r="E1" s="345"/>
      <c r="F1" s="345"/>
      <c r="G1" s="345"/>
      <c r="H1" s="345"/>
      <c r="I1" s="345"/>
      <c r="J1" s="29" t="s">
        <v>11</v>
      </c>
      <c r="K1" s="29" t="s">
        <v>11</v>
      </c>
      <c r="L1" s="29" t="s">
        <v>11</v>
      </c>
      <c r="M1" s="29" t="s">
        <v>11</v>
      </c>
      <c r="N1" s="29" t="s">
        <v>11</v>
      </c>
      <c r="O1" s="30" t="s">
        <v>11</v>
      </c>
    </row>
    <row r="2" spans="1:15" x14ac:dyDescent="0.3">
      <c r="A2" s="344"/>
      <c r="B2" s="344"/>
      <c r="C2" s="344"/>
      <c r="D2" s="343" t="s">
        <v>59</v>
      </c>
      <c r="E2" s="343"/>
      <c r="F2" s="343"/>
      <c r="G2" s="343"/>
      <c r="H2" s="343"/>
      <c r="I2" s="343"/>
      <c r="J2" s="29"/>
      <c r="K2" s="29"/>
      <c r="L2" s="29"/>
      <c r="M2" s="29"/>
      <c r="N2" s="29"/>
      <c r="O2" s="346" t="s">
        <v>60</v>
      </c>
    </row>
    <row r="3" spans="1:15" x14ac:dyDescent="0.3">
      <c r="A3" s="344"/>
      <c r="B3" s="344"/>
      <c r="C3" s="344"/>
      <c r="D3" s="343" t="s">
        <v>61</v>
      </c>
      <c r="E3" s="343"/>
      <c r="F3" s="343"/>
      <c r="G3" s="343"/>
      <c r="H3" s="343"/>
      <c r="I3" s="343"/>
      <c r="J3" s="29"/>
      <c r="K3" s="29"/>
      <c r="L3" s="29"/>
      <c r="M3" s="29"/>
      <c r="N3" s="29"/>
      <c r="O3" s="347"/>
    </row>
    <row r="4" spans="1:15" x14ac:dyDescent="0.3">
      <c r="A4" s="344"/>
      <c r="B4" s="344"/>
      <c r="C4" s="344"/>
      <c r="D4" s="343" t="s">
        <v>62</v>
      </c>
      <c r="E4" s="343"/>
      <c r="F4" s="343"/>
      <c r="G4" s="343"/>
      <c r="H4" s="343"/>
      <c r="I4" s="343"/>
      <c r="J4" s="29"/>
      <c r="K4" s="29"/>
      <c r="L4" s="29"/>
      <c r="M4" s="29"/>
      <c r="N4" s="29"/>
      <c r="O4" s="347"/>
    </row>
    <row r="5" spans="1:15" x14ac:dyDescent="0.3">
      <c r="A5" s="344"/>
      <c r="B5" s="344"/>
      <c r="C5" s="344"/>
      <c r="D5" s="343" t="s">
        <v>63</v>
      </c>
      <c r="E5" s="343"/>
      <c r="F5" s="343"/>
      <c r="G5" s="343"/>
      <c r="H5" s="343"/>
      <c r="I5" s="343"/>
      <c r="J5" s="29"/>
      <c r="K5" s="29"/>
      <c r="L5" s="29"/>
      <c r="M5" s="29"/>
      <c r="N5" s="29"/>
      <c r="O5" s="347"/>
    </row>
    <row r="6" spans="1:15" x14ac:dyDescent="0.3">
      <c r="A6" s="344"/>
      <c r="B6" s="344"/>
      <c r="C6" s="344"/>
      <c r="D6" s="29"/>
      <c r="E6" s="29"/>
      <c r="F6" s="29"/>
      <c r="G6" s="29"/>
      <c r="H6" s="29"/>
      <c r="I6" s="29"/>
      <c r="J6" s="29"/>
      <c r="K6" s="29"/>
      <c r="L6" s="29"/>
      <c r="M6" s="29"/>
      <c r="N6" s="29"/>
      <c r="O6" s="347"/>
    </row>
    <row r="7" spans="1:15" x14ac:dyDescent="0.3">
      <c r="A7" s="344"/>
      <c r="B7" s="344"/>
      <c r="C7" s="344"/>
      <c r="D7" s="343" t="s">
        <v>64</v>
      </c>
      <c r="E7" s="343"/>
      <c r="F7" s="343"/>
      <c r="G7" s="343"/>
      <c r="H7" s="343"/>
      <c r="I7" s="343"/>
      <c r="J7" s="29"/>
      <c r="K7" s="29"/>
      <c r="L7" s="29"/>
      <c r="M7" s="29"/>
      <c r="N7" s="29"/>
      <c r="O7" s="31">
        <v>45264.482613275461</v>
      </c>
    </row>
    <row r="8" spans="1:15" x14ac:dyDescent="0.3">
      <c r="A8" s="342" t="s">
        <v>65</v>
      </c>
      <c r="B8" s="342"/>
      <c r="C8" s="342"/>
      <c r="D8" s="342"/>
      <c r="E8" s="342"/>
      <c r="F8" s="342"/>
      <c r="G8" s="342"/>
      <c r="H8" s="342"/>
      <c r="I8" s="342"/>
      <c r="J8" s="342"/>
      <c r="K8" s="342"/>
      <c r="L8" s="342"/>
      <c r="M8" s="342"/>
      <c r="N8" s="342"/>
      <c r="O8" s="342"/>
    </row>
    <row r="9" spans="1:15" ht="27.6" x14ac:dyDescent="0.3">
      <c r="A9" s="32" t="s">
        <v>66</v>
      </c>
      <c r="B9" s="32" t="s">
        <v>67</v>
      </c>
      <c r="C9" s="32" t="s">
        <v>68</v>
      </c>
      <c r="D9" s="32" t="s">
        <v>52</v>
      </c>
      <c r="E9" s="32" t="s">
        <v>69</v>
      </c>
      <c r="F9" s="32" t="s">
        <v>70</v>
      </c>
      <c r="G9" s="32" t="s">
        <v>34</v>
      </c>
      <c r="H9" s="32" t="s">
        <v>71</v>
      </c>
      <c r="I9" s="32" t="s">
        <v>72</v>
      </c>
      <c r="J9" s="32" t="s">
        <v>70</v>
      </c>
      <c r="K9" s="32" t="s">
        <v>73</v>
      </c>
      <c r="L9" s="32" t="s">
        <v>74</v>
      </c>
      <c r="M9" s="32" t="s">
        <v>75</v>
      </c>
      <c r="N9" s="32" t="s">
        <v>76</v>
      </c>
      <c r="O9" s="33" t="s">
        <v>77</v>
      </c>
    </row>
  </sheetData>
  <mergeCells count="9">
    <mergeCell ref="A8:O8"/>
    <mergeCell ref="A1:C7"/>
    <mergeCell ref="D1:I1"/>
    <mergeCell ref="D2:I2"/>
    <mergeCell ref="O2:O6"/>
    <mergeCell ref="D3:I3"/>
    <mergeCell ref="D4:I4"/>
    <mergeCell ref="D5:I5"/>
    <mergeCell ref="D7:I7"/>
  </mergeCells>
  <pageMargins left="0.7" right="0.7" top="0.75" bottom="0.75" header="0.3" footer="0.3"/>
  <pageSetup paperSize="9" fitToWidth="0" fitToHeight="0"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71ACB-2A33-4DFE-B05C-79C718CF6527}">
  <sheetPr codeName="Planilha5"/>
  <dimension ref="B1:L52"/>
  <sheetViews>
    <sheetView showGridLines="0" view="pageBreakPreview" topLeftCell="A8" zoomScale="60" zoomScaleNormal="100" workbookViewId="0">
      <selection activeCell="C39" sqref="C39:K45"/>
    </sheetView>
  </sheetViews>
  <sheetFormatPr defaultColWidth="8.88671875" defaultRowHeight="14.4" x14ac:dyDescent="0.3"/>
  <cols>
    <col min="1" max="2" width="1.6640625" customWidth="1"/>
    <col min="3" max="3" width="12.44140625" customWidth="1"/>
    <col min="4" max="4" width="4.6640625" customWidth="1"/>
    <col min="5" max="5" width="10.6640625" customWidth="1"/>
    <col min="6" max="6" width="7.6640625" bestFit="1" customWidth="1"/>
    <col min="7" max="7" width="11" customWidth="1"/>
    <col min="8" max="8" width="11.109375" customWidth="1"/>
    <col min="9" max="9" width="11.6640625" customWidth="1"/>
    <col min="10" max="10" width="4.6640625" customWidth="1"/>
    <col min="11" max="11" width="14.44140625" customWidth="1"/>
    <col min="12" max="12" width="1.6640625" customWidth="1"/>
  </cols>
  <sheetData>
    <row r="1" spans="2:12" ht="8.4" customHeight="1" thickBot="1" x14ac:dyDescent="0.35"/>
    <row r="2" spans="2:12" ht="38.4" customHeight="1" x14ac:dyDescent="0.4">
      <c r="B2" s="381" t="s">
        <v>3</v>
      </c>
      <c r="C2" s="382"/>
      <c r="D2" s="382"/>
      <c r="E2" s="382"/>
      <c r="F2" s="382"/>
      <c r="G2" s="382"/>
      <c r="H2" s="382"/>
      <c r="I2" s="382"/>
      <c r="J2" s="382"/>
      <c r="K2" s="382"/>
      <c r="L2" s="383"/>
    </row>
    <row r="3" spans="2:12" ht="47.4" customHeight="1" thickBot="1" x14ac:dyDescent="0.35">
      <c r="B3" s="384" t="s">
        <v>12</v>
      </c>
      <c r="C3" s="385"/>
      <c r="D3" s="385"/>
      <c r="E3" s="385"/>
      <c r="F3" s="385"/>
      <c r="G3" s="385"/>
      <c r="H3" s="385"/>
      <c r="I3" s="385"/>
      <c r="J3" s="385"/>
      <c r="K3" s="385"/>
      <c r="L3" s="386"/>
    </row>
    <row r="4" spans="2:12" ht="7.35" customHeight="1" thickBot="1" x14ac:dyDescent="0.35"/>
    <row r="5" spans="2:12" x14ac:dyDescent="0.3">
      <c r="B5" s="1"/>
      <c r="C5" s="2"/>
      <c r="D5" s="2"/>
      <c r="E5" s="2"/>
      <c r="F5" s="2"/>
      <c r="G5" s="2"/>
      <c r="H5" s="2"/>
      <c r="I5" s="2"/>
      <c r="J5" s="2"/>
      <c r="K5" s="2"/>
      <c r="L5" s="3"/>
    </row>
    <row r="6" spans="2:12" x14ac:dyDescent="0.3">
      <c r="B6" s="4"/>
      <c r="C6" s="353" t="s">
        <v>13</v>
      </c>
      <c r="D6" s="353"/>
      <c r="E6" s="353"/>
      <c r="F6" s="353"/>
      <c r="G6" s="353"/>
      <c r="H6" s="353"/>
      <c r="I6" s="353"/>
      <c r="J6" s="353"/>
      <c r="K6" s="353"/>
      <c r="L6" s="5"/>
    </row>
    <row r="7" spans="2:12" ht="6" customHeight="1" x14ac:dyDescent="0.3">
      <c r="B7" s="4"/>
      <c r="L7" s="5"/>
    </row>
    <row r="8" spans="2:12" x14ac:dyDescent="0.3">
      <c r="B8" s="4"/>
      <c r="C8" s="6" t="s">
        <v>14</v>
      </c>
      <c r="D8" s="387" t="s">
        <v>321</v>
      </c>
      <c r="E8" s="388"/>
      <c r="F8" s="388"/>
      <c r="G8" s="388"/>
      <c r="H8" s="388"/>
      <c r="I8" s="388"/>
      <c r="J8" s="388"/>
      <c r="K8" s="389"/>
      <c r="L8" s="5"/>
    </row>
    <row r="9" spans="2:12" x14ac:dyDescent="0.3">
      <c r="B9" s="4"/>
      <c r="C9" s="7" t="s">
        <v>15</v>
      </c>
      <c r="D9" s="374" t="s">
        <v>16</v>
      </c>
      <c r="E9" s="375"/>
      <c r="F9" s="375"/>
      <c r="G9" s="375"/>
      <c r="H9" s="375"/>
      <c r="I9" s="375"/>
      <c r="J9" s="375"/>
      <c r="K9" s="376"/>
      <c r="L9" s="5"/>
    </row>
    <row r="10" spans="2:12" x14ac:dyDescent="0.3">
      <c r="B10" s="4"/>
      <c r="C10" s="7" t="s">
        <v>17</v>
      </c>
      <c r="D10" s="374" t="s">
        <v>130</v>
      </c>
      <c r="E10" s="375"/>
      <c r="F10" s="375"/>
      <c r="G10" s="375"/>
      <c r="H10" s="375"/>
      <c r="I10" s="375"/>
      <c r="J10" s="375"/>
      <c r="K10" s="376"/>
      <c r="L10" s="5"/>
    </row>
    <row r="11" spans="2:12" x14ac:dyDescent="0.3">
      <c r="B11" s="4"/>
      <c r="C11" s="7" t="s">
        <v>18</v>
      </c>
      <c r="D11" s="374" t="s">
        <v>263</v>
      </c>
      <c r="E11" s="375"/>
      <c r="F11" s="375"/>
      <c r="G11" s="375"/>
      <c r="H11" s="375"/>
      <c r="I11" s="375"/>
      <c r="J11" s="375"/>
      <c r="K11" s="376"/>
      <c r="L11" s="5"/>
    </row>
    <row r="12" spans="2:12" x14ac:dyDescent="0.3">
      <c r="B12" s="4"/>
      <c r="C12" s="10" t="s">
        <v>19</v>
      </c>
      <c r="D12" s="371" t="s">
        <v>264</v>
      </c>
      <c r="E12" s="372"/>
      <c r="F12" s="372"/>
      <c r="G12" s="372"/>
      <c r="H12" s="373"/>
      <c r="I12" s="11" t="s">
        <v>20</v>
      </c>
      <c r="J12" s="371" t="s">
        <v>204</v>
      </c>
      <c r="K12" s="373"/>
      <c r="L12" s="5"/>
    </row>
    <row r="13" spans="2:12" ht="6" customHeight="1" thickBot="1" x14ac:dyDescent="0.35">
      <c r="B13" s="12"/>
      <c r="C13" s="13"/>
      <c r="D13" s="13"/>
      <c r="E13" s="13"/>
      <c r="F13" s="13"/>
      <c r="G13" s="13"/>
      <c r="H13" s="13"/>
      <c r="I13" s="13"/>
      <c r="J13" s="13"/>
      <c r="K13" s="13"/>
      <c r="L13" s="14"/>
    </row>
    <row r="14" spans="2:12" ht="7.35" customHeight="1" thickBot="1" x14ac:dyDescent="0.35"/>
    <row r="15" spans="2:12" ht="8.1" customHeight="1" x14ac:dyDescent="0.3">
      <c r="B15" s="1"/>
      <c r="C15" s="2"/>
      <c r="D15" s="2"/>
      <c r="E15" s="2"/>
      <c r="F15" s="2"/>
      <c r="G15" s="2"/>
      <c r="H15" s="2"/>
      <c r="I15" s="2"/>
      <c r="J15" s="2"/>
      <c r="K15" s="2"/>
      <c r="L15" s="3"/>
    </row>
    <row r="16" spans="2:12" x14ac:dyDescent="0.3">
      <c r="B16" s="4"/>
      <c r="C16" s="353" t="s">
        <v>21</v>
      </c>
      <c r="D16" s="353"/>
      <c r="E16" s="353"/>
      <c r="F16" s="353"/>
      <c r="G16" s="353"/>
      <c r="H16" s="353"/>
      <c r="I16" s="353"/>
      <c r="J16" s="353"/>
      <c r="K16" s="353"/>
      <c r="L16" s="5"/>
    </row>
    <row r="17" spans="2:12" ht="9" customHeight="1" x14ac:dyDescent="0.3">
      <c r="B17" s="4"/>
      <c r="L17" s="5"/>
    </row>
    <row r="18" spans="2:12" x14ac:dyDescent="0.3">
      <c r="B18" s="4"/>
      <c r="C18" s="6"/>
      <c r="D18" s="377" t="s">
        <v>316</v>
      </c>
      <c r="E18" s="377"/>
      <c r="F18" s="377"/>
      <c r="G18" s="368"/>
      <c r="H18" s="377" t="s">
        <v>22</v>
      </c>
      <c r="I18" s="377"/>
      <c r="J18" s="377"/>
      <c r="K18" s="368"/>
      <c r="L18" s="5"/>
    </row>
    <row r="19" spans="2:12" x14ac:dyDescent="0.3">
      <c r="B19" s="4"/>
      <c r="C19" s="15" t="s">
        <v>23</v>
      </c>
      <c r="D19" s="378" t="s">
        <v>266</v>
      </c>
      <c r="E19" s="379"/>
      <c r="F19" s="379"/>
      <c r="G19" s="379"/>
      <c r="H19" s="379"/>
      <c r="I19" s="379"/>
      <c r="J19" s="379"/>
      <c r="K19" s="380"/>
      <c r="L19" s="5"/>
    </row>
    <row r="20" spans="2:12" x14ac:dyDescent="0.3">
      <c r="B20" s="4"/>
      <c r="C20" s="7" t="s">
        <v>24</v>
      </c>
      <c r="D20" s="374"/>
      <c r="E20" s="375"/>
      <c r="F20" s="375"/>
      <c r="G20" s="375"/>
      <c r="H20" s="375"/>
      <c r="I20" s="375"/>
      <c r="J20" s="375"/>
      <c r="K20" s="376"/>
      <c r="L20" s="5"/>
    </row>
    <row r="21" spans="2:12" x14ac:dyDescent="0.3">
      <c r="B21" s="4"/>
      <c r="C21" s="7" t="s">
        <v>25</v>
      </c>
      <c r="D21" s="374" t="s">
        <v>322</v>
      </c>
      <c r="E21" s="376"/>
      <c r="F21" s="7" t="s">
        <v>57</v>
      </c>
      <c r="G21" s="16" t="s">
        <v>323</v>
      </c>
      <c r="H21" s="7" t="s">
        <v>26</v>
      </c>
      <c r="I21" s="8" t="s">
        <v>324</v>
      </c>
      <c r="J21" s="7" t="s">
        <v>27</v>
      </c>
      <c r="K21" s="9" t="s">
        <v>11</v>
      </c>
      <c r="L21" s="5"/>
    </row>
    <row r="22" spans="2:12" x14ac:dyDescent="0.3">
      <c r="B22" s="4"/>
      <c r="C22" s="7" t="s">
        <v>28</v>
      </c>
      <c r="D22" s="374" t="s">
        <v>265</v>
      </c>
      <c r="E22" s="375"/>
      <c r="F22" s="375"/>
      <c r="G22" s="376"/>
      <c r="H22" s="7" t="s">
        <v>29</v>
      </c>
      <c r="I22" s="374"/>
      <c r="J22" s="375"/>
      <c r="K22" s="376"/>
      <c r="L22" s="5"/>
    </row>
    <row r="23" spans="2:12" x14ac:dyDescent="0.3">
      <c r="B23" s="4"/>
      <c r="C23" s="10" t="s">
        <v>30</v>
      </c>
      <c r="D23" s="371" t="s">
        <v>267</v>
      </c>
      <c r="E23" s="372"/>
      <c r="F23" s="372"/>
      <c r="G23" s="373"/>
      <c r="H23" s="10" t="s">
        <v>31</v>
      </c>
      <c r="I23" s="371" t="s">
        <v>11</v>
      </c>
      <c r="J23" s="372"/>
      <c r="K23" s="373"/>
      <c r="L23" s="5"/>
    </row>
    <row r="24" spans="2:12" ht="6.75" customHeight="1" thickBot="1" x14ac:dyDescent="0.35">
      <c r="B24" s="12"/>
      <c r="C24" s="13"/>
      <c r="D24" s="13"/>
      <c r="E24" s="13"/>
      <c r="F24" s="13"/>
      <c r="G24" s="13"/>
      <c r="H24" s="13"/>
      <c r="I24" s="13"/>
      <c r="J24" s="13"/>
      <c r="K24" s="13"/>
      <c r="L24" s="14"/>
    </row>
    <row r="25" spans="2:12" ht="9.75" customHeight="1" thickBot="1" x14ac:dyDescent="0.35"/>
    <row r="26" spans="2:12" ht="8.1" customHeight="1" x14ac:dyDescent="0.3">
      <c r="B26" s="1"/>
      <c r="C26" s="2"/>
      <c r="D26" s="2"/>
      <c r="E26" s="2"/>
      <c r="F26" s="2"/>
      <c r="G26" s="2"/>
      <c r="H26" s="2"/>
      <c r="I26" s="2"/>
      <c r="J26" s="2"/>
      <c r="K26" s="2"/>
      <c r="L26" s="3"/>
    </row>
    <row r="27" spans="2:12" x14ac:dyDescent="0.3">
      <c r="B27" s="4"/>
      <c r="C27" s="353" t="s">
        <v>21</v>
      </c>
      <c r="D27" s="353"/>
      <c r="E27" s="353"/>
      <c r="F27" s="353"/>
      <c r="G27" s="353"/>
      <c r="H27" s="353"/>
      <c r="I27" s="353"/>
      <c r="J27" s="353"/>
      <c r="K27" s="353"/>
      <c r="L27" s="5"/>
    </row>
    <row r="28" spans="2:12" x14ac:dyDescent="0.3">
      <c r="B28" s="4"/>
      <c r="L28" s="5"/>
    </row>
    <row r="29" spans="2:12" x14ac:dyDescent="0.3">
      <c r="B29" s="4"/>
      <c r="C29" s="6" t="s">
        <v>32</v>
      </c>
      <c r="D29" s="367" t="s">
        <v>33</v>
      </c>
      <c r="E29" s="368"/>
      <c r="F29" s="367" t="s">
        <v>34</v>
      </c>
      <c r="G29" s="368"/>
      <c r="H29" s="369" t="s">
        <v>35</v>
      </c>
      <c r="I29" s="369"/>
      <c r="J29" s="369"/>
      <c r="K29" s="370"/>
      <c r="L29" s="5"/>
    </row>
    <row r="30" spans="2:12" x14ac:dyDescent="0.3">
      <c r="B30" s="4"/>
      <c r="C30" s="17" t="s">
        <v>36</v>
      </c>
      <c r="D30" s="354" t="s">
        <v>325</v>
      </c>
      <c r="E30" s="355"/>
      <c r="F30" s="356" t="s">
        <v>326</v>
      </c>
      <c r="G30" s="357"/>
      <c r="H30" s="18" t="s">
        <v>37</v>
      </c>
      <c r="I30" s="367" t="s">
        <v>293</v>
      </c>
      <c r="J30" s="368"/>
      <c r="K30" s="6" t="s">
        <v>38</v>
      </c>
      <c r="L30" s="5"/>
    </row>
    <row r="31" spans="2:12" x14ac:dyDescent="0.3">
      <c r="B31" s="4"/>
      <c r="C31" s="17" t="s">
        <v>39</v>
      </c>
      <c r="D31" s="354" t="s">
        <v>11</v>
      </c>
      <c r="E31" s="355"/>
      <c r="F31" s="356" t="s">
        <v>11</v>
      </c>
      <c r="G31" s="357"/>
      <c r="H31" s="17" t="s">
        <v>37</v>
      </c>
      <c r="I31" s="358" t="s">
        <v>40</v>
      </c>
      <c r="J31" s="359"/>
      <c r="K31" s="7" t="s">
        <v>38</v>
      </c>
      <c r="L31" s="5"/>
    </row>
    <row r="32" spans="2:12" x14ac:dyDescent="0.3">
      <c r="B32" s="4"/>
      <c r="C32" s="17" t="s">
        <v>41</v>
      </c>
      <c r="D32" s="354" t="s">
        <v>11</v>
      </c>
      <c r="E32" s="355"/>
      <c r="F32" s="356" t="s">
        <v>11</v>
      </c>
      <c r="G32" s="357"/>
      <c r="H32" s="17" t="s">
        <v>37</v>
      </c>
      <c r="I32" s="358" t="s">
        <v>40</v>
      </c>
      <c r="J32" s="359"/>
      <c r="K32" s="7" t="s">
        <v>38</v>
      </c>
      <c r="L32" s="5"/>
    </row>
    <row r="33" spans="2:12" x14ac:dyDescent="0.3">
      <c r="B33" s="4"/>
      <c r="C33" s="19" t="s">
        <v>42</v>
      </c>
      <c r="D33" s="354" t="s">
        <v>11</v>
      </c>
      <c r="E33" s="355"/>
      <c r="F33" s="360" t="s">
        <v>11</v>
      </c>
      <c r="G33" s="361"/>
      <c r="H33" s="17" t="s">
        <v>37</v>
      </c>
      <c r="I33" s="358" t="s">
        <v>40</v>
      </c>
      <c r="J33" s="359"/>
      <c r="K33" s="7" t="s">
        <v>38</v>
      </c>
      <c r="L33" s="5"/>
    </row>
    <row r="34" spans="2:12" x14ac:dyDescent="0.3">
      <c r="B34" s="4"/>
      <c r="C34" s="362" t="s">
        <v>43</v>
      </c>
      <c r="D34" s="363"/>
      <c r="E34" s="364"/>
      <c r="F34" s="365" t="s">
        <v>326</v>
      </c>
      <c r="G34" s="366"/>
      <c r="H34" s="20"/>
      <c r="I34" s="21"/>
      <c r="J34" s="22"/>
      <c r="K34" s="20"/>
      <c r="L34" s="5"/>
    </row>
    <row r="35" spans="2:12" ht="15" thickBot="1" x14ac:dyDescent="0.35">
      <c r="B35" s="12"/>
      <c r="C35" s="13"/>
      <c r="D35" s="13"/>
      <c r="E35" s="13"/>
      <c r="F35" s="13"/>
      <c r="G35" s="13"/>
      <c r="H35" s="13"/>
      <c r="I35" s="13"/>
      <c r="J35" s="13"/>
      <c r="K35" s="13"/>
      <c r="L35" s="14"/>
    </row>
    <row r="36" spans="2:12" ht="15" thickBot="1" x14ac:dyDescent="0.35"/>
    <row r="37" spans="2:12" ht="6" customHeight="1" x14ac:dyDescent="0.3">
      <c r="B37" s="1"/>
      <c r="C37" s="2"/>
      <c r="D37" s="2"/>
      <c r="E37" s="2"/>
      <c r="F37" s="2"/>
      <c r="G37" s="2"/>
      <c r="H37" s="2"/>
      <c r="I37" s="2"/>
      <c r="J37" s="2"/>
      <c r="K37" s="2"/>
      <c r="L37" s="3"/>
    </row>
    <row r="38" spans="2:12" x14ac:dyDescent="0.3">
      <c r="B38" s="4"/>
      <c r="C38" s="353" t="s">
        <v>44</v>
      </c>
      <c r="D38" s="353"/>
      <c r="E38" s="353"/>
      <c r="F38" s="353"/>
      <c r="G38" s="353"/>
      <c r="H38" s="353"/>
      <c r="I38" s="353"/>
      <c r="J38" s="353"/>
      <c r="K38" s="353"/>
      <c r="L38" s="5"/>
    </row>
    <row r="39" spans="2:12" x14ac:dyDescent="0.3">
      <c r="B39" s="4"/>
      <c r="C39" s="351" t="s">
        <v>327</v>
      </c>
      <c r="D39" s="351"/>
      <c r="E39" s="351"/>
      <c r="F39" s="351"/>
      <c r="G39" s="351"/>
      <c r="H39" s="351"/>
      <c r="I39" s="351"/>
      <c r="J39" s="351"/>
      <c r="K39" s="351"/>
      <c r="L39" s="5"/>
    </row>
    <row r="40" spans="2:12" x14ac:dyDescent="0.3">
      <c r="B40" s="4"/>
      <c r="C40" s="351"/>
      <c r="D40" s="351"/>
      <c r="E40" s="351"/>
      <c r="F40" s="351"/>
      <c r="G40" s="351"/>
      <c r="H40" s="351"/>
      <c r="I40" s="351"/>
      <c r="J40" s="351"/>
      <c r="K40" s="351"/>
      <c r="L40" s="5"/>
    </row>
    <row r="41" spans="2:12" x14ac:dyDescent="0.3">
      <c r="B41" s="4"/>
      <c r="C41" s="351"/>
      <c r="D41" s="351"/>
      <c r="E41" s="351"/>
      <c r="F41" s="351"/>
      <c r="G41" s="351"/>
      <c r="H41" s="351"/>
      <c r="I41" s="351"/>
      <c r="J41" s="351"/>
      <c r="K41" s="351"/>
      <c r="L41" s="5"/>
    </row>
    <row r="42" spans="2:12" x14ac:dyDescent="0.3">
      <c r="B42" s="4"/>
      <c r="C42" s="351"/>
      <c r="D42" s="351"/>
      <c r="E42" s="351"/>
      <c r="F42" s="351"/>
      <c r="G42" s="351"/>
      <c r="H42" s="351"/>
      <c r="I42" s="351"/>
      <c r="J42" s="351"/>
      <c r="K42" s="351"/>
      <c r="L42" s="5"/>
    </row>
    <row r="43" spans="2:12" x14ac:dyDescent="0.3">
      <c r="B43" s="4"/>
      <c r="C43" s="351"/>
      <c r="D43" s="351"/>
      <c r="E43" s="351"/>
      <c r="F43" s="351"/>
      <c r="G43" s="351"/>
      <c r="H43" s="351"/>
      <c r="I43" s="351"/>
      <c r="J43" s="351"/>
      <c r="K43" s="351"/>
      <c r="L43" s="5"/>
    </row>
    <row r="44" spans="2:12" x14ac:dyDescent="0.3">
      <c r="B44" s="4"/>
      <c r="C44" s="351"/>
      <c r="D44" s="351"/>
      <c r="E44" s="351"/>
      <c r="F44" s="351"/>
      <c r="G44" s="351"/>
      <c r="H44" s="351"/>
      <c r="I44" s="351"/>
      <c r="J44" s="351"/>
      <c r="K44" s="351"/>
      <c r="L44" s="5"/>
    </row>
    <row r="45" spans="2:12" x14ac:dyDescent="0.3">
      <c r="B45" s="4"/>
      <c r="C45" s="352"/>
      <c r="D45" s="352"/>
      <c r="E45" s="352"/>
      <c r="F45" s="352"/>
      <c r="G45" s="352"/>
      <c r="H45" s="352"/>
      <c r="I45" s="352"/>
      <c r="J45" s="352"/>
      <c r="K45" s="352"/>
      <c r="L45" s="5"/>
    </row>
    <row r="46" spans="2:12" ht="8.4" customHeight="1" thickBot="1" x14ac:dyDescent="0.35">
      <c r="B46" s="12"/>
      <c r="C46" s="13"/>
      <c r="D46" s="13"/>
      <c r="E46" s="13"/>
      <c r="F46" s="13"/>
      <c r="G46" s="13"/>
      <c r="H46" s="13"/>
      <c r="I46" s="13"/>
      <c r="J46" s="13"/>
      <c r="K46" s="13"/>
      <c r="L46" s="14"/>
    </row>
    <row r="47" spans="2:12" ht="9" customHeight="1" thickBot="1" x14ac:dyDescent="0.35"/>
    <row r="48" spans="2:12" x14ac:dyDescent="0.3">
      <c r="B48" s="348" t="s">
        <v>45</v>
      </c>
      <c r="C48" s="349"/>
      <c r="D48" s="2"/>
      <c r="E48" s="2"/>
      <c r="F48" s="2"/>
      <c r="G48" s="2"/>
      <c r="H48" s="2"/>
      <c r="I48" s="2"/>
      <c r="J48" s="2"/>
      <c r="K48" s="2"/>
      <c r="L48" s="3"/>
    </row>
    <row r="49" spans="2:12" x14ac:dyDescent="0.3">
      <c r="B49" s="4"/>
      <c r="L49" s="5"/>
    </row>
    <row r="50" spans="2:12" x14ac:dyDescent="0.3">
      <c r="B50" s="4"/>
      <c r="C50" s="23"/>
      <c r="L50" s="5"/>
    </row>
    <row r="51" spans="2:12" x14ac:dyDescent="0.3">
      <c r="B51" s="4"/>
      <c r="C51" s="350" t="s">
        <v>46</v>
      </c>
      <c r="D51" s="350"/>
      <c r="E51" s="350"/>
      <c r="F51" s="350"/>
      <c r="H51" s="350" t="s">
        <v>47</v>
      </c>
      <c r="I51" s="350"/>
      <c r="J51" s="350"/>
      <c r="K51" s="350"/>
      <c r="L51" s="5"/>
    </row>
    <row r="52" spans="2:12" ht="15" thickBot="1" x14ac:dyDescent="0.35">
      <c r="B52" s="12"/>
      <c r="C52" s="13"/>
      <c r="D52" s="13"/>
      <c r="E52" s="13"/>
      <c r="F52" s="13"/>
      <c r="G52" s="13"/>
      <c r="H52" s="13"/>
      <c r="I52" s="13"/>
      <c r="J52" s="13"/>
      <c r="K52" s="13"/>
      <c r="L52" s="14"/>
    </row>
  </sheetData>
  <mergeCells count="42">
    <mergeCell ref="D10:K10"/>
    <mergeCell ref="B2:L2"/>
    <mergeCell ref="B3:L3"/>
    <mergeCell ref="C6:K6"/>
    <mergeCell ref="D8:K8"/>
    <mergeCell ref="D9:K9"/>
    <mergeCell ref="D23:G23"/>
    <mergeCell ref="I23:K23"/>
    <mergeCell ref="D11:K11"/>
    <mergeCell ref="D12:H12"/>
    <mergeCell ref="J12:K12"/>
    <mergeCell ref="C16:K16"/>
    <mergeCell ref="D18:G18"/>
    <mergeCell ref="H18:K18"/>
    <mergeCell ref="D19:K19"/>
    <mergeCell ref="D20:K20"/>
    <mergeCell ref="D21:E21"/>
    <mergeCell ref="D22:G22"/>
    <mergeCell ref="I22:K22"/>
    <mergeCell ref="C27:K27"/>
    <mergeCell ref="D29:E29"/>
    <mergeCell ref="F29:G29"/>
    <mergeCell ref="H29:K29"/>
    <mergeCell ref="D30:E30"/>
    <mergeCell ref="F30:G30"/>
    <mergeCell ref="I30:J30"/>
    <mergeCell ref="D33:E33"/>
    <mergeCell ref="F33:G33"/>
    <mergeCell ref="I33:J33"/>
    <mergeCell ref="C34:E34"/>
    <mergeCell ref="F34:G34"/>
    <mergeCell ref="D31:E31"/>
    <mergeCell ref="F31:G31"/>
    <mergeCell ref="I31:J31"/>
    <mergeCell ref="D32:E32"/>
    <mergeCell ref="F32:G32"/>
    <mergeCell ref="I32:J32"/>
    <mergeCell ref="B48:C48"/>
    <mergeCell ref="C51:F51"/>
    <mergeCell ref="H51:K51"/>
    <mergeCell ref="C39:K45"/>
    <mergeCell ref="C38:K38"/>
  </mergeCells>
  <pageMargins left="0.511811024" right="0.511811024" top="0.78740157499999996" bottom="0.78740157499999996" header="0.31496062000000002" footer="0.31496062000000002"/>
  <pageSetup paperSize="9" scale="98" orientation="portrait" horizontalDpi="360" verticalDpi="36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B36B072B9476384EAB3ACCDDD2384384" ma:contentTypeVersion="11" ma:contentTypeDescription="Crie um novo documento." ma:contentTypeScope="" ma:versionID="c9ae70d9359dd23e9a48b07547b717ad">
  <xsd:schema xmlns:xsd="http://www.w3.org/2001/XMLSchema" xmlns:xs="http://www.w3.org/2001/XMLSchema" xmlns:p="http://schemas.microsoft.com/office/2006/metadata/properties" xmlns:ns2="7a991dad-45c2-4a9e-9fda-9c556ad46bbb" xmlns:ns3="e3d5a89f-10c1-48c7-b69d-72d2ad4a8504" targetNamespace="http://schemas.microsoft.com/office/2006/metadata/properties" ma:root="true" ma:fieldsID="3937aaad769f7dbee2ffe085997c1990" ns2:_="" ns3:_="">
    <xsd:import namespace="7a991dad-45c2-4a9e-9fda-9c556ad46bbb"/>
    <xsd:import namespace="e3d5a89f-10c1-48c7-b69d-72d2ad4a8504"/>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991dad-45c2-4a9e-9fda-9c556ad46bb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Marcações de imagem" ma:readOnly="false" ma:fieldId="{5cf76f15-5ced-4ddc-b409-7134ff3c332f}" ma:taxonomyMulti="true" ma:sspId="b0438eb4-5b5a-4ed9-a302-1fe602507e1e"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element name="MediaServiceDateTaken" ma:index="18"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3d5a89f-10c1-48c7-b69d-72d2ad4a8504"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d2b14d52-2751-4760-8594-93415ecef864}" ma:internalName="TaxCatchAll" ma:showField="CatchAllData" ma:web="e3d5a89f-10c1-48c7-b69d-72d2ad4a85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7a991dad-45c2-4a9e-9fda-9c556ad46bbb">
      <Terms xmlns="http://schemas.microsoft.com/office/infopath/2007/PartnerControls"/>
    </lcf76f155ced4ddcb4097134ff3c332f>
    <TaxCatchAll xmlns="e3d5a89f-10c1-48c7-b69d-72d2ad4a8504" xsi:nil="true"/>
  </documentManagement>
</p:properties>
</file>

<file path=customXml/itemProps1.xml><?xml version="1.0" encoding="utf-8"?>
<ds:datastoreItem xmlns:ds="http://schemas.openxmlformats.org/officeDocument/2006/customXml" ds:itemID="{FBC7A38B-8603-4A42-AAAF-92D5D637F20E}">
  <ds:schemaRefs>
    <ds:schemaRef ds:uri="http://schemas.microsoft.com/sharepoint/v3/contenttype/forms"/>
  </ds:schemaRefs>
</ds:datastoreItem>
</file>

<file path=customXml/itemProps2.xml><?xml version="1.0" encoding="utf-8"?>
<ds:datastoreItem xmlns:ds="http://schemas.openxmlformats.org/officeDocument/2006/customXml" ds:itemID="{6851F440-CB5F-4979-B04A-4EA3DFBB93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991dad-45c2-4a9e-9fda-9c556ad46bbb"/>
    <ds:schemaRef ds:uri="e3d5a89f-10c1-48c7-b69d-72d2ad4a850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2A719E-479E-41E4-8A33-6AFDA9F259D9}">
  <ds:schemaRefs>
    <ds:schemaRef ds:uri="http://schemas.microsoft.com/DataMashup"/>
  </ds:schemaRefs>
</ds:datastoreItem>
</file>

<file path=customXml/itemProps4.xml><?xml version="1.0" encoding="utf-8"?>
<ds:datastoreItem xmlns:ds="http://schemas.openxmlformats.org/officeDocument/2006/customXml" ds:itemID="{868ACD4F-02B1-4370-BFE2-EC36B7D19892}">
  <ds:schemaRefs>
    <ds:schemaRef ds:uri="http://schemas.microsoft.com/office/2006/metadata/properties"/>
    <ds:schemaRef ds:uri="http://schemas.microsoft.com/office/infopath/2007/PartnerControls"/>
    <ds:schemaRef ds:uri="7a991dad-45c2-4a9e-9fda-9c556ad46bbb"/>
    <ds:schemaRef ds:uri="e3d5a89f-10c1-48c7-b69d-72d2ad4a850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15</vt:i4>
      </vt:variant>
    </vt:vector>
  </HeadingPairs>
  <TitlesOfParts>
    <vt:vector size="20" baseType="lpstr">
      <vt:lpstr>RESUMO</vt:lpstr>
      <vt:lpstr>PRINCIPAL</vt:lpstr>
      <vt:lpstr>Solicitações de Pagamento</vt:lpstr>
      <vt:lpstr>ItensOrc</vt:lpstr>
      <vt:lpstr>Template SP</vt:lpstr>
      <vt:lpstr>ItensOrc!itensorc_desconto</vt:lpstr>
      <vt:lpstr>ItensOrc!itensorc_descricao</vt:lpstr>
      <vt:lpstr>ItensOrc!itensorc_encargos</vt:lpstr>
      <vt:lpstr>ItensOrc!itensorc_especifica</vt:lpstr>
      <vt:lpstr>ItensOrc!itensorc_item</vt:lpstr>
      <vt:lpstr>ItensOrc!itensorc_lancamento</vt:lpstr>
      <vt:lpstr>ItensOrc!itensorc_percentualhonorarios</vt:lpstr>
      <vt:lpstr>ItensOrc!itensorc_quantidade</vt:lpstr>
      <vt:lpstr>ItensOrc!itensorc_situacao</vt:lpstr>
      <vt:lpstr>ItensOrc!itensorc_subtipo</vt:lpstr>
      <vt:lpstr>ItensOrc!itensorc_tiporeceita</vt:lpstr>
      <vt:lpstr>ItensOrc!itensorc_valor</vt:lpstr>
      <vt:lpstr>ItensOrc!itensorc_valorfornecedor</vt:lpstr>
      <vt:lpstr>ItensOrc!itensorc_valorfornecedorunitario</vt:lpstr>
      <vt:lpstr>ItensOrc!itensorc_valorunitario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Rafael QdS</dc:creator>
  <cp:lastModifiedBy>Bruno Silva</cp:lastModifiedBy>
  <cp:lastPrinted>2026-07-20T13:13:57Z</cp:lastPrinted>
  <dcterms:created xsi:type="dcterms:W3CDTF">2023-09-21T21:02:20Z</dcterms:created>
  <dcterms:modified xsi:type="dcterms:W3CDTF">2026-07-29T13:28:38Z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0x010100B36B072B9476384EAB3ACCDDD2384384</vt:lpwstr>
  </property>
  <property fmtid="{D5CDD505-2E9C-101B-9397-08002B2CF9AE}" pid="3" name="MediaServiceImageTags">
    <vt:lpwstr/>
  </property>
</Properties>
</file>