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6 junho\"/>
    </mc:Choice>
  </mc:AlternateContent>
  <xr:revisionPtr revIDLastSave="0" documentId="13_ncr:1_{40281F7F-2826-4134-9D81-D61E00305978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6" r:id="rId1"/>
    <sheet name="COMPLEMENTO " sheetId="95" r:id="rId2"/>
    <sheet name="Solicitações de Pagamento" sheetId="4" r:id="rId3"/>
    <sheet name="ItensOrc" sheetId="76" state="hidden" r:id="rId4"/>
    <sheet name="Template SP" sheetId="3" state="hidden" r:id="rId5"/>
  </sheets>
  <definedNames>
    <definedName name="_xlnm._FilterDatabase" localSheetId="1" hidden="1">'COMPLEMENTO '!$A$1:$AD$14</definedName>
    <definedName name="_xleta.N" hidden="1" xlm="1">#NAME?</definedName>
    <definedName name="_xleta.SUM" hidden="1" xlm="1">#NAME?</definedName>
    <definedName name="itensorc_desconto" localSheetId="3">ItensOrc!$M:$M</definedName>
    <definedName name="itensorc_desconto">#REF!</definedName>
    <definedName name="itensorc_descricao" localSheetId="3">ItensOrc!$D:$D</definedName>
    <definedName name="itensorc_descricao">#REF!</definedName>
    <definedName name="itensorc_encargos" localSheetId="3">ItensOrc!$N:$N</definedName>
    <definedName name="itensorc_encargos">#REF!</definedName>
    <definedName name="itensorc_especifica" localSheetId="3">ItensOrc!$O:$O</definedName>
    <definedName name="itensorc_especifica">#REF!</definedName>
    <definedName name="itensorc_item" localSheetId="3">ItensOrc!$C:$C</definedName>
    <definedName name="itensorc_item">#REF!</definedName>
    <definedName name="itensorc_lancamento" localSheetId="3">ItensOrc!$B:$B</definedName>
    <definedName name="itensorc_lancamento">#REF!</definedName>
    <definedName name="itensorc_percentualhonorarios" localSheetId="3">ItensOrc!$L:$L</definedName>
    <definedName name="itensorc_percentualhonorarios">#REF!</definedName>
    <definedName name="itensorc_quantidade" localSheetId="3">ItensOrc!$E:$E</definedName>
    <definedName name="itensorc_quantidade">#REF!</definedName>
    <definedName name="itensorc_situacao" localSheetId="3">ItensOrc!$H:$H</definedName>
    <definedName name="itensorc_situacao">#REF!</definedName>
    <definedName name="itensorc_subtipo" localSheetId="3">ItensOrc!$K:$K</definedName>
    <definedName name="itensorc_subtipo">#REF!</definedName>
    <definedName name="itensorc_tiporeceita" localSheetId="3">ItensOrc!$A:$A</definedName>
    <definedName name="itensorc_tiporeceita">#REF!</definedName>
    <definedName name="itensorc_valor" localSheetId="3">ItensOrc!$G:$G</definedName>
    <definedName name="itensorc_valor">#REF!</definedName>
    <definedName name="itensorc_valorfornecedor" localSheetId="3">ItensOrc!$I:$I</definedName>
    <definedName name="itensorc_valorfornecedor">#REF!</definedName>
    <definedName name="itensorc_valorfornecedorunitario" localSheetId="3">ItensOrc!$J:$J</definedName>
    <definedName name="itensorc_valorfornecedorunitario">#REF!</definedName>
    <definedName name="itensorc_valorunitario" localSheetId="3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96" l="1"/>
  <c r="E30" i="96" s="1"/>
  <c r="C30" i="96"/>
  <c r="E28" i="96"/>
  <c r="E29" i="96"/>
  <c r="D29" i="96"/>
  <c r="D28" i="96"/>
  <c r="D22" i="96"/>
  <c r="C22" i="96"/>
  <c r="C23" i="96" s="1"/>
  <c r="AC28" i="95"/>
  <c r="AC27" i="95"/>
  <c r="AC29" i="95"/>
  <c r="F29" i="96"/>
  <c r="F28" i="96"/>
  <c r="D23" i="96"/>
  <c r="E3" i="96"/>
  <c r="E23" i="96" l="1"/>
  <c r="F23" i="96" s="1"/>
  <c r="E22" i="96"/>
  <c r="F22" i="96" s="1"/>
  <c r="F30" i="96"/>
  <c r="AC23" i="95" l="1"/>
  <c r="R21" i="95"/>
  <c r="Q21" i="95"/>
  <c r="K21" i="95"/>
  <c r="R20" i="95"/>
  <c r="Q20" i="95"/>
  <c r="K20" i="95"/>
  <c r="R19" i="95"/>
  <c r="K19" i="95"/>
  <c r="Q15" i="95"/>
  <c r="R18" i="95"/>
  <c r="Q18" i="95"/>
  <c r="K18" i="95"/>
  <c r="R17" i="95"/>
  <c r="Q17" i="95"/>
  <c r="K17" i="95"/>
  <c r="Q16" i="95"/>
  <c r="Z12" i="95"/>
  <c r="K23" i="95" l="1"/>
  <c r="K22" i="95"/>
  <c r="L21" i="95"/>
  <c r="V21" i="95"/>
  <c r="V19" i="95"/>
  <c r="U19" i="95"/>
  <c r="Z19" i="95" s="1"/>
  <c r="V20" i="95"/>
  <c r="U20" i="95"/>
  <c r="Z20" i="95" s="1"/>
  <c r="L20" i="95"/>
  <c r="M20" i="95" s="1"/>
  <c r="L19" i="95"/>
  <c r="M19" i="95" s="1"/>
  <c r="T18" i="95"/>
  <c r="U18" i="95" s="1"/>
  <c r="Z18" i="95" s="1"/>
  <c r="V18" i="95"/>
  <c r="L18" i="95"/>
  <c r="M18" i="95" s="1"/>
  <c r="N18" i="95" s="1"/>
  <c r="V17" i="95"/>
  <c r="L17" i="95"/>
  <c r="L23" i="95" l="1"/>
  <c r="L22" i="95"/>
  <c r="T22" i="95"/>
  <c r="T23" i="95"/>
  <c r="M21" i="95"/>
  <c r="U21" i="95"/>
  <c r="W19" i="95"/>
  <c r="X19" i="95" s="1"/>
  <c r="W20" i="95"/>
  <c r="X20" i="95" s="1"/>
  <c r="N20" i="95"/>
  <c r="N19" i="95"/>
  <c r="W18" i="95"/>
  <c r="X18" i="95" s="1"/>
  <c r="U17" i="95"/>
  <c r="M17" i="95"/>
  <c r="Y19" i="95" l="1"/>
  <c r="AB19" i="95"/>
  <c r="Y20" i="95"/>
  <c r="AB20" i="95"/>
  <c r="Y18" i="95"/>
  <c r="AB18" i="95"/>
  <c r="M22" i="95"/>
  <c r="M23" i="95"/>
  <c r="U23" i="95"/>
  <c r="U22" i="95"/>
  <c r="N17" i="95"/>
  <c r="W21" i="95"/>
  <c r="X21" i="95" s="1"/>
  <c r="AB21" i="95" s="1"/>
  <c r="Z21" i="95"/>
  <c r="N21" i="95"/>
  <c r="W17" i="95"/>
  <c r="X17" i="95" s="1"/>
  <c r="AB17" i="95" s="1"/>
  <c r="Z17" i="95"/>
  <c r="AA18" i="95"/>
  <c r="AA17" i="95"/>
  <c r="AB23" i="95" l="1"/>
  <c r="Y21" i="95"/>
  <c r="X22" i="95"/>
  <c r="Y22" i="95" s="1"/>
  <c r="X23" i="95"/>
  <c r="N23" i="95"/>
  <c r="N22" i="95"/>
  <c r="Y17" i="95"/>
  <c r="Y23" i="95" l="1"/>
  <c r="Z23" i="95" l="1"/>
  <c r="AA23" i="95" s="1"/>
</calcChain>
</file>

<file path=xl/sharedStrings.xml><?xml version="1.0" encoding="utf-8"?>
<sst xmlns="http://schemas.openxmlformats.org/spreadsheetml/2006/main" count="293" uniqueCount="194">
  <si>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</si>
  <si>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</si>
  <si>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</si>
  <si>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</si>
  <si>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</si>
  <si>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</si>
  <si>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</si>
  <si>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</si>
  <si>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</si>
  <si>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</si>
  <si>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</si>
  <si>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</si>
  <si>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</si>
  <si>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</si>
  <si>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</si>
  <si>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</si>
  <si>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</si>
  <si>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</si>
  <si>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</si>
  <si>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</si>
  <si>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</si>
  <si>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</si>
  <si>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</si>
  <si>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</si>
  <si>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</si>
  <si>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</si>
  <si>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</si>
  <si>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</si>
  <si>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</si>
  <si>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</si>
  <si>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</si>
  <si>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</si>
  <si>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</si>
  <si>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</si>
  <si>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</si>
  <si>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</si>
  <si>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</si>
  <si>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</si>
  <si>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</si>
  <si>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</si>
  <si>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</si>
  <si>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</si>
  <si>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</si>
  <si>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</si>
  <si>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</si>
  <si>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</si>
  <si>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</si>
  <si>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</si>
  <si>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</si>
  <si>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</si>
  <si>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</si>
  <si>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</si>
  <si>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</si>
  <si>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</si>
  <si>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</si>
  <si>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</si>
  <si>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</si>
  <si>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</si>
  <si>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</si>
  <si>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</si>
  <si>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</si>
  <si>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</si>
  <si>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</si>
  <si>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</si>
  <si>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</si>
  <si>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</si>
  <si>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</si>
  <si>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</si>
  <si>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</si>
  <si>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</si>
  <si>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</si>
  <si>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</si>
  <si>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</si>
  <si>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</si>
  <si>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</si>
  <si>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</si>
  <si>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</si>
  <si>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</si>
  <si>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</si>
  <si>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</si>
  <si>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</si>
  <si>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</si>
  <si>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</si>
  <si>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</si>
  <si>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</si>
  <si>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</si>
  <si>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</si>
  <si>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</si>
  <si>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</si>
  <si>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</si>
  <si>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</si>
  <si>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</si>
  <si>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</si>
  <si>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</si>
  <si>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</si>
  <si>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</si>
  <si>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PENDENTE</t>
  </si>
  <si>
    <t>EFETUADO</t>
  </si>
  <si>
    <t>1.1.2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</si>
  <si>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</si>
  <si>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</si>
  <si>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</si>
  <si>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</si>
  <si>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</si>
  <si>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</si>
  <si>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</si>
  <si>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</si>
  <si>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</si>
  <si>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</si>
  <si>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SUBTOTAL SUBGRUPO</t>
  </si>
  <si>
    <t>OPERACIONAL</t>
  </si>
  <si>
    <t>FAT.CLIENTE</t>
  </si>
  <si>
    <t>SUBTOTAL PLANILHA</t>
  </si>
  <si>
    <t>BRINDES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</si>
  <si>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</si>
  <si>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</si>
  <si>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</si>
  <si>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</si>
  <si>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</si>
  <si>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</si>
  <si>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</si>
  <si>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</si>
  <si>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</si>
  <si>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</si>
  <si>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>1.1.1</t>
  </si>
  <si>
    <t>Agasalho</t>
  </si>
  <si>
    <t>1.1.3</t>
  </si>
  <si>
    <t>Agasalho ADIDAS  com logos em DTF;</t>
  </si>
  <si>
    <t>06/04/2026</t>
  </si>
  <si>
    <t>05.570.154/0019-61</t>
  </si>
  <si>
    <t>FASHION SHOES COMERCIO DE CALCADOS E CONFECCOES LTDA</t>
  </si>
  <si>
    <t>(48) 9606-3972</t>
  </si>
  <si>
    <t>R$ 49.800,00</t>
  </si>
  <si>
    <t xml:space="preserve">PATRICK </t>
  </si>
  <si>
    <t>16/04/2026</t>
  </si>
  <si>
    <t>296.693.618-50</t>
  </si>
  <si>
    <t xml:space="preserve">CRISTIANE VIANA </t>
  </si>
  <si>
    <t>R$ 1.275,00</t>
  </si>
  <si>
    <t xml:space="preserve">PETERSON </t>
  </si>
  <si>
    <t>Subtotal CUSTOS COMPLEMENTARES</t>
  </si>
  <si>
    <t>Marg. Lucro</t>
  </si>
  <si>
    <t>Lucro</t>
  </si>
  <si>
    <t xml:space="preserve">VISITA A FÁBRICA </t>
  </si>
  <si>
    <t xml:space="preserve">FÁBRICA LENOVO - INDAIATUBA </t>
  </si>
  <si>
    <t>GIOVANNI FERREIRA</t>
  </si>
  <si>
    <t>MAIO</t>
  </si>
  <si>
    <t xml:space="preserve">Camisa Brasil </t>
  </si>
  <si>
    <t xml:space="preserve">Vinho </t>
  </si>
  <si>
    <t>1.1.4</t>
  </si>
  <si>
    <t xml:space="preserve">Mochila Lenovo </t>
  </si>
  <si>
    <t xml:space="preserve">Case vinho </t>
  </si>
  <si>
    <t xml:space="preserve">Mochila Lenovo para notebook </t>
  </si>
  <si>
    <t xml:space="preserve">Case couro ecologico personalizado com logos </t>
  </si>
  <si>
    <t xml:space="preserve">Camisa seleção brasileira copa 2026 </t>
  </si>
  <si>
    <t>Siegel Handpicked Reserva Carmenere ou  Nieto Senetiner Malbec</t>
  </si>
  <si>
    <t>1.1.5</t>
  </si>
  <si>
    <t>Garrafas</t>
  </si>
  <si>
    <t xml:space="preserve">Garrafas personalizada Lenovo e Intel </t>
  </si>
  <si>
    <t>COMPLEMENTO</t>
  </si>
  <si>
    <t xml:space="preserve">COMPLEMENTO VISITA A FÁBRICA </t>
  </si>
  <si>
    <t xml:space="preserve">LE_255_COMPLEMENTO VISITA A FÁBRICA ISG </t>
  </si>
  <si>
    <t xml:space="preserve">Almoço restaurante Green House </t>
  </si>
  <si>
    <t xml:space="preserve">Almoço 20/05 </t>
  </si>
  <si>
    <t>21/05/2026</t>
  </si>
  <si>
    <t xml:space="preserve">LE_255_COMPLEMENTO VISITA A FÁBRICA ISG  VISITA A FÁBRICA </t>
  </si>
  <si>
    <t>LE_255_COMPLEMENTO VISITA A FÁBRICA.xlsm</t>
  </si>
  <si>
    <t>( X ) Pessoa Jurídica</t>
  </si>
  <si>
    <t>32.097.356/0001-81</t>
  </si>
  <si>
    <t>GH RESTAURANTES LTDA</t>
  </si>
  <si>
    <t>(19) 3825-4444</t>
  </si>
  <si>
    <t>R$ 3.252,30</t>
  </si>
  <si>
    <t>27/05/2026</t>
  </si>
  <si>
    <t>40.791.871/0001-95</t>
  </si>
  <si>
    <t>ZORELLO STORE LTDA</t>
  </si>
  <si>
    <t>(11) 2574-3129</t>
  </si>
  <si>
    <t>26/06/26</t>
  </si>
  <si>
    <t>R$ 1.322,50</t>
  </si>
  <si>
    <t>( X ) Boleto</t>
  </si>
  <si>
    <t>VALOR REFERENTE A GARRAFAS PERSONALIZADAS</t>
  </si>
  <si>
    <t>ZORELLO</t>
  </si>
  <si>
    <t>GIOVANNI</t>
  </si>
  <si>
    <t>SBF COMERCIO</t>
  </si>
  <si>
    <t>GH RESTAURANTES (ALMOÇO)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</si>
  <si>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</si>
  <si>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</si>
  <si>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</si>
  <si>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</si>
  <si>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</si>
  <si>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</si>
  <si>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</si>
  <si>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IMPOSTO</t>
  </si>
  <si>
    <t>CUSTO TOTAL</t>
  </si>
  <si>
    <t>NOTA DE DÉBITO 265</t>
  </si>
  <si>
    <t>NOTA FISCAL 3001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</si>
</sst>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Gadugi"/>
      <family val="2"/>
    </font>
    <font>
      <b/>
      <sz val="18"/>
      <color indexed="63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Trebuchet MS"/>
      <family val="2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b/>
      <sz val="18"/>
      <color rgb="FFFF0000"/>
      <name val="Trebuchet MS"/>
      <family val="2"/>
    </font>
    <font>
      <b/>
      <sz val="18"/>
      <color rgb="FF00B050"/>
      <name val="Trebuchet MS"/>
      <family val="2"/>
    </font>
    <font>
      <b/>
      <sz val="18"/>
      <color theme="0"/>
      <name val="Trebuchet MS"/>
      <family val="2"/>
    </font>
    <font>
      <b/>
      <sz val="18"/>
      <color rgb="FF00B05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2"/>
      <color theme="0"/>
      <name val="Trebuchet MS"/>
      <family val="2"/>
    </font>
    <font>
      <sz val="16"/>
      <name val="Calibri"/>
      <family val="2"/>
      <scheme val="minor"/>
    </font>
    <font>
      <b/>
      <sz val="16"/>
      <name val="Trebuchet MS"/>
      <family val="2"/>
    </font>
    <font>
      <b/>
      <sz val="16"/>
      <name val="Calibri"/>
      <family val="2"/>
      <scheme val="minor"/>
    </font>
    <font>
      <b/>
      <sz val="11"/>
      <name val="Trebuchet MS"/>
      <family val="2"/>
    </font>
    <font>
      <b/>
      <sz val="12"/>
      <color rgb="FFFF0000"/>
      <name val="Trebuchet MS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77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8" fillId="4" borderId="35" xfId="0" applyFont="1" applyFill="1" applyBorder="1"/>
    <xf numFmtId="0" fontId="8" fillId="4" borderId="36" xfId="0" applyFont="1" applyFill="1" applyBorder="1"/>
    <xf numFmtId="0" fontId="11" fillId="8" borderId="40" xfId="0" applyFont="1" applyFill="1" applyBorder="1" applyAlignment="1">
      <alignment vertical="center"/>
    </xf>
    <xf numFmtId="0" fontId="13" fillId="8" borderId="40" xfId="0" applyFont="1" applyFill="1" applyBorder="1" applyAlignment="1">
      <alignment horizontal="center" vertical="center"/>
    </xf>
    <xf numFmtId="22" fontId="11" fillId="8" borderId="40" xfId="0" applyNumberFormat="1" applyFont="1" applyFill="1" applyBorder="1" applyAlignment="1">
      <alignment horizontal="center" vertical="center"/>
    </xf>
    <xf numFmtId="0" fontId="15" fillId="8" borderId="41" xfId="0" applyFont="1" applyFill="1" applyBorder="1" applyAlignment="1">
      <alignment horizontal="center" vertical="center" wrapText="1"/>
    </xf>
    <xf numFmtId="0" fontId="15" fillId="8" borderId="42" xfId="0" applyFont="1" applyFill="1" applyBorder="1" applyAlignment="1">
      <alignment horizontal="center" vertical="center" wrapText="1"/>
    </xf>
    <xf numFmtId="0" fontId="19" fillId="0" borderId="0" xfId="0" applyFont="1"/>
    <xf numFmtId="49" fontId="20" fillId="0" borderId="0" xfId="2" applyNumberFormat="1" applyFont="1" applyAlignment="1">
      <alignment horizontal="left" vertical="center" wrapText="1"/>
    </xf>
    <xf numFmtId="0" fontId="20" fillId="0" borderId="0" xfId="2" applyFont="1" applyAlignment="1">
      <alignment horizontal="left" vertical="center" wrapText="1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164" fontId="20" fillId="0" borderId="0" xfId="2" applyNumberFormat="1" applyFont="1" applyAlignment="1">
      <alignment horizontal="left" vertical="center"/>
    </xf>
    <xf numFmtId="164" fontId="20" fillId="0" borderId="60" xfId="2" applyNumberFormat="1" applyFont="1" applyBorder="1" applyAlignment="1" applyProtection="1">
      <alignment horizontal="left" vertical="center"/>
      <protection locked="0"/>
    </xf>
    <xf numFmtId="164" fontId="20" fillId="0" borderId="61" xfId="2" applyNumberFormat="1" applyFont="1" applyBorder="1" applyAlignment="1" applyProtection="1">
      <alignment horizontal="left" vertical="center"/>
      <protection locked="0"/>
    </xf>
    <xf numFmtId="164" fontId="20" fillId="0" borderId="62" xfId="2" applyNumberFormat="1" applyFont="1" applyBorder="1" applyAlignment="1" applyProtection="1">
      <alignment horizontal="left" vertical="center"/>
      <protection locked="0"/>
    </xf>
    <xf numFmtId="164" fontId="20" fillId="0" borderId="63" xfId="2" applyNumberFormat="1" applyFont="1" applyBorder="1" applyAlignment="1" applyProtection="1">
      <alignment horizontal="left" vertical="center"/>
      <protection locked="0"/>
    </xf>
    <xf numFmtId="164" fontId="20" fillId="0" borderId="14" xfId="2" applyNumberFormat="1" applyFont="1" applyBorder="1" applyAlignment="1" applyProtection="1">
      <alignment horizontal="left" vertical="center"/>
      <protection locked="0"/>
    </xf>
    <xf numFmtId="164" fontId="20" fillId="0" borderId="59" xfId="2" applyNumberFormat="1" applyFont="1" applyBorder="1" applyAlignment="1" applyProtection="1">
      <alignment horizontal="left" vertical="center"/>
      <protection locked="0"/>
    </xf>
    <xf numFmtId="49" fontId="19" fillId="0" borderId="0" xfId="0" applyNumberFormat="1" applyFont="1"/>
    <xf numFmtId="0" fontId="19" fillId="0" borderId="0" xfId="1" applyNumberFormat="1" applyFont="1"/>
    <xf numFmtId="165" fontId="22" fillId="6" borderId="38" xfId="4" applyFont="1" applyFill="1" applyBorder="1" applyAlignment="1">
      <alignment horizontal="center" vertical="center" wrapText="1"/>
    </xf>
    <xf numFmtId="168" fontId="23" fillId="0" borderId="5" xfId="1" applyNumberFormat="1" applyFont="1" applyBorder="1"/>
    <xf numFmtId="166" fontId="22" fillId="0" borderId="39" xfId="4" applyNumberFormat="1" applyFont="1" applyBorder="1" applyAlignment="1">
      <alignment horizontal="center" vertical="center" wrapText="1"/>
    </xf>
    <xf numFmtId="0" fontId="24" fillId="5" borderId="0" xfId="0" applyFont="1" applyFill="1"/>
    <xf numFmtId="49" fontId="24" fillId="5" borderId="0" xfId="0" applyNumberFormat="1" applyFont="1" applyFill="1"/>
    <xf numFmtId="0" fontId="25" fillId="0" borderId="0" xfId="0" applyFont="1"/>
    <xf numFmtId="0" fontId="26" fillId="0" borderId="43" xfId="0" applyFont="1" applyBorder="1" applyAlignment="1">
      <alignment horizontal="left" vertical="center"/>
    </xf>
    <xf numFmtId="49" fontId="26" fillId="0" borderId="44" xfId="0" applyNumberFormat="1" applyFont="1" applyBorder="1" applyAlignment="1">
      <alignment horizontal="left" vertical="center"/>
    </xf>
    <xf numFmtId="0" fontId="26" fillId="0" borderId="45" xfId="0" applyFont="1" applyBorder="1" applyAlignment="1">
      <alignment horizontal="left" vertical="center"/>
    </xf>
    <xf numFmtId="0" fontId="26" fillId="0" borderId="43" xfId="0" applyFont="1" applyBorder="1" applyAlignment="1">
      <alignment horizontal="left" vertical="center" wrapText="1"/>
    </xf>
    <xf numFmtId="0" fontId="20" fillId="6" borderId="51" xfId="3" applyFont="1" applyFill="1" applyBorder="1" applyAlignment="1">
      <alignment horizontal="left" vertical="center"/>
    </xf>
    <xf numFmtId="0" fontId="20" fillId="6" borderId="52" xfId="3" applyFont="1" applyFill="1" applyBorder="1" applyAlignment="1">
      <alignment horizontal="center" vertical="center"/>
    </xf>
    <xf numFmtId="0" fontId="24" fillId="6" borderId="52" xfId="3" applyFont="1" applyFill="1" applyBorder="1" applyAlignment="1">
      <alignment horizontal="center" vertical="center"/>
    </xf>
    <xf numFmtId="169" fontId="24" fillId="6" borderId="52" xfId="3" applyNumberFormat="1" applyFont="1" applyFill="1" applyBorder="1" applyAlignment="1">
      <alignment horizontal="center" vertical="center" wrapText="1"/>
    </xf>
    <xf numFmtId="0" fontId="24" fillId="6" borderId="52" xfId="3" applyFont="1" applyFill="1" applyBorder="1" applyAlignment="1">
      <alignment horizontal="center" vertical="center" wrapText="1"/>
    </xf>
    <xf numFmtId="9" fontId="24" fillId="6" borderId="52" xfId="1" applyFont="1" applyFill="1" applyBorder="1" applyAlignment="1">
      <alignment horizontal="center" vertical="center" wrapText="1"/>
    </xf>
    <xf numFmtId="10" fontId="24" fillId="6" borderId="52" xfId="1" applyNumberFormat="1" applyFont="1" applyFill="1" applyBorder="1" applyAlignment="1">
      <alignment horizontal="center" vertical="center" wrapText="1"/>
    </xf>
    <xf numFmtId="0" fontId="24" fillId="6" borderId="53" xfId="3" applyFont="1" applyFill="1" applyBorder="1" applyAlignment="1">
      <alignment horizontal="center" vertical="center" wrapText="1"/>
    </xf>
    <xf numFmtId="37" fontId="22" fillId="6" borderId="51" xfId="3" applyNumberFormat="1" applyFont="1" applyFill="1" applyBorder="1" applyAlignment="1">
      <alignment horizontal="center" vertical="center"/>
    </xf>
    <xf numFmtId="37" fontId="22" fillId="6" borderId="52" xfId="3" applyNumberFormat="1" applyFont="1" applyFill="1" applyBorder="1" applyAlignment="1">
      <alignment horizontal="center" vertical="center"/>
    </xf>
    <xf numFmtId="40" fontId="22" fillId="6" borderId="52" xfId="4" applyNumberFormat="1" applyFont="1" applyFill="1" applyBorder="1" applyAlignment="1">
      <alignment horizontal="center" vertical="center"/>
    </xf>
    <xf numFmtId="165" fontId="22" fillId="6" borderId="52" xfId="4" applyFont="1" applyFill="1" applyBorder="1" applyAlignment="1">
      <alignment horizontal="right" vertical="center"/>
    </xf>
    <xf numFmtId="40" fontId="22" fillId="6" borderId="52" xfId="4" applyNumberFormat="1" applyFont="1" applyFill="1" applyBorder="1" applyAlignment="1">
      <alignment horizontal="center" vertical="center" wrapText="1"/>
    </xf>
    <xf numFmtId="10" fontId="22" fillId="6" borderId="52" xfId="5" applyNumberFormat="1" applyFont="1" applyFill="1" applyBorder="1" applyAlignment="1">
      <alignment horizontal="center" vertical="center" wrapText="1"/>
    </xf>
    <xf numFmtId="165" fontId="22" fillId="6" borderId="52" xfId="4" applyFont="1" applyFill="1" applyBorder="1" applyAlignment="1">
      <alignment horizontal="center" vertical="center" wrapText="1"/>
    </xf>
    <xf numFmtId="165" fontId="22" fillId="6" borderId="53" xfId="4" applyFont="1" applyFill="1" applyBorder="1" applyAlignment="1">
      <alignment horizontal="center" vertical="center" wrapText="1"/>
    </xf>
    <xf numFmtId="10" fontId="22" fillId="6" borderId="46" xfId="5" applyNumberFormat="1" applyFont="1" applyFill="1" applyBorder="1" applyAlignment="1">
      <alignment horizontal="center" vertical="center" wrapText="1"/>
    </xf>
    <xf numFmtId="10" fontId="22" fillId="6" borderId="47" xfId="5" applyNumberFormat="1" applyFont="1" applyFill="1" applyBorder="1" applyAlignment="1">
      <alignment horizontal="center" vertical="center" wrapText="1"/>
    </xf>
    <xf numFmtId="49" fontId="26" fillId="0" borderId="44" xfId="0" applyNumberFormat="1" applyFont="1" applyBorder="1" applyAlignment="1">
      <alignment horizontal="left" vertical="center" wrapText="1"/>
    </xf>
    <xf numFmtId="0" fontId="26" fillId="0" borderId="45" xfId="0" applyFont="1" applyBorder="1" applyAlignment="1">
      <alignment horizontal="left" vertical="center" wrapText="1"/>
    </xf>
    <xf numFmtId="0" fontId="24" fillId="11" borderId="69" xfId="0" applyFont="1" applyFill="1" applyBorder="1" applyAlignment="1">
      <alignment horizontal="center" vertical="center"/>
    </xf>
    <xf numFmtId="0" fontId="24" fillId="11" borderId="52" xfId="0" applyFont="1" applyFill="1" applyBorder="1" applyAlignment="1">
      <alignment horizontal="center" vertical="center"/>
    </xf>
    <xf numFmtId="0" fontId="24" fillId="11" borderId="70" xfId="0" applyFont="1" applyFill="1" applyBorder="1" applyAlignment="1">
      <alignment horizontal="center" vertical="center"/>
    </xf>
    <xf numFmtId="0" fontId="23" fillId="11" borderId="10" xfId="0" applyFont="1" applyFill="1" applyBorder="1" applyAlignment="1">
      <alignment horizontal="center" vertical="center"/>
    </xf>
    <xf numFmtId="0" fontId="23" fillId="11" borderId="57" xfId="0" applyFont="1" applyFill="1" applyBorder="1" applyAlignment="1">
      <alignment horizontal="center" vertical="center"/>
    </xf>
    <xf numFmtId="0" fontId="26" fillId="0" borderId="49" xfId="0" applyFont="1" applyBorder="1" applyAlignment="1">
      <alignment horizontal="left" vertical="center" wrapText="1"/>
    </xf>
    <xf numFmtId="0" fontId="26" fillId="0" borderId="58" xfId="0" applyFont="1" applyBorder="1" applyAlignment="1">
      <alignment horizontal="left" vertical="center" wrapText="1"/>
    </xf>
    <xf numFmtId="0" fontId="26" fillId="0" borderId="58" xfId="0" applyFont="1" applyBorder="1" applyAlignment="1">
      <alignment horizontal="center" vertical="center"/>
    </xf>
    <xf numFmtId="44" fontId="26" fillId="0" borderId="58" xfId="8" applyFont="1" applyBorder="1" applyAlignment="1">
      <alignment vertical="center"/>
    </xf>
    <xf numFmtId="44" fontId="26" fillId="0" borderId="50" xfId="8" applyFont="1" applyBorder="1" applyAlignment="1">
      <alignment vertical="center"/>
    </xf>
    <xf numFmtId="1" fontId="26" fillId="12" borderId="66" xfId="0" applyNumberFormat="1" applyFont="1" applyFill="1" applyBorder="1" applyAlignment="1">
      <alignment vertical="center"/>
    </xf>
    <xf numFmtId="1" fontId="26" fillId="12" borderId="65" xfId="0" applyNumberFormat="1" applyFont="1" applyFill="1" applyBorder="1" applyAlignment="1">
      <alignment vertical="center"/>
    </xf>
    <xf numFmtId="44" fontId="26" fillId="12" borderId="65" xfId="8" applyFont="1" applyFill="1" applyBorder="1" applyAlignment="1">
      <alignment vertical="center"/>
    </xf>
    <xf numFmtId="44" fontId="26" fillId="14" borderId="65" xfId="8" applyFont="1" applyFill="1" applyBorder="1" applyAlignment="1">
      <alignment vertical="center"/>
    </xf>
    <xf numFmtId="9" fontId="26" fillId="13" borderId="65" xfId="1" applyFont="1" applyFill="1" applyBorder="1" applyAlignment="1">
      <alignment vertical="center"/>
    </xf>
    <xf numFmtId="44" fontId="26" fillId="13" borderId="65" xfId="8" applyFont="1" applyFill="1" applyBorder="1" applyAlignment="1">
      <alignment vertical="center"/>
    </xf>
    <xf numFmtId="44" fontId="26" fillId="13" borderId="50" xfId="8" applyFont="1" applyFill="1" applyBorder="1" applyAlignment="1">
      <alignment vertical="center"/>
    </xf>
    <xf numFmtId="10" fontId="26" fillId="14" borderId="10" xfId="0" applyNumberFormat="1" applyFont="1" applyFill="1" applyBorder="1" applyAlignment="1">
      <alignment horizontal="center" vertical="center"/>
    </xf>
    <xf numFmtId="10" fontId="26" fillId="14" borderId="57" xfId="0" applyNumberFormat="1" applyFont="1" applyFill="1" applyBorder="1" applyAlignment="1">
      <alignment horizontal="center" vertical="center"/>
    </xf>
    <xf numFmtId="10" fontId="26" fillId="14" borderId="33" xfId="0" applyNumberFormat="1" applyFont="1" applyFill="1" applyBorder="1" applyAlignment="1">
      <alignment horizontal="center" vertical="center"/>
    </xf>
    <xf numFmtId="44" fontId="26" fillId="13" borderId="58" xfId="8" applyFont="1" applyFill="1" applyBorder="1" applyAlignment="1">
      <alignment vertical="center"/>
    </xf>
    <xf numFmtId="10" fontId="26" fillId="14" borderId="0" xfId="0" applyNumberFormat="1" applyFont="1" applyFill="1" applyAlignment="1">
      <alignment horizontal="center" vertical="center"/>
    </xf>
    <xf numFmtId="0" fontId="26" fillId="0" borderId="54" xfId="0" applyFont="1" applyBorder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170" fontId="29" fillId="10" borderId="0" xfId="0" applyNumberFormat="1" applyFont="1" applyFill="1" applyAlignment="1">
      <alignment horizontal="right"/>
    </xf>
    <xf numFmtId="170" fontId="29" fillId="10" borderId="18" xfId="0" applyNumberFormat="1" applyFont="1" applyFill="1" applyBorder="1" applyAlignment="1">
      <alignment horizontal="right"/>
    </xf>
    <xf numFmtId="44" fontId="29" fillId="10" borderId="0" xfId="0" applyNumberFormat="1" applyFont="1" applyFill="1" applyAlignment="1">
      <alignment horizontal="right"/>
    </xf>
    <xf numFmtId="44" fontId="24" fillId="14" borderId="0" xfId="0" applyNumberFormat="1" applyFont="1" applyFill="1"/>
    <xf numFmtId="0" fontId="19" fillId="13" borderId="0" xfId="0" applyFont="1" applyFill="1"/>
    <xf numFmtId="44" fontId="24" fillId="13" borderId="0" xfId="0" applyNumberFormat="1" applyFont="1" applyFill="1"/>
    <xf numFmtId="44" fontId="24" fillId="13" borderId="0" xfId="8" applyFont="1" applyFill="1" applyBorder="1"/>
    <xf numFmtId="44" fontId="29" fillId="15" borderId="17" xfId="8" applyFont="1" applyFill="1" applyBorder="1" applyAlignment="1">
      <alignment horizontal="center"/>
    </xf>
    <xf numFmtId="0" fontId="26" fillId="0" borderId="55" xfId="0" applyFont="1" applyBorder="1" applyAlignment="1">
      <alignment horizontal="left" vertical="center" wrapText="1"/>
    </xf>
    <xf numFmtId="49" fontId="26" fillId="0" borderId="56" xfId="0" applyNumberFormat="1" applyFont="1" applyBorder="1" applyAlignment="1">
      <alignment horizontal="left" vertical="center" wrapText="1"/>
    </xf>
    <xf numFmtId="0" fontId="26" fillId="0" borderId="73" xfId="0" applyFont="1" applyBorder="1" applyAlignment="1">
      <alignment horizontal="left" vertical="center" wrapText="1"/>
    </xf>
    <xf numFmtId="0" fontId="29" fillId="15" borderId="64" xfId="0" applyFont="1" applyFill="1" applyBorder="1"/>
    <xf numFmtId="0" fontId="29" fillId="15" borderId="37" xfId="0" applyFont="1" applyFill="1" applyBorder="1"/>
    <xf numFmtId="0" fontId="29" fillId="15" borderId="37" xfId="0" applyFont="1" applyFill="1" applyBorder="1" applyAlignment="1">
      <alignment horizontal="center" vertical="center"/>
    </xf>
    <xf numFmtId="44" fontId="29" fillId="15" borderId="37" xfId="0" applyNumberFormat="1" applyFont="1" applyFill="1" applyBorder="1"/>
    <xf numFmtId="44" fontId="29" fillId="15" borderId="71" xfId="0" applyNumberFormat="1" applyFont="1" applyFill="1" applyBorder="1"/>
    <xf numFmtId="0" fontId="29" fillId="15" borderId="64" xfId="0" applyFont="1" applyFill="1" applyBorder="1" applyAlignment="1">
      <alignment horizontal="center" vertical="center"/>
    </xf>
    <xf numFmtId="9" fontId="29" fillId="15" borderId="14" xfId="1" applyFont="1" applyFill="1" applyBorder="1"/>
    <xf numFmtId="10" fontId="26" fillId="14" borderId="7" xfId="0" applyNumberFormat="1" applyFont="1" applyFill="1" applyBorder="1" applyAlignment="1">
      <alignment horizontal="center" vertical="center"/>
    </xf>
    <xf numFmtId="10" fontId="26" fillId="14" borderId="65" xfId="0" applyNumberFormat="1" applyFont="1" applyFill="1" applyBorder="1" applyAlignment="1">
      <alignment horizontal="center" vertical="center"/>
    </xf>
    <xf numFmtId="44" fontId="29" fillId="15" borderId="12" xfId="8" applyFont="1" applyFill="1" applyBorder="1" applyAlignment="1">
      <alignment horizontal="center"/>
    </xf>
    <xf numFmtId="44" fontId="29" fillId="15" borderId="15" xfId="8" applyFont="1" applyFill="1" applyBorder="1"/>
    <xf numFmtId="0" fontId="23" fillId="0" borderId="0" xfId="0" applyFont="1"/>
    <xf numFmtId="44" fontId="19" fillId="0" borderId="0" xfId="8" applyFont="1"/>
    <xf numFmtId="44" fontId="22" fillId="4" borderId="6" xfId="8" applyFont="1" applyFill="1" applyBorder="1" applyAlignment="1">
      <alignment horizontal="center" vertical="center" wrapText="1"/>
    </xf>
    <xf numFmtId="44" fontId="27" fillId="6" borderId="49" xfId="8" applyFont="1" applyFill="1" applyBorder="1" applyAlignment="1">
      <alignment horizontal="center" vertical="center" wrapText="1"/>
    </xf>
    <xf numFmtId="44" fontId="28" fillId="6" borderId="50" xfId="8" applyFont="1" applyFill="1" applyBorder="1" applyAlignment="1">
      <alignment horizontal="center" vertical="center" wrapText="1"/>
    </xf>
    <xf numFmtId="44" fontId="31" fillId="0" borderId="57" xfId="8" applyFont="1" applyBorder="1"/>
    <xf numFmtId="44" fontId="30" fillId="0" borderId="57" xfId="8" applyFont="1" applyBorder="1"/>
    <xf numFmtId="0" fontId="17" fillId="0" borderId="0" xfId="0" applyFont="1"/>
    <xf numFmtId="0" fontId="17" fillId="0" borderId="0" xfId="0" applyFont="1" applyAlignment="1">
      <alignment horizontal="center"/>
    </xf>
    <xf numFmtId="16" fontId="17" fillId="16" borderId="11" xfId="0" applyNumberFormat="1" applyFont="1" applyFill="1" applyBorder="1"/>
    <xf numFmtId="16" fontId="17" fillId="16" borderId="12" xfId="0" applyNumberFormat="1" applyFont="1" applyFill="1" applyBorder="1"/>
    <xf numFmtId="16" fontId="17" fillId="17" borderId="14" xfId="0" applyNumberFormat="1" applyFont="1" applyFill="1" applyBorder="1"/>
    <xf numFmtId="16" fontId="17" fillId="17" borderId="15" xfId="0" applyNumberFormat="1" applyFont="1" applyFill="1" applyBorder="1"/>
    <xf numFmtId="0" fontId="17" fillId="18" borderId="17" xfId="0" applyFont="1" applyFill="1" applyBorder="1" applyAlignment="1">
      <alignment horizontal="right"/>
    </xf>
    <xf numFmtId="0" fontId="17" fillId="18" borderId="0" xfId="0" applyFont="1" applyFill="1" applyAlignment="1">
      <alignment horizontal="right"/>
    </xf>
    <xf numFmtId="0" fontId="32" fillId="19" borderId="14" xfId="0" applyFont="1" applyFill="1" applyBorder="1"/>
    <xf numFmtId="0" fontId="32" fillId="19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18" fillId="20" borderId="57" xfId="0" applyFont="1" applyFill="1" applyBorder="1" applyAlignment="1">
      <alignment horizontal="center"/>
    </xf>
    <xf numFmtId="164" fontId="4" fillId="0" borderId="57" xfId="2" applyNumberFormat="1" applyFont="1" applyBorder="1" applyAlignment="1" applyProtection="1">
      <alignment horizontal="left" vertical="center"/>
      <protection locked="0"/>
    </xf>
    <xf numFmtId="44" fontId="18" fillId="0" borderId="57" xfId="0" applyNumberFormat="1" applyFont="1" applyBorder="1"/>
    <xf numFmtId="9" fontId="18" fillId="0" borderId="57" xfId="1" applyFont="1" applyBorder="1" applyAlignment="1">
      <alignment horizontal="center"/>
    </xf>
    <xf numFmtId="44" fontId="18" fillId="20" borderId="57" xfId="0" applyNumberFormat="1" applyFont="1" applyFill="1" applyBorder="1" applyAlignment="1">
      <alignment horizontal="center"/>
    </xf>
    <xf numFmtId="0" fontId="18" fillId="0" borderId="48" xfId="0" applyFont="1" applyBorder="1"/>
    <xf numFmtId="170" fontId="18" fillId="0" borderId="74" xfId="0" applyNumberFormat="1" applyFont="1" applyBorder="1" applyAlignment="1">
      <alignment horizontal="center"/>
    </xf>
    <xf numFmtId="44" fontId="18" fillId="0" borderId="74" xfId="0" applyNumberFormat="1" applyFont="1" applyBorder="1"/>
    <xf numFmtId="170" fontId="18" fillId="0" borderId="74" xfId="0" applyNumberFormat="1" applyFont="1" applyBorder="1"/>
    <xf numFmtId="9" fontId="18" fillId="0" borderId="47" xfId="1" applyFont="1" applyBorder="1" applyAlignment="1">
      <alignment horizontal="center"/>
    </xf>
    <xf numFmtId="0" fontId="18" fillId="0" borderId="0" xfId="0" applyFont="1"/>
    <xf numFmtId="170" fontId="18" fillId="20" borderId="75" xfId="0" applyNumberFormat="1" applyFont="1" applyFill="1" applyBorder="1" applyAlignment="1">
      <alignment horizontal="center"/>
    </xf>
    <xf numFmtId="44" fontId="18" fillId="20" borderId="57" xfId="0" applyNumberFormat="1" applyFont="1" applyFill="1" applyBorder="1"/>
    <xf numFmtId="9" fontId="18" fillId="0" borderId="76" xfId="1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left"/>
    </xf>
    <xf numFmtId="44" fontId="33" fillId="0" borderId="0" xfId="0" applyNumberFormat="1" applyFont="1"/>
    <xf numFmtId="9" fontId="35" fillId="0" borderId="0" xfId="1" applyFont="1"/>
    <xf numFmtId="0" fontId="35" fillId="0" borderId="0" xfId="0" applyFont="1"/>
    <xf numFmtId="164" fontId="36" fillId="0" borderId="60" xfId="2" applyNumberFormat="1" applyFont="1" applyBorder="1" applyAlignment="1" applyProtection="1">
      <alignment horizontal="left" vertical="center"/>
      <protection locked="0"/>
    </xf>
    <xf numFmtId="164" fontId="36" fillId="0" borderId="61" xfId="2" applyNumberFormat="1" applyFont="1" applyBorder="1" applyAlignment="1" applyProtection="1">
      <alignment horizontal="left" vertical="center"/>
      <protection locked="0"/>
    </xf>
    <xf numFmtId="164" fontId="36" fillId="0" borderId="62" xfId="2" applyNumberFormat="1" applyFont="1" applyBorder="1" applyAlignment="1" applyProtection="1">
      <alignment horizontal="left" vertical="center"/>
      <protection locked="0"/>
    </xf>
    <xf numFmtId="164" fontId="36" fillId="0" borderId="63" xfId="2" applyNumberFormat="1" applyFont="1" applyBorder="1" applyAlignment="1" applyProtection="1">
      <alignment horizontal="left" vertical="center"/>
      <protection locked="0"/>
    </xf>
    <xf numFmtId="164" fontId="36" fillId="0" borderId="14" xfId="2" applyNumberFormat="1" applyFont="1" applyBorder="1" applyAlignment="1" applyProtection="1">
      <alignment horizontal="left" vertical="center"/>
      <protection locked="0"/>
    </xf>
    <xf numFmtId="164" fontId="36" fillId="0" borderId="59" xfId="2" applyNumberFormat="1" applyFont="1" applyBorder="1" applyAlignment="1" applyProtection="1">
      <alignment horizontal="left" vertical="center"/>
      <protection locked="0"/>
    </xf>
    <xf numFmtId="44" fontId="17" fillId="0" borderId="70" xfId="0" applyNumberFormat="1" applyFont="1" applyBorder="1" applyAlignment="1">
      <alignment horizontal="center" vertical="center"/>
    </xf>
    <xf numFmtId="0" fontId="17" fillId="0" borderId="72" xfId="0" applyFont="1" applyBorder="1" applyAlignment="1">
      <alignment horizontal="center" vertical="center"/>
    </xf>
    <xf numFmtId="0" fontId="18" fillId="20" borderId="64" xfId="0" applyFont="1" applyFill="1" applyBorder="1" applyAlignment="1">
      <alignment horizontal="center"/>
    </xf>
    <xf numFmtId="0" fontId="18" fillId="20" borderId="37" xfId="0" applyFont="1" applyFill="1" applyBorder="1" applyAlignment="1">
      <alignment horizontal="center"/>
    </xf>
    <xf numFmtId="0" fontId="18" fillId="20" borderId="71" xfId="0" applyFont="1" applyFill="1" applyBorder="1" applyAlignment="1">
      <alignment horizontal="center"/>
    </xf>
    <xf numFmtId="0" fontId="29" fillId="10" borderId="17" xfId="0" applyFont="1" applyFill="1" applyBorder="1" applyAlignment="1">
      <alignment horizontal="left"/>
    </xf>
    <xf numFmtId="0" fontId="29" fillId="10" borderId="0" xfId="0" applyFont="1" applyFill="1" applyAlignment="1">
      <alignment horizontal="left"/>
    </xf>
    <xf numFmtId="44" fontId="29" fillId="9" borderId="37" xfId="8" applyFont="1" applyFill="1" applyBorder="1" applyAlignment="1">
      <alignment horizontal="center"/>
    </xf>
    <xf numFmtId="44" fontId="29" fillId="10" borderId="11" xfId="8" applyFont="1" applyFill="1" applyBorder="1" applyAlignment="1">
      <alignment horizontal="left"/>
    </xf>
    <xf numFmtId="44" fontId="29" fillId="10" borderId="12" xfId="8" applyFont="1" applyFill="1" applyBorder="1" applyAlignment="1">
      <alignment horizontal="left"/>
    </xf>
    <xf numFmtId="0" fontId="20" fillId="0" borderId="0" xfId="2" applyFont="1" applyAlignment="1">
      <alignment horizontal="left" vertical="center" wrapText="1"/>
    </xf>
    <xf numFmtId="0" fontId="20" fillId="0" borderId="0" xfId="2" applyFont="1" applyAlignment="1">
      <alignment horizontal="left" vertical="top"/>
    </xf>
    <xf numFmtId="0" fontId="22" fillId="2" borderId="3" xfId="3" applyFont="1" applyFill="1" applyBorder="1" applyAlignment="1">
      <alignment horizontal="center" vertical="center"/>
    </xf>
    <xf numFmtId="0" fontId="22" fillId="2" borderId="4" xfId="3" applyFont="1" applyFill="1" applyBorder="1" applyAlignment="1">
      <alignment horizontal="center" vertical="center"/>
    </xf>
    <xf numFmtId="0" fontId="22" fillId="2" borderId="5" xfId="3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" vertical="center" wrapText="1"/>
    </xf>
    <xf numFmtId="0" fontId="22" fillId="3" borderId="37" xfId="0" applyFont="1" applyFill="1" applyBorder="1" applyAlignment="1">
      <alignment horizontal="center" vertical="center" wrapText="1"/>
    </xf>
    <xf numFmtId="0" fontId="22" fillId="3" borderId="5" xfId="0" applyFont="1" applyFill="1" applyBorder="1" applyAlignment="1">
      <alignment horizontal="center" vertical="center" wrapText="1"/>
    </xf>
    <xf numFmtId="0" fontId="29" fillId="9" borderId="14" xfId="0" applyFont="1" applyFill="1" applyBorder="1" applyAlignment="1">
      <alignment horizontal="center"/>
    </xf>
    <xf numFmtId="0" fontId="29" fillId="9" borderId="15" xfId="0" applyFont="1" applyFill="1" applyBorder="1" applyAlignment="1">
      <alignment horizontal="center"/>
    </xf>
    <xf numFmtId="0" fontId="29" fillId="9" borderId="72" xfId="0" applyFont="1" applyFill="1" applyBorder="1" applyAlignment="1">
      <alignment horizontal="center"/>
    </xf>
    <xf numFmtId="0" fontId="29" fillId="9" borderId="37" xfId="0" applyFont="1" applyFill="1" applyBorder="1" applyAlignment="1">
      <alignment horizontal="center"/>
    </xf>
    <xf numFmtId="0" fontId="29" fillId="10" borderId="11" xfId="0" applyFont="1" applyFill="1" applyBorder="1" applyAlignment="1">
      <alignment horizontal="left"/>
    </xf>
    <xf numFmtId="0" fontId="29" fillId="10" borderId="12" xfId="0" applyFont="1" applyFill="1" applyBorder="1" applyAlignment="1">
      <alignment horizontal="left"/>
    </xf>
    <xf numFmtId="0" fontId="29" fillId="10" borderId="68" xfId="0" applyFont="1" applyFill="1" applyBorder="1" applyAlignment="1">
      <alignment horizontal="left"/>
    </xf>
    <xf numFmtId="0" fontId="29" fillId="10" borderId="67" xfId="0" applyFont="1" applyFill="1" applyBorder="1" applyAlignment="1">
      <alignment horizontal="left"/>
    </xf>
    <xf numFmtId="0" fontId="11" fillId="8" borderId="40" xfId="0" applyFont="1" applyFill="1" applyBorder="1" applyAlignment="1">
      <alignment horizontal="left" vertical="center"/>
    </xf>
    <xf numFmtId="0" fontId="11" fillId="8" borderId="40" xfId="0" applyFont="1" applyFill="1" applyBorder="1" applyAlignment="1">
      <alignment vertical="center"/>
    </xf>
    <xf numFmtId="0" fontId="11" fillId="8" borderId="0" xfId="0" applyFont="1" applyFill="1" applyAlignment="1">
      <alignment vertical="center"/>
    </xf>
    <xf numFmtId="0" fontId="12" fillId="8" borderId="40" xfId="0" applyFont="1" applyFill="1" applyBorder="1" applyAlignment="1">
      <alignment horizontal="left" vertical="top"/>
    </xf>
    <xf numFmtId="0" fontId="14" fillId="8" borderId="40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 wrapText="1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2" fillId="7" borderId="0" xfId="0" applyFont="1" applyFill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170" fontId="37" fillId="20" borderId="57" xfId="0" applyNumberFormat="1" applyFont="1" applyFill="1" applyBorder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42638</xdr:colOff>
      <xdr:row>0</xdr:row>
      <xdr:rowOff>152400</xdr:rowOff>
    </xdr:from>
    <xdr:to>
      <xdr:col>5</xdr:col>
      <xdr:colOff>881307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BDED4227-4838-44CD-A6C4-02D17A66FAA6}"/>
            </a:ext>
          </a:extLst>
        </xdr:cNvPr>
        <xdr:cNvSpPr/>
      </xdr:nvSpPr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604320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F59DA76E-F8EF-458A-AB4D-DE1A57840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5442"/>
        </a:xfrm>
        <a:prstGeom prst="rect">
          <a:avLst/>
        </a:prstGeom>
      </xdr:spPr>
    </xdr:pic>
    <xdr:clientData/>
  </xdr:twoCellAnchor>
  <xdr:twoCellAnchor editAs="absolute">
    <xdr:from>
      <xdr:col>36</xdr:col>
      <xdr:colOff>405794</xdr:colOff>
      <xdr:row>0</xdr:row>
      <xdr:rowOff>190500</xdr:rowOff>
    </xdr:from>
    <xdr:to>
      <xdr:col>38</xdr:col>
      <xdr:colOff>201782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08C7F001-731F-46C5-9C4C-5533D53825D0}"/>
            </a:ext>
          </a:extLst>
        </xdr:cNvPr>
        <xdr:cNvSpPr/>
      </xdr:nvSpPr>
      <xdr:spPr bwMode="auto">
        <a:xfrm>
          <a:off x="29657069" y="190500"/>
          <a:ext cx="1012013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35</xdr:col>
      <xdr:colOff>487078</xdr:colOff>
      <xdr:row>0</xdr:row>
      <xdr:rowOff>182566</xdr:rowOff>
    </xdr:from>
    <xdr:to>
      <xdr:col>36</xdr:col>
      <xdr:colOff>329591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63B9D58B-ECD8-41B1-A663-1595D94CA5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7803" y="182566"/>
          <a:ext cx="433063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42638</xdr:colOff>
      <xdr:row>0</xdr:row>
      <xdr:rowOff>152400</xdr:rowOff>
    </xdr:from>
    <xdr:to>
      <xdr:col>5</xdr:col>
      <xdr:colOff>881307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EE5A9C43-A6B3-4083-9EAE-CDA95DE910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3038" y="152400"/>
          <a:ext cx="873594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36</xdr:col>
      <xdr:colOff>405794</xdr:colOff>
      <xdr:row>0</xdr:row>
      <xdr:rowOff>190500</xdr:rowOff>
    </xdr:from>
    <xdr:to>
      <xdr:col>38</xdr:col>
      <xdr:colOff>201782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1A5123FA-67F5-44A8-89F2-2023C4EF4D2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57069" y="190500"/>
          <a:ext cx="1012013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775849</xdr:colOff>
      <xdr:row>5</xdr:row>
      <xdr:rowOff>306917</xdr:rowOff>
    </xdr:from>
    <xdr:to>
      <xdr:col>13</xdr:col>
      <xdr:colOff>1603375</xdr:colOff>
      <xdr:row>12</xdr:row>
      <xdr:rowOff>79610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D4CAA066-ED62-4E63-8028-2716BD5C2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800199" y="2211917"/>
          <a:ext cx="2527211" cy="17475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54CE-BEAD-4125-9B21-1ACCD8ECB14D}">
  <dimension ref="A1:F30"/>
  <sheetViews>
    <sheetView showGridLines="0" tabSelected="1" topLeftCell="A10" zoomScaleNormal="100" workbookViewId="0">
      <selection activeCell="C30" sqref="C30:D30"/>
    </sheetView>
  </sheetViews>
  <sheetFormatPr defaultColWidth="8.6640625" defaultRowHeight="16.2" x14ac:dyDescent="0.35"/>
  <cols>
    <col min="1" max="1" width="8.6640625" style="129"/>
    <col min="2" max="2" width="26.109375" style="129" customWidth="1"/>
    <col min="3" max="3" width="45" style="129" bestFit="1" customWidth="1"/>
    <col min="4" max="4" width="20.44140625" style="129" customWidth="1"/>
    <col min="5" max="5" width="18.44140625" style="129" customWidth="1"/>
    <col min="6" max="6" width="11.88671875" style="130" bestFit="1" customWidth="1"/>
    <col min="7" max="7" width="12.88671875" style="129" bestFit="1" customWidth="1"/>
    <col min="8" max="8" width="12.5546875" style="129" bestFit="1" customWidth="1"/>
    <col min="9" max="16384" width="8.6640625" style="129"/>
  </cols>
  <sheetData>
    <row r="1" spans="1:5" s="130" customFormat="1" hidden="1" x14ac:dyDescent="0.35">
      <c r="A1" s="129"/>
      <c r="B1" s="129"/>
      <c r="C1" s="129"/>
      <c r="D1" s="129"/>
      <c r="E1" s="129"/>
    </row>
    <row r="2" spans="1:5" s="130" customFormat="1" hidden="1" x14ac:dyDescent="0.35">
      <c r="A2" s="129"/>
      <c r="B2" s="129"/>
      <c r="C2" s="129"/>
      <c r="D2" s="129"/>
      <c r="E2" s="129"/>
    </row>
    <row r="3" spans="1:5" s="130" customFormat="1" hidden="1" x14ac:dyDescent="0.35">
      <c r="A3" s="129"/>
      <c r="B3" s="129"/>
      <c r="C3" s="131">
        <v>45866</v>
      </c>
      <c r="D3" s="132"/>
      <c r="E3" s="167" t="e">
        <f>SUM(#REF!)</f>
        <v>#REF!</v>
      </c>
    </row>
    <row r="4" spans="1:5" s="130" customFormat="1" ht="15.6" hidden="1" customHeight="1" thickBot="1" x14ac:dyDescent="0.4">
      <c r="A4" s="129"/>
      <c r="B4" s="129"/>
      <c r="C4" s="133">
        <v>45867</v>
      </c>
      <c r="D4" s="134"/>
      <c r="E4" s="168"/>
    </row>
    <row r="5" spans="1:5" s="130" customFormat="1" hidden="1" x14ac:dyDescent="0.35">
      <c r="A5" s="129"/>
      <c r="B5" s="129"/>
      <c r="C5" s="135" t="s">
        <v>183</v>
      </c>
      <c r="D5" s="136"/>
      <c r="E5" s="129"/>
    </row>
    <row r="6" spans="1:5" s="130" customFormat="1" hidden="1" x14ac:dyDescent="0.35">
      <c r="A6" s="129"/>
      <c r="B6" s="129"/>
      <c r="C6" s="135" t="s">
        <v>184</v>
      </c>
      <c r="D6" s="136"/>
      <c r="E6" s="129"/>
    </row>
    <row r="7" spans="1:5" s="130" customFormat="1" ht="16.8" hidden="1" thickBot="1" x14ac:dyDescent="0.4">
      <c r="A7" s="129"/>
      <c r="B7" s="129"/>
      <c r="C7" s="137" t="s">
        <v>43</v>
      </c>
      <c r="D7" s="138"/>
      <c r="E7" s="129"/>
    </row>
    <row r="9" spans="1:5" s="130" customFormat="1" x14ac:dyDescent="0.35">
      <c r="A9" s="129" t="s">
        <v>99</v>
      </c>
      <c r="B9" s="129"/>
      <c r="C9" s="129"/>
      <c r="D9" s="129"/>
      <c r="E9" s="129"/>
    </row>
    <row r="10" spans="1:5" s="130" customFormat="1" ht="24" customHeight="1" x14ac:dyDescent="0.35">
      <c r="A10" s="129"/>
      <c r="B10" s="129"/>
      <c r="C10" s="129"/>
      <c r="D10" s="129"/>
      <c r="E10" s="129"/>
    </row>
    <row r="11" spans="1:5" ht="16.8" thickBot="1" x14ac:dyDescent="0.4"/>
    <row r="12" spans="1:5" s="130" customFormat="1" ht="15" customHeight="1" x14ac:dyDescent="0.35">
      <c r="A12" s="129"/>
      <c r="B12" s="161" t="s">
        <v>115</v>
      </c>
      <c r="C12" s="162" t="s">
        <v>160</v>
      </c>
      <c r="D12" s="139"/>
      <c r="E12" s="129"/>
    </row>
    <row r="13" spans="1:5" s="130" customFormat="1" ht="15" customHeight="1" x14ac:dyDescent="0.35">
      <c r="A13" s="129"/>
      <c r="B13" s="163" t="s">
        <v>116</v>
      </c>
      <c r="C13" s="164" t="s">
        <v>114</v>
      </c>
      <c r="D13" s="139"/>
      <c r="E13" s="129"/>
    </row>
    <row r="14" spans="1:5" s="130" customFormat="1" ht="15" customHeight="1" x14ac:dyDescent="0.35">
      <c r="A14" s="129"/>
      <c r="B14" s="163" t="s">
        <v>117</v>
      </c>
      <c r="C14" s="164" t="s">
        <v>142</v>
      </c>
      <c r="D14" s="140"/>
      <c r="E14" s="129"/>
    </row>
    <row r="15" spans="1:5" s="130" customFormat="1" ht="15" customHeight="1" x14ac:dyDescent="0.35">
      <c r="A15" s="129"/>
      <c r="B15" s="163" t="s">
        <v>118</v>
      </c>
      <c r="C15" s="164" t="s">
        <v>143</v>
      </c>
      <c r="D15" s="140"/>
      <c r="E15" s="129"/>
    </row>
    <row r="16" spans="1:5" s="130" customFormat="1" ht="15" customHeight="1" x14ac:dyDescent="0.35">
      <c r="A16" s="129"/>
      <c r="B16" s="163" t="s">
        <v>119</v>
      </c>
      <c r="C16" s="164" t="s">
        <v>145</v>
      </c>
      <c r="D16" s="141"/>
      <c r="E16" s="129"/>
    </row>
    <row r="17" spans="2:6" ht="15" customHeight="1" x14ac:dyDescent="0.35">
      <c r="B17" s="163" t="s">
        <v>120</v>
      </c>
      <c r="C17" s="164" t="s">
        <v>144</v>
      </c>
      <c r="D17" s="140"/>
    </row>
    <row r="18" spans="2:6" ht="15" customHeight="1" x14ac:dyDescent="0.35">
      <c r="B18" s="163" t="s">
        <v>121</v>
      </c>
      <c r="C18" s="164" t="s">
        <v>144</v>
      </c>
      <c r="D18" s="140"/>
    </row>
    <row r="19" spans="2:6" ht="15" customHeight="1" thickBot="1" x14ac:dyDescent="0.4">
      <c r="B19" s="165" t="s">
        <v>122</v>
      </c>
      <c r="C19" s="166" t="s">
        <v>160</v>
      </c>
      <c r="D19" s="140"/>
    </row>
    <row r="21" spans="2:6" ht="15.6" customHeight="1" x14ac:dyDescent="0.35">
      <c r="B21" s="142"/>
      <c r="C21" s="142" t="s">
        <v>185</v>
      </c>
      <c r="D21" s="142" t="s">
        <v>186</v>
      </c>
      <c r="E21" s="142" t="s">
        <v>187</v>
      </c>
    </row>
    <row r="22" spans="2:6" x14ac:dyDescent="0.35">
      <c r="B22" s="143" t="s">
        <v>188</v>
      </c>
      <c r="C22" s="144">
        <f>'COMPLEMENTO '!N23</f>
        <v>10455.4455076426</v>
      </c>
      <c r="D22" s="144">
        <f>'COMPLEMENTO '!X23</f>
        <v>11084.4</v>
      </c>
      <c r="E22" s="144">
        <f>C22-D22</f>
        <v>-628.95449235739943</v>
      </c>
      <c r="F22" s="145">
        <f>E22*100%/C22</f>
        <v>-6.0155685560950377E-2</v>
      </c>
    </row>
    <row r="23" spans="2:6" x14ac:dyDescent="0.35">
      <c r="B23" s="142" t="s">
        <v>43</v>
      </c>
      <c r="C23" s="146">
        <f>SUM(C22:C22)</f>
        <v>10455.4455076426</v>
      </c>
      <c r="D23" s="146">
        <f>SUM(D22:D22)</f>
        <v>11084.4</v>
      </c>
      <c r="E23" s="146">
        <f>C23-D23</f>
        <v>-628.95449235739943</v>
      </c>
      <c r="F23" s="145">
        <f t="shared" ref="F23" si="0">E23*100%/C23</f>
        <v>-6.0155685560950377E-2</v>
      </c>
    </row>
    <row r="25" spans="2:6" ht="200.1" hidden="1" customHeight="1" x14ac:dyDescent="0.35"/>
    <row r="26" spans="2:6" ht="16.8" thickBot="1" x14ac:dyDescent="0.4"/>
    <row r="27" spans="2:6" ht="21.9" customHeight="1" thickBot="1" x14ac:dyDescent="0.4">
      <c r="B27" s="169" t="s">
        <v>189</v>
      </c>
      <c r="C27" s="170"/>
      <c r="D27" s="170"/>
      <c r="E27" s="170"/>
      <c r="F27" s="171"/>
    </row>
    <row r="28" spans="2:6" ht="24.9" customHeight="1" thickBot="1" x14ac:dyDescent="0.4">
      <c r="B28" s="147" t="s">
        <v>192</v>
      </c>
      <c r="C28" s="148">
        <v>9510</v>
      </c>
      <c r="D28" s="149">
        <f>D23</f>
        <v>11084.4</v>
      </c>
      <c r="E28" s="150">
        <f>C28-D28</f>
        <v>-1574.3999999999996</v>
      </c>
      <c r="F28" s="151">
        <f>E28*100%/C28</f>
        <v>-0.16555205047318608</v>
      </c>
    </row>
    <row r="29" spans="2:6" ht="24.9" customHeight="1" thickBot="1" x14ac:dyDescent="0.4">
      <c r="B29" s="147" t="s">
        <v>193</v>
      </c>
      <c r="C29" s="148">
        <v>945.45</v>
      </c>
      <c r="D29" s="149">
        <f>C29*0.15</f>
        <v>141.8175</v>
      </c>
      <c r="E29" s="150">
        <f>C29-D29</f>
        <v>803.63250000000005</v>
      </c>
      <c r="F29" s="151">
        <f>E29*100%/C29</f>
        <v>0.85</v>
      </c>
    </row>
    <row r="30" spans="2:6" ht="20.25" customHeight="1" thickBot="1" x14ac:dyDescent="0.4">
      <c r="B30" s="152"/>
      <c r="C30" s="153">
        <f>SUM(C28:C29)</f>
        <v>10455.450000000001</v>
      </c>
      <c r="D30" s="154">
        <f>SUM(D28:D29)</f>
        <v>11226.217499999999</v>
      </c>
      <c r="E30" s="241">
        <f>C30-D30</f>
        <v>-770.76749999999811</v>
      </c>
      <c r="F30" s="155">
        <f>E30*100%/C30</f>
        <v>-7.3719208642382489E-2</v>
      </c>
    </row>
  </sheetData>
  <mergeCells count="2">
    <mergeCell ref="E3:E4"/>
    <mergeCell ref="B27:F27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25269-18DD-4E73-8EF5-79C2ACFEFD08}">
  <sheetPr codeName="Planilha15">
    <pageSetUpPr autoPageBreaks="0"/>
  </sheetPr>
  <dimension ref="A1:AD29"/>
  <sheetViews>
    <sheetView showGridLines="0" topLeftCell="B1" zoomScale="50" zoomScaleNormal="50" workbookViewId="0">
      <pane ySplit="1" topLeftCell="A20" activePane="bottomLeft" state="frozen"/>
      <selection pane="bottomLeft" activeCell="G11" sqref="F4:G11"/>
    </sheetView>
  </sheetViews>
  <sheetFormatPr defaultColWidth="8.88671875" defaultRowHeight="23.4" x14ac:dyDescent="0.45"/>
  <cols>
    <col min="1" max="1" width="5.88671875" style="31" hidden="1" customWidth="1"/>
    <col min="2" max="2" width="9.88671875" style="31" customWidth="1"/>
    <col min="3" max="3" width="11" style="31" hidden="1" customWidth="1"/>
    <col min="4" max="4" width="10.5546875" style="31" hidden="1" customWidth="1"/>
    <col min="5" max="5" width="15.109375" style="31" hidden="1" customWidth="1"/>
    <col min="6" max="6" width="29" style="31" customWidth="1"/>
    <col min="7" max="7" width="79.88671875" style="31" customWidth="1"/>
    <col min="8" max="8" width="7.5546875" style="34" hidden="1" customWidth="1"/>
    <col min="9" max="9" width="9.88671875" style="34" hidden="1" customWidth="1"/>
    <col min="10" max="10" width="16.44140625" style="31" hidden="1" customWidth="1"/>
    <col min="11" max="11" width="25.88671875" style="31" customWidth="1"/>
    <col min="12" max="12" width="22.5546875" style="31" customWidth="1"/>
    <col min="13" max="13" width="23.6640625" style="31" customWidth="1"/>
    <col min="14" max="14" width="26.44140625" style="31" bestFit="1" customWidth="1"/>
    <col min="15" max="15" width="19.109375" style="31" hidden="1" customWidth="1"/>
    <col min="16" max="16" width="1.88671875" style="31" hidden="1" customWidth="1"/>
    <col min="17" max="17" width="11.33203125" style="34" bestFit="1" customWidth="1"/>
    <col min="18" max="18" width="8.44140625" style="34" hidden="1" customWidth="1"/>
    <col min="19" max="19" width="17.88671875" style="31" hidden="1" customWidth="1"/>
    <col min="20" max="20" width="26.88671875" style="31" bestFit="1" customWidth="1"/>
    <col min="21" max="21" width="24.6640625" style="31" hidden="1" customWidth="1"/>
    <col min="22" max="22" width="9.6640625" style="31" hidden="1" customWidth="1"/>
    <col min="23" max="23" width="16.109375" style="31" hidden="1" customWidth="1"/>
    <col min="24" max="24" width="31.109375" style="31" customWidth="1"/>
    <col min="25" max="25" width="26.6640625" style="31" hidden="1" customWidth="1"/>
    <col min="26" max="26" width="14.6640625" style="31" hidden="1" customWidth="1"/>
    <col min="27" max="27" width="24.6640625" style="31" hidden="1" customWidth="1"/>
    <col min="28" max="28" width="26.5546875" style="123" customWidth="1"/>
    <col min="29" max="29" width="28" style="123" customWidth="1"/>
    <col min="30" max="30" width="12.6640625" style="122" bestFit="1" customWidth="1"/>
    <col min="31" max="31" width="8.88671875" style="31"/>
    <col min="32" max="32" width="21.33203125" style="31" customWidth="1"/>
    <col min="33" max="16384" width="8.88671875" style="31"/>
  </cols>
  <sheetData>
    <row r="1" spans="1:30" ht="49.5" customHeight="1" x14ac:dyDescent="0.45">
      <c r="B1" s="32"/>
      <c r="C1" s="33"/>
      <c r="D1" s="33"/>
      <c r="F1" s="177" t="s">
        <v>101</v>
      </c>
      <c r="G1" s="177"/>
    </row>
    <row r="2" spans="1:30" ht="24.75" customHeight="1" x14ac:dyDescent="0.45">
      <c r="B2" s="35"/>
      <c r="D2" s="33"/>
      <c r="F2" s="178" t="s">
        <v>0</v>
      </c>
      <c r="G2" s="178"/>
    </row>
    <row r="3" spans="1:30" ht="24" thickBot="1" x14ac:dyDescent="0.5">
      <c r="B3" s="36"/>
      <c r="F3" s="37"/>
      <c r="G3" s="37"/>
    </row>
    <row r="4" spans="1:30" ht="29.1" customHeight="1" x14ac:dyDescent="0.45">
      <c r="F4" s="38" t="s">
        <v>115</v>
      </c>
      <c r="G4" s="39" t="s">
        <v>160</v>
      </c>
    </row>
    <row r="5" spans="1:30" ht="27.6" customHeight="1" x14ac:dyDescent="0.45">
      <c r="F5" s="40" t="s">
        <v>116</v>
      </c>
      <c r="G5" s="41" t="s">
        <v>114</v>
      </c>
    </row>
    <row r="6" spans="1:30" ht="24.9" customHeight="1" x14ac:dyDescent="0.45">
      <c r="D6" s="31" t="s">
        <v>99</v>
      </c>
      <c r="F6" s="40" t="s">
        <v>117</v>
      </c>
      <c r="G6" s="41" t="s">
        <v>142</v>
      </c>
    </row>
    <row r="7" spans="1:30" ht="25.5" customHeight="1" x14ac:dyDescent="0.45">
      <c r="F7" s="40" t="s">
        <v>118</v>
      </c>
      <c r="G7" s="41" t="s">
        <v>143</v>
      </c>
      <c r="J7" s="31" t="s">
        <v>100</v>
      </c>
    </row>
    <row r="8" spans="1:30" ht="26.1" customHeight="1" x14ac:dyDescent="0.45">
      <c r="F8" s="40" t="s">
        <v>119</v>
      </c>
      <c r="G8" s="41" t="s">
        <v>145</v>
      </c>
    </row>
    <row r="9" spans="1:30" ht="27.6" customHeight="1" x14ac:dyDescent="0.45">
      <c r="F9" s="40" t="s">
        <v>120</v>
      </c>
      <c r="G9" s="41" t="s">
        <v>144</v>
      </c>
      <c r="J9" s="31" t="s">
        <v>99</v>
      </c>
    </row>
    <row r="10" spans="1:30" ht="27" customHeight="1" x14ac:dyDescent="0.45">
      <c r="F10" s="40" t="s">
        <v>121</v>
      </c>
      <c r="G10" s="41" t="s">
        <v>144</v>
      </c>
    </row>
    <row r="11" spans="1:30" ht="24.6" customHeight="1" thickBot="1" x14ac:dyDescent="0.5">
      <c r="F11" s="42" t="s">
        <v>122</v>
      </c>
      <c r="G11" s="43" t="s">
        <v>160</v>
      </c>
    </row>
    <row r="12" spans="1:30" ht="70.8" hidden="1" thickBot="1" x14ac:dyDescent="0.5">
      <c r="B12" s="44"/>
      <c r="M12" s="45"/>
      <c r="Q12" s="179" t="s">
        <v>1</v>
      </c>
      <c r="R12" s="180"/>
      <c r="S12" s="180"/>
      <c r="T12" s="181"/>
      <c r="U12" s="182" t="s">
        <v>2</v>
      </c>
      <c r="V12" s="183"/>
      <c r="W12" s="183"/>
      <c r="X12" s="184"/>
      <c r="Y12" s="46" t="s">
        <v>56</v>
      </c>
      <c r="Z12" s="47">
        <f>(1/(1-M14))-1</f>
        <v>0.24269914253759173</v>
      </c>
      <c r="AC12" s="124" t="s">
        <v>3</v>
      </c>
      <c r="AD12" s="48" t="s">
        <v>58</v>
      </c>
    </row>
    <row r="13" spans="1:30" ht="24" thickBot="1" x14ac:dyDescent="0.5">
      <c r="A13" s="49" t="s">
        <v>4</v>
      </c>
      <c r="B13" s="50" t="s">
        <v>5</v>
      </c>
      <c r="C13" s="49" t="s">
        <v>6</v>
      </c>
      <c r="D13" s="49" t="s">
        <v>7</v>
      </c>
      <c r="E13" s="49" t="s">
        <v>8</v>
      </c>
      <c r="M13" s="51">
        <v>0.81</v>
      </c>
    </row>
    <row r="14" spans="1:30" ht="48" customHeight="1" thickBot="1" x14ac:dyDescent="0.5">
      <c r="A14" s="52">
        <v>0</v>
      </c>
      <c r="B14" s="53"/>
      <c r="C14" s="54"/>
      <c r="D14" s="55"/>
      <c r="E14" s="55"/>
      <c r="F14" s="56" t="s">
        <v>81</v>
      </c>
      <c r="G14" s="57" t="s">
        <v>82</v>
      </c>
      <c r="H14" s="58" t="s">
        <v>83</v>
      </c>
      <c r="I14" s="58" t="s">
        <v>84</v>
      </c>
      <c r="J14" s="59" t="s">
        <v>85</v>
      </c>
      <c r="K14" s="60" t="s">
        <v>9</v>
      </c>
      <c r="L14" s="61">
        <v>0.08</v>
      </c>
      <c r="M14" s="62">
        <v>0.1953</v>
      </c>
      <c r="N14" s="63" t="s">
        <v>79</v>
      </c>
      <c r="Q14" s="64" t="s">
        <v>86</v>
      </c>
      <c r="R14" s="65" t="s">
        <v>87</v>
      </c>
      <c r="S14" s="66" t="s">
        <v>88</v>
      </c>
      <c r="T14" s="67" t="s">
        <v>89</v>
      </c>
      <c r="U14" s="68" t="s">
        <v>90</v>
      </c>
      <c r="V14" s="69" t="s">
        <v>91</v>
      </c>
      <c r="W14" s="70" t="s">
        <v>92</v>
      </c>
      <c r="X14" s="70" t="s">
        <v>93</v>
      </c>
      <c r="Y14" s="71" t="s">
        <v>94</v>
      </c>
      <c r="Z14" s="72" t="s">
        <v>95</v>
      </c>
      <c r="AA14" s="73" t="s">
        <v>80</v>
      </c>
      <c r="AB14" s="125" t="s">
        <v>96</v>
      </c>
      <c r="AC14" s="126" t="s">
        <v>97</v>
      </c>
    </row>
    <row r="15" spans="1:30" ht="42" customHeight="1" thickBot="1" x14ac:dyDescent="0.5">
      <c r="A15" s="55">
        <v>21</v>
      </c>
      <c r="B15" s="74">
        <v>1</v>
      </c>
      <c r="C15" s="75" t="s">
        <v>102</v>
      </c>
      <c r="D15" s="55"/>
      <c r="E15" s="55"/>
      <c r="F15" s="185" t="s">
        <v>158</v>
      </c>
      <c r="G15" s="186"/>
      <c r="H15" s="186"/>
      <c r="I15" s="186"/>
      <c r="J15" s="186"/>
      <c r="K15" s="186"/>
      <c r="L15" s="186"/>
      <c r="M15" s="186"/>
      <c r="N15" s="187"/>
      <c r="Q15" s="188" t="str">
        <f>IF(F15&lt;&gt;"",F15,"")</f>
        <v>COMPLEMENTO</v>
      </c>
      <c r="R15" s="188"/>
      <c r="S15" s="188"/>
      <c r="T15" s="188"/>
      <c r="U15" s="188"/>
      <c r="V15" s="188"/>
      <c r="W15" s="188"/>
      <c r="X15" s="188"/>
      <c r="Y15" s="188"/>
      <c r="AB15" s="174"/>
      <c r="AC15" s="174"/>
    </row>
    <row r="16" spans="1:30" ht="42" customHeight="1" x14ac:dyDescent="0.45">
      <c r="A16" s="55">
        <v>22</v>
      </c>
      <c r="B16" s="74" t="s">
        <v>104</v>
      </c>
      <c r="C16" s="75" t="s">
        <v>103</v>
      </c>
      <c r="D16" s="55"/>
      <c r="E16" s="55"/>
      <c r="F16" s="189" t="s">
        <v>159</v>
      </c>
      <c r="G16" s="190"/>
      <c r="H16" s="190"/>
      <c r="I16" s="190"/>
      <c r="J16" s="190"/>
      <c r="K16" s="191"/>
      <c r="L16" s="76" t="s">
        <v>105</v>
      </c>
      <c r="M16" s="77" t="s">
        <v>106</v>
      </c>
      <c r="N16" s="78" t="s">
        <v>79</v>
      </c>
      <c r="Q16" s="189" t="str">
        <f>IF(F16&lt;&gt;"",F16,"")</f>
        <v xml:space="preserve">COMPLEMENTO VISITA A FÁBRICA </v>
      </c>
      <c r="R16" s="190"/>
      <c r="S16" s="190"/>
      <c r="T16" s="190"/>
      <c r="U16" s="190"/>
      <c r="V16" s="190"/>
      <c r="W16" s="190"/>
      <c r="X16" s="190"/>
      <c r="Y16" s="192"/>
      <c r="Z16" s="79" t="s">
        <v>107</v>
      </c>
      <c r="AA16" s="80" t="s">
        <v>80</v>
      </c>
      <c r="AB16" s="175"/>
      <c r="AC16" s="176"/>
    </row>
    <row r="17" spans="1:30" ht="159.9" customHeight="1" x14ac:dyDescent="0.45">
      <c r="A17" s="55">
        <v>23</v>
      </c>
      <c r="B17" s="74" t="s">
        <v>124</v>
      </c>
      <c r="C17" s="75" t="s">
        <v>108</v>
      </c>
      <c r="D17" s="55" t="s">
        <v>110</v>
      </c>
      <c r="E17" s="55" t="s">
        <v>111</v>
      </c>
      <c r="F17" s="81" t="s">
        <v>146</v>
      </c>
      <c r="G17" s="82" t="s">
        <v>153</v>
      </c>
      <c r="H17" s="83">
        <v>10</v>
      </c>
      <c r="I17" s="83">
        <v>1</v>
      </c>
      <c r="J17" s="84">
        <v>450</v>
      </c>
      <c r="K17" s="84">
        <f t="shared" ref="K17:K21" si="0">IF(F17&lt;&gt;"",H17*I17*J17,"")</f>
        <v>4500</v>
      </c>
      <c r="L17" s="84">
        <f t="shared" ref="L17:L21" si="1">IF(K17&lt;&gt;"",IF(D17="INTERNO",0,K17*$L$14),"")</f>
        <v>360</v>
      </c>
      <c r="M17" s="84">
        <f>IF(K17&lt;&gt;"",IF(E18="FAT.OGGI",SUM(K17:L17)*(1/(1-$M$14)-1),L17*(1/(1-$M$14)-1)),"")</f>
        <v>87.37169131353302</v>
      </c>
      <c r="N17" s="85">
        <f t="shared" ref="N17:N21" si="2">SUM(K17:M17)</f>
        <v>4947.3716913135331</v>
      </c>
      <c r="Q17" s="86">
        <f t="shared" ref="Q17:R20" si="3">IF(H17&lt;&gt;"",H17,"")</f>
        <v>10</v>
      </c>
      <c r="R17" s="87">
        <f t="shared" si="3"/>
        <v>1</v>
      </c>
      <c r="S17" s="88">
        <v>450</v>
      </c>
      <c r="T17" s="88">
        <v>4499.8999999999996</v>
      </c>
      <c r="U17" s="89">
        <f t="shared" ref="U17:U21" si="4">IF(Q17&lt;&gt;"",K17-T17,"")</f>
        <v>0.1000000000003638</v>
      </c>
      <c r="V17" s="90">
        <f t="shared" ref="V17:V21" si="5">IF(Q17&lt;&gt;"",0%,"")</f>
        <v>0</v>
      </c>
      <c r="W17" s="91">
        <f t="shared" ref="W17:W21" si="6">IF(Q17&lt;&gt;"",V17*U17,"")</f>
        <v>0</v>
      </c>
      <c r="X17" s="91">
        <f t="shared" ref="X17:X21" si="7">IF(Q17&lt;&gt;"",W17+T17,"")</f>
        <v>4499.8999999999996</v>
      </c>
      <c r="Y17" s="92">
        <f t="shared" ref="Y17:Y22" si="8">IF(Q17&lt;&gt;"",X17+M17,"")</f>
        <v>4587.2716913135328</v>
      </c>
      <c r="Z17" s="93">
        <f t="shared" ref="Z17:Z21" si="9">IF(Q17&lt;&gt;"",U17/K17,"")</f>
        <v>2.2222222222303067E-5</v>
      </c>
      <c r="AA17" s="118">
        <f>T17/$T$22</f>
        <v>0.40596694453466131</v>
      </c>
      <c r="AB17" s="127">
        <f>X17-AC17</f>
        <v>0</v>
      </c>
      <c r="AC17" s="128">
        <v>4499.8999999999996</v>
      </c>
      <c r="AD17" s="122" t="s">
        <v>181</v>
      </c>
    </row>
    <row r="18" spans="1:30" ht="159.9" customHeight="1" x14ac:dyDescent="0.45">
      <c r="A18" s="55">
        <v>24</v>
      </c>
      <c r="B18" s="74" t="s">
        <v>98</v>
      </c>
      <c r="C18" s="75" t="s">
        <v>108</v>
      </c>
      <c r="D18" s="55" t="s">
        <v>110</v>
      </c>
      <c r="E18" s="55" t="s">
        <v>111</v>
      </c>
      <c r="F18" s="81" t="s">
        <v>147</v>
      </c>
      <c r="G18" s="82" t="s">
        <v>154</v>
      </c>
      <c r="H18" s="83">
        <v>10</v>
      </c>
      <c r="I18" s="83">
        <v>1</v>
      </c>
      <c r="J18" s="84">
        <v>114</v>
      </c>
      <c r="K18" s="84">
        <f t="shared" si="0"/>
        <v>1140</v>
      </c>
      <c r="L18" s="84">
        <f t="shared" si="1"/>
        <v>91.2</v>
      </c>
      <c r="M18" s="84">
        <f>IF(K18&lt;&gt;"",IF(E22="FAT.OGGI",SUM(K18:L18)*(1/(1-$M$14)-1),L18*(1/(1-$M$14)-1)),"")</f>
        <v>22.134161799428366</v>
      </c>
      <c r="N18" s="85">
        <f t="shared" si="2"/>
        <v>1253.3341617994283</v>
      </c>
      <c r="Q18" s="86">
        <f t="shared" si="3"/>
        <v>10</v>
      </c>
      <c r="R18" s="87">
        <f t="shared" si="3"/>
        <v>1</v>
      </c>
      <c r="S18" s="88">
        <v>120</v>
      </c>
      <c r="T18" s="88">
        <f t="shared" ref="T18" si="10">IF(Q18&lt;&gt;"",Q18*R18*S18,"")</f>
        <v>1200</v>
      </c>
      <c r="U18" s="89">
        <f t="shared" si="4"/>
        <v>-60</v>
      </c>
      <c r="V18" s="90">
        <f t="shared" si="5"/>
        <v>0</v>
      </c>
      <c r="W18" s="91">
        <f t="shared" si="6"/>
        <v>0</v>
      </c>
      <c r="X18" s="91">
        <f t="shared" si="7"/>
        <v>1200</v>
      </c>
      <c r="Y18" s="92">
        <f t="shared" si="8"/>
        <v>1222.1341617994283</v>
      </c>
      <c r="Z18" s="95">
        <f t="shared" si="9"/>
        <v>-5.2631578947368418E-2</v>
      </c>
      <c r="AA18" s="119">
        <f>T18/$T$22</f>
        <v>0.10826025765941323</v>
      </c>
      <c r="AB18" s="127">
        <f t="shared" ref="AB18:AB21" si="11">X18-AC18</f>
        <v>0</v>
      </c>
      <c r="AC18" s="128">
        <v>1200</v>
      </c>
      <c r="AD18" s="122" t="s">
        <v>180</v>
      </c>
    </row>
    <row r="19" spans="1:30" ht="159.9" customHeight="1" x14ac:dyDescent="0.45">
      <c r="A19" s="55">
        <v>25</v>
      </c>
      <c r="B19" s="74" t="s">
        <v>126</v>
      </c>
      <c r="C19" s="75" t="s">
        <v>108</v>
      </c>
      <c r="D19" s="55" t="s">
        <v>110</v>
      </c>
      <c r="E19" s="55" t="s">
        <v>111</v>
      </c>
      <c r="F19" s="81" t="s">
        <v>150</v>
      </c>
      <c r="G19" s="82" t="s">
        <v>152</v>
      </c>
      <c r="H19" s="83">
        <v>10</v>
      </c>
      <c r="I19" s="83">
        <v>1</v>
      </c>
      <c r="J19" s="84">
        <v>70</v>
      </c>
      <c r="K19" s="84">
        <f t="shared" si="0"/>
        <v>700</v>
      </c>
      <c r="L19" s="84">
        <f t="shared" si="1"/>
        <v>56</v>
      </c>
      <c r="M19" s="84">
        <f>IF(K19&lt;&gt;"",IF(E19="FAT.OGGI",SUM(K19:L19)*(1/(1-$M$14)-1),L19*(1/(1-$M$14)-1)),"")</f>
        <v>13.591151982105137</v>
      </c>
      <c r="N19" s="85">
        <f t="shared" si="2"/>
        <v>769.59115198210509</v>
      </c>
      <c r="Q19" s="87">
        <v>1</v>
      </c>
      <c r="R19" s="87">
        <f t="shared" si="3"/>
        <v>1</v>
      </c>
      <c r="S19" s="88">
        <v>809</v>
      </c>
      <c r="T19" s="88">
        <v>809.7</v>
      </c>
      <c r="U19" s="89">
        <f t="shared" si="4"/>
        <v>-109.70000000000005</v>
      </c>
      <c r="V19" s="90">
        <f t="shared" si="5"/>
        <v>0</v>
      </c>
      <c r="W19" s="91">
        <f t="shared" si="6"/>
        <v>0</v>
      </c>
      <c r="X19" s="91">
        <f t="shared" si="7"/>
        <v>809.7</v>
      </c>
      <c r="Y19" s="96">
        <f t="shared" si="8"/>
        <v>823.29115198210513</v>
      </c>
      <c r="Z19" s="94">
        <f t="shared" si="9"/>
        <v>-0.15671428571428578</v>
      </c>
      <c r="AA19" s="97"/>
      <c r="AB19" s="127">
        <f t="shared" si="11"/>
        <v>0</v>
      </c>
      <c r="AC19" s="128">
        <v>809.7</v>
      </c>
      <c r="AD19" s="122" t="s">
        <v>180</v>
      </c>
    </row>
    <row r="20" spans="1:30" ht="159.9" customHeight="1" x14ac:dyDescent="0.45">
      <c r="A20" s="55">
        <v>26</v>
      </c>
      <c r="B20" s="74" t="s">
        <v>148</v>
      </c>
      <c r="C20" s="75" t="s">
        <v>108</v>
      </c>
      <c r="D20" s="55" t="s">
        <v>110</v>
      </c>
      <c r="E20" s="55" t="s">
        <v>111</v>
      </c>
      <c r="F20" s="81" t="s">
        <v>149</v>
      </c>
      <c r="G20" s="82" t="s">
        <v>151</v>
      </c>
      <c r="H20" s="83">
        <v>10</v>
      </c>
      <c r="I20" s="83">
        <v>1</v>
      </c>
      <c r="J20" s="84">
        <v>117</v>
      </c>
      <c r="K20" s="84">
        <f t="shared" si="0"/>
        <v>1170</v>
      </c>
      <c r="L20" s="84">
        <f t="shared" si="1"/>
        <v>93.600000000000009</v>
      </c>
      <c r="M20" s="84">
        <f>IF(K20&lt;&gt;"",IF(E20="FAT.OGGI",SUM(K20:L20)*(1/(1-$M$14)-1),L20*(1/(1-$M$14)-1)),"")</f>
        <v>22.716639741518588</v>
      </c>
      <c r="N20" s="85">
        <f t="shared" si="2"/>
        <v>1286.3166397415184</v>
      </c>
      <c r="Q20" s="87">
        <f t="shared" si="3"/>
        <v>10</v>
      </c>
      <c r="R20" s="87">
        <f t="shared" si="3"/>
        <v>1</v>
      </c>
      <c r="S20" s="88">
        <v>0</v>
      </c>
      <c r="T20" s="88">
        <v>3252.3</v>
      </c>
      <c r="U20" s="89">
        <f t="shared" si="4"/>
        <v>-2082.3000000000002</v>
      </c>
      <c r="V20" s="90">
        <f t="shared" si="5"/>
        <v>0</v>
      </c>
      <c r="W20" s="91">
        <f t="shared" si="6"/>
        <v>0</v>
      </c>
      <c r="X20" s="91">
        <f t="shared" si="7"/>
        <v>3252.3</v>
      </c>
      <c r="Y20" s="96">
        <f t="shared" si="8"/>
        <v>3275.0166397415187</v>
      </c>
      <c r="Z20" s="94">
        <f t="shared" si="9"/>
        <v>-1.7797435897435898</v>
      </c>
      <c r="AA20" s="97"/>
      <c r="AB20" s="127">
        <f t="shared" si="11"/>
        <v>0</v>
      </c>
      <c r="AC20" s="128">
        <v>3252.3</v>
      </c>
      <c r="AD20" s="122" t="s">
        <v>182</v>
      </c>
    </row>
    <row r="21" spans="1:30" ht="159.9" customHeight="1" thickBot="1" x14ac:dyDescent="0.5">
      <c r="A21" s="55">
        <v>27</v>
      </c>
      <c r="B21" s="74" t="s">
        <v>155</v>
      </c>
      <c r="C21" s="75" t="s">
        <v>108</v>
      </c>
      <c r="D21" s="55" t="s">
        <v>110</v>
      </c>
      <c r="E21" s="55" t="s">
        <v>111</v>
      </c>
      <c r="F21" s="81" t="s">
        <v>156</v>
      </c>
      <c r="G21" s="82" t="s">
        <v>157</v>
      </c>
      <c r="H21" s="83">
        <v>50</v>
      </c>
      <c r="I21" s="83">
        <v>1</v>
      </c>
      <c r="J21" s="84">
        <v>40</v>
      </c>
      <c r="K21" s="84">
        <f t="shared" si="0"/>
        <v>2000</v>
      </c>
      <c r="L21" s="84">
        <f t="shared" si="1"/>
        <v>160</v>
      </c>
      <c r="M21" s="84">
        <f>IF(K21&lt;&gt;"",IF(E21="FAT.OGGI",SUM(K21:L21)*(1/(1-$M$14)-1),L21*(1/(1-$M$14)-1)),"")</f>
        <v>38.831862806014676</v>
      </c>
      <c r="N21" s="85">
        <f t="shared" si="2"/>
        <v>2198.8318628060147</v>
      </c>
      <c r="Q21" s="87">
        <f>IF(H21&lt;&gt;"",H21,"")</f>
        <v>50</v>
      </c>
      <c r="R21" s="87">
        <f>IF(I21&lt;&gt;"",I21,"")</f>
        <v>1</v>
      </c>
      <c r="S21" s="88">
        <v>25</v>
      </c>
      <c r="T21" s="88">
        <v>1322.5</v>
      </c>
      <c r="U21" s="89">
        <f t="shared" si="4"/>
        <v>677.5</v>
      </c>
      <c r="V21" s="90">
        <f t="shared" si="5"/>
        <v>0</v>
      </c>
      <c r="W21" s="91">
        <f t="shared" si="6"/>
        <v>0</v>
      </c>
      <c r="X21" s="91">
        <f t="shared" si="7"/>
        <v>1322.5</v>
      </c>
      <c r="Y21" s="96">
        <f t="shared" si="8"/>
        <v>1361.3318628060147</v>
      </c>
      <c r="Z21" s="94">
        <f t="shared" si="9"/>
        <v>0.33875</v>
      </c>
      <c r="AA21" s="97"/>
      <c r="AB21" s="127">
        <f t="shared" si="11"/>
        <v>0</v>
      </c>
      <c r="AC21" s="128">
        <v>1322.5</v>
      </c>
      <c r="AD21" s="122" t="s">
        <v>179</v>
      </c>
    </row>
    <row r="22" spans="1:30" ht="42" customHeight="1" thickBot="1" x14ac:dyDescent="0.5">
      <c r="A22" s="98">
        <v>25</v>
      </c>
      <c r="B22" s="74"/>
      <c r="C22" s="99" t="s">
        <v>109</v>
      </c>
      <c r="D22" s="98"/>
      <c r="E22" s="98"/>
      <c r="F22" s="172" t="s">
        <v>139</v>
      </c>
      <c r="G22" s="173"/>
      <c r="H22" s="173"/>
      <c r="I22" s="173"/>
      <c r="J22" s="173"/>
      <c r="K22" s="100">
        <f>SUM(K17:K21)</f>
        <v>9510</v>
      </c>
      <c r="L22" s="100">
        <f>SUM(L17:L21)</f>
        <v>760.8</v>
      </c>
      <c r="M22" s="100">
        <f>SUM(M17:M21)</f>
        <v>184.64550764259977</v>
      </c>
      <c r="N22" s="101">
        <f>SUM(N17:N21)</f>
        <v>10455.4455076426</v>
      </c>
      <c r="Q22" s="172" t="s">
        <v>139</v>
      </c>
      <c r="R22" s="173"/>
      <c r="S22" s="173"/>
      <c r="T22" s="102">
        <f>SUM(T17:T21)</f>
        <v>11084.4</v>
      </c>
      <c r="U22" s="103">
        <f>SUM(U17:U21)</f>
        <v>-1574.3999999999996</v>
      </c>
      <c r="V22" s="104"/>
      <c r="W22" s="104"/>
      <c r="X22" s="105">
        <f>SUM(X17:X21)</f>
        <v>11084.4</v>
      </c>
      <c r="Y22" s="106">
        <f t="shared" si="8"/>
        <v>11269.045507642599</v>
      </c>
      <c r="Z22" s="107" t="s">
        <v>140</v>
      </c>
      <c r="AA22" s="120" t="s">
        <v>141</v>
      </c>
      <c r="AB22" s="127"/>
      <c r="AC22" s="128"/>
    </row>
    <row r="23" spans="1:30" ht="42" customHeight="1" thickBot="1" x14ac:dyDescent="0.5">
      <c r="A23" s="108">
        <v>33</v>
      </c>
      <c r="B23" s="109"/>
      <c r="C23" s="110" t="s">
        <v>112</v>
      </c>
      <c r="D23" s="108"/>
      <c r="E23" s="108"/>
      <c r="F23" s="111" t="s">
        <v>43</v>
      </c>
      <c r="G23" s="112"/>
      <c r="H23" s="113"/>
      <c r="I23" s="113"/>
      <c r="J23" s="112"/>
      <c r="K23" s="114">
        <f>SUM(K17:K21)</f>
        <v>9510</v>
      </c>
      <c r="L23" s="114">
        <f>SUM(L17:L21)</f>
        <v>760.8</v>
      </c>
      <c r="M23" s="114">
        <f>SUM(M17:M21)</f>
        <v>184.64550764259977</v>
      </c>
      <c r="N23" s="115">
        <f>SUM(N17:N21)</f>
        <v>10455.4455076426</v>
      </c>
      <c r="Q23" s="116" t="s">
        <v>43</v>
      </c>
      <c r="R23" s="113"/>
      <c r="S23" s="112"/>
      <c r="T23" s="114">
        <f>SUM(T17:T21)</f>
        <v>11084.4</v>
      </c>
      <c r="U23" s="114">
        <f>SUM(U17:U21)</f>
        <v>-1574.3999999999996</v>
      </c>
      <c r="V23" s="112"/>
      <c r="W23" s="112"/>
      <c r="X23" s="114">
        <f>SUM(X17:X21)</f>
        <v>11084.4</v>
      </c>
      <c r="Y23" s="115">
        <f>SUM(Y17:Y21)</f>
        <v>11269.045507642601</v>
      </c>
      <c r="Z23" s="117">
        <f>IF(Q23&lt;&gt;"",(N23-Y23)/N23,"")</f>
        <v>-7.7815909365630043E-2</v>
      </c>
      <c r="AA23" s="121">
        <f>IF(Z23&lt;&gt;"",(N23-Y23),"")</f>
        <v>-813.60000000000036</v>
      </c>
      <c r="AB23" s="127">
        <f>SUM(AB17:AB22)</f>
        <v>0</v>
      </c>
      <c r="AC23" s="128">
        <f>SUM(AC17:AC22)</f>
        <v>11084.4</v>
      </c>
    </row>
    <row r="26" spans="1:30" x14ac:dyDescent="0.45">
      <c r="AC26" s="156"/>
      <c r="AD26" s="157" t="s">
        <v>190</v>
      </c>
    </row>
    <row r="27" spans="1:30" x14ac:dyDescent="0.45">
      <c r="AC27" s="158">
        <f>X23</f>
        <v>11084.4</v>
      </c>
      <c r="AD27" s="157" t="s">
        <v>191</v>
      </c>
    </row>
    <row r="28" spans="1:30" x14ac:dyDescent="0.45">
      <c r="AC28" s="158">
        <f>N23-X23</f>
        <v>-628.95449235739943</v>
      </c>
      <c r="AD28" s="157" t="s">
        <v>187</v>
      </c>
    </row>
    <row r="29" spans="1:30" x14ac:dyDescent="0.45">
      <c r="AC29" s="159">
        <f>AC28*100%/N22</f>
        <v>-6.0155685560950377E-2</v>
      </c>
      <c r="AD29" s="160"/>
    </row>
  </sheetData>
  <autoFilter ref="A1:AD14" xr:uid="{107B9E09-8154-459A-AE62-6A4242823A27}">
    <filterColumn colId="5" showButton="0"/>
  </autoFilter>
  <mergeCells count="12">
    <mergeCell ref="F22:J22"/>
    <mergeCell ref="Q22:S22"/>
    <mergeCell ref="AB15:AC15"/>
    <mergeCell ref="AB16:AC16"/>
    <mergeCell ref="F1:G1"/>
    <mergeCell ref="F2:G2"/>
    <mergeCell ref="Q12:T12"/>
    <mergeCell ref="U12:X12"/>
    <mergeCell ref="F15:N15"/>
    <mergeCell ref="Q15:Y15"/>
    <mergeCell ref="F16:K16"/>
    <mergeCell ref="Q16:Y16"/>
  </mergeCells>
  <dataValidations count="3">
    <dataValidation type="list" allowBlank="1" showInputMessage="1" showErrorMessage="1" sqref="E23" xr:uid="{0293B2D2-8126-4BF7-9F2F-3A9CCBE149B2}">
      <formula1>"FAT.OGGI,FAT.CLIENTE "</formula1>
    </dataValidation>
    <dataValidation type="list" allowBlank="1" showInputMessage="1" showErrorMessage="1" sqref="E17:E21" xr:uid="{C0AE4090-509E-4774-9813-3E8350C82C87}">
      <formula1>"FAT.OGGI,FAT.CLIENTE"</formula1>
    </dataValidation>
    <dataValidation type="list" allowBlank="1" showInputMessage="1" showErrorMessage="1" sqref="D23 D17:D21" xr:uid="{0B114D4D-3542-47C7-8E59-A7A8B2345C50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12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  <row r="9" spans="1:12" x14ac:dyDescent="0.3">
      <c r="A9">
        <v>12</v>
      </c>
      <c r="B9" t="s">
        <v>113</v>
      </c>
      <c r="C9" t="s">
        <v>113</v>
      </c>
      <c r="D9" t="s">
        <v>125</v>
      </c>
      <c r="E9" t="s">
        <v>127</v>
      </c>
      <c r="F9" t="s">
        <v>128</v>
      </c>
      <c r="G9" t="s">
        <v>123</v>
      </c>
      <c r="H9" t="s">
        <v>133</v>
      </c>
      <c r="I9" t="s">
        <v>132</v>
      </c>
      <c r="J9" t="s">
        <v>129</v>
      </c>
      <c r="K9" t="s">
        <v>130</v>
      </c>
      <c r="L9" t="s">
        <v>131</v>
      </c>
    </row>
    <row r="10" spans="1:12" x14ac:dyDescent="0.3">
      <c r="A10">
        <v>12</v>
      </c>
      <c r="B10" t="s">
        <v>113</v>
      </c>
      <c r="C10" t="s">
        <v>113</v>
      </c>
      <c r="D10" t="s">
        <v>125</v>
      </c>
      <c r="E10" t="s">
        <v>127</v>
      </c>
      <c r="F10" t="s">
        <v>134</v>
      </c>
      <c r="G10" t="s">
        <v>123</v>
      </c>
      <c r="H10" t="s">
        <v>138</v>
      </c>
      <c r="I10" t="s">
        <v>137</v>
      </c>
      <c r="J10" t="s">
        <v>135</v>
      </c>
      <c r="K10" t="s">
        <v>136</v>
      </c>
      <c r="L10" t="s">
        <v>11</v>
      </c>
    </row>
    <row r="11" spans="1:12" x14ac:dyDescent="0.3">
      <c r="A11">
        <v>28</v>
      </c>
      <c r="B11" t="s">
        <v>158</v>
      </c>
      <c r="C11" t="s">
        <v>159</v>
      </c>
      <c r="D11" t="s">
        <v>162</v>
      </c>
      <c r="E11" t="s">
        <v>161</v>
      </c>
      <c r="F11" t="s">
        <v>163</v>
      </c>
      <c r="G11" t="s">
        <v>144</v>
      </c>
      <c r="H11" t="s">
        <v>11</v>
      </c>
      <c r="I11" t="s">
        <v>170</v>
      </c>
      <c r="J11" t="s">
        <v>167</v>
      </c>
      <c r="K11" t="s">
        <v>168</v>
      </c>
      <c r="L11" t="s">
        <v>169</v>
      </c>
    </row>
    <row r="12" spans="1:12" x14ac:dyDescent="0.3">
      <c r="A12">
        <v>27</v>
      </c>
      <c r="B12" t="s">
        <v>158</v>
      </c>
      <c r="C12" t="s">
        <v>159</v>
      </c>
      <c r="D12" t="s">
        <v>156</v>
      </c>
      <c r="E12" t="s">
        <v>157</v>
      </c>
      <c r="F12" t="s">
        <v>171</v>
      </c>
      <c r="G12" t="s">
        <v>144</v>
      </c>
      <c r="H12" t="s">
        <v>11</v>
      </c>
      <c r="I12" t="s">
        <v>176</v>
      </c>
      <c r="J12" t="s">
        <v>172</v>
      </c>
      <c r="K12" t="s">
        <v>173</v>
      </c>
      <c r="L12" t="s">
        <v>174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194" t="s">
        <v>11</v>
      </c>
      <c r="B1" s="194"/>
      <c r="C1" s="194"/>
      <c r="D1" s="196" t="s">
        <v>59</v>
      </c>
      <c r="E1" s="196"/>
      <c r="F1" s="196"/>
      <c r="G1" s="196"/>
      <c r="H1" s="196"/>
      <c r="I1" s="196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195"/>
      <c r="B2" s="195"/>
      <c r="C2" s="195"/>
      <c r="D2" s="194" t="s">
        <v>60</v>
      </c>
      <c r="E2" s="194"/>
      <c r="F2" s="194"/>
      <c r="G2" s="194"/>
      <c r="H2" s="194"/>
      <c r="I2" s="194"/>
      <c r="J2" s="26"/>
      <c r="K2" s="26"/>
      <c r="L2" s="26"/>
      <c r="M2" s="26"/>
      <c r="N2" s="26"/>
      <c r="O2" s="197" t="s">
        <v>61</v>
      </c>
    </row>
    <row r="3" spans="1:15" x14ac:dyDescent="0.3">
      <c r="A3" s="195"/>
      <c r="B3" s="195"/>
      <c r="C3" s="195"/>
      <c r="D3" s="194" t="s">
        <v>62</v>
      </c>
      <c r="E3" s="194"/>
      <c r="F3" s="194"/>
      <c r="G3" s="194"/>
      <c r="H3" s="194"/>
      <c r="I3" s="194"/>
      <c r="J3" s="26"/>
      <c r="K3" s="26"/>
      <c r="L3" s="26"/>
      <c r="M3" s="26"/>
      <c r="N3" s="26"/>
      <c r="O3" s="198"/>
    </row>
    <row r="4" spans="1:15" x14ac:dyDescent="0.3">
      <c r="A4" s="195"/>
      <c r="B4" s="195"/>
      <c r="C4" s="195"/>
      <c r="D4" s="194" t="s">
        <v>63</v>
      </c>
      <c r="E4" s="194"/>
      <c r="F4" s="194"/>
      <c r="G4" s="194"/>
      <c r="H4" s="194"/>
      <c r="I4" s="194"/>
      <c r="J4" s="26"/>
      <c r="K4" s="26"/>
      <c r="L4" s="26"/>
      <c r="M4" s="26"/>
      <c r="N4" s="26"/>
      <c r="O4" s="198"/>
    </row>
    <row r="5" spans="1:15" x14ac:dyDescent="0.3">
      <c r="A5" s="195"/>
      <c r="B5" s="195"/>
      <c r="C5" s="195"/>
      <c r="D5" s="194" t="s">
        <v>64</v>
      </c>
      <c r="E5" s="194"/>
      <c r="F5" s="194"/>
      <c r="G5" s="194"/>
      <c r="H5" s="194"/>
      <c r="I5" s="194"/>
      <c r="J5" s="26"/>
      <c r="K5" s="26"/>
      <c r="L5" s="26"/>
      <c r="M5" s="26"/>
      <c r="N5" s="26"/>
      <c r="O5" s="198"/>
    </row>
    <row r="6" spans="1:15" x14ac:dyDescent="0.3">
      <c r="A6" s="195"/>
      <c r="B6" s="195"/>
      <c r="C6" s="195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198"/>
    </row>
    <row r="7" spans="1:15" x14ac:dyDescent="0.3">
      <c r="A7" s="195"/>
      <c r="B7" s="195"/>
      <c r="C7" s="195"/>
      <c r="D7" s="194" t="s">
        <v>65</v>
      </c>
      <c r="E7" s="194"/>
      <c r="F7" s="194"/>
      <c r="G7" s="194"/>
      <c r="H7" s="194"/>
      <c r="I7" s="194"/>
      <c r="J7" s="26"/>
      <c r="K7" s="26"/>
      <c r="L7" s="26"/>
      <c r="M7" s="26"/>
      <c r="N7" s="26"/>
      <c r="O7" s="28">
        <v>45264.482613275461</v>
      </c>
    </row>
    <row r="8" spans="1:15" x14ac:dyDescent="0.3">
      <c r="A8" s="193" t="s">
        <v>66</v>
      </c>
      <c r="B8" s="193"/>
      <c r="C8" s="193"/>
      <c r="D8" s="193"/>
      <c r="E8" s="193"/>
      <c r="F8" s="193"/>
      <c r="G8" s="193"/>
      <c r="H8" s="193"/>
      <c r="I8" s="193"/>
      <c r="J8" s="193"/>
      <c r="K8" s="193"/>
      <c r="L8" s="193"/>
      <c r="M8" s="193"/>
      <c r="N8" s="193"/>
      <c r="O8" s="193"/>
    </row>
    <row r="9" spans="1:15" ht="27.6" x14ac:dyDescent="0.3">
      <c r="A9" s="29" t="s">
        <v>67</v>
      </c>
      <c r="B9" s="29" t="s">
        <v>68</v>
      </c>
      <c r="C9" s="29" t="s">
        <v>69</v>
      </c>
      <c r="D9" s="29" t="s">
        <v>52</v>
      </c>
      <c r="E9" s="29" t="s">
        <v>70</v>
      </c>
      <c r="F9" s="29" t="s">
        <v>71</v>
      </c>
      <c r="G9" s="29" t="s">
        <v>34</v>
      </c>
      <c r="H9" s="29" t="s">
        <v>72</v>
      </c>
      <c r="I9" s="29" t="s">
        <v>73</v>
      </c>
      <c r="J9" s="29" t="s">
        <v>71</v>
      </c>
      <c r="K9" s="29" t="s">
        <v>74</v>
      </c>
      <c r="L9" s="29" t="s">
        <v>75</v>
      </c>
      <c r="M9" s="29" t="s">
        <v>76</v>
      </c>
      <c r="N9" s="29" t="s">
        <v>77</v>
      </c>
      <c r="O9" s="30" t="s">
        <v>78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32" t="s">
        <v>3</v>
      </c>
      <c r="C2" s="233"/>
      <c r="D2" s="233"/>
      <c r="E2" s="233"/>
      <c r="F2" s="233"/>
      <c r="G2" s="233"/>
      <c r="H2" s="233"/>
      <c r="I2" s="233"/>
      <c r="J2" s="233"/>
      <c r="K2" s="233"/>
      <c r="L2" s="234"/>
    </row>
    <row r="3" spans="2:12" ht="47.4" customHeight="1" thickBot="1" x14ac:dyDescent="0.35">
      <c r="B3" s="235" t="s">
        <v>12</v>
      </c>
      <c r="C3" s="236"/>
      <c r="D3" s="236"/>
      <c r="E3" s="236"/>
      <c r="F3" s="236"/>
      <c r="G3" s="236"/>
      <c r="H3" s="236"/>
      <c r="I3" s="236"/>
      <c r="J3" s="236"/>
      <c r="K3" s="236"/>
      <c r="L3" s="237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04" t="s">
        <v>13</v>
      </c>
      <c r="D6" s="204"/>
      <c r="E6" s="204"/>
      <c r="F6" s="204"/>
      <c r="G6" s="204"/>
      <c r="H6" s="204"/>
      <c r="I6" s="204"/>
      <c r="J6" s="204"/>
      <c r="K6" s="204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238" t="s">
        <v>171</v>
      </c>
      <c r="E8" s="239"/>
      <c r="F8" s="239"/>
      <c r="G8" s="239"/>
      <c r="H8" s="239"/>
      <c r="I8" s="239"/>
      <c r="J8" s="239"/>
      <c r="K8" s="240"/>
      <c r="L8" s="5"/>
    </row>
    <row r="9" spans="2:12" x14ac:dyDescent="0.3">
      <c r="B9" s="4"/>
      <c r="C9" s="7" t="s">
        <v>15</v>
      </c>
      <c r="D9" s="225" t="s">
        <v>16</v>
      </c>
      <c r="E9" s="226"/>
      <c r="F9" s="226"/>
      <c r="G9" s="226"/>
      <c r="H9" s="226"/>
      <c r="I9" s="226"/>
      <c r="J9" s="226"/>
      <c r="K9" s="227"/>
      <c r="L9" s="5"/>
    </row>
    <row r="10" spans="2:12" x14ac:dyDescent="0.3">
      <c r="B10" s="4"/>
      <c r="C10" s="7" t="s">
        <v>17</v>
      </c>
      <c r="D10" s="225" t="s">
        <v>114</v>
      </c>
      <c r="E10" s="226"/>
      <c r="F10" s="226"/>
      <c r="G10" s="226"/>
      <c r="H10" s="226"/>
      <c r="I10" s="226"/>
      <c r="J10" s="226"/>
      <c r="K10" s="227"/>
      <c r="L10" s="5"/>
    </row>
    <row r="11" spans="2:12" x14ac:dyDescent="0.3">
      <c r="B11" s="4"/>
      <c r="C11" s="7" t="s">
        <v>18</v>
      </c>
      <c r="D11" s="225" t="s">
        <v>164</v>
      </c>
      <c r="E11" s="226"/>
      <c r="F11" s="226"/>
      <c r="G11" s="226"/>
      <c r="H11" s="226"/>
      <c r="I11" s="226"/>
      <c r="J11" s="226"/>
      <c r="K11" s="227"/>
      <c r="L11" s="5"/>
    </row>
    <row r="12" spans="2:12" x14ac:dyDescent="0.3">
      <c r="B12" s="4"/>
      <c r="C12" s="10" t="s">
        <v>19</v>
      </c>
      <c r="D12" s="222" t="s">
        <v>165</v>
      </c>
      <c r="E12" s="223"/>
      <c r="F12" s="223"/>
      <c r="G12" s="223"/>
      <c r="H12" s="224"/>
      <c r="I12" s="11" t="s">
        <v>20</v>
      </c>
      <c r="J12" s="222" t="s">
        <v>155</v>
      </c>
      <c r="K12" s="224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04" t="s">
        <v>21</v>
      </c>
      <c r="D16" s="204"/>
      <c r="E16" s="204"/>
      <c r="F16" s="204"/>
      <c r="G16" s="204"/>
      <c r="H16" s="204"/>
      <c r="I16" s="204"/>
      <c r="J16" s="204"/>
      <c r="K16" s="204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28" t="s">
        <v>166</v>
      </c>
      <c r="E18" s="228"/>
      <c r="F18" s="228"/>
      <c r="G18" s="219"/>
      <c r="H18" s="228" t="s">
        <v>22</v>
      </c>
      <c r="I18" s="228"/>
      <c r="J18" s="228"/>
      <c r="K18" s="219"/>
      <c r="L18" s="5"/>
    </row>
    <row r="19" spans="2:12" x14ac:dyDescent="0.3">
      <c r="B19" s="4"/>
      <c r="C19" s="15" t="s">
        <v>23</v>
      </c>
      <c r="D19" s="229" t="s">
        <v>173</v>
      </c>
      <c r="E19" s="230"/>
      <c r="F19" s="230"/>
      <c r="G19" s="230"/>
      <c r="H19" s="230"/>
      <c r="I19" s="230"/>
      <c r="J19" s="230"/>
      <c r="K19" s="231"/>
      <c r="L19" s="5"/>
    </row>
    <row r="20" spans="2:12" x14ac:dyDescent="0.3">
      <c r="B20" s="4"/>
      <c r="C20" s="7" t="s">
        <v>24</v>
      </c>
      <c r="D20" s="225"/>
      <c r="E20" s="226"/>
      <c r="F20" s="226"/>
      <c r="G20" s="226"/>
      <c r="H20" s="226"/>
      <c r="I20" s="226"/>
      <c r="J20" s="226"/>
      <c r="K20" s="227"/>
      <c r="L20" s="5"/>
    </row>
    <row r="21" spans="2:12" x14ac:dyDescent="0.3">
      <c r="B21" s="4"/>
      <c r="C21" s="7" t="s">
        <v>25</v>
      </c>
      <c r="D21" s="225" t="s">
        <v>11</v>
      </c>
      <c r="E21" s="227"/>
      <c r="F21" s="7" t="s">
        <v>57</v>
      </c>
      <c r="G21" s="16" t="s">
        <v>11</v>
      </c>
      <c r="H21" s="7" t="s">
        <v>26</v>
      </c>
      <c r="I21" s="8" t="s">
        <v>11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225" t="s">
        <v>172</v>
      </c>
      <c r="E22" s="226"/>
      <c r="F22" s="226"/>
      <c r="G22" s="227"/>
      <c r="H22" s="7" t="s">
        <v>29</v>
      </c>
      <c r="I22" s="225"/>
      <c r="J22" s="226"/>
      <c r="K22" s="227"/>
      <c r="L22" s="5"/>
    </row>
    <row r="23" spans="2:12" x14ac:dyDescent="0.3">
      <c r="B23" s="4"/>
      <c r="C23" s="10" t="s">
        <v>30</v>
      </c>
      <c r="D23" s="222" t="s">
        <v>174</v>
      </c>
      <c r="E23" s="223"/>
      <c r="F23" s="223"/>
      <c r="G23" s="224"/>
      <c r="H23" s="10" t="s">
        <v>31</v>
      </c>
      <c r="I23" s="222" t="s">
        <v>11</v>
      </c>
      <c r="J23" s="223"/>
      <c r="K23" s="224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04" t="s">
        <v>21</v>
      </c>
      <c r="D27" s="204"/>
      <c r="E27" s="204"/>
      <c r="F27" s="204"/>
      <c r="G27" s="204"/>
      <c r="H27" s="204"/>
      <c r="I27" s="204"/>
      <c r="J27" s="204"/>
      <c r="K27" s="204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218" t="s">
        <v>33</v>
      </c>
      <c r="E29" s="219"/>
      <c r="F29" s="218" t="s">
        <v>34</v>
      </c>
      <c r="G29" s="219"/>
      <c r="H29" s="220" t="s">
        <v>35</v>
      </c>
      <c r="I29" s="220"/>
      <c r="J29" s="220"/>
      <c r="K29" s="221"/>
      <c r="L29" s="5"/>
    </row>
    <row r="30" spans="2:12" x14ac:dyDescent="0.3">
      <c r="B30" s="4"/>
      <c r="C30" s="17" t="s">
        <v>36</v>
      </c>
      <c r="D30" s="205" t="s">
        <v>175</v>
      </c>
      <c r="E30" s="206"/>
      <c r="F30" s="207" t="s">
        <v>176</v>
      </c>
      <c r="G30" s="208"/>
      <c r="H30" s="18" t="s">
        <v>177</v>
      </c>
      <c r="I30" s="218" t="s">
        <v>40</v>
      </c>
      <c r="J30" s="219"/>
      <c r="K30" s="6" t="s">
        <v>38</v>
      </c>
      <c r="L30" s="5"/>
    </row>
    <row r="31" spans="2:12" x14ac:dyDescent="0.3">
      <c r="B31" s="4"/>
      <c r="C31" s="17" t="s">
        <v>39</v>
      </c>
      <c r="D31" s="205" t="s">
        <v>11</v>
      </c>
      <c r="E31" s="206"/>
      <c r="F31" s="207" t="s">
        <v>11</v>
      </c>
      <c r="G31" s="208"/>
      <c r="H31" s="17" t="s">
        <v>37</v>
      </c>
      <c r="I31" s="209" t="s">
        <v>40</v>
      </c>
      <c r="J31" s="210"/>
      <c r="K31" s="7" t="s">
        <v>38</v>
      </c>
      <c r="L31" s="5"/>
    </row>
    <row r="32" spans="2:12" x14ac:dyDescent="0.3">
      <c r="B32" s="4"/>
      <c r="C32" s="17" t="s">
        <v>41</v>
      </c>
      <c r="D32" s="205" t="s">
        <v>11</v>
      </c>
      <c r="E32" s="206"/>
      <c r="F32" s="207" t="s">
        <v>11</v>
      </c>
      <c r="G32" s="208"/>
      <c r="H32" s="17" t="s">
        <v>37</v>
      </c>
      <c r="I32" s="209" t="s">
        <v>40</v>
      </c>
      <c r="J32" s="210"/>
      <c r="K32" s="7" t="s">
        <v>38</v>
      </c>
      <c r="L32" s="5"/>
    </row>
    <row r="33" spans="2:12" x14ac:dyDescent="0.3">
      <c r="B33" s="4"/>
      <c r="C33" s="19" t="s">
        <v>42</v>
      </c>
      <c r="D33" s="205" t="s">
        <v>11</v>
      </c>
      <c r="E33" s="206"/>
      <c r="F33" s="211" t="s">
        <v>11</v>
      </c>
      <c r="G33" s="212"/>
      <c r="H33" s="17" t="s">
        <v>37</v>
      </c>
      <c r="I33" s="209" t="s">
        <v>40</v>
      </c>
      <c r="J33" s="210"/>
      <c r="K33" s="7" t="s">
        <v>38</v>
      </c>
      <c r="L33" s="5"/>
    </row>
    <row r="34" spans="2:12" x14ac:dyDescent="0.3">
      <c r="B34" s="4"/>
      <c r="C34" s="213" t="s">
        <v>43</v>
      </c>
      <c r="D34" s="214"/>
      <c r="E34" s="215"/>
      <c r="F34" s="216" t="s">
        <v>176</v>
      </c>
      <c r="G34" s="217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04" t="s">
        <v>44</v>
      </c>
      <c r="D38" s="204"/>
      <c r="E38" s="204"/>
      <c r="F38" s="204"/>
      <c r="G38" s="204"/>
      <c r="H38" s="204"/>
      <c r="I38" s="204"/>
      <c r="J38" s="204"/>
      <c r="K38" s="204"/>
      <c r="L38" s="5"/>
    </row>
    <row r="39" spans="2:12" x14ac:dyDescent="0.3">
      <c r="B39" s="4"/>
      <c r="C39" s="202" t="s">
        <v>178</v>
      </c>
      <c r="D39" s="202"/>
      <c r="E39" s="202"/>
      <c r="F39" s="202"/>
      <c r="G39" s="202"/>
      <c r="H39" s="202"/>
      <c r="I39" s="202"/>
      <c r="J39" s="202"/>
      <c r="K39" s="202"/>
      <c r="L39" s="5"/>
    </row>
    <row r="40" spans="2:12" x14ac:dyDescent="0.3">
      <c r="B40" s="4"/>
      <c r="C40" s="202"/>
      <c r="D40" s="202"/>
      <c r="E40" s="202"/>
      <c r="F40" s="202"/>
      <c r="G40" s="202"/>
      <c r="H40" s="202"/>
      <c r="I40" s="202"/>
      <c r="J40" s="202"/>
      <c r="K40" s="202"/>
      <c r="L40" s="5"/>
    </row>
    <row r="41" spans="2:12" x14ac:dyDescent="0.3">
      <c r="B41" s="4"/>
      <c r="C41" s="202"/>
      <c r="D41" s="202"/>
      <c r="E41" s="202"/>
      <c r="F41" s="202"/>
      <c r="G41" s="202"/>
      <c r="H41" s="202"/>
      <c r="I41" s="202"/>
      <c r="J41" s="202"/>
      <c r="K41" s="202"/>
      <c r="L41" s="5"/>
    </row>
    <row r="42" spans="2:12" x14ac:dyDescent="0.3">
      <c r="B42" s="4"/>
      <c r="C42" s="202"/>
      <c r="D42" s="202"/>
      <c r="E42" s="202"/>
      <c r="F42" s="202"/>
      <c r="G42" s="202"/>
      <c r="H42" s="202"/>
      <c r="I42" s="202"/>
      <c r="J42" s="202"/>
      <c r="K42" s="202"/>
      <c r="L42" s="5"/>
    </row>
    <row r="43" spans="2:12" x14ac:dyDescent="0.3">
      <c r="B43" s="4"/>
      <c r="C43" s="202"/>
      <c r="D43" s="202"/>
      <c r="E43" s="202"/>
      <c r="F43" s="202"/>
      <c r="G43" s="202"/>
      <c r="H43" s="202"/>
      <c r="I43" s="202"/>
      <c r="J43" s="202"/>
      <c r="K43" s="202"/>
      <c r="L43" s="5"/>
    </row>
    <row r="44" spans="2:12" x14ac:dyDescent="0.3">
      <c r="B44" s="4"/>
      <c r="C44" s="202"/>
      <c r="D44" s="202"/>
      <c r="E44" s="202"/>
      <c r="F44" s="202"/>
      <c r="G44" s="202"/>
      <c r="H44" s="202"/>
      <c r="I44" s="202"/>
      <c r="J44" s="202"/>
      <c r="K44" s="202"/>
      <c r="L44" s="5"/>
    </row>
    <row r="45" spans="2:12" x14ac:dyDescent="0.3">
      <c r="B45" s="4"/>
      <c r="C45" s="203"/>
      <c r="D45" s="203"/>
      <c r="E45" s="203"/>
      <c r="F45" s="203"/>
      <c r="G45" s="203"/>
      <c r="H45" s="203"/>
      <c r="I45" s="203"/>
      <c r="J45" s="203"/>
      <c r="K45" s="203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199" t="s">
        <v>45</v>
      </c>
      <c r="C48" s="200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01" t="s">
        <v>46</v>
      </c>
      <c r="D51" s="201"/>
      <c r="E51" s="201"/>
      <c r="F51" s="201"/>
      <c r="H51" s="201" t="s">
        <v>47</v>
      </c>
      <c r="I51" s="201"/>
      <c r="J51" s="201"/>
      <c r="K51" s="201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D10:K10"/>
    <mergeCell ref="B2:L2"/>
    <mergeCell ref="B3:L3"/>
    <mergeCell ref="C6:K6"/>
    <mergeCell ref="D8:K8"/>
    <mergeCell ref="D9:K9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C27:K27"/>
    <mergeCell ref="D29:E29"/>
    <mergeCell ref="F29:G29"/>
    <mergeCell ref="H29:K29"/>
    <mergeCell ref="D30:E30"/>
    <mergeCell ref="F30:G30"/>
    <mergeCell ref="I30:J30"/>
    <mergeCell ref="D33:E33"/>
    <mergeCell ref="F33:G33"/>
    <mergeCell ref="I33:J33"/>
    <mergeCell ref="C34:E34"/>
    <mergeCell ref="F34:G34"/>
    <mergeCell ref="D31:E31"/>
    <mergeCell ref="F31:G31"/>
    <mergeCell ref="I31:J31"/>
    <mergeCell ref="D32:E32"/>
    <mergeCell ref="F32:G32"/>
    <mergeCell ref="I32:J32"/>
    <mergeCell ref="B48:C48"/>
    <mergeCell ref="C51:F51"/>
    <mergeCell ref="H51:K51"/>
    <mergeCell ref="C39:K45"/>
    <mergeCell ref="C38:K38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15</vt:i4>
      </vt:variant>
    </vt:vector>
  </HeadingPairs>
  <TitlesOfParts>
    <vt:vector size="20" baseType="lpstr">
      <vt:lpstr>RESUMO</vt:lpstr>
      <vt:lpstr>COMPLEMENTO 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2026-07-20T13:59:47Z</cp:lastPrinted>
  <dcterms:created xsi:type="dcterms:W3CDTF">2023-09-21T21:02:20Z</dcterms:created>
  <dcterms:modified xsi:type="dcterms:W3CDTF">2026-07-29T13:37:34Z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