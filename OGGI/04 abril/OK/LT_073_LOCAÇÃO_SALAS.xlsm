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4 abril\"/>
    </mc:Choice>
  </mc:AlternateContent>
  <xr:revisionPtr revIDLastSave="0" documentId="13_ncr:1_{D6F1397A-35ED-4DC4-BC06-277C0742BFAF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114" r:id="rId1"/>
    <sheet name="PRINCIPAL" sheetId="109" r:id="rId2"/>
    <sheet name="ESTANPLAZA VL OLÍMPIA" sheetId="113" r:id="rId3"/>
    <sheet name="TOTAL" sheetId="110" r:id="rId4"/>
    <sheet name="Solicitações de Pagamento" sheetId="4" r:id="rId5"/>
    <sheet name="ItensOrc" sheetId="76" state="hidden" r:id="rId6"/>
    <sheet name="Template SP" sheetId="3" state="hidden" r:id="rId7"/>
  </sheets>
  <definedNames>
    <definedName name="_xlnm._FilterDatabase" localSheetId="2" hidden="1">'ESTANPLAZA VL OLÍMPIA'!#REF!</definedName>
    <definedName name="_xlnm._FilterDatabase" localSheetId="1" hidden="1">PRINCIPAL!#REF!</definedName>
    <definedName name="_xlnm._FilterDatabase" localSheetId="3" hidden="1">TOTAL!#REF!</definedName>
    <definedName name="_xleta.AND" hidden="1" xlm="1">#NAME?</definedName>
    <definedName name="_xleta.IF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itensorc_desconto" localSheetId="5">ItensOrc!$M:$M</definedName>
    <definedName name="itensorc_desconto">#REF!</definedName>
    <definedName name="itensorc_descricao" localSheetId="5">ItensOrc!$D:$D</definedName>
    <definedName name="itensorc_descricao">#REF!</definedName>
    <definedName name="itensorc_encargos" localSheetId="5">ItensOrc!$N:$N</definedName>
    <definedName name="itensorc_encargos">#REF!</definedName>
    <definedName name="itensorc_especifica" localSheetId="5">ItensOrc!$O:$O</definedName>
    <definedName name="itensorc_especifica">#REF!</definedName>
    <definedName name="itensorc_item" localSheetId="5">ItensOrc!$C:$C</definedName>
    <definedName name="itensorc_item">#REF!</definedName>
    <definedName name="itensorc_lancamento" localSheetId="5">ItensOrc!$B:$B</definedName>
    <definedName name="itensorc_lancamento">#REF!</definedName>
    <definedName name="itensorc_percentualhonorarios" localSheetId="5">ItensOrc!$L:$L</definedName>
    <definedName name="itensorc_percentualhonorarios">#REF!</definedName>
    <definedName name="itensorc_quantidade" localSheetId="5">ItensOrc!$E:$E</definedName>
    <definedName name="itensorc_quantidade">#REF!</definedName>
    <definedName name="itensorc_situacao" localSheetId="5">ItensOrc!$H:$H</definedName>
    <definedName name="itensorc_situacao">#REF!</definedName>
    <definedName name="itensorc_subtipo" localSheetId="5">ItensOrc!$K:$K</definedName>
    <definedName name="itensorc_subtipo">#REF!</definedName>
    <definedName name="itensorc_tiporeceita" localSheetId="5">ItensOrc!$A:$A</definedName>
    <definedName name="itensorc_tiporeceita">#REF!</definedName>
    <definedName name="itensorc_valor" localSheetId="5">ItensOrc!$G:$G</definedName>
    <definedName name="itensorc_valor">#REF!</definedName>
    <definedName name="itensorc_valorfornecedor" localSheetId="5">ItensOrc!$I:$I</definedName>
    <definedName name="itensorc_valorfornecedor">#REF!</definedName>
    <definedName name="itensorc_valorfornecedorunitario" localSheetId="5">ItensOrc!$J:$J</definedName>
    <definedName name="itensorc_valorfornecedorunitario">#REF!</definedName>
    <definedName name="itensorc_valorunitario" localSheetId="5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" i="114" l="1"/>
  <c r="D23" i="114"/>
  <c r="C23" i="114"/>
  <c r="D22" i="114"/>
  <c r="C22" i="114"/>
  <c r="AL29" i="113"/>
  <c r="AL30" i="113" s="1"/>
  <c r="AL28" i="113"/>
  <c r="X27" i="109"/>
  <c r="C32" i="114"/>
  <c r="E31" i="114"/>
  <c r="F31" i="114" s="1"/>
  <c r="E3" i="114"/>
  <c r="AL25" i="109"/>
  <c r="AL17" i="113"/>
  <c r="AL26" i="113"/>
  <c r="D24" i="114" l="1"/>
  <c r="D30" i="114" s="1"/>
  <c r="E30" i="114" s="1"/>
  <c r="C24" i="114"/>
  <c r="E23" i="114"/>
  <c r="AL30" i="109"/>
  <c r="AL31" i="109" s="1"/>
  <c r="AL29" i="109"/>
  <c r="C33" i="114"/>
  <c r="F23" i="114"/>
  <c r="E22" i="114"/>
  <c r="E24" i="114" s="1"/>
  <c r="F24" i="114" s="1"/>
  <c r="J21" i="113"/>
  <c r="K21" i="113"/>
  <c r="H18" i="113"/>
  <c r="K23" i="113"/>
  <c r="H23" i="113"/>
  <c r="R21" i="113"/>
  <c r="Q21" i="113"/>
  <c r="R25" i="109"/>
  <c r="Q25" i="109"/>
  <c r="K25" i="109"/>
  <c r="Q24" i="109"/>
  <c r="Q23" i="109"/>
  <c r="D32" i="114" l="1"/>
  <c r="F22" i="114"/>
  <c r="V21" i="113"/>
  <c r="L21" i="113"/>
  <c r="AK25" i="109"/>
  <c r="V25" i="109"/>
  <c r="L25" i="109"/>
  <c r="L26" i="109" s="1"/>
  <c r="K26" i="109"/>
  <c r="Q24" i="113"/>
  <c r="K24" i="113"/>
  <c r="V23" i="113"/>
  <c r="L23" i="113"/>
  <c r="R22" i="113"/>
  <c r="Q22" i="113"/>
  <c r="V22" i="113" s="1"/>
  <c r="K22" i="113"/>
  <c r="R20" i="113"/>
  <c r="Q20" i="113"/>
  <c r="K20" i="113"/>
  <c r="L20" i="113" s="1"/>
  <c r="R19" i="113"/>
  <c r="Q19" i="113"/>
  <c r="V19" i="113" s="1"/>
  <c r="K19" i="113"/>
  <c r="R18" i="113"/>
  <c r="Q18" i="113"/>
  <c r="V18" i="113" s="1"/>
  <c r="K18" i="113"/>
  <c r="R17" i="113"/>
  <c r="Q17" i="113"/>
  <c r="V17" i="113" s="1"/>
  <c r="K17" i="113"/>
  <c r="L17" i="113" s="1"/>
  <c r="Q16" i="113"/>
  <c r="Q15" i="113"/>
  <c r="M14" i="113"/>
  <c r="Z12" i="113"/>
  <c r="M10" i="113"/>
  <c r="E32" i="114" l="1"/>
  <c r="F32" i="114" s="1"/>
  <c r="F30" i="114"/>
  <c r="M21" i="113"/>
  <c r="N21" i="113" s="1"/>
  <c r="U21" i="113"/>
  <c r="T26" i="109"/>
  <c r="AA25" i="109" s="1"/>
  <c r="U25" i="109"/>
  <c r="U18" i="113"/>
  <c r="Z18" i="113" s="1"/>
  <c r="U22" i="113"/>
  <c r="Z22" i="113" s="1"/>
  <c r="K26" i="113"/>
  <c r="K25" i="113"/>
  <c r="L19" i="113"/>
  <c r="M19" i="113" s="1"/>
  <c r="V24" i="113"/>
  <c r="L22" i="113"/>
  <c r="U20" i="113"/>
  <c r="Z20" i="113" s="1"/>
  <c r="M17" i="113"/>
  <c r="N17" i="113" s="1"/>
  <c r="V20" i="113"/>
  <c r="L18" i="113"/>
  <c r="M18" i="113" s="1"/>
  <c r="M20" i="113"/>
  <c r="N20" i="113" s="1"/>
  <c r="U19" i="113"/>
  <c r="W19" i="113" s="1"/>
  <c r="X19" i="113" s="1"/>
  <c r="AK19" i="113" s="1"/>
  <c r="M23" i="113"/>
  <c r="N23" i="113" s="1"/>
  <c r="L24" i="113"/>
  <c r="Y19" i="113" l="1"/>
  <c r="Z21" i="113"/>
  <c r="W21" i="113"/>
  <c r="X21" i="113" s="1"/>
  <c r="U26" i="109"/>
  <c r="Z25" i="109"/>
  <c r="W25" i="109"/>
  <c r="X25" i="109" s="1"/>
  <c r="W20" i="113"/>
  <c r="X20" i="113" s="1"/>
  <c r="W22" i="113"/>
  <c r="X22" i="113" s="1"/>
  <c r="AK22" i="113" s="1"/>
  <c r="M22" i="113"/>
  <c r="N22" i="113" s="1"/>
  <c r="U17" i="113"/>
  <c r="L25" i="113"/>
  <c r="AA18" i="113"/>
  <c r="M24" i="113"/>
  <c r="N24" i="113" s="1"/>
  <c r="N18" i="113"/>
  <c r="L26" i="113"/>
  <c r="Z19" i="113"/>
  <c r="W18" i="113"/>
  <c r="X18" i="113" s="1"/>
  <c r="N19" i="113"/>
  <c r="U24" i="113"/>
  <c r="Z24" i="113" s="1"/>
  <c r="Y21" i="113" l="1"/>
  <c r="AK21" i="113"/>
  <c r="Y20" i="113"/>
  <c r="AK20" i="113"/>
  <c r="Y18" i="113"/>
  <c r="AK18" i="113"/>
  <c r="X26" i="109"/>
  <c r="M25" i="113"/>
  <c r="M26" i="113"/>
  <c r="N26" i="113"/>
  <c r="C16" i="110" s="1"/>
  <c r="N25" i="113"/>
  <c r="Y22" i="113"/>
  <c r="U23" i="113"/>
  <c r="T26" i="113"/>
  <c r="T25" i="113"/>
  <c r="AA21" i="113" s="1"/>
  <c r="W17" i="113"/>
  <c r="X17" i="113" s="1"/>
  <c r="AK17" i="113" s="1"/>
  <c r="Z17" i="113"/>
  <c r="W24" i="113"/>
  <c r="X24" i="113" s="1"/>
  <c r="Y24" i="113" l="1"/>
  <c r="AK24" i="113"/>
  <c r="U26" i="113"/>
  <c r="U25" i="113"/>
  <c r="Y17" i="113"/>
  <c r="AA22" i="113"/>
  <c r="AA20" i="113"/>
  <c r="AA24" i="113"/>
  <c r="AA19" i="113"/>
  <c r="AA17" i="113"/>
  <c r="AA23" i="113"/>
  <c r="Z23" i="113"/>
  <c r="W23" i="113"/>
  <c r="X23" i="113" s="1"/>
  <c r="Y23" i="113" l="1"/>
  <c r="AK23" i="113"/>
  <c r="AK26" i="113" s="1"/>
  <c r="Y26" i="113"/>
  <c r="X25" i="113"/>
  <c r="Y25" i="113" s="1"/>
  <c r="X26" i="113"/>
  <c r="Z26" i="113" l="1"/>
  <c r="AA26" i="113" s="1"/>
  <c r="D16" i="110"/>
  <c r="R21" i="109" l="1"/>
  <c r="Q21" i="109"/>
  <c r="K21" i="109"/>
  <c r="Q20" i="109"/>
  <c r="Q19" i="109"/>
  <c r="M18" i="109"/>
  <c r="M25" i="109" s="1"/>
  <c r="Z16" i="109"/>
  <c r="M14" i="109"/>
  <c r="M26" i="109" l="1"/>
  <c r="Y26" i="109" s="1"/>
  <c r="N25" i="109"/>
  <c r="N26" i="109" s="1"/>
  <c r="Y25" i="109"/>
  <c r="K27" i="109"/>
  <c r="K22" i="109"/>
  <c r="T21" i="109"/>
  <c r="U21" i="109" s="1"/>
  <c r="V21" i="109"/>
  <c r="L21" i="109"/>
  <c r="L27" i="109" l="1"/>
  <c r="L22" i="109"/>
  <c r="T27" i="109"/>
  <c r="T22" i="109"/>
  <c r="AA21" i="109"/>
  <c r="M21" i="109"/>
  <c r="M27" i="109" l="1"/>
  <c r="M22" i="109"/>
  <c r="U27" i="109"/>
  <c r="U22" i="109"/>
  <c r="N21" i="109"/>
  <c r="Z21" i="109"/>
  <c r="W21" i="109"/>
  <c r="X21" i="109" s="1"/>
  <c r="Y21" i="109" l="1"/>
  <c r="AK21" i="109"/>
  <c r="N22" i="109"/>
  <c r="N27" i="109"/>
  <c r="C15" i="110" s="1"/>
  <c r="C17" i="110" s="1"/>
  <c r="X22" i="109"/>
  <c r="Y22" i="109" s="1"/>
  <c r="Y27" i="109" l="1"/>
  <c r="D15" i="110" s="1"/>
  <c r="D17" i="110" s="1"/>
  <c r="E17" i="110" s="1"/>
  <c r="E18" i="110" s="1"/>
  <c r="Z27" i="109" l="1"/>
  <c r="AA27" i="109" s="1"/>
</calcChain>
</file>

<file path=xl/sharedStrings.xml><?xml version="1.0" encoding="utf-8"?>
<sst xmlns="http://schemas.openxmlformats.org/spreadsheetml/2006/main" count="490" uniqueCount="241">
  <si>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</si>
  <si>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</si>
  <si>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</si>
  <si>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</si>
  <si>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</si>
  <si>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</si>
  <si>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</si>
  <si>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</si>
  <si>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</si>
  <si>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</si>
  <si>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</si>
  <si>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</si>
  <si>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</si>
  <si>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</si>
  <si>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</si>
  <si>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</si>
  <si>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</si>
  <si>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</si>
  <si>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</si>
  <si>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</si>
  <si>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</si>
  <si>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</si>
  <si>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</si>
  <si>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</si>
  <si>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</si>
  <si>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</si>
  <si>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</si>
  <si>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</si>
  <si>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</si>
  <si>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</si>
  <si>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</si>
  <si>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</si>
  <si>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</si>
  <si>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</si>
  <si>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</si>
  <si>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</si>
  <si>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</si>
  <si>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</si>
  <si>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</si>
  <si>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</si>
  <si>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</si>
  <si>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</si>
  <si>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</si>
  <si>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</si>
  <si>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</si>
  <si>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</si>
  <si>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</si>
  <si>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</si>
  <si>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</si>
  <si>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</si>
  <si>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</si>
  <si>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</si>
  <si>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</si>
  <si>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</si>
  <si>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</si>
  <si>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</si>
  <si>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</si>
  <si>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</si>
  <si>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</si>
  <si>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</si>
  <si>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</si>
  <si>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</si>
  <si>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</si>
  <si>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</si>
  <si>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</si>
  <si>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</si>
  <si>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</si>
  <si>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</si>
  <si>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</si>
  <si>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</si>
  <si>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PAGAMENTOS</t>
  </si>
  <si>
    <t>Solicitado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</si>
  <si>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</si>
  <si>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</si>
  <si>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</si>
  <si>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</si>
  <si>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</si>
  <si>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</si>
  <si>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</si>
  <si>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</si>
  <si>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</si>
  <si>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</si>
  <si>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</si>
  <si>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</si>
  <si>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</si>
  <si>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</si>
  <si>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</si>
  <si>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</si>
  <si>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</si>
  <si>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</si>
  <si>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</si>
  <si>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</si>
  <si>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</si>
  <si>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</si>
  <si>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</si>
  <si>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</si>
  <si>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</si>
  <si>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</si>
  <si>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</si>
  <si>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</si>
  <si>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</si>
  <si>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</si>
  <si>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</si>
  <si>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</si>
  <si>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</si>
  <si>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</si>
  <si>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</si>
  <si>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</si>
  <si>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</si>
  <si>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</si>
  <si>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</si>
  <si>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</si>
  <si>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</si>
  <si>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</si>
  <si>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</si>
  <si>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</si>
  <si>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</si>
  <si>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</si>
  <si>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</si>
  <si>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</si>
  <si>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</si>
  <si>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</si>
  <si>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</si>
  <si>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</si>
  <si>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</si>
  <si>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</si>
  <si>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</si>
  <si>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( X ) Pessoa Jurídica</t>
  </si>
  <si>
    <t>ORÇAMENTO 5.1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</si>
  <si>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</si>
  <si>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</si>
  <si>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</si>
  <si>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</si>
  <si>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</si>
  <si>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</si>
  <si>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</si>
  <si>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</si>
  <si>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</si>
  <si>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</si>
  <si>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</si>
  <si>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</si>
  <si>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</si>
  <si>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</si>
  <si>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</si>
  <si>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</si>
  <si>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</si>
  <si>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</si>
  <si>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</si>
  <si>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</si>
  <si>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</si>
  <si>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Vazio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</si>
  <si>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</si>
  <si>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</si>
  <si>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</si>
  <si>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</si>
  <si>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</si>
  <si>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</si>
  <si>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</si>
  <si>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</si>
  <si>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</si>
  <si>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</si>
  <si>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</si>
  <si>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</si>
  <si>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</si>
  <si>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</si>
  <si>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</si>
  <si>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</si>
  <si>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>SUBGRUPO</t>
  </si>
  <si>
    <t>AGENCIAMENTO</t>
  </si>
  <si>
    <t>IMPOSTOS</t>
  </si>
  <si>
    <t>Marg.</t>
  </si>
  <si>
    <t>ITEM</t>
  </si>
  <si>
    <t>GRUPO</t>
  </si>
  <si>
    <t>1.1</t>
  </si>
  <si>
    <t>1.1.1</t>
  </si>
  <si>
    <t>INTERNOS</t>
  </si>
  <si>
    <t>INTERNO</t>
  </si>
  <si>
    <t>FAT.OGGI</t>
  </si>
  <si>
    <t>SUBTOTAL SUBGRUPO</t>
  </si>
  <si>
    <t>Subtotal INTERNO</t>
  </si>
  <si>
    <t>OPERACIONAL</t>
  </si>
  <si>
    <t xml:space="preserve">Subtotal </t>
  </si>
  <si>
    <t>SUBTOTAL PLANILHA</t>
  </si>
  <si>
    <t xml:space="preserve">TOTAL </t>
  </si>
  <si>
    <t>Marg. Lucro</t>
  </si>
  <si>
    <t>Lucro</t>
  </si>
  <si>
    <t>CLIENTE:  LACTALIS</t>
  </si>
  <si>
    <t>ATENDIMENTO: NILSON MIGUEL</t>
  </si>
  <si>
    <t>Subtotal HOTEL - PERÍODO DE 13 A 14 DE JANEIRO</t>
  </si>
  <si>
    <t>FAT.CLIENTE</t>
  </si>
  <si>
    <t>EVENTO</t>
  </si>
  <si>
    <t>PRODUTOR: CAROL IGLEZIAS</t>
  </si>
  <si>
    <t>PRODUTOR/ATENDIMENTO</t>
  </si>
  <si>
    <t>Locação de Sala</t>
  </si>
  <si>
    <t xml:space="preserve">Estrutura </t>
  </si>
  <si>
    <t>LOCAL: À definir</t>
  </si>
  <si>
    <t>1.1.3</t>
  </si>
  <si>
    <t>1.1.4</t>
  </si>
  <si>
    <t>1.1.5</t>
  </si>
  <si>
    <t>1.1.6</t>
  </si>
  <si>
    <t>1.1.7</t>
  </si>
  <si>
    <t>EVENTO: Locação Salas</t>
  </si>
  <si>
    <t>PLANILHA DE INVESTIMENTO - TOTAL</t>
  </si>
  <si>
    <t>PRINCIPAL</t>
  </si>
  <si>
    <t>Internet</t>
  </si>
  <si>
    <t>DATA: 17 e 18 de março de 2026</t>
  </si>
  <si>
    <t>CÓDIGO DO JOB: L_073</t>
  </si>
  <si>
    <t>NOME PLANILHA: L_073_Locação Salas_Março 2026</t>
  </si>
  <si>
    <t>Estacionamento</t>
  </si>
  <si>
    <t>01 | Projetor multimídia XGA (1024x768)
01 | Tela de projeção 3,00m x 2,25m (150") – Formato 4:3
01 | Flip chart (com 20 folhas e 02 canetas)
10 | Régua de energia (com 4 tomadas)
01 | Mesa de som com caixa amplificada</t>
  </si>
  <si>
    <t>ESTANPLAZA FUNCHAL FARIA LIMA - Rua Funchal, 281 - CEP: 04551-060 - Vila Olímpia</t>
  </si>
  <si>
    <t>Formato Escolar
Sala Nordeste B - 105m²</t>
  </si>
  <si>
    <t>EVENTO: Locação Salas Março 2026</t>
  </si>
  <si>
    <t>LOCAL: À DEFINIR</t>
  </si>
  <si>
    <t>ESTANPLAZA FARIA LIMA</t>
  </si>
  <si>
    <t>A&amp;B</t>
  </si>
  <si>
    <t>Doce Brigadeiros</t>
  </si>
  <si>
    <t>Caixinha transparente com 4 docinhos nos sabores: tradicional, churros, beijinho e capim-santo. (Inclui adesivo personalizado com a logo do evento).</t>
  </si>
  <si>
    <t>BRINDES</t>
  </si>
  <si>
    <t xml:space="preserve">Alimentação </t>
  </si>
  <si>
    <t>Valor: R$ 45,00/veículo - Período de 12 horas
*Para horas adicionais - R$ 5,00/por hora
ESTACIONAMENTO PARA HOSPEDADOS- 
Valor: R$ 35,00/veículo - Diária</t>
  </si>
  <si>
    <t>Contratação de internet individual 
Dia 17 - 12 acessos
Dia 18 - 07 pessoas</t>
  </si>
  <si>
    <t>Energético Red bull</t>
  </si>
  <si>
    <r>
      <t xml:space="preserve">Consumo de água e café durante a plenária
</t>
    </r>
    <r>
      <rPr>
        <b/>
        <sz val="22"/>
        <color theme="1"/>
        <rFont val="Trebuchet MS"/>
        <family val="2"/>
      </rPr>
      <t xml:space="preserve">Dia 17
</t>
    </r>
    <r>
      <rPr>
        <sz val="22"/>
        <color theme="1"/>
        <rFont val="Trebuchet MS"/>
        <family val="2"/>
      </rPr>
      <t xml:space="preserve">02 Térmica de Café
128 Águas (Copo)
</t>
    </r>
    <r>
      <rPr>
        <b/>
        <sz val="22"/>
        <color theme="1"/>
        <rFont val="Trebuchet MS"/>
        <family val="2"/>
      </rPr>
      <t>Dia 18</t>
    </r>
    <r>
      <rPr>
        <sz val="22"/>
        <color theme="1"/>
        <rFont val="Trebuchet MS"/>
        <family val="2"/>
      </rPr>
      <t xml:space="preserve">
02 Térmica de Café 
69 Água Mineral (Copo)</t>
    </r>
  </si>
  <si>
    <r>
      <rPr>
        <b/>
        <sz val="22"/>
        <color theme="1"/>
        <rFont val="Trebuchet MS"/>
        <family val="2"/>
      </rPr>
      <t xml:space="preserve">Coffee Break 1 | Dia 01 (manhã e tarde) e Dia 02 (manhã e tarde)
</t>
    </r>
    <r>
      <rPr>
        <sz val="22"/>
        <color theme="1"/>
        <rFont val="Trebuchet MS"/>
        <family val="2"/>
      </rPr>
      <t>02 opções de Mini Sanduíches, 01 opção de Salgado Quente, 01 opção de Doce
Frutas da Estação 02 opções de Suco de Frutas
Café, Leite, Chá, Chocolate em pó</t>
    </r>
  </si>
  <si>
    <r>
      <t xml:space="preserve">Almoço não privativo 
</t>
    </r>
    <r>
      <rPr>
        <sz val="22"/>
        <color theme="1"/>
        <rFont val="Trebuchet MS"/>
        <family val="2"/>
      </rPr>
      <t>Dia 17 - 27 pessoas
Dia 18 - 24 pessoas</t>
    </r>
  </si>
  <si>
    <r>
      <t>Produtor executivo dedicado responsável pelatendiment, pré-produção, implementação do projeto e pós produção</t>
    </r>
    <r>
      <rPr>
        <sz val="20"/>
        <color rgb="FFFF0000"/>
        <rFont val="Trebuchet MS"/>
        <family val="2"/>
      </rPr>
      <t xml:space="preserve"> (Valor negociado)</t>
    </r>
  </si>
  <si>
    <t>ESTANPLAZA ADMINISTRADORA HOTELEIRA</t>
  </si>
  <si>
    <t>CRIS SUONCO - CAROL IGLEZIAS</t>
  </si>
  <si>
    <t>VÍDEO</t>
  </si>
  <si>
    <t>STUDIO ROCA</t>
  </si>
  <si>
    <t>VENDA</t>
  </si>
  <si>
    <t xml:space="preserve">CUSTO </t>
  </si>
  <si>
    <t>LUCRO</t>
  </si>
  <si>
    <t>ND</t>
  </si>
  <si>
    <t>NOTAS EMITIDAS</t>
  </si>
  <si>
    <t>IMPOSTO</t>
  </si>
  <si>
    <t>CUSTO TOTAL</t>
  </si>
  <si>
    <t>ESTANPLAZA VL OLÍMPIA</t>
  </si>
  <si>
    <t>NOTA DE DÉBITO 31</t>
  </si>
  <si>
    <t>NOTA FISCAL 2823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</si>
</sst>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  <numFmt numFmtId="171" formatCode="0.0%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theme="1"/>
      <name val="Trebuchet MS"/>
      <family val="2"/>
    </font>
    <font>
      <sz val="22"/>
      <color theme="1"/>
      <name val="Calibri"/>
      <family val="2"/>
      <scheme val="minor"/>
    </font>
    <font>
      <b/>
      <sz val="22"/>
      <name val="Trebuchet MS"/>
      <family val="2"/>
    </font>
    <font>
      <b/>
      <sz val="22"/>
      <color theme="1"/>
      <name val="Gadugi"/>
      <family val="2"/>
    </font>
    <font>
      <b/>
      <sz val="22"/>
      <color theme="1"/>
      <name val="Trebuchet MS"/>
      <family val="2"/>
    </font>
    <font>
      <b/>
      <sz val="22"/>
      <color indexed="63"/>
      <name val="Trebuchet MS"/>
      <family val="2"/>
    </font>
    <font>
      <b/>
      <sz val="22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Trebuchet MS"/>
      <family val="2"/>
    </font>
    <font>
      <b/>
      <sz val="22"/>
      <color rgb="FFFF0000"/>
      <name val="Trebuchet MS"/>
      <family val="2"/>
    </font>
    <font>
      <b/>
      <sz val="22"/>
      <color rgb="FF00B050"/>
      <name val="Trebuchet MS"/>
      <family val="2"/>
    </font>
    <font>
      <b/>
      <sz val="22"/>
      <color theme="0"/>
      <name val="Trebuchet MS"/>
      <family val="2"/>
    </font>
    <font>
      <b/>
      <sz val="22"/>
      <color rgb="FFFF0000"/>
      <name val="Calibri"/>
      <family val="2"/>
      <scheme val="minor"/>
    </font>
    <font>
      <sz val="22"/>
      <name val="Trebuchet MS"/>
      <family val="2"/>
    </font>
    <font>
      <b/>
      <sz val="22"/>
      <color rgb="FF00B05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Gadugi"/>
      <family val="2"/>
    </font>
    <font>
      <b/>
      <sz val="20"/>
      <color indexed="63"/>
      <name val="Trebuchet MS"/>
      <family val="2"/>
    </font>
    <font>
      <b/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color theme="1"/>
      <name val="Trebuchet MS"/>
      <family val="2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20"/>
      <color theme="0"/>
      <name val="Trebuchet MS"/>
      <family val="2"/>
    </font>
    <font>
      <sz val="20"/>
      <color rgb="FFFF0000"/>
      <name val="Trebuchet MS"/>
      <family val="2"/>
    </font>
    <font>
      <b/>
      <sz val="20"/>
      <color rgb="FFFF0000"/>
      <name val="Calibri"/>
      <family val="2"/>
      <scheme val="minor"/>
    </font>
    <font>
      <sz val="20"/>
      <color rgb="FF00B050"/>
      <name val="Calibri"/>
      <family val="2"/>
      <scheme val="minor"/>
    </font>
    <font>
      <sz val="12"/>
      <color theme="1"/>
      <name val="Trebuchet MS"/>
      <family val="2"/>
    </font>
    <font>
      <b/>
      <sz val="12"/>
      <color theme="0"/>
      <name val="Trebuchet MS"/>
      <family val="2"/>
    </font>
    <font>
      <b/>
      <sz val="12"/>
      <name val="Trebuchet MS"/>
      <family val="2"/>
    </font>
    <font>
      <b/>
      <sz val="12"/>
      <color theme="1"/>
      <name val="Trebuchet MS"/>
      <family val="2"/>
    </font>
    <font>
      <b/>
      <sz val="12"/>
      <color rgb="FFFF0000"/>
      <name val="Trebuchet MS"/>
      <family val="2"/>
    </font>
    <font>
      <b/>
      <sz val="24"/>
      <color rgb="FFFF0000"/>
      <name val="Trebuchet MS"/>
      <family val="2"/>
    </font>
    <font>
      <b/>
      <sz val="24"/>
      <color theme="1"/>
      <name val="Trebuchet MS"/>
      <family val="2"/>
    </font>
    <font>
      <b/>
      <sz val="24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0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7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9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53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0" fillId="4" borderId="35" xfId="0" applyFont="1" applyFill="1" applyBorder="1"/>
    <xf numFmtId="0" fontId="10" fillId="4" borderId="36" xfId="0" applyFont="1" applyFill="1" applyBorder="1"/>
    <xf numFmtId="164" fontId="5" fillId="0" borderId="0" xfId="2" applyNumberFormat="1" applyFont="1" applyAlignment="1">
      <alignment horizontal="left" vertical="center"/>
    </xf>
    <xf numFmtId="0" fontId="14" fillId="8" borderId="42" xfId="0" applyFont="1" applyFill="1" applyBorder="1" applyAlignment="1">
      <alignment vertical="center"/>
    </xf>
    <xf numFmtId="0" fontId="16" fillId="8" borderId="42" xfId="0" applyFont="1" applyFill="1" applyBorder="1" applyAlignment="1">
      <alignment horizontal="center" vertical="center"/>
    </xf>
    <xf numFmtId="22" fontId="14" fillId="8" borderId="42" xfId="0" applyNumberFormat="1" applyFont="1" applyFill="1" applyBorder="1" applyAlignment="1">
      <alignment horizontal="center" vertical="center"/>
    </xf>
    <xf numFmtId="0" fontId="18" fillId="8" borderId="43" xfId="0" applyFont="1" applyFill="1" applyBorder="1" applyAlignment="1">
      <alignment horizontal="center" vertical="center" wrapText="1"/>
    </xf>
    <xf numFmtId="0" fontId="18" fillId="8" borderId="44" xfId="0" applyFont="1" applyFill="1" applyBorder="1" applyAlignment="1">
      <alignment horizontal="center" vertical="center" wrapText="1"/>
    </xf>
    <xf numFmtId="0" fontId="0" fillId="9" borderId="45" xfId="0" applyFill="1" applyBorder="1" applyAlignment="1">
      <alignment vertical="center"/>
    </xf>
    <xf numFmtId="0" fontId="0" fillId="9" borderId="45" xfId="0" applyFill="1" applyBorder="1" applyAlignment="1">
      <alignment horizontal="right" vertical="center"/>
    </xf>
    <xf numFmtId="4" fontId="0" fillId="9" borderId="45" xfId="0" applyNumberFormat="1" applyFill="1" applyBorder="1" applyAlignment="1">
      <alignment horizontal="right" vertical="center"/>
    </xf>
    <xf numFmtId="9" fontId="0" fillId="9" borderId="45" xfId="0" applyNumberFormat="1" applyFill="1" applyBorder="1" applyAlignment="1">
      <alignment horizontal="right" vertical="center"/>
    </xf>
    <xf numFmtId="0" fontId="0" fillId="9" borderId="46" xfId="0" applyFill="1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5" xfId="0" applyBorder="1" applyAlignment="1">
      <alignment horizontal="right" vertical="center"/>
    </xf>
    <xf numFmtId="4" fontId="0" fillId="0" borderId="45" xfId="0" applyNumberFormat="1" applyBorder="1" applyAlignment="1">
      <alignment horizontal="right" vertical="center"/>
    </xf>
    <xf numFmtId="9" fontId="0" fillId="0" borderId="45" xfId="0" applyNumberFormat="1" applyBorder="1" applyAlignment="1">
      <alignment horizontal="right" vertical="center"/>
    </xf>
    <xf numFmtId="0" fontId="0" fillId="0" borderId="46" xfId="0" applyBorder="1" applyAlignment="1">
      <alignment vertical="center"/>
    </xf>
    <xf numFmtId="0" fontId="0" fillId="0" borderId="46" xfId="0" applyBorder="1" applyAlignment="1">
      <alignment vertical="center" wrapText="1"/>
    </xf>
    <xf numFmtId="0" fontId="0" fillId="9" borderId="46" xfId="0" applyFill="1" applyBorder="1" applyAlignment="1">
      <alignment vertical="center" wrapText="1"/>
    </xf>
    <xf numFmtId="0" fontId="0" fillId="9" borderId="47" xfId="0" applyFill="1" applyBorder="1" applyAlignment="1">
      <alignment vertical="center"/>
    </xf>
    <xf numFmtId="0" fontId="0" fillId="9" borderId="47" xfId="0" applyFill="1" applyBorder="1" applyAlignment="1">
      <alignment horizontal="right" vertical="center"/>
    </xf>
    <xf numFmtId="4" fontId="0" fillId="9" borderId="47" xfId="0" applyNumberFormat="1" applyFill="1" applyBorder="1" applyAlignment="1">
      <alignment horizontal="right" vertical="center"/>
    </xf>
    <xf numFmtId="9" fontId="0" fillId="9" borderId="47" xfId="0" applyNumberFormat="1" applyFill="1" applyBorder="1" applyAlignment="1">
      <alignment horizontal="right" vertical="center"/>
    </xf>
    <xf numFmtId="0" fontId="0" fillId="9" borderId="48" xfId="0" applyFill="1" applyBorder="1" applyAlignment="1">
      <alignment vertical="center"/>
    </xf>
    <xf numFmtId="164" fontId="5" fillId="0" borderId="20" xfId="2" applyNumberFormat="1" applyFont="1" applyBorder="1" applyAlignment="1" applyProtection="1">
      <alignment horizontal="left" vertical="center"/>
      <protection locked="0"/>
    </xf>
    <xf numFmtId="164" fontId="5" fillId="0" borderId="31" xfId="2" applyNumberFormat="1" applyFont="1" applyBorder="1" applyAlignment="1" applyProtection="1">
      <alignment horizontal="left" vertical="center"/>
      <protection locked="0"/>
    </xf>
    <xf numFmtId="164" fontId="5" fillId="0" borderId="39" xfId="2" applyNumberFormat="1" applyFont="1" applyBorder="1" applyAlignment="1" applyProtection="1">
      <alignment horizontal="left" vertical="center"/>
      <protection locked="0"/>
    </xf>
    <xf numFmtId="164" fontId="13" fillId="0" borderId="31" xfId="2" applyNumberFormat="1" applyFont="1" applyBorder="1" applyAlignment="1" applyProtection="1">
      <alignment horizontal="left" vertical="center"/>
      <protection locked="0"/>
    </xf>
    <xf numFmtId="164" fontId="5" fillId="0" borderId="83" xfId="2" applyNumberFormat="1" applyFont="1" applyBorder="1" applyAlignment="1" applyProtection="1">
      <alignment horizontal="left" vertical="center"/>
      <protection locked="0"/>
    </xf>
    <xf numFmtId="164" fontId="5" fillId="0" borderId="84" xfId="2" applyNumberFormat="1" applyFont="1" applyBorder="1" applyAlignment="1" applyProtection="1">
      <alignment horizontal="left" vertical="center"/>
      <protection locked="0"/>
    </xf>
    <xf numFmtId="0" fontId="6" fillId="0" borderId="85" xfId="2" applyFont="1" applyBorder="1" applyAlignment="1" applyProtection="1">
      <alignment horizontal="left" vertical="center"/>
      <protection locked="0"/>
    </xf>
    <xf numFmtId="0" fontId="5" fillId="0" borderId="85" xfId="2" applyFont="1" applyBorder="1" applyAlignment="1" applyProtection="1">
      <alignment horizontal="left" vertical="center"/>
      <protection locked="0"/>
    </xf>
    <xf numFmtId="14" fontId="6" fillId="0" borderId="84" xfId="2" applyNumberFormat="1" applyFont="1" applyBorder="1" applyAlignment="1" applyProtection="1">
      <alignment horizontal="left" vertical="center"/>
      <protection locked="0"/>
    </xf>
    <xf numFmtId="0" fontId="5" fillId="0" borderId="86" xfId="2" applyFont="1" applyBorder="1" applyAlignment="1" applyProtection="1">
      <alignment horizontal="left" vertical="center"/>
      <protection locked="0"/>
    </xf>
    <xf numFmtId="0" fontId="2" fillId="0" borderId="78" xfId="0" applyFont="1" applyBorder="1"/>
    <xf numFmtId="0" fontId="2" fillId="0" borderId="87" xfId="0" applyFont="1" applyBorder="1" applyAlignment="1">
      <alignment vertical="center"/>
    </xf>
    <xf numFmtId="170" fontId="2" fillId="0" borderId="76" xfId="0" applyNumberFormat="1" applyFont="1" applyBorder="1" applyAlignment="1">
      <alignment horizontal="center" vertical="center"/>
    </xf>
    <xf numFmtId="0" fontId="2" fillId="0" borderId="69" xfId="0" applyFont="1" applyBorder="1" applyAlignment="1">
      <alignment horizontal="left" vertical="center"/>
    </xf>
    <xf numFmtId="170" fontId="2" fillId="0" borderId="39" xfId="0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170" fontId="2" fillId="0" borderId="0" xfId="0" applyNumberFormat="1" applyFont="1" applyAlignment="1">
      <alignment horizontal="center" vertical="center"/>
    </xf>
    <xf numFmtId="170" fontId="21" fillId="0" borderId="0" xfId="0" applyNumberFormat="1" applyFont="1"/>
    <xf numFmtId="171" fontId="21" fillId="0" borderId="0" xfId="1" applyNumberFormat="1" applyFont="1"/>
    <xf numFmtId="170" fontId="2" fillId="18" borderId="88" xfId="0" applyNumberFormat="1" applyFont="1" applyFill="1" applyBorder="1" applyAlignment="1">
      <alignment horizontal="center" vertical="center"/>
    </xf>
    <xf numFmtId="170" fontId="2" fillId="18" borderId="89" xfId="0" applyNumberFormat="1" applyFont="1" applyFill="1" applyBorder="1" applyAlignment="1">
      <alignment horizontal="center" vertical="center"/>
    </xf>
    <xf numFmtId="170" fontId="2" fillId="18" borderId="90" xfId="0" applyNumberFormat="1" applyFont="1" applyFill="1" applyBorder="1" applyAlignment="1">
      <alignment horizontal="center" vertical="center"/>
    </xf>
    <xf numFmtId="0" fontId="4" fillId="0" borderId="0" xfId="2" applyFont="1" applyAlignment="1">
      <alignment horizontal="left" vertical="center" wrapText="1"/>
    </xf>
    <xf numFmtId="0" fontId="4" fillId="0" borderId="0" xfId="2" applyFont="1" applyAlignment="1">
      <alignment horizontal="left" vertical="top"/>
    </xf>
    <xf numFmtId="164" fontId="4" fillId="0" borderId="20" xfId="2" applyNumberFormat="1" applyFont="1" applyBorder="1" applyAlignment="1" applyProtection="1">
      <alignment horizontal="left" vertical="center"/>
      <protection locked="0"/>
    </xf>
    <xf numFmtId="164" fontId="4" fillId="0" borderId="22" xfId="2" applyNumberFormat="1" applyFont="1" applyBorder="1" applyAlignment="1" applyProtection="1">
      <alignment horizontal="left" vertical="center"/>
      <protection locked="0"/>
    </xf>
    <xf numFmtId="164" fontId="4" fillId="0" borderId="31" xfId="2" applyNumberFormat="1" applyFont="1" applyBorder="1" applyAlignment="1" applyProtection="1">
      <alignment horizontal="left" vertical="center"/>
      <protection locked="0"/>
    </xf>
    <xf numFmtId="164" fontId="4" fillId="0" borderId="32" xfId="2" applyNumberFormat="1" applyFont="1" applyBorder="1" applyAlignment="1" applyProtection="1">
      <alignment horizontal="left" vertical="center"/>
      <protection locked="0"/>
    </xf>
    <xf numFmtId="0" fontId="4" fillId="0" borderId="25" xfId="2" applyFont="1" applyBorder="1" applyAlignment="1" applyProtection="1">
      <alignment horizontal="left" vertical="center"/>
      <protection locked="0"/>
    </xf>
    <xf numFmtId="164" fontId="22" fillId="0" borderId="31" xfId="2" applyNumberFormat="1" applyFont="1" applyBorder="1" applyAlignment="1" applyProtection="1">
      <alignment horizontal="left" vertical="center"/>
      <protection locked="0"/>
    </xf>
    <xf numFmtId="14" fontId="4" fillId="0" borderId="32" xfId="2" applyNumberFormat="1" applyFont="1" applyBorder="1" applyAlignment="1" applyProtection="1">
      <alignment horizontal="left" vertical="center"/>
      <protection locked="0"/>
    </xf>
    <xf numFmtId="164" fontId="4" fillId="0" borderId="39" xfId="2" applyNumberFormat="1" applyFont="1" applyBorder="1" applyAlignment="1" applyProtection="1">
      <alignment horizontal="left" vertical="center"/>
      <protection locked="0"/>
    </xf>
    <xf numFmtId="0" fontId="4" fillId="0" borderId="29" xfId="2" applyFont="1" applyBorder="1" applyAlignment="1" applyProtection="1">
      <alignment horizontal="left" vertical="center"/>
      <protection locked="0"/>
    </xf>
    <xf numFmtId="0" fontId="23" fillId="0" borderId="0" xfId="0" applyFont="1"/>
    <xf numFmtId="49" fontId="24" fillId="0" borderId="0" xfId="2" applyNumberFormat="1" applyFont="1" applyAlignment="1">
      <alignment horizontal="left" vertical="center" wrapText="1"/>
    </xf>
    <xf numFmtId="0" fontId="24" fillId="0" borderId="0" xfId="2" applyFont="1" applyAlignment="1">
      <alignment horizontal="left" vertical="center" wrapText="1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164" fontId="24" fillId="0" borderId="0" xfId="2" applyNumberFormat="1" applyFont="1" applyAlignment="1">
      <alignment horizontal="left" vertical="center"/>
    </xf>
    <xf numFmtId="164" fontId="24" fillId="0" borderId="20" xfId="2" applyNumberFormat="1" applyFont="1" applyBorder="1" applyAlignment="1" applyProtection="1">
      <alignment horizontal="left" vertical="center"/>
      <protection locked="0"/>
    </xf>
    <xf numFmtId="164" fontId="24" fillId="0" borderId="22" xfId="2" applyNumberFormat="1" applyFont="1" applyBorder="1" applyAlignment="1" applyProtection="1">
      <alignment horizontal="left" vertical="center"/>
      <protection locked="0"/>
    </xf>
    <xf numFmtId="164" fontId="24" fillId="0" borderId="31" xfId="2" applyNumberFormat="1" applyFont="1" applyBorder="1" applyAlignment="1" applyProtection="1">
      <alignment horizontal="left" vertical="center"/>
      <protection locked="0"/>
    </xf>
    <xf numFmtId="164" fontId="24" fillId="0" borderId="32" xfId="2" applyNumberFormat="1" applyFont="1" applyBorder="1" applyAlignment="1" applyProtection="1">
      <alignment horizontal="left" vertical="center"/>
      <protection locked="0"/>
    </xf>
    <xf numFmtId="0" fontId="24" fillId="0" borderId="25" xfId="2" applyFont="1" applyBorder="1" applyAlignment="1" applyProtection="1">
      <alignment horizontal="left" vertical="center"/>
      <protection locked="0"/>
    </xf>
    <xf numFmtId="164" fontId="26" fillId="0" borderId="31" xfId="2" applyNumberFormat="1" applyFont="1" applyBorder="1" applyAlignment="1" applyProtection="1">
      <alignment horizontal="left" vertical="center"/>
      <protection locked="0"/>
    </xf>
    <xf numFmtId="14" fontId="24" fillId="0" borderId="32" xfId="2" applyNumberFormat="1" applyFont="1" applyBorder="1" applyAlignment="1" applyProtection="1">
      <alignment horizontal="left" vertical="center"/>
      <protection locked="0"/>
    </xf>
    <xf numFmtId="164" fontId="24" fillId="0" borderId="39" xfId="2" applyNumberFormat="1" applyFont="1" applyBorder="1" applyAlignment="1" applyProtection="1">
      <alignment horizontal="left" vertical="center"/>
      <protection locked="0"/>
    </xf>
    <xf numFmtId="0" fontId="24" fillId="0" borderId="29" xfId="2" applyFont="1" applyBorder="1" applyAlignment="1" applyProtection="1">
      <alignment horizontal="left" vertical="center"/>
      <protection locked="0"/>
    </xf>
    <xf numFmtId="49" fontId="23" fillId="0" borderId="0" xfId="0" applyNumberFormat="1" applyFont="1"/>
    <xf numFmtId="0" fontId="23" fillId="0" borderId="0" xfId="1" applyNumberFormat="1" applyFont="1"/>
    <xf numFmtId="165" fontId="27" fillId="6" borderId="38" xfId="4" applyFont="1" applyFill="1" applyBorder="1" applyAlignment="1">
      <alignment horizontal="center" vertical="center" wrapText="1"/>
    </xf>
    <xf numFmtId="168" fontId="28" fillId="0" borderId="5" xfId="1" applyNumberFormat="1" applyFont="1" applyBorder="1"/>
    <xf numFmtId="166" fontId="27" fillId="0" borderId="40" xfId="4" applyNumberFormat="1" applyFont="1" applyBorder="1" applyAlignment="1">
      <alignment horizontal="center" vertical="center" wrapText="1"/>
    </xf>
    <xf numFmtId="0" fontId="26" fillId="5" borderId="0" xfId="0" applyFont="1" applyFill="1"/>
    <xf numFmtId="49" fontId="26" fillId="5" borderId="0" xfId="0" applyNumberFormat="1" applyFont="1" applyFill="1"/>
    <xf numFmtId="0" fontId="29" fillId="0" borderId="0" xfId="0" applyFont="1"/>
    <xf numFmtId="0" fontId="30" fillId="0" borderId="49" xfId="0" applyFont="1" applyBorder="1" applyAlignment="1">
      <alignment horizontal="left" vertical="center"/>
    </xf>
    <xf numFmtId="49" fontId="30" fillId="0" borderId="50" xfId="0" applyNumberFormat="1" applyFont="1" applyBorder="1" applyAlignment="1">
      <alignment horizontal="left" vertical="center"/>
    </xf>
    <xf numFmtId="0" fontId="30" fillId="0" borderId="51" xfId="0" applyFont="1" applyBorder="1" applyAlignment="1">
      <alignment horizontal="left" vertical="center"/>
    </xf>
    <xf numFmtId="0" fontId="30" fillId="0" borderId="49" xfId="0" applyFont="1" applyBorder="1" applyAlignment="1">
      <alignment horizontal="left" vertical="center" wrapText="1"/>
    </xf>
    <xf numFmtId="0" fontId="24" fillId="6" borderId="57" xfId="3" applyFont="1" applyFill="1" applyBorder="1" applyAlignment="1">
      <alignment horizontal="left" vertical="center"/>
    </xf>
    <xf numFmtId="0" fontId="24" fillId="6" borderId="58" xfId="3" applyFont="1" applyFill="1" applyBorder="1" applyAlignment="1">
      <alignment horizontal="center" vertical="center"/>
    </xf>
    <xf numFmtId="0" fontId="26" fillId="6" borderId="58" xfId="3" applyFont="1" applyFill="1" applyBorder="1" applyAlignment="1">
      <alignment horizontal="center" vertical="center"/>
    </xf>
    <xf numFmtId="169" fontId="26" fillId="6" borderId="58" xfId="3" applyNumberFormat="1" applyFont="1" applyFill="1" applyBorder="1" applyAlignment="1">
      <alignment horizontal="center" vertical="center" wrapText="1"/>
    </xf>
    <xf numFmtId="0" fontId="26" fillId="6" borderId="59" xfId="3" applyFont="1" applyFill="1" applyBorder="1" applyAlignment="1">
      <alignment horizontal="center" vertical="center" wrapText="1"/>
    </xf>
    <xf numFmtId="171" fontId="26" fillId="6" borderId="57" xfId="1" applyNumberFormat="1" applyFont="1" applyFill="1" applyBorder="1" applyAlignment="1">
      <alignment horizontal="center" vertical="center" wrapText="1"/>
    </xf>
    <xf numFmtId="10" fontId="26" fillId="6" borderId="58" xfId="1" applyNumberFormat="1" applyFont="1" applyFill="1" applyBorder="1" applyAlignment="1">
      <alignment horizontal="center" vertical="center" wrapText="1"/>
    </xf>
    <xf numFmtId="0" fontId="26" fillId="6" borderId="60" xfId="3" applyFont="1" applyFill="1" applyBorder="1" applyAlignment="1">
      <alignment horizontal="center" vertical="center" wrapText="1"/>
    </xf>
    <xf numFmtId="37" fontId="27" fillId="6" borderId="57" xfId="3" applyNumberFormat="1" applyFont="1" applyFill="1" applyBorder="1" applyAlignment="1">
      <alignment horizontal="center" vertical="center"/>
    </xf>
    <xf numFmtId="37" fontId="27" fillId="6" borderId="58" xfId="3" applyNumberFormat="1" applyFont="1" applyFill="1" applyBorder="1" applyAlignment="1">
      <alignment horizontal="center" vertical="center"/>
    </xf>
    <xf numFmtId="40" fontId="27" fillId="6" borderId="58" xfId="4" applyNumberFormat="1" applyFont="1" applyFill="1" applyBorder="1" applyAlignment="1">
      <alignment horizontal="center" vertical="center"/>
    </xf>
    <xf numFmtId="165" fontId="27" fillId="6" borderId="58" xfId="4" applyFont="1" applyFill="1" applyBorder="1" applyAlignment="1">
      <alignment horizontal="right" vertical="center"/>
    </xf>
    <xf numFmtId="40" fontId="27" fillId="6" borderId="58" xfId="4" applyNumberFormat="1" applyFont="1" applyFill="1" applyBorder="1" applyAlignment="1">
      <alignment horizontal="center" vertical="center" wrapText="1"/>
    </xf>
    <xf numFmtId="10" fontId="27" fillId="6" borderId="58" xfId="5" applyNumberFormat="1" applyFont="1" applyFill="1" applyBorder="1" applyAlignment="1">
      <alignment horizontal="center" vertical="center" wrapText="1"/>
    </xf>
    <xf numFmtId="165" fontId="27" fillId="6" borderId="58" xfId="4" applyFont="1" applyFill="1" applyBorder="1" applyAlignment="1">
      <alignment horizontal="center" vertical="center" wrapText="1"/>
    </xf>
    <xf numFmtId="165" fontId="27" fillId="6" borderId="60" xfId="4" applyFont="1" applyFill="1" applyBorder="1" applyAlignment="1">
      <alignment horizontal="center" vertical="center" wrapText="1"/>
    </xf>
    <xf numFmtId="10" fontId="27" fillId="6" borderId="67" xfId="5" applyNumberFormat="1" applyFont="1" applyFill="1" applyBorder="1" applyAlignment="1">
      <alignment horizontal="center" vertical="center" wrapText="1"/>
    </xf>
    <xf numFmtId="10" fontId="27" fillId="6" borderId="60" xfId="5" applyNumberFormat="1" applyFont="1" applyFill="1" applyBorder="1" applyAlignment="1">
      <alignment horizontal="center" vertical="center" wrapText="1"/>
    </xf>
    <xf numFmtId="165" fontId="27" fillId="6" borderId="53" xfId="4" applyFont="1" applyFill="1" applyBorder="1" applyAlignment="1">
      <alignment horizontal="center" vertical="center" wrapText="1"/>
    </xf>
    <xf numFmtId="165" fontId="27" fillId="6" borderId="52" xfId="4" applyFont="1" applyFill="1" applyBorder="1" applyAlignment="1">
      <alignment horizontal="center" vertical="center" wrapText="1"/>
    </xf>
    <xf numFmtId="37" fontId="27" fillId="6" borderId="3" xfId="3" applyNumberFormat="1" applyFont="1" applyFill="1" applyBorder="1" applyAlignment="1">
      <alignment horizontal="center" vertical="center"/>
    </xf>
    <xf numFmtId="40" fontId="27" fillId="6" borderId="54" xfId="4" applyNumberFormat="1" applyFont="1" applyFill="1" applyBorder="1" applyAlignment="1">
      <alignment horizontal="center" vertical="center"/>
    </xf>
    <xf numFmtId="166" fontId="31" fillId="6" borderId="55" xfId="4" applyNumberFormat="1" applyFont="1" applyFill="1" applyBorder="1" applyAlignment="1">
      <alignment horizontal="center" vertical="center" wrapText="1"/>
    </xf>
    <xf numFmtId="166" fontId="32" fillId="6" borderId="56" xfId="4" applyNumberFormat="1" applyFont="1" applyFill="1" applyBorder="1" applyAlignment="1">
      <alignment horizontal="center" vertical="center" wrapText="1"/>
    </xf>
    <xf numFmtId="0" fontId="30" fillId="0" borderId="62" xfId="0" applyFont="1" applyBorder="1" applyAlignment="1">
      <alignment horizontal="left" vertical="center" wrapText="1"/>
    </xf>
    <xf numFmtId="49" fontId="30" fillId="0" borderId="50" xfId="0" applyNumberFormat="1" applyFont="1" applyBorder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33" fillId="16" borderId="17" xfId="0" applyFont="1" applyFill="1" applyBorder="1" applyAlignment="1">
      <alignment horizontal="center"/>
    </xf>
    <xf numFmtId="0" fontId="30" fillId="0" borderId="51" xfId="0" applyFont="1" applyBorder="1" applyAlignment="1">
      <alignment horizontal="left" vertical="center" wrapText="1"/>
    </xf>
    <xf numFmtId="0" fontId="33" fillId="10" borderId="11" xfId="0" applyFont="1" applyFill="1" applyBorder="1" applyAlignment="1">
      <alignment horizontal="left"/>
    </xf>
    <xf numFmtId="0" fontId="28" fillId="12" borderId="10" xfId="0" applyFont="1" applyFill="1" applyBorder="1" applyAlignment="1">
      <alignment horizontal="center" vertical="center"/>
    </xf>
    <xf numFmtId="0" fontId="28" fillId="12" borderId="66" xfId="0" applyFont="1" applyFill="1" applyBorder="1" applyAlignment="1">
      <alignment horizontal="center" vertical="center"/>
    </xf>
    <xf numFmtId="0" fontId="30" fillId="0" borderId="69" xfId="0" applyFont="1" applyBorder="1" applyAlignment="1">
      <alignment horizontal="left" vertical="center" wrapText="1"/>
    </xf>
    <xf numFmtId="0" fontId="30" fillId="0" borderId="66" xfId="0" applyFont="1" applyBorder="1" applyAlignment="1">
      <alignment horizontal="left" vertical="center" wrapText="1"/>
    </xf>
    <xf numFmtId="0" fontId="30" fillId="0" borderId="66" xfId="0" applyFont="1" applyBorder="1" applyAlignment="1">
      <alignment horizontal="center" vertical="center"/>
    </xf>
    <xf numFmtId="44" fontId="30" fillId="0" borderId="66" xfId="8" applyFont="1" applyBorder="1" applyAlignment="1">
      <alignment vertical="center"/>
    </xf>
    <xf numFmtId="44" fontId="30" fillId="0" borderId="71" xfId="8" applyFont="1" applyBorder="1" applyAlignment="1">
      <alignment vertical="center"/>
    </xf>
    <xf numFmtId="1" fontId="30" fillId="13" borderId="70" xfId="0" applyNumberFormat="1" applyFont="1" applyFill="1" applyBorder="1" applyAlignment="1">
      <alignment horizontal="center" vertical="center"/>
    </xf>
    <xf numFmtId="1" fontId="30" fillId="13" borderId="7" xfId="0" applyNumberFormat="1" applyFont="1" applyFill="1" applyBorder="1" applyAlignment="1">
      <alignment horizontal="center" vertical="center"/>
    </xf>
    <xf numFmtId="44" fontId="30" fillId="13" borderId="7" xfId="8" applyFont="1" applyFill="1" applyBorder="1" applyAlignment="1">
      <alignment vertical="center"/>
    </xf>
    <xf numFmtId="44" fontId="30" fillId="15" borderId="7" xfId="8" applyFont="1" applyFill="1" applyBorder="1" applyAlignment="1">
      <alignment vertical="center"/>
    </xf>
    <xf numFmtId="9" fontId="30" fillId="14" borderId="7" xfId="1" applyFont="1" applyFill="1" applyBorder="1" applyAlignment="1">
      <alignment vertical="center"/>
    </xf>
    <xf numFmtId="44" fontId="30" fillId="14" borderId="7" xfId="8" applyFont="1" applyFill="1" applyBorder="1" applyAlignment="1">
      <alignment vertical="center"/>
    </xf>
    <xf numFmtId="44" fontId="30" fillId="14" borderId="71" xfId="8" applyFont="1" applyFill="1" applyBorder="1" applyAlignment="1">
      <alignment vertical="center"/>
    </xf>
    <xf numFmtId="10" fontId="30" fillId="15" borderId="10" xfId="0" applyNumberFormat="1" applyFont="1" applyFill="1" applyBorder="1" applyAlignment="1">
      <alignment horizontal="center" vertical="center"/>
    </xf>
    <xf numFmtId="10" fontId="30" fillId="15" borderId="79" xfId="0" applyNumberFormat="1" applyFont="1" applyFill="1" applyBorder="1" applyAlignment="1">
      <alignment horizontal="center" vertical="center"/>
    </xf>
    <xf numFmtId="170" fontId="33" fillId="10" borderId="0" xfId="0" applyNumberFormat="1" applyFont="1" applyFill="1" applyAlignment="1">
      <alignment horizontal="right"/>
    </xf>
    <xf numFmtId="170" fontId="33" fillId="10" borderId="18" xfId="0" applyNumberFormat="1" applyFont="1" applyFill="1" applyBorder="1" applyAlignment="1">
      <alignment horizontal="right"/>
    </xf>
    <xf numFmtId="44" fontId="33" fillId="10" borderId="0" xfId="0" applyNumberFormat="1" applyFont="1" applyFill="1" applyAlignment="1">
      <alignment horizontal="right"/>
    </xf>
    <xf numFmtId="44" fontId="26" fillId="15" borderId="0" xfId="0" applyNumberFormat="1" applyFont="1" applyFill="1"/>
    <xf numFmtId="0" fontId="23" fillId="14" borderId="0" xfId="0" applyFont="1" applyFill="1"/>
    <xf numFmtId="44" fontId="26" fillId="14" borderId="0" xfId="0" applyNumberFormat="1" applyFont="1" applyFill="1"/>
    <xf numFmtId="0" fontId="30" fillId="0" borderId="63" xfId="0" applyFont="1" applyBorder="1" applyAlignment="1">
      <alignment horizontal="left" vertical="center" wrapText="1"/>
    </xf>
    <xf numFmtId="49" fontId="30" fillId="0" borderId="64" xfId="0" applyNumberFormat="1" applyFont="1" applyBorder="1" applyAlignment="1">
      <alignment horizontal="left" vertical="center" wrapText="1"/>
    </xf>
    <xf numFmtId="0" fontId="30" fillId="0" borderId="65" xfId="0" applyFont="1" applyBorder="1" applyAlignment="1">
      <alignment horizontal="left" vertical="center" wrapText="1"/>
    </xf>
    <xf numFmtId="0" fontId="33" fillId="17" borderId="6" xfId="0" applyFont="1" applyFill="1" applyBorder="1"/>
    <xf numFmtId="0" fontId="33" fillId="17" borderId="37" xfId="0" applyFont="1" applyFill="1" applyBorder="1"/>
    <xf numFmtId="0" fontId="33" fillId="17" borderId="37" xfId="0" applyFont="1" applyFill="1" applyBorder="1" applyAlignment="1">
      <alignment horizontal="center" vertical="center"/>
    </xf>
    <xf numFmtId="44" fontId="33" fillId="17" borderId="37" xfId="0" applyNumberFormat="1" applyFont="1" applyFill="1" applyBorder="1"/>
    <xf numFmtId="44" fontId="33" fillId="17" borderId="80" xfId="0" applyNumberFormat="1" applyFont="1" applyFill="1" applyBorder="1"/>
    <xf numFmtId="0" fontId="33" fillId="17" borderId="6" xfId="0" applyFont="1" applyFill="1" applyBorder="1" applyAlignment="1">
      <alignment horizontal="center" vertical="center"/>
    </xf>
    <xf numFmtId="9" fontId="33" fillId="17" borderId="14" xfId="1" applyFont="1" applyFill="1" applyBorder="1"/>
    <xf numFmtId="44" fontId="33" fillId="17" borderId="82" xfId="8" applyFont="1" applyFill="1" applyBorder="1"/>
    <xf numFmtId="44" fontId="34" fillId="0" borderId="66" xfId="8" applyFont="1" applyBorder="1"/>
    <xf numFmtId="0" fontId="26" fillId="12" borderId="76" xfId="0" applyFont="1" applyFill="1" applyBorder="1" applyAlignment="1">
      <alignment horizontal="center" vertical="center"/>
    </xf>
    <xf numFmtId="0" fontId="26" fillId="12" borderId="94" xfId="0" applyFont="1" applyFill="1" applyBorder="1" applyAlignment="1">
      <alignment horizontal="center" vertical="center"/>
    </xf>
    <xf numFmtId="0" fontId="26" fillId="12" borderId="95" xfId="0" applyFont="1" applyFill="1" applyBorder="1" applyAlignment="1">
      <alignment horizontal="center" vertical="center"/>
    </xf>
    <xf numFmtId="0" fontId="30" fillId="0" borderId="75" xfId="0" applyFont="1" applyBorder="1" applyAlignment="1">
      <alignment horizontal="left" vertical="center" wrapText="1"/>
    </xf>
    <xf numFmtId="0" fontId="30" fillId="0" borderId="68" xfId="0" applyFont="1" applyBorder="1" applyAlignment="1">
      <alignment horizontal="left" vertical="center" wrapText="1"/>
    </xf>
    <xf numFmtId="0" fontId="30" fillId="0" borderId="68" xfId="0" applyFont="1" applyBorder="1" applyAlignment="1">
      <alignment horizontal="center" vertical="center"/>
    </xf>
    <xf numFmtId="44" fontId="30" fillId="0" borderId="68" xfId="8" applyFont="1" applyBorder="1" applyAlignment="1">
      <alignment vertical="center"/>
    </xf>
    <xf numFmtId="44" fontId="30" fillId="0" borderId="72" xfId="8" applyFont="1" applyBorder="1" applyAlignment="1">
      <alignment vertical="center"/>
    </xf>
    <xf numFmtId="1" fontId="30" fillId="13" borderId="17" xfId="0" applyNumberFormat="1" applyFont="1" applyFill="1" applyBorder="1" applyAlignment="1">
      <alignment horizontal="center" vertical="center"/>
    </xf>
    <xf numFmtId="1" fontId="30" fillId="13" borderId="61" xfId="0" applyNumberFormat="1" applyFont="1" applyFill="1" applyBorder="1" applyAlignment="1">
      <alignment horizontal="center" vertical="center"/>
    </xf>
    <xf numFmtId="44" fontId="30" fillId="13" borderId="61" xfId="8" applyFont="1" applyFill="1" applyBorder="1" applyAlignment="1">
      <alignment vertical="center"/>
    </xf>
    <xf numFmtId="44" fontId="30" fillId="15" borderId="61" xfId="8" applyFont="1" applyFill="1" applyBorder="1" applyAlignment="1">
      <alignment vertical="center"/>
    </xf>
    <xf numFmtId="9" fontId="30" fillId="14" borderId="61" xfId="1" applyFont="1" applyFill="1" applyBorder="1" applyAlignment="1">
      <alignment vertical="center"/>
    </xf>
    <xf numFmtId="44" fontId="30" fillId="14" borderId="61" xfId="8" applyFont="1" applyFill="1" applyBorder="1" applyAlignment="1">
      <alignment vertical="center"/>
    </xf>
    <xf numFmtId="44" fontId="30" fillId="14" borderId="72" xfId="8" applyFont="1" applyFill="1" applyBorder="1" applyAlignment="1">
      <alignment vertical="center"/>
    </xf>
    <xf numFmtId="0" fontId="30" fillId="11" borderId="66" xfId="0" applyFont="1" applyFill="1" applyBorder="1" applyAlignment="1">
      <alignment horizontal="left" vertical="center" wrapText="1"/>
    </xf>
    <xf numFmtId="44" fontId="35" fillId="0" borderId="66" xfId="8" applyFont="1" applyBorder="1" applyAlignment="1">
      <alignment vertical="center"/>
    </xf>
    <xf numFmtId="0" fontId="35" fillId="11" borderId="66" xfId="0" applyFont="1" applyFill="1" applyBorder="1" applyAlignment="1">
      <alignment horizontal="left" vertical="center" wrapText="1"/>
    </xf>
    <xf numFmtId="0" fontId="26" fillId="0" borderId="66" xfId="0" applyFont="1" applyBorder="1" applyAlignment="1">
      <alignment horizontal="left" vertical="center" wrapText="1"/>
    </xf>
    <xf numFmtId="44" fontId="35" fillId="13" borderId="7" xfId="8" applyFont="1" applyFill="1" applyBorder="1" applyAlignment="1">
      <alignment vertical="center"/>
    </xf>
    <xf numFmtId="44" fontId="30" fillId="11" borderId="66" xfId="8" applyFont="1" applyFill="1" applyBorder="1" applyAlignment="1">
      <alignment vertical="center"/>
    </xf>
    <xf numFmtId="44" fontId="26" fillId="14" borderId="0" xfId="8" applyFont="1" applyFill="1" applyBorder="1"/>
    <xf numFmtId="44" fontId="33" fillId="17" borderId="11" xfId="8" applyFont="1" applyFill="1" applyBorder="1" applyAlignment="1">
      <alignment horizontal="center"/>
    </xf>
    <xf numFmtId="44" fontId="33" fillId="17" borderId="81" xfId="8" applyFont="1" applyFill="1" applyBorder="1" applyAlignment="1">
      <alignment horizontal="center"/>
    </xf>
    <xf numFmtId="44" fontId="23" fillId="0" borderId="0" xfId="0" applyNumberFormat="1" applyFont="1"/>
    <xf numFmtId="4" fontId="23" fillId="0" borderId="0" xfId="0" applyNumberFormat="1" applyFont="1"/>
    <xf numFmtId="44" fontId="36" fillId="0" borderId="66" xfId="8" applyFont="1" applyBorder="1"/>
    <xf numFmtId="49" fontId="4" fillId="0" borderId="0" xfId="2" applyNumberFormat="1" applyFont="1" applyAlignment="1">
      <alignment horizontal="left" vertical="center" wrapText="1"/>
    </xf>
    <xf numFmtId="0" fontId="37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164" fontId="4" fillId="0" borderId="0" xfId="2" applyNumberFormat="1" applyFont="1" applyAlignment="1">
      <alignment horizontal="left" vertical="center"/>
    </xf>
    <xf numFmtId="49" fontId="37" fillId="0" borderId="0" xfId="0" applyNumberFormat="1" applyFont="1"/>
    <xf numFmtId="0" fontId="37" fillId="0" borderId="0" xfId="1" applyNumberFormat="1" applyFont="1"/>
    <xf numFmtId="165" fontId="39" fillId="6" borderId="38" xfId="4" applyFont="1" applyFill="1" applyBorder="1" applyAlignment="1">
      <alignment horizontal="center" vertical="center" wrapText="1"/>
    </xf>
    <xf numFmtId="168" fontId="40" fillId="0" borderId="5" xfId="1" applyNumberFormat="1" applyFont="1" applyBorder="1"/>
    <xf numFmtId="166" fontId="39" fillId="0" borderId="40" xfId="4" applyNumberFormat="1" applyFont="1" applyBorder="1" applyAlignment="1">
      <alignment horizontal="center" vertical="center" wrapText="1"/>
    </xf>
    <xf numFmtId="0" fontId="22" fillId="5" borderId="0" xfId="0" applyFont="1" applyFill="1"/>
    <xf numFmtId="49" fontId="22" fillId="5" borderId="0" xfId="0" applyNumberFormat="1" applyFont="1" applyFill="1"/>
    <xf numFmtId="0" fontId="41" fillId="0" borderId="0" xfId="0" applyFont="1"/>
    <xf numFmtId="0" fontId="42" fillId="0" borderId="49" xfId="0" applyFont="1" applyBorder="1" applyAlignment="1">
      <alignment horizontal="left" vertical="center"/>
    </xf>
    <xf numFmtId="49" fontId="42" fillId="0" borderId="50" xfId="0" applyNumberFormat="1" applyFont="1" applyBorder="1" applyAlignment="1">
      <alignment horizontal="left" vertical="center"/>
    </xf>
    <xf numFmtId="0" fontId="42" fillId="0" borderId="51" xfId="0" applyFont="1" applyBorder="1" applyAlignment="1">
      <alignment horizontal="left" vertical="center"/>
    </xf>
    <xf numFmtId="0" fontId="42" fillId="0" borderId="49" xfId="0" applyFont="1" applyBorder="1" applyAlignment="1">
      <alignment horizontal="left" vertical="center" wrapText="1"/>
    </xf>
    <xf numFmtId="0" fontId="4" fillId="6" borderId="57" xfId="3" applyFont="1" applyFill="1" applyBorder="1" applyAlignment="1">
      <alignment horizontal="left" vertical="center"/>
    </xf>
    <xf numFmtId="0" fontId="4" fillId="6" borderId="58" xfId="3" applyFont="1" applyFill="1" applyBorder="1" applyAlignment="1">
      <alignment horizontal="center" vertical="center"/>
    </xf>
    <xf numFmtId="0" fontId="22" fillId="6" borderId="58" xfId="3" applyFont="1" applyFill="1" applyBorder="1" applyAlignment="1">
      <alignment horizontal="center" vertical="center"/>
    </xf>
    <xf numFmtId="169" fontId="22" fillId="6" borderId="58" xfId="3" applyNumberFormat="1" applyFont="1" applyFill="1" applyBorder="1" applyAlignment="1">
      <alignment horizontal="center" vertical="center" wrapText="1"/>
    </xf>
    <xf numFmtId="0" fontId="22" fillId="6" borderId="59" xfId="3" applyFont="1" applyFill="1" applyBorder="1" applyAlignment="1">
      <alignment horizontal="center" vertical="center" wrapText="1"/>
    </xf>
    <xf numFmtId="171" fontId="22" fillId="6" borderId="57" xfId="1" applyNumberFormat="1" applyFont="1" applyFill="1" applyBorder="1" applyAlignment="1">
      <alignment horizontal="center" vertical="center" wrapText="1"/>
    </xf>
    <xf numFmtId="10" fontId="22" fillId="6" borderId="58" xfId="1" applyNumberFormat="1" applyFont="1" applyFill="1" applyBorder="1" applyAlignment="1">
      <alignment horizontal="center" vertical="center" wrapText="1"/>
    </xf>
    <xf numFmtId="0" fontId="22" fillId="6" borderId="60" xfId="3" applyFont="1" applyFill="1" applyBorder="1" applyAlignment="1">
      <alignment horizontal="center" vertical="center" wrapText="1"/>
    </xf>
    <xf numFmtId="37" fontId="39" fillId="6" borderId="57" xfId="3" applyNumberFormat="1" applyFont="1" applyFill="1" applyBorder="1" applyAlignment="1">
      <alignment horizontal="center" vertical="center"/>
    </xf>
    <xf numFmtId="37" fontId="39" fillId="6" borderId="58" xfId="3" applyNumberFormat="1" applyFont="1" applyFill="1" applyBorder="1" applyAlignment="1">
      <alignment horizontal="center" vertical="center"/>
    </xf>
    <xf numFmtId="40" fontId="39" fillId="6" borderId="58" xfId="4" applyNumberFormat="1" applyFont="1" applyFill="1" applyBorder="1" applyAlignment="1">
      <alignment horizontal="center" vertical="center"/>
    </xf>
    <xf numFmtId="165" fontId="39" fillId="6" borderId="58" xfId="4" applyFont="1" applyFill="1" applyBorder="1" applyAlignment="1">
      <alignment horizontal="right" vertical="center"/>
    </xf>
    <xf numFmtId="40" fontId="39" fillId="6" borderId="58" xfId="4" applyNumberFormat="1" applyFont="1" applyFill="1" applyBorder="1" applyAlignment="1">
      <alignment horizontal="center" vertical="center" wrapText="1"/>
    </xf>
    <xf numFmtId="10" fontId="39" fillId="6" borderId="58" xfId="5" applyNumberFormat="1" applyFont="1" applyFill="1" applyBorder="1" applyAlignment="1">
      <alignment horizontal="center" vertical="center" wrapText="1"/>
    </xf>
    <xf numFmtId="165" fontId="39" fillId="6" borderId="58" xfId="4" applyFont="1" applyFill="1" applyBorder="1" applyAlignment="1">
      <alignment horizontal="center" vertical="center" wrapText="1"/>
    </xf>
    <xf numFmtId="165" fontId="39" fillId="6" borderId="60" xfId="4" applyFont="1" applyFill="1" applyBorder="1" applyAlignment="1">
      <alignment horizontal="center" vertical="center" wrapText="1"/>
    </xf>
    <xf numFmtId="10" fontId="39" fillId="6" borderId="67" xfId="5" applyNumberFormat="1" applyFont="1" applyFill="1" applyBorder="1" applyAlignment="1">
      <alignment horizontal="center" vertical="center" wrapText="1"/>
    </xf>
    <xf numFmtId="10" fontId="39" fillId="6" borderId="60" xfId="5" applyNumberFormat="1" applyFont="1" applyFill="1" applyBorder="1" applyAlignment="1">
      <alignment horizontal="center" vertical="center" wrapText="1"/>
    </xf>
    <xf numFmtId="165" fontId="39" fillId="6" borderId="53" xfId="4" applyFont="1" applyFill="1" applyBorder="1" applyAlignment="1">
      <alignment horizontal="center" vertical="center" wrapText="1"/>
    </xf>
    <xf numFmtId="165" fontId="39" fillId="6" borderId="52" xfId="4" applyFont="1" applyFill="1" applyBorder="1" applyAlignment="1">
      <alignment horizontal="center" vertical="center" wrapText="1"/>
    </xf>
    <xf numFmtId="37" fontId="39" fillId="6" borderId="3" xfId="3" applyNumberFormat="1" applyFont="1" applyFill="1" applyBorder="1" applyAlignment="1">
      <alignment horizontal="center" vertical="center"/>
    </xf>
    <xf numFmtId="40" fontId="39" fillId="6" borderId="54" xfId="4" applyNumberFormat="1" applyFont="1" applyFill="1" applyBorder="1" applyAlignment="1">
      <alignment horizontal="center" vertical="center"/>
    </xf>
    <xf numFmtId="166" fontId="43" fillId="6" borderId="55" xfId="4" applyNumberFormat="1" applyFont="1" applyFill="1" applyBorder="1" applyAlignment="1">
      <alignment horizontal="center" vertical="center" wrapText="1"/>
    </xf>
    <xf numFmtId="166" fontId="44" fillId="6" borderId="56" xfId="4" applyNumberFormat="1" applyFont="1" applyFill="1" applyBorder="1" applyAlignment="1">
      <alignment horizontal="center" vertical="center" wrapText="1"/>
    </xf>
    <xf numFmtId="0" fontId="42" fillId="0" borderId="62" xfId="0" applyFont="1" applyBorder="1" applyAlignment="1">
      <alignment horizontal="left" vertical="center" wrapText="1"/>
    </xf>
    <xf numFmtId="49" fontId="42" fillId="0" borderId="50" xfId="0" applyNumberFormat="1" applyFont="1" applyBorder="1" applyAlignment="1">
      <alignment horizontal="left" vertical="center" wrapText="1"/>
    </xf>
    <xf numFmtId="0" fontId="42" fillId="0" borderId="0" xfId="0" applyFont="1" applyAlignment="1">
      <alignment horizontal="left" vertical="center" wrapText="1"/>
    </xf>
    <xf numFmtId="0" fontId="45" fillId="16" borderId="17" xfId="0" applyFont="1" applyFill="1" applyBorder="1" applyAlignment="1">
      <alignment horizontal="center"/>
    </xf>
    <xf numFmtId="0" fontId="42" fillId="0" borderId="51" xfId="0" applyFont="1" applyBorder="1" applyAlignment="1">
      <alignment horizontal="left" vertical="center" wrapText="1"/>
    </xf>
    <xf numFmtId="0" fontId="45" fillId="10" borderId="11" xfId="0" applyFont="1" applyFill="1" applyBorder="1" applyAlignment="1">
      <alignment horizontal="left"/>
    </xf>
    <xf numFmtId="0" fontId="22" fillId="12" borderId="59" xfId="0" applyFont="1" applyFill="1" applyBorder="1" applyAlignment="1">
      <alignment horizontal="center" vertical="center"/>
    </xf>
    <xf numFmtId="0" fontId="22" fillId="12" borderId="58" xfId="0" applyFont="1" applyFill="1" applyBorder="1" applyAlignment="1">
      <alignment horizontal="center" vertical="center"/>
    </xf>
    <xf numFmtId="0" fontId="22" fillId="12" borderId="74" xfId="0" applyFont="1" applyFill="1" applyBorder="1" applyAlignment="1">
      <alignment horizontal="center" vertical="center"/>
    </xf>
    <xf numFmtId="0" fontId="40" fillId="12" borderId="10" xfId="0" applyFont="1" applyFill="1" applyBorder="1" applyAlignment="1">
      <alignment horizontal="center" vertical="center"/>
    </xf>
    <xf numFmtId="0" fontId="40" fillId="12" borderId="66" xfId="0" applyFont="1" applyFill="1" applyBorder="1" applyAlignment="1">
      <alignment horizontal="center" vertical="center"/>
    </xf>
    <xf numFmtId="0" fontId="37" fillId="0" borderId="0" xfId="0" applyFont="1" applyAlignment="1">
      <alignment horizontal="left" vertical="center" wrapText="1"/>
    </xf>
    <xf numFmtId="0" fontId="37" fillId="0" borderId="62" xfId="0" applyFont="1" applyBorder="1" applyAlignment="1">
      <alignment horizontal="left" vertical="center" wrapText="1"/>
    </xf>
    <xf numFmtId="0" fontId="42" fillId="0" borderId="69" xfId="0" applyFont="1" applyBorder="1" applyAlignment="1">
      <alignment horizontal="left" vertical="center" wrapText="1"/>
    </xf>
    <xf numFmtId="0" fontId="42" fillId="0" borderId="66" xfId="0" applyFont="1" applyBorder="1" applyAlignment="1">
      <alignment horizontal="left" vertical="center" wrapText="1"/>
    </xf>
    <xf numFmtId="0" fontId="42" fillId="0" borderId="66" xfId="0" applyFont="1" applyBorder="1" applyAlignment="1">
      <alignment horizontal="center" vertical="center"/>
    </xf>
    <xf numFmtId="0" fontId="42" fillId="11" borderId="66" xfId="0" applyFont="1" applyFill="1" applyBorder="1" applyAlignment="1">
      <alignment horizontal="center" vertical="center"/>
    </xf>
    <xf numFmtId="44" fontId="42" fillId="0" borderId="66" xfId="8" applyFont="1" applyFill="1" applyBorder="1" applyAlignment="1">
      <alignment vertical="center"/>
    </xf>
    <xf numFmtId="44" fontId="42" fillId="0" borderId="66" xfId="8" applyFont="1" applyBorder="1" applyAlignment="1">
      <alignment vertical="center"/>
    </xf>
    <xf numFmtId="44" fontId="42" fillId="0" borderId="71" xfId="8" applyFont="1" applyBorder="1" applyAlignment="1">
      <alignment vertical="center"/>
    </xf>
    <xf numFmtId="0" fontId="37" fillId="0" borderId="77" xfId="0" applyFont="1" applyBorder="1"/>
    <xf numFmtId="1" fontId="42" fillId="13" borderId="70" xfId="0" applyNumberFormat="1" applyFont="1" applyFill="1" applyBorder="1" applyAlignment="1">
      <alignment horizontal="center" vertical="center"/>
    </xf>
    <xf numFmtId="1" fontId="42" fillId="13" borderId="7" xfId="0" applyNumberFormat="1" applyFont="1" applyFill="1" applyBorder="1" applyAlignment="1">
      <alignment horizontal="center" vertical="center"/>
    </xf>
    <xf numFmtId="44" fontId="42" fillId="13" borderId="7" xfId="8" applyFont="1" applyFill="1" applyBorder="1" applyAlignment="1">
      <alignment vertical="center"/>
    </xf>
    <xf numFmtId="44" fontId="42" fillId="15" borderId="7" xfId="8" applyFont="1" applyFill="1" applyBorder="1" applyAlignment="1">
      <alignment vertical="center"/>
    </xf>
    <xf numFmtId="9" fontId="42" fillId="14" borderId="7" xfId="1" applyFont="1" applyFill="1" applyBorder="1" applyAlignment="1">
      <alignment vertical="center"/>
    </xf>
    <xf numFmtId="44" fontId="42" fillId="14" borderId="7" xfId="8" applyFont="1" applyFill="1" applyBorder="1" applyAlignment="1">
      <alignment vertical="center"/>
    </xf>
    <xf numFmtId="44" fontId="42" fillId="14" borderId="71" xfId="8" applyFont="1" applyFill="1" applyBorder="1" applyAlignment="1">
      <alignment vertical="center"/>
    </xf>
    <xf numFmtId="10" fontId="42" fillId="15" borderId="10" xfId="0" applyNumberFormat="1" applyFont="1" applyFill="1" applyBorder="1" applyAlignment="1">
      <alignment horizontal="center" vertical="center"/>
    </xf>
    <xf numFmtId="10" fontId="42" fillId="15" borderId="79" xfId="0" applyNumberFormat="1" applyFont="1" applyFill="1" applyBorder="1" applyAlignment="1">
      <alignment horizontal="center" vertical="center"/>
    </xf>
    <xf numFmtId="44" fontId="47" fillId="0" borderId="66" xfId="8" applyFont="1" applyBorder="1"/>
    <xf numFmtId="44" fontId="48" fillId="0" borderId="66" xfId="8" applyFont="1" applyBorder="1"/>
    <xf numFmtId="170" fontId="45" fillId="10" borderId="0" xfId="0" applyNumberFormat="1" applyFont="1" applyFill="1" applyAlignment="1">
      <alignment horizontal="right"/>
    </xf>
    <xf numFmtId="170" fontId="45" fillId="10" borderId="18" xfId="0" applyNumberFormat="1" applyFont="1" applyFill="1" applyBorder="1" applyAlignment="1">
      <alignment horizontal="right"/>
    </xf>
    <xf numFmtId="44" fontId="45" fillId="10" borderId="0" xfId="0" applyNumberFormat="1" applyFont="1" applyFill="1" applyAlignment="1">
      <alignment horizontal="right"/>
    </xf>
    <xf numFmtId="44" fontId="22" fillId="15" borderId="0" xfId="0" applyNumberFormat="1" applyFont="1" applyFill="1"/>
    <xf numFmtId="0" fontId="37" fillId="14" borderId="0" xfId="0" applyFont="1" applyFill="1"/>
    <xf numFmtId="44" fontId="22" fillId="14" borderId="0" xfId="0" applyNumberFormat="1" applyFont="1" applyFill="1"/>
    <xf numFmtId="44" fontId="22" fillId="14" borderId="18" xfId="8" applyFont="1" applyFill="1" applyBorder="1"/>
    <xf numFmtId="44" fontId="45" fillId="17" borderId="0" xfId="8" applyFont="1" applyFill="1" applyBorder="1" applyAlignment="1">
      <alignment horizontal="center"/>
    </xf>
    <xf numFmtId="44" fontId="45" fillId="17" borderId="18" xfId="8" applyFont="1" applyFill="1" applyBorder="1" applyAlignment="1">
      <alignment horizontal="center"/>
    </xf>
    <xf numFmtId="0" fontId="42" fillId="0" borderId="63" xfId="0" applyFont="1" applyBorder="1" applyAlignment="1">
      <alignment horizontal="left" vertical="center" wrapText="1"/>
    </xf>
    <xf numFmtId="49" fontId="42" fillId="0" borderId="64" xfId="0" applyNumberFormat="1" applyFont="1" applyBorder="1" applyAlignment="1">
      <alignment horizontal="left" vertical="center" wrapText="1"/>
    </xf>
    <xf numFmtId="0" fontId="42" fillId="0" borderId="65" xfId="0" applyFont="1" applyBorder="1" applyAlignment="1">
      <alignment horizontal="left" vertical="center" wrapText="1"/>
    </xf>
    <xf numFmtId="0" fontId="45" fillId="17" borderId="6" xfId="0" applyFont="1" applyFill="1" applyBorder="1"/>
    <xf numFmtId="0" fontId="45" fillId="17" borderId="37" xfId="0" applyFont="1" applyFill="1" applyBorder="1"/>
    <xf numFmtId="0" fontId="45" fillId="17" borderId="37" xfId="0" applyFont="1" applyFill="1" applyBorder="1" applyAlignment="1">
      <alignment horizontal="center" vertical="center"/>
    </xf>
    <xf numFmtId="44" fontId="45" fillId="17" borderId="37" xfId="0" applyNumberFormat="1" applyFont="1" applyFill="1" applyBorder="1"/>
    <xf numFmtId="44" fontId="45" fillId="17" borderId="80" xfId="0" applyNumberFormat="1" applyFont="1" applyFill="1" applyBorder="1"/>
    <xf numFmtId="0" fontId="45" fillId="17" borderId="6" xfId="0" applyFont="1" applyFill="1" applyBorder="1" applyAlignment="1">
      <alignment horizontal="center" vertical="center"/>
    </xf>
    <xf numFmtId="9" fontId="45" fillId="17" borderId="14" xfId="1" applyFont="1" applyFill="1" applyBorder="1"/>
    <xf numFmtId="44" fontId="45" fillId="17" borderId="82" xfId="8" applyFont="1" applyFill="1" applyBorder="1"/>
    <xf numFmtId="0" fontId="40" fillId="0" borderId="0" xfId="0" applyFont="1"/>
    <xf numFmtId="0" fontId="28" fillId="0" borderId="0" xfId="0" applyFont="1"/>
    <xf numFmtId="0" fontId="49" fillId="0" borderId="0" xfId="0" applyFont="1"/>
    <xf numFmtId="0" fontId="49" fillId="0" borderId="0" xfId="0" applyFont="1" applyAlignment="1">
      <alignment horizontal="center"/>
    </xf>
    <xf numFmtId="16" fontId="49" fillId="20" borderId="11" xfId="0" applyNumberFormat="1" applyFont="1" applyFill="1" applyBorder="1"/>
    <xf numFmtId="16" fontId="49" fillId="20" borderId="12" xfId="0" applyNumberFormat="1" applyFont="1" applyFill="1" applyBorder="1"/>
    <xf numFmtId="16" fontId="49" fillId="21" borderId="14" xfId="0" applyNumberFormat="1" applyFont="1" applyFill="1" applyBorder="1"/>
    <xf numFmtId="16" fontId="49" fillId="21" borderId="15" xfId="0" applyNumberFormat="1" applyFont="1" applyFill="1" applyBorder="1"/>
    <xf numFmtId="0" fontId="49" fillId="22" borderId="17" xfId="0" applyFont="1" applyFill="1" applyBorder="1" applyAlignment="1">
      <alignment horizontal="right"/>
    </xf>
    <xf numFmtId="0" fontId="49" fillId="22" borderId="0" xfId="0" applyFont="1" applyFill="1" applyAlignment="1">
      <alignment horizontal="right"/>
    </xf>
    <xf numFmtId="0" fontId="50" fillId="23" borderId="14" xfId="0" applyFont="1" applyFill="1" applyBorder="1"/>
    <xf numFmtId="0" fontId="50" fillId="23" borderId="15" xfId="0" applyFont="1" applyFill="1" applyBorder="1"/>
    <xf numFmtId="164" fontId="51" fillId="0" borderId="0" xfId="2" applyNumberFormat="1" applyFont="1" applyAlignment="1" applyProtection="1">
      <alignment horizontal="left" vertical="center"/>
      <protection locked="0"/>
    </xf>
    <xf numFmtId="0" fontId="51" fillId="0" borderId="0" xfId="2" applyFont="1" applyAlignment="1" applyProtection="1">
      <alignment horizontal="left" vertical="center"/>
      <protection locked="0"/>
    </xf>
    <xf numFmtId="14" fontId="51" fillId="0" borderId="0" xfId="2" applyNumberFormat="1" applyFont="1" applyAlignment="1" applyProtection="1">
      <alignment horizontal="left" vertical="center"/>
      <protection locked="0"/>
    </xf>
    <xf numFmtId="0" fontId="52" fillId="24" borderId="66" xfId="0" applyFont="1" applyFill="1" applyBorder="1" applyAlignment="1">
      <alignment horizontal="center"/>
    </xf>
    <xf numFmtId="164" fontId="51" fillId="0" borderId="66" xfId="2" applyNumberFormat="1" applyFont="1" applyBorder="1" applyAlignment="1" applyProtection="1">
      <alignment horizontal="left" vertical="center"/>
      <protection locked="0"/>
    </xf>
    <xf numFmtId="44" fontId="52" fillId="0" borderId="66" xfId="0" applyNumberFormat="1" applyFont="1" applyBorder="1"/>
    <xf numFmtId="9" fontId="52" fillId="0" borderId="66" xfId="1" applyFont="1" applyBorder="1" applyAlignment="1">
      <alignment horizontal="center"/>
    </xf>
    <xf numFmtId="44" fontId="52" fillId="24" borderId="66" xfId="0" applyNumberFormat="1" applyFont="1" applyFill="1" applyBorder="1" applyAlignment="1">
      <alignment horizontal="center"/>
    </xf>
    <xf numFmtId="44" fontId="49" fillId="0" borderId="0" xfId="0" applyNumberFormat="1" applyFont="1"/>
    <xf numFmtId="0" fontId="50" fillId="0" borderId="0" xfId="0" applyFont="1" applyAlignment="1">
      <alignment horizontal="right"/>
    </xf>
    <xf numFmtId="170" fontId="10" fillId="0" borderId="0" xfId="8" applyNumberFormat="1" applyFont="1"/>
    <xf numFmtId="0" fontId="52" fillId="0" borderId="53" xfId="0" applyFont="1" applyBorder="1"/>
    <xf numFmtId="170" fontId="52" fillId="0" borderId="97" xfId="0" applyNumberFormat="1" applyFont="1" applyBorder="1" applyAlignment="1">
      <alignment horizontal="center"/>
    </xf>
    <xf numFmtId="0" fontId="52" fillId="0" borderId="98" xfId="0" applyFont="1" applyBorder="1"/>
    <xf numFmtId="170" fontId="52" fillId="0" borderId="99" xfId="0" applyNumberFormat="1" applyFont="1" applyBorder="1" applyAlignment="1">
      <alignment horizontal="center"/>
    </xf>
    <xf numFmtId="44" fontId="52" fillId="0" borderId="97" xfId="0" applyNumberFormat="1" applyFont="1" applyBorder="1"/>
    <xf numFmtId="170" fontId="52" fillId="0" borderId="97" xfId="0" applyNumberFormat="1" applyFont="1" applyBorder="1"/>
    <xf numFmtId="9" fontId="52" fillId="0" borderId="100" xfId="1" applyFont="1" applyBorder="1" applyAlignment="1">
      <alignment horizontal="center"/>
    </xf>
    <xf numFmtId="0" fontId="52" fillId="0" borderId="0" xfId="0" applyFont="1"/>
    <xf numFmtId="170" fontId="52" fillId="24" borderId="96" xfId="0" applyNumberFormat="1" applyFont="1" applyFill="1" applyBorder="1" applyAlignment="1">
      <alignment horizontal="center"/>
    </xf>
    <xf numFmtId="44" fontId="52" fillId="24" borderId="66" xfId="0" applyNumberFormat="1" applyFont="1" applyFill="1" applyBorder="1"/>
    <xf numFmtId="170" fontId="52" fillId="24" borderId="66" xfId="0" applyNumberFormat="1" applyFont="1" applyFill="1" applyBorder="1"/>
    <xf numFmtId="170" fontId="49" fillId="0" borderId="0" xfId="0" applyNumberFormat="1" applyFont="1"/>
    <xf numFmtId="44" fontId="10" fillId="0" borderId="0" xfId="0" applyNumberFormat="1" applyFont="1"/>
    <xf numFmtId="44" fontId="37" fillId="0" borderId="0" xfId="8" applyFont="1"/>
    <xf numFmtId="0" fontId="54" fillId="0" borderId="0" xfId="0" applyFont="1" applyAlignment="1">
      <alignment horizontal="left"/>
    </xf>
    <xf numFmtId="0" fontId="55" fillId="0" borderId="0" xfId="0" applyFont="1" applyAlignment="1">
      <alignment horizontal="left"/>
    </xf>
    <xf numFmtId="9" fontId="56" fillId="0" borderId="0" xfId="1" applyFont="1"/>
    <xf numFmtId="0" fontId="56" fillId="0" borderId="0" xfId="0" applyFont="1"/>
    <xf numFmtId="44" fontId="52" fillId="0" borderId="58" xfId="0" applyNumberFormat="1" applyFont="1" applyBorder="1" applyAlignment="1">
      <alignment horizontal="center" vertical="center"/>
    </xf>
    <xf numFmtId="170" fontId="53" fillId="0" borderId="58" xfId="0" applyNumberFormat="1" applyFont="1" applyBorder="1" applyAlignment="1">
      <alignment horizontal="center" vertical="center"/>
    </xf>
    <xf numFmtId="9" fontId="53" fillId="0" borderId="60" xfId="1" applyFont="1" applyBorder="1" applyAlignment="1">
      <alignment horizontal="center" vertical="center"/>
    </xf>
    <xf numFmtId="164" fontId="51" fillId="0" borderId="20" xfId="2" applyNumberFormat="1" applyFont="1" applyBorder="1" applyAlignment="1" applyProtection="1">
      <alignment horizontal="left" vertical="center"/>
      <protection locked="0"/>
    </xf>
    <xf numFmtId="164" fontId="51" fillId="0" borderId="22" xfId="2" applyNumberFormat="1" applyFont="1" applyBorder="1" applyAlignment="1" applyProtection="1">
      <alignment horizontal="left" vertical="center"/>
      <protection locked="0"/>
    </xf>
    <xf numFmtId="164" fontId="51" fillId="0" borderId="31" xfId="2" applyNumberFormat="1" applyFont="1" applyBorder="1" applyAlignment="1" applyProtection="1">
      <alignment horizontal="left" vertical="center"/>
      <protection locked="0"/>
    </xf>
    <xf numFmtId="164" fontId="51" fillId="0" borderId="32" xfId="2" applyNumberFormat="1" applyFont="1" applyBorder="1" applyAlignment="1" applyProtection="1">
      <alignment horizontal="left" vertical="center"/>
      <protection locked="0"/>
    </xf>
    <xf numFmtId="0" fontId="51" fillId="0" borderId="25" xfId="2" applyFont="1" applyBorder="1" applyAlignment="1" applyProtection="1">
      <alignment horizontal="left" vertical="center"/>
      <protection locked="0"/>
    </xf>
    <xf numFmtId="164" fontId="52" fillId="0" borderId="31" xfId="2" applyNumberFormat="1" applyFont="1" applyBorder="1" applyAlignment="1" applyProtection="1">
      <alignment horizontal="left" vertical="center"/>
      <protection locked="0"/>
    </xf>
    <xf numFmtId="14" fontId="51" fillId="0" borderId="32" xfId="2" applyNumberFormat="1" applyFont="1" applyBorder="1" applyAlignment="1" applyProtection="1">
      <alignment horizontal="left" vertical="center"/>
      <protection locked="0"/>
    </xf>
    <xf numFmtId="164" fontId="51" fillId="0" borderId="39" xfId="2" applyNumberFormat="1" applyFont="1" applyBorder="1" applyAlignment="1" applyProtection="1">
      <alignment horizontal="left" vertical="center"/>
      <protection locked="0"/>
    </xf>
    <xf numFmtId="0" fontId="51" fillId="0" borderId="29" xfId="2" applyFont="1" applyBorder="1" applyAlignment="1" applyProtection="1">
      <alignment horizontal="left" vertical="center"/>
      <protection locked="0"/>
    </xf>
    <xf numFmtId="44" fontId="49" fillId="0" borderId="81" xfId="0" applyNumberFormat="1" applyFont="1" applyBorder="1" applyAlignment="1">
      <alignment horizontal="center" vertical="center"/>
    </xf>
    <xf numFmtId="0" fontId="49" fillId="0" borderId="82" xfId="0" applyFont="1" applyBorder="1" applyAlignment="1">
      <alignment horizontal="center" vertical="center"/>
    </xf>
    <xf numFmtId="0" fontId="52" fillId="24" borderId="6" xfId="0" applyFont="1" applyFill="1" applyBorder="1" applyAlignment="1">
      <alignment horizontal="center"/>
    </xf>
    <xf numFmtId="0" fontId="52" fillId="24" borderId="37" xfId="0" applyFont="1" applyFill="1" applyBorder="1" applyAlignment="1">
      <alignment horizontal="center"/>
    </xf>
    <xf numFmtId="0" fontId="52" fillId="24" borderId="80" xfId="0" applyFont="1" applyFill="1" applyBorder="1" applyAlignment="1">
      <alignment horizontal="center"/>
    </xf>
    <xf numFmtId="0" fontId="45" fillId="16" borderId="17" xfId="0" applyFont="1" applyFill="1" applyBorder="1" applyAlignment="1">
      <alignment horizontal="center"/>
    </xf>
    <xf numFmtId="0" fontId="45" fillId="16" borderId="0" xfId="0" applyFont="1" applyFill="1" applyAlignment="1">
      <alignment horizontal="center"/>
    </xf>
    <xf numFmtId="0" fontId="45" fillId="16" borderId="18" xfId="0" applyFont="1" applyFill="1" applyBorder="1" applyAlignment="1">
      <alignment horizontal="center"/>
    </xf>
    <xf numFmtId="0" fontId="45" fillId="10" borderId="11" xfId="0" applyFont="1" applyFill="1" applyBorder="1" applyAlignment="1">
      <alignment horizontal="left"/>
    </xf>
    <xf numFmtId="0" fontId="45" fillId="10" borderId="12" xfId="0" applyFont="1" applyFill="1" applyBorder="1" applyAlignment="1">
      <alignment horizontal="left"/>
    </xf>
    <xf numFmtId="0" fontId="45" fillId="10" borderId="67" xfId="0" applyFont="1" applyFill="1" applyBorder="1" applyAlignment="1">
      <alignment horizontal="left"/>
    </xf>
    <xf numFmtId="0" fontId="45" fillId="10" borderId="74" xfId="0" applyFont="1" applyFill="1" applyBorder="1" applyAlignment="1">
      <alignment horizontal="left"/>
    </xf>
    <xf numFmtId="0" fontId="45" fillId="10" borderId="17" xfId="0" applyFont="1" applyFill="1" applyBorder="1" applyAlignment="1">
      <alignment horizontal="left"/>
    </xf>
    <xf numFmtId="0" fontId="45" fillId="10" borderId="0" xfId="0" applyFont="1" applyFill="1" applyAlignment="1">
      <alignment horizontal="left"/>
    </xf>
    <xf numFmtId="166" fontId="39" fillId="0" borderId="40" xfId="4" applyNumberFormat="1" applyFont="1" applyBorder="1" applyAlignment="1">
      <alignment horizontal="center" vertical="center" wrapText="1"/>
    </xf>
    <xf numFmtId="166" fontId="39" fillId="0" borderId="41" xfId="4" applyNumberFormat="1" applyFont="1" applyBorder="1" applyAlignment="1">
      <alignment horizontal="center" vertical="center" wrapText="1"/>
    </xf>
    <xf numFmtId="0" fontId="39" fillId="3" borderId="6" xfId="0" applyFont="1" applyFill="1" applyBorder="1" applyAlignment="1">
      <alignment horizontal="center" vertical="center" wrapText="1"/>
    </xf>
    <xf numFmtId="0" fontId="39" fillId="3" borderId="37" xfId="0" applyFont="1" applyFill="1" applyBorder="1" applyAlignment="1">
      <alignment horizontal="center" vertical="center" wrapText="1"/>
    </xf>
    <xf numFmtId="0" fontId="39" fillId="3" borderId="5" xfId="0" applyFont="1" applyFill="1" applyBorder="1" applyAlignment="1">
      <alignment horizontal="center" vertical="center" wrapText="1"/>
    </xf>
    <xf numFmtId="166" fontId="39" fillId="4" borderId="6" xfId="4" applyNumberFormat="1" applyFont="1" applyFill="1" applyBorder="1" applyAlignment="1">
      <alignment horizontal="center" vertical="center" wrapText="1"/>
    </xf>
    <xf numFmtId="166" fontId="39" fillId="4" borderId="37" xfId="4" applyNumberFormat="1" applyFont="1" applyFill="1" applyBorder="1" applyAlignment="1">
      <alignment horizontal="center" vertical="center" wrapText="1"/>
    </xf>
    <xf numFmtId="166" fontId="39" fillId="4" borderId="5" xfId="4" applyNumberFormat="1" applyFont="1" applyFill="1" applyBorder="1" applyAlignment="1">
      <alignment horizontal="center" vertical="center" wrapText="1"/>
    </xf>
    <xf numFmtId="166" fontId="39" fillId="4" borderId="17" xfId="4" applyNumberFormat="1" applyFont="1" applyFill="1" applyBorder="1" applyAlignment="1">
      <alignment horizontal="center" vertical="center" wrapText="1"/>
    </xf>
    <xf numFmtId="166" fontId="39" fillId="4" borderId="0" xfId="4" applyNumberFormat="1" applyFont="1" applyFill="1" applyBorder="1" applyAlignment="1">
      <alignment horizontal="center" vertical="center" wrapText="1"/>
    </xf>
    <xf numFmtId="0" fontId="4" fillId="0" borderId="0" xfId="2" applyFont="1" applyAlignment="1">
      <alignment horizontal="left" vertical="center" wrapText="1"/>
    </xf>
    <xf numFmtId="0" fontId="4" fillId="0" borderId="0" xfId="2" applyFont="1" applyAlignment="1">
      <alignment horizontal="left" vertical="top"/>
    </xf>
    <xf numFmtId="0" fontId="39" fillId="2" borderId="3" xfId="3" applyFont="1" applyFill="1" applyBorder="1" applyAlignment="1">
      <alignment horizontal="center" vertical="center"/>
    </xf>
    <xf numFmtId="0" fontId="39" fillId="2" borderId="4" xfId="3" applyFont="1" applyFill="1" applyBorder="1" applyAlignment="1">
      <alignment horizontal="center" vertical="center"/>
    </xf>
    <xf numFmtId="0" fontId="39" fillId="2" borderId="5" xfId="3" applyFont="1" applyFill="1" applyBorder="1" applyAlignment="1">
      <alignment horizontal="center" vertical="center"/>
    </xf>
    <xf numFmtId="0" fontId="33" fillId="10" borderId="17" xfId="0" applyFont="1" applyFill="1" applyBorder="1" applyAlignment="1">
      <alignment horizontal="left"/>
    </xf>
    <xf numFmtId="0" fontId="33" fillId="10" borderId="0" xfId="0" applyFont="1" applyFill="1" applyAlignment="1">
      <alignment horizontal="left"/>
    </xf>
    <xf numFmtId="0" fontId="24" fillId="0" borderId="0" xfId="2" applyFont="1" applyAlignment="1">
      <alignment horizontal="left" vertical="center" wrapText="1"/>
    </xf>
    <xf numFmtId="0" fontId="24" fillId="0" borderId="0" xfId="2" applyFont="1" applyAlignment="1">
      <alignment horizontal="left" vertical="top"/>
    </xf>
    <xf numFmtId="0" fontId="27" fillId="2" borderId="3" xfId="3" applyFont="1" applyFill="1" applyBorder="1" applyAlignment="1">
      <alignment horizontal="center" vertical="center"/>
    </xf>
    <xf numFmtId="0" fontId="27" fillId="2" borderId="4" xfId="3" applyFont="1" applyFill="1" applyBorder="1" applyAlignment="1">
      <alignment horizontal="center" vertical="center"/>
    </xf>
    <xf numFmtId="0" fontId="27" fillId="2" borderId="5" xfId="3" applyFont="1" applyFill="1" applyBorder="1" applyAlignment="1">
      <alignment horizontal="center" vertical="center"/>
    </xf>
    <xf numFmtId="166" fontId="27" fillId="0" borderId="40" xfId="4" applyNumberFormat="1" applyFont="1" applyBorder="1" applyAlignment="1">
      <alignment horizontal="center" vertical="center" wrapText="1"/>
    </xf>
    <xf numFmtId="166" fontId="27" fillId="0" borderId="41" xfId="4" applyNumberFormat="1" applyFont="1" applyBorder="1" applyAlignment="1">
      <alignment horizontal="center" vertical="center" wrapText="1"/>
    </xf>
    <xf numFmtId="0" fontId="33" fillId="16" borderId="6" xfId="0" applyFont="1" applyFill="1" applyBorder="1" applyAlignment="1">
      <alignment horizontal="center"/>
    </xf>
    <xf numFmtId="0" fontId="33" fillId="16" borderId="37" xfId="0" applyFont="1" applyFill="1" applyBorder="1" applyAlignment="1">
      <alignment horizontal="center"/>
    </xf>
    <xf numFmtId="0" fontId="33" fillId="16" borderId="73" xfId="0" applyFont="1" applyFill="1" applyBorder="1" applyAlignment="1">
      <alignment horizontal="center"/>
    </xf>
    <xf numFmtId="0" fontId="33" fillId="10" borderId="91" xfId="0" applyFont="1" applyFill="1" applyBorder="1" applyAlignment="1">
      <alignment horizontal="left"/>
    </xf>
    <xf numFmtId="0" fontId="33" fillId="10" borderId="92" xfId="0" applyFont="1" applyFill="1" applyBorder="1" applyAlignment="1">
      <alignment horizontal="left"/>
    </xf>
    <xf numFmtId="0" fontId="33" fillId="10" borderId="93" xfId="0" applyFont="1" applyFill="1" applyBorder="1" applyAlignment="1">
      <alignment horizontal="left"/>
    </xf>
    <xf numFmtId="0" fontId="33" fillId="10" borderId="11" xfId="0" applyFont="1" applyFill="1" applyBorder="1" applyAlignment="1">
      <alignment horizontal="left"/>
    </xf>
    <xf numFmtId="0" fontId="33" fillId="10" borderId="12" xfId="0" applyFont="1" applyFill="1" applyBorder="1" applyAlignment="1">
      <alignment horizontal="left"/>
    </xf>
    <xf numFmtId="0" fontId="33" fillId="10" borderId="74" xfId="0" applyFont="1" applyFill="1" applyBorder="1" applyAlignment="1">
      <alignment horizontal="left"/>
    </xf>
    <xf numFmtId="0" fontId="27" fillId="3" borderId="6" xfId="0" applyFont="1" applyFill="1" applyBorder="1" applyAlignment="1">
      <alignment horizontal="center" vertical="center" wrapText="1"/>
    </xf>
    <xf numFmtId="0" fontId="27" fillId="3" borderId="37" xfId="0" applyFont="1" applyFill="1" applyBorder="1" applyAlignment="1">
      <alignment horizontal="center" vertical="center" wrapText="1"/>
    </xf>
    <xf numFmtId="0" fontId="27" fillId="3" borderId="5" xfId="0" applyFont="1" applyFill="1" applyBorder="1" applyAlignment="1">
      <alignment horizontal="center" vertical="center" wrapText="1"/>
    </xf>
    <xf numFmtId="166" fontId="27" fillId="4" borderId="6" xfId="4" applyNumberFormat="1" applyFont="1" applyFill="1" applyBorder="1" applyAlignment="1">
      <alignment horizontal="center" vertical="center" wrapText="1"/>
    </xf>
    <xf numFmtId="166" fontId="27" fillId="4" borderId="37" xfId="4" applyNumberFormat="1" applyFont="1" applyFill="1" applyBorder="1" applyAlignment="1">
      <alignment horizontal="center" vertical="center" wrapText="1"/>
    </xf>
    <xf numFmtId="166" fontId="27" fillId="4" borderId="5" xfId="4" applyNumberFormat="1" applyFont="1" applyFill="1" applyBorder="1" applyAlignment="1">
      <alignment horizontal="center" vertical="center" wrapText="1"/>
    </xf>
    <xf numFmtId="166" fontId="27" fillId="4" borderId="17" xfId="4" applyNumberFormat="1" applyFont="1" applyFill="1" applyBorder="1" applyAlignment="1">
      <alignment horizontal="center" vertical="center" wrapText="1"/>
    </xf>
    <xf numFmtId="166" fontId="27" fillId="4" borderId="0" xfId="4" applyNumberFormat="1" applyFont="1" applyFill="1" applyBorder="1" applyAlignment="1">
      <alignment horizontal="center" vertical="center" wrapText="1"/>
    </xf>
    <xf numFmtId="0" fontId="20" fillId="19" borderId="6" xfId="0" applyFont="1" applyFill="1" applyBorder="1" applyAlignment="1">
      <alignment horizontal="center" vertical="center"/>
    </xf>
    <xf numFmtId="0" fontId="20" fillId="19" borderId="78" xfId="0" applyFont="1" applyFill="1" applyBorder="1" applyAlignment="1">
      <alignment horizontal="center" vertical="center"/>
    </xf>
    <xf numFmtId="0" fontId="14" fillId="8" borderId="42" xfId="0" applyFont="1" applyFill="1" applyBorder="1" applyAlignment="1">
      <alignment horizontal="left" vertical="center"/>
    </xf>
    <xf numFmtId="0" fontId="14" fillId="8" borderId="42" xfId="0" applyFont="1" applyFill="1" applyBorder="1" applyAlignment="1">
      <alignment vertical="center"/>
    </xf>
    <xf numFmtId="0" fontId="14" fillId="8" borderId="0" xfId="0" applyFont="1" applyFill="1" applyAlignment="1">
      <alignment vertical="center"/>
    </xf>
    <xf numFmtId="0" fontId="15" fillId="8" borderId="42" xfId="0" applyFont="1" applyFill="1" applyBorder="1" applyAlignment="1">
      <alignment horizontal="left" vertical="top"/>
    </xf>
    <xf numFmtId="0" fontId="17" fillId="8" borderId="42" xfId="0" applyFont="1" applyFill="1" applyBorder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CCCC"/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637909</xdr:colOff>
      <xdr:row>0</xdr:row>
      <xdr:rowOff>142875</xdr:rowOff>
    </xdr:from>
    <xdr:to>
      <xdr:col>5</xdr:col>
      <xdr:colOff>790386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4F2603CC-4238-4CE2-B0FB-2EE6CBEEC882}"/>
            </a:ext>
          </a:extLst>
        </xdr:cNvPr>
        <xdr:cNvSpPr/>
      </xdr:nvSpPr>
      <xdr:spPr bwMode="auto">
        <a:xfrm>
          <a:off x="645318" y="142875"/>
          <a:ext cx="94411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244739</xdr:colOff>
      <xdr:row>0</xdr:row>
      <xdr:rowOff>130971</xdr:rowOff>
    </xdr:from>
    <xdr:to>
      <xdr:col>1</xdr:col>
      <xdr:colOff>619651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6FFA72EC-6EC8-4930-A4E7-46F4D8CDE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2267"/>
        </a:xfrm>
        <a:prstGeom prst="rect">
          <a:avLst/>
        </a:prstGeom>
      </xdr:spPr>
    </xdr:pic>
    <xdr:clientData/>
  </xdr:twoCellAnchor>
  <xdr:twoCellAnchor editAs="absolute">
    <xdr:from>
      <xdr:col>43</xdr:col>
      <xdr:colOff>358473</xdr:colOff>
      <xdr:row>0</xdr:row>
      <xdr:rowOff>190500</xdr:rowOff>
    </xdr:from>
    <xdr:to>
      <xdr:col>45</xdr:col>
      <xdr:colOff>54905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FE1F0691-DEC7-4B57-876B-AB14FCBD734A}"/>
            </a:ext>
          </a:extLst>
        </xdr:cNvPr>
        <xdr:cNvSpPr/>
      </xdr:nvSpPr>
      <xdr:spPr bwMode="auto">
        <a:xfrm>
          <a:off x="28412773" y="190500"/>
          <a:ext cx="90928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42</xdr:col>
      <xdr:colOff>483355</xdr:colOff>
      <xdr:row>0</xdr:row>
      <xdr:rowOff>179391</xdr:rowOff>
    </xdr:from>
    <xdr:to>
      <xdr:col>43</xdr:col>
      <xdr:colOff>282270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205A9B13-5858-431B-87C1-E09347216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17472" y="179391"/>
          <a:ext cx="419098" cy="362742"/>
        </a:xfrm>
        <a:prstGeom prst="rect">
          <a:avLst/>
        </a:prstGeom>
      </xdr:spPr>
    </xdr:pic>
    <xdr:clientData/>
  </xdr:twoCellAnchor>
  <xdr:oneCellAnchor>
    <xdr:from>
      <xdr:col>10</xdr:col>
      <xdr:colOff>1183821</xdr:colOff>
      <xdr:row>6</xdr:row>
      <xdr:rowOff>39687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E2016359-E719-4D5D-8FA3-6B3319BC2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97446" y="992187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621241</xdr:colOff>
      <xdr:row>0</xdr:row>
      <xdr:rowOff>114300</xdr:rowOff>
    </xdr:from>
    <xdr:to>
      <xdr:col>5</xdr:col>
      <xdr:colOff>714858</xdr:colOff>
      <xdr:row>1</xdr:row>
      <xdr:rowOff>45720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7868766C-6D73-4EEC-B1CE-7F9DCDC1E4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4300"/>
          <a:ext cx="887367" cy="5600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43</xdr:col>
      <xdr:colOff>244808</xdr:colOff>
      <xdr:row>0</xdr:row>
      <xdr:rowOff>152400</xdr:rowOff>
    </xdr:from>
    <xdr:to>
      <xdr:col>45</xdr:col>
      <xdr:colOff>25218</xdr:colOff>
      <xdr:row>1</xdr:row>
      <xdr:rowOff>105410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97B4A089-E0B8-4423-A8BA-CBF30EB871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99108" y="152400"/>
          <a:ext cx="999610" cy="581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635793</xdr:colOff>
      <xdr:row>0</xdr:row>
      <xdr:rowOff>139700</xdr:rowOff>
    </xdr:from>
    <xdr:to>
      <xdr:col>5</xdr:col>
      <xdr:colOff>749640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EB2D30AC-BFA1-42D3-AA5A-44B437E802D3}"/>
            </a:ext>
          </a:extLst>
        </xdr:cNvPr>
        <xdr:cNvSpPr/>
      </xdr:nvSpPr>
      <xdr:spPr bwMode="auto">
        <a:xfrm>
          <a:off x="645318" y="142875"/>
          <a:ext cx="94411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245268</xdr:colOff>
      <xdr:row>0</xdr:row>
      <xdr:rowOff>130971</xdr:rowOff>
    </xdr:from>
    <xdr:to>
      <xdr:col>1</xdr:col>
      <xdr:colOff>617535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E7903D9C-352A-4AAE-A49F-8679F20C3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2267"/>
        </a:xfrm>
        <a:prstGeom prst="rect">
          <a:avLst/>
        </a:prstGeom>
      </xdr:spPr>
    </xdr:pic>
    <xdr:clientData/>
  </xdr:twoCellAnchor>
  <xdr:twoCellAnchor editAs="absolute">
    <xdr:from>
      <xdr:col>39</xdr:col>
      <xdr:colOff>922035</xdr:colOff>
      <xdr:row>0</xdr:row>
      <xdr:rowOff>190500</xdr:rowOff>
    </xdr:from>
    <xdr:to>
      <xdr:col>40</xdr:col>
      <xdr:colOff>402567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3071AC40-6162-46B6-BE59-8223D183B363}"/>
            </a:ext>
          </a:extLst>
        </xdr:cNvPr>
        <xdr:cNvSpPr/>
      </xdr:nvSpPr>
      <xdr:spPr bwMode="auto">
        <a:xfrm>
          <a:off x="28412773" y="190500"/>
          <a:ext cx="90928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39</xdr:col>
      <xdr:colOff>424353</xdr:colOff>
      <xdr:row>0</xdr:row>
      <xdr:rowOff>182566</xdr:rowOff>
    </xdr:from>
    <xdr:to>
      <xdr:col>39</xdr:col>
      <xdr:colOff>845832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D2637E87-0827-4791-B617-7A58B807D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17472" y="179391"/>
          <a:ext cx="419098" cy="362742"/>
        </a:xfrm>
        <a:prstGeom prst="rect">
          <a:avLst/>
        </a:prstGeom>
      </xdr:spPr>
    </xdr:pic>
    <xdr:clientData/>
  </xdr:twoCellAnchor>
  <xdr:oneCellAnchor>
    <xdr:from>
      <xdr:col>10</xdr:col>
      <xdr:colOff>771071</xdr:colOff>
      <xdr:row>2</xdr:row>
      <xdr:rowOff>15874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06BF8700-8816-4A4F-B989-82741DFD1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88665" y="956468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619125</xdr:colOff>
      <xdr:row>0</xdr:row>
      <xdr:rowOff>114300</xdr:rowOff>
    </xdr:from>
    <xdr:to>
      <xdr:col>5</xdr:col>
      <xdr:colOff>665117</xdr:colOff>
      <xdr:row>1</xdr:row>
      <xdr:rowOff>48895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A49AE2D0-5776-4074-B5BC-46057A85B6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4300"/>
          <a:ext cx="887367" cy="5600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39</xdr:col>
      <xdr:colOff>802020</xdr:colOff>
      <xdr:row>0</xdr:row>
      <xdr:rowOff>152400</xdr:rowOff>
    </xdr:from>
    <xdr:to>
      <xdr:col>40</xdr:col>
      <xdr:colOff>376055</xdr:colOff>
      <xdr:row>1</xdr:row>
      <xdr:rowOff>102235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43FACC1E-2DAF-435B-A462-E5C26290AEC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99108" y="152400"/>
          <a:ext cx="999610" cy="581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59267</xdr:colOff>
      <xdr:row>0</xdr:row>
      <xdr:rowOff>152400</xdr:rowOff>
    </xdr:from>
    <xdr:to>
      <xdr:col>1</xdr:col>
      <xdr:colOff>1011767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277612F0-F64C-473D-AAC2-79C5E5C12DFC}"/>
            </a:ext>
          </a:extLst>
        </xdr:cNvPr>
        <xdr:cNvSpPr/>
      </xdr:nvSpPr>
      <xdr:spPr bwMode="auto">
        <a:xfrm>
          <a:off x="668867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39</xdr:col>
      <xdr:colOff>162984</xdr:colOff>
      <xdr:row>0</xdr:row>
      <xdr:rowOff>219075</xdr:rowOff>
    </xdr:from>
    <xdr:to>
      <xdr:col>40</xdr:col>
      <xdr:colOff>522816</xdr:colOff>
      <xdr:row>1</xdr:row>
      <xdr:rowOff>123825</xdr:rowOff>
    </xdr:to>
    <xdr:sp macro="" textlink="">
      <xdr:nvSpPr>
        <xdr:cNvPr id="3" name="Label2" hidden="1">
          <a:extLst>
            <a:ext uri="{63B3BB69-23CF-44E3-9099-C40C66FF867C}">
              <a14:compatExt xmlns:a14="http://schemas.microsoft.com/office/drawing/2010/main" spid="_x0000_s5122"/>
            </a:ext>
            <a:ext uri="{FF2B5EF4-FFF2-40B4-BE49-F238E27FC236}">
              <a16:creationId xmlns:a16="http://schemas.microsoft.com/office/drawing/2014/main" id="{188C84BE-866E-497D-9A7C-CB9F4FD454B5}"/>
            </a:ext>
          </a:extLst>
        </xdr:cNvPr>
        <xdr:cNvSpPr/>
      </xdr:nvSpPr>
      <xdr:spPr bwMode="auto">
        <a:xfrm>
          <a:off x="29144384" y="215900"/>
          <a:ext cx="975782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>
      <xdr:nvPicPr>
        <xdr:cNvPr id="4" name="Imagem 3">
          <a:extLst>
            <a:ext uri="{FF2B5EF4-FFF2-40B4-BE49-F238E27FC236}">
              <a16:creationId xmlns:a16="http://schemas.microsoft.com/office/drawing/2014/main" id="{A6BAF3A0-A973-49CA-BE68-623F07B49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3</xdr:col>
      <xdr:colOff>169334</xdr:colOff>
      <xdr:row>4</xdr:row>
      <xdr:rowOff>120705</xdr:rowOff>
    </xdr:from>
    <xdr:ext cx="1949038" cy="1399706"/>
    <xdr:pic>
      <xdr:nvPicPr>
        <xdr:cNvPr id="5" name="Imagem 4">
          <a:extLst>
            <a:ext uri="{FF2B5EF4-FFF2-40B4-BE49-F238E27FC236}">
              <a16:creationId xmlns:a16="http://schemas.microsoft.com/office/drawing/2014/main" id="{DEDA493A-5D21-4E1E-9854-4575D2DFF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22384" y="1549455"/>
          <a:ext cx="1949038" cy="1399706"/>
        </a:xfrm>
        <a:prstGeom prst="rect">
          <a:avLst/>
        </a:prstGeom>
      </xdr:spPr>
    </xdr:pic>
    <xdr:clientData/>
  </xdr:oneCellAnchor>
  <xdr:twoCellAnchor editAs="absolute">
    <xdr:from>
      <xdr:col>39</xdr:col>
      <xdr:colOff>164042</xdr:colOff>
      <xdr:row>0</xdr:row>
      <xdr:rowOff>219075</xdr:rowOff>
    </xdr:from>
    <xdr:to>
      <xdr:col>40</xdr:col>
      <xdr:colOff>525991</xdr:colOff>
      <xdr:row>1</xdr:row>
      <xdr:rowOff>123825</xdr:rowOff>
    </xdr:to>
    <xdr:pic>
      <xdr:nvPicPr>
        <xdr:cNvPr id="6" name="Label2">
          <a:extLst>
            <a:ext uri="{FF2B5EF4-FFF2-40B4-BE49-F238E27FC236}">
              <a16:creationId xmlns:a16="http://schemas.microsoft.com/office/drawing/2014/main" id="{964D82AB-A008-46A5-B605-F1B0463125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45442" y="215900"/>
          <a:ext cx="977899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96C7-5256-4231-A29E-AE23AF88FF80}">
  <dimension ref="A1:H39"/>
  <sheetViews>
    <sheetView showGridLines="0" tabSelected="1" topLeftCell="A15" zoomScaleNormal="100" workbookViewId="0">
      <selection activeCell="D32" sqref="D32"/>
    </sheetView>
  </sheetViews>
  <sheetFormatPr defaultColWidth="8.6640625" defaultRowHeight="16.2" x14ac:dyDescent="0.35"/>
  <cols>
    <col min="1" max="1" width="8.6640625" style="297"/>
    <col min="2" max="2" width="41.109375" style="297" customWidth="1"/>
    <col min="3" max="3" width="22.88671875" style="297" customWidth="1"/>
    <col min="4" max="4" width="21" style="297" bestFit="1" customWidth="1"/>
    <col min="5" max="5" width="19.109375" style="297" bestFit="1" customWidth="1"/>
    <col min="6" max="6" width="11.88671875" style="298" bestFit="1" customWidth="1"/>
    <col min="7" max="7" width="13.5546875" style="297" bestFit="1" customWidth="1"/>
    <col min="8" max="8" width="18.33203125" style="297" bestFit="1" customWidth="1"/>
    <col min="9" max="16384" width="8.6640625" style="297"/>
  </cols>
  <sheetData>
    <row r="1" spans="1:5" s="298" customFormat="1" hidden="1" x14ac:dyDescent="0.35">
      <c r="A1" s="297"/>
      <c r="B1" s="297"/>
      <c r="C1" s="297"/>
      <c r="D1" s="297"/>
      <c r="E1" s="297"/>
    </row>
    <row r="2" spans="1:5" s="298" customFormat="1" hidden="1" x14ac:dyDescent="0.35">
      <c r="A2" s="297"/>
      <c r="B2" s="297"/>
      <c r="C2" s="297"/>
      <c r="D2" s="297"/>
      <c r="E2" s="297"/>
    </row>
    <row r="3" spans="1:5" s="298" customFormat="1" hidden="1" x14ac:dyDescent="0.35">
      <c r="A3" s="297"/>
      <c r="B3" s="297"/>
      <c r="C3" s="299">
        <v>45866</v>
      </c>
      <c r="D3" s="300"/>
      <c r="E3" s="348" t="e">
        <f>SUM(#REF!)</f>
        <v>#REF!</v>
      </c>
    </row>
    <row r="4" spans="1:5" s="298" customFormat="1" ht="15.6" hidden="1" customHeight="1" thickBot="1" x14ac:dyDescent="0.4">
      <c r="A4" s="297"/>
      <c r="B4" s="297"/>
      <c r="C4" s="301">
        <v>45867</v>
      </c>
      <c r="D4" s="302"/>
      <c r="E4" s="349"/>
    </row>
    <row r="5" spans="1:5" s="298" customFormat="1" hidden="1" x14ac:dyDescent="0.35">
      <c r="A5" s="297"/>
      <c r="B5" s="297"/>
      <c r="C5" s="303" t="s">
        <v>229</v>
      </c>
      <c r="D5" s="304"/>
      <c r="E5" s="297"/>
    </row>
    <row r="6" spans="1:5" s="298" customFormat="1" hidden="1" x14ac:dyDescent="0.35">
      <c r="A6" s="297"/>
      <c r="B6" s="297"/>
      <c r="C6" s="303" t="s">
        <v>230</v>
      </c>
      <c r="D6" s="304"/>
      <c r="E6" s="297"/>
    </row>
    <row r="7" spans="1:5" s="298" customFormat="1" ht="16.8" hidden="1" thickBot="1" x14ac:dyDescent="0.4">
      <c r="A7" s="297"/>
      <c r="B7" s="297"/>
      <c r="C7" s="305" t="s">
        <v>43</v>
      </c>
      <c r="D7" s="306"/>
      <c r="E7" s="297"/>
    </row>
    <row r="9" spans="1:5" s="298" customFormat="1" x14ac:dyDescent="0.35">
      <c r="A9" s="297" t="s">
        <v>155</v>
      </c>
      <c r="B9" s="297"/>
      <c r="C9" s="297"/>
      <c r="D9" s="297"/>
      <c r="E9" s="297"/>
    </row>
    <row r="10" spans="1:5" s="298" customFormat="1" ht="24" customHeight="1" x14ac:dyDescent="0.35">
      <c r="A10" s="297"/>
      <c r="B10" s="297"/>
      <c r="C10" s="297"/>
      <c r="D10" s="297"/>
      <c r="E10" s="297"/>
    </row>
    <row r="12" spans="1:5" s="298" customFormat="1" ht="15" customHeight="1" x14ac:dyDescent="0.35">
      <c r="A12" s="297"/>
      <c r="B12" s="339" t="s">
        <v>206</v>
      </c>
      <c r="C12" s="340"/>
      <c r="D12" s="307"/>
      <c r="E12" s="297"/>
    </row>
    <row r="13" spans="1:5" s="298" customFormat="1" ht="15" customHeight="1" x14ac:dyDescent="0.35">
      <c r="A13" s="297"/>
      <c r="B13" s="341" t="s">
        <v>186</v>
      </c>
      <c r="C13" s="342"/>
      <c r="D13" s="307"/>
      <c r="E13" s="297"/>
    </row>
    <row r="14" spans="1:5" s="298" customFormat="1" ht="15" customHeight="1" x14ac:dyDescent="0.35">
      <c r="A14" s="297"/>
      <c r="B14" s="341" t="s">
        <v>201</v>
      </c>
      <c r="C14" s="343"/>
      <c r="D14" s="308"/>
      <c r="E14" s="297"/>
    </row>
    <row r="15" spans="1:5" s="298" customFormat="1" ht="15" customHeight="1" x14ac:dyDescent="0.35">
      <c r="A15" s="297"/>
      <c r="B15" s="341" t="s">
        <v>195</v>
      </c>
      <c r="C15" s="343"/>
      <c r="D15" s="308"/>
      <c r="E15" s="297"/>
    </row>
    <row r="16" spans="1:5" s="298" customFormat="1" ht="15" customHeight="1" x14ac:dyDescent="0.35">
      <c r="A16" s="297"/>
      <c r="B16" s="344" t="s">
        <v>205</v>
      </c>
      <c r="C16" s="345"/>
      <c r="D16" s="309"/>
      <c r="E16" s="297"/>
    </row>
    <row r="17" spans="2:8" ht="15" customHeight="1" x14ac:dyDescent="0.35">
      <c r="B17" s="341" t="s">
        <v>187</v>
      </c>
      <c r="C17" s="343"/>
      <c r="D17" s="308"/>
    </row>
    <row r="18" spans="2:8" ht="15" customHeight="1" x14ac:dyDescent="0.35">
      <c r="B18" s="341" t="s">
        <v>191</v>
      </c>
      <c r="C18" s="343"/>
      <c r="D18" s="308"/>
    </row>
    <row r="19" spans="2:8" ht="15" customHeight="1" x14ac:dyDescent="0.35">
      <c r="B19" s="346" t="s">
        <v>207</v>
      </c>
      <c r="C19" s="347"/>
      <c r="D19" s="308"/>
    </row>
    <row r="21" spans="2:8" ht="15.6" customHeight="1" x14ac:dyDescent="0.35">
      <c r="B21" s="310"/>
      <c r="C21" s="310" t="s">
        <v>231</v>
      </c>
      <c r="D21" s="310" t="s">
        <v>232</v>
      </c>
      <c r="E21" s="310" t="s">
        <v>233</v>
      </c>
    </row>
    <row r="22" spans="2:8" x14ac:dyDescent="0.35">
      <c r="B22" s="311" t="s">
        <v>203</v>
      </c>
      <c r="C22" s="312">
        <f>PRINCIPAL!N27</f>
        <v>2733.9381135827016</v>
      </c>
      <c r="D22" s="312">
        <f>PRINCIPAL!X27</f>
        <v>972.45</v>
      </c>
      <c r="E22" s="312">
        <f t="shared" ref="E22" si="0">C22-D22</f>
        <v>1761.4881135827015</v>
      </c>
      <c r="F22" s="313">
        <f>E22*100%/C22</f>
        <v>0.64430431136363631</v>
      </c>
    </row>
    <row r="23" spans="2:8" x14ac:dyDescent="0.35">
      <c r="B23" s="311" t="s">
        <v>238</v>
      </c>
      <c r="C23" s="312">
        <f>'ESTANPLAZA VL OLÍMPIA'!N26</f>
        <v>37107.171716167511</v>
      </c>
      <c r="D23" s="312">
        <f>'ESTANPLAZA VL OLÍMPIA'!X26</f>
        <v>34936.400000000001</v>
      </c>
      <c r="E23" s="312">
        <f>C23-D23</f>
        <v>2170.77171616751</v>
      </c>
      <c r="F23" s="313">
        <f t="shared" ref="F23" si="1">E23*100%/C23</f>
        <v>5.850005850005835E-2</v>
      </c>
    </row>
    <row r="24" spans="2:8" x14ac:dyDescent="0.35">
      <c r="B24" s="310" t="s">
        <v>43</v>
      </c>
      <c r="C24" s="314">
        <f>SUM(C22:C23)</f>
        <v>39841.10982975021</v>
      </c>
      <c r="D24" s="314">
        <f>SUM(D22:D23)</f>
        <v>35908.85</v>
      </c>
      <c r="E24" s="314">
        <f>SUM(E22:E23)</f>
        <v>3932.2598297502118</v>
      </c>
      <c r="F24" s="313">
        <f>E24*100%/C24</f>
        <v>9.8698551484976679E-2</v>
      </c>
      <c r="H24" s="315"/>
    </row>
    <row r="26" spans="2:8" ht="200.1" hidden="1" customHeight="1" x14ac:dyDescent="0.35"/>
    <row r="28" spans="2:8" ht="16.8" thickBot="1" x14ac:dyDescent="0.4">
      <c r="C28" s="316" t="s">
        <v>234</v>
      </c>
      <c r="D28" s="317"/>
    </row>
    <row r="29" spans="2:8" ht="21.9" customHeight="1" thickBot="1" x14ac:dyDescent="0.4">
      <c r="B29" s="350" t="s">
        <v>235</v>
      </c>
      <c r="C29" s="351"/>
      <c r="D29" s="351"/>
      <c r="E29" s="351"/>
      <c r="F29" s="352"/>
    </row>
    <row r="30" spans="2:8" ht="24.9" customHeight="1" thickBot="1" x14ac:dyDescent="0.4">
      <c r="B30" s="318" t="s">
        <v>239</v>
      </c>
      <c r="C30" s="319">
        <v>34936.400000000001</v>
      </c>
      <c r="D30" s="336">
        <f>D24</f>
        <v>35908.85</v>
      </c>
      <c r="E30" s="337">
        <f>C30-D30</f>
        <v>-972.44999999999709</v>
      </c>
      <c r="F30" s="338">
        <f>E30*100%/C30</f>
        <v>-2.7834865641565731E-2</v>
      </c>
    </row>
    <row r="31" spans="2:8" ht="24.9" customHeight="1" thickBot="1" x14ac:dyDescent="0.4">
      <c r="B31" s="320" t="s">
        <v>240</v>
      </c>
      <c r="C31" s="321">
        <v>4904.71</v>
      </c>
      <c r="D31" s="322">
        <f>C31*0.15</f>
        <v>735.70650000000001</v>
      </c>
      <c r="E31" s="323">
        <f>C31-D31</f>
        <v>4169.0034999999998</v>
      </c>
      <c r="F31" s="324">
        <f>E31*100%/C31</f>
        <v>0.85</v>
      </c>
    </row>
    <row r="32" spans="2:8" ht="20.25" customHeight="1" thickBot="1" x14ac:dyDescent="0.4">
      <c r="B32" s="325"/>
      <c r="C32" s="326">
        <f>SUM(C30:C31)</f>
        <v>39841.11</v>
      </c>
      <c r="D32" s="327">
        <f>SUM(D30:D31)</f>
        <v>36644.556499999999</v>
      </c>
      <c r="E32" s="328">
        <f>SUM(E30:E31)</f>
        <v>3196.5535000000027</v>
      </c>
      <c r="F32" s="324">
        <f t="shared" ref="F32" si="2">E32*100%/C32</f>
        <v>8.0232541211828753E-2</v>
      </c>
      <c r="G32" s="329"/>
    </row>
    <row r="33" spans="1:8" x14ac:dyDescent="0.35">
      <c r="C33" s="330">
        <f>C24-C32</f>
        <v>-1.7024979024427012E-4</v>
      </c>
    </row>
    <row r="39" spans="1:8" s="298" customFormat="1" x14ac:dyDescent="0.35">
      <c r="A39" s="297"/>
      <c r="B39" s="297"/>
      <c r="C39" s="297"/>
      <c r="D39" s="297"/>
      <c r="E39" s="329"/>
      <c r="G39" s="297"/>
      <c r="H39" s="297"/>
    </row>
  </sheetData>
  <mergeCells count="2">
    <mergeCell ref="E3:E4"/>
    <mergeCell ref="B29:F29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A5538-7724-4BD9-ACAB-ED8749154A56}">
  <sheetPr codeName="Planilha20">
    <pageSetUpPr autoPageBreaks="0" fitToPage="1"/>
  </sheetPr>
  <dimension ref="A1:AM31"/>
  <sheetViews>
    <sheetView showGridLines="0" topLeftCell="B1" zoomScale="40" zoomScaleNormal="40" workbookViewId="0">
      <pane ySplit="1" topLeftCell="A2" activePane="bottomLeft" state="frozen"/>
      <selection activeCell="N39" sqref="N39"/>
      <selection pane="bottomLeft" activeCell="F8" sqref="F8:G15"/>
    </sheetView>
  </sheetViews>
  <sheetFormatPr defaultColWidth="9.109375" defaultRowHeight="25.8" x14ac:dyDescent="0.5"/>
  <cols>
    <col min="1" max="1" width="8.33203125" style="202" hidden="1" customWidth="1"/>
    <col min="2" max="2" width="12" style="202" customWidth="1"/>
    <col min="3" max="3" width="5.44140625" style="202" hidden="1" customWidth="1"/>
    <col min="4" max="4" width="6" style="202" hidden="1" customWidth="1"/>
    <col min="5" max="5" width="9" style="202" hidden="1" customWidth="1"/>
    <col min="6" max="6" width="36.88671875" style="202" customWidth="1"/>
    <col min="7" max="7" width="71.33203125" style="202" customWidth="1"/>
    <col min="8" max="9" width="7.6640625" style="203" hidden="1" customWidth="1"/>
    <col min="10" max="10" width="17.109375" style="202" hidden="1" customWidth="1"/>
    <col min="11" max="11" width="31.88671875" style="202" bestFit="1" customWidth="1"/>
    <col min="12" max="12" width="25.5546875" style="202" bestFit="1" customWidth="1"/>
    <col min="13" max="13" width="27.33203125" style="202" bestFit="1" customWidth="1"/>
    <col min="14" max="14" width="31.88671875" style="202" bestFit="1" customWidth="1"/>
    <col min="15" max="15" width="3.33203125" style="202" hidden="1" customWidth="1"/>
    <col min="16" max="16" width="1.88671875" style="202" hidden="1" customWidth="1"/>
    <col min="17" max="17" width="7.6640625" style="203" customWidth="1"/>
    <col min="18" max="18" width="7.6640625" style="203" hidden="1" customWidth="1"/>
    <col min="19" max="19" width="17" style="202" hidden="1" customWidth="1"/>
    <col min="20" max="20" width="25.33203125" style="202" bestFit="1" customWidth="1"/>
    <col min="21" max="21" width="23.5546875" style="202" hidden="1" customWidth="1"/>
    <col min="22" max="23" width="22.6640625" style="202" hidden="1" customWidth="1"/>
    <col min="24" max="24" width="28.6640625" style="202" bestFit="1" customWidth="1"/>
    <col min="25" max="25" width="28.33203125" style="202" hidden="1" customWidth="1"/>
    <col min="26" max="26" width="19.6640625" style="202" hidden="1" customWidth="1"/>
    <col min="27" max="27" width="25.109375" style="202" hidden="1" customWidth="1"/>
    <col min="28" max="28" width="38.109375" style="202" hidden="1" customWidth="1"/>
    <col min="29" max="30" width="33" style="202" hidden="1" customWidth="1"/>
    <col min="31" max="31" width="28" style="202" hidden="1" customWidth="1"/>
    <col min="32" max="32" width="1.33203125" style="202" hidden="1" customWidth="1"/>
    <col min="33" max="33" width="81.5546875" style="202" hidden="1" customWidth="1"/>
    <col min="34" max="34" width="36.6640625" style="202" hidden="1" customWidth="1"/>
    <col min="35" max="35" width="1.5546875" style="202" hidden="1" customWidth="1"/>
    <col min="36" max="36" width="20.33203125" style="202" hidden="1" customWidth="1"/>
    <col min="37" max="37" width="28.6640625" style="202" customWidth="1"/>
    <col min="38" max="38" width="35.44140625" style="202" customWidth="1"/>
    <col min="39" max="39" width="9.109375" style="295"/>
    <col min="40" max="40" width="21.33203125" style="202" customWidth="1"/>
    <col min="41" max="16384" width="9.109375" style="202"/>
  </cols>
  <sheetData>
    <row r="1" spans="2:38" ht="49.5" customHeight="1" x14ac:dyDescent="0.5">
      <c r="B1" s="201"/>
      <c r="C1" s="71"/>
      <c r="D1" s="71"/>
      <c r="F1" s="372" t="s">
        <v>128</v>
      </c>
      <c r="G1" s="372"/>
    </row>
    <row r="2" spans="2:38" ht="24.75" customHeight="1" x14ac:dyDescent="0.5">
      <c r="B2" s="204"/>
      <c r="D2" s="71"/>
      <c r="F2" s="373" t="s">
        <v>0</v>
      </c>
      <c r="G2" s="373"/>
    </row>
    <row r="3" spans="2:38" ht="24.75" customHeight="1" x14ac:dyDescent="0.5">
      <c r="B3" s="204"/>
      <c r="D3" s="71"/>
      <c r="F3" s="72"/>
      <c r="G3" s="72"/>
    </row>
    <row r="4" spans="2:38" ht="24.75" customHeight="1" x14ac:dyDescent="0.5">
      <c r="B4" s="204"/>
      <c r="D4" s="71"/>
      <c r="F4" s="72"/>
      <c r="G4" s="72"/>
    </row>
    <row r="5" spans="2:38" ht="24.75" customHeight="1" x14ac:dyDescent="0.5">
      <c r="B5" s="204"/>
      <c r="D5" s="71"/>
      <c r="F5" s="72"/>
      <c r="G5" s="72"/>
    </row>
    <row r="6" spans="2:38" ht="24.75" customHeight="1" x14ac:dyDescent="0.5">
      <c r="B6" s="204"/>
      <c r="D6" s="71"/>
      <c r="F6" s="72"/>
      <c r="G6" s="72"/>
    </row>
    <row r="7" spans="2:38" x14ac:dyDescent="0.5">
      <c r="B7" s="205"/>
      <c r="F7" s="206"/>
      <c r="G7" s="206"/>
    </row>
    <row r="8" spans="2:38" x14ac:dyDescent="0.5">
      <c r="F8" s="73" t="s">
        <v>206</v>
      </c>
      <c r="G8" s="74"/>
    </row>
    <row r="9" spans="2:38" x14ac:dyDescent="0.5">
      <c r="F9" s="75" t="s">
        <v>186</v>
      </c>
      <c r="G9" s="76"/>
    </row>
    <row r="10" spans="2:38" x14ac:dyDescent="0.5">
      <c r="F10" s="75" t="s">
        <v>201</v>
      </c>
      <c r="G10" s="77"/>
    </row>
    <row r="11" spans="2:38" ht="21.75" customHeight="1" x14ac:dyDescent="0.5">
      <c r="F11" s="75" t="s">
        <v>195</v>
      </c>
      <c r="G11" s="77"/>
    </row>
    <row r="12" spans="2:38" x14ac:dyDescent="0.5">
      <c r="F12" s="78" t="s">
        <v>205</v>
      </c>
      <c r="G12" s="79"/>
    </row>
    <row r="13" spans="2:38" x14ac:dyDescent="0.5">
      <c r="F13" s="75" t="s">
        <v>187</v>
      </c>
      <c r="G13" s="77"/>
      <c r="M13" s="202">
        <v>0.80469999999999997</v>
      </c>
    </row>
    <row r="14" spans="2:38" ht="27" customHeight="1" x14ac:dyDescent="0.5">
      <c r="F14" s="75" t="s">
        <v>191</v>
      </c>
      <c r="G14" s="77"/>
      <c r="M14" s="202">
        <f>1-M13</f>
        <v>0.19530000000000003</v>
      </c>
    </row>
    <row r="15" spans="2:38" x14ac:dyDescent="0.5">
      <c r="F15" s="80" t="s">
        <v>207</v>
      </c>
      <c r="G15" s="81"/>
    </row>
    <row r="16" spans="2:38" ht="52.2" hidden="1" thickBot="1" x14ac:dyDescent="0.55000000000000004">
      <c r="B16" s="207"/>
      <c r="M16" s="208"/>
      <c r="Q16" s="374" t="s">
        <v>1</v>
      </c>
      <c r="R16" s="375"/>
      <c r="S16" s="375"/>
      <c r="T16" s="376"/>
      <c r="U16" s="364" t="s">
        <v>2</v>
      </c>
      <c r="V16" s="365"/>
      <c r="W16" s="365"/>
      <c r="X16" s="366"/>
      <c r="Y16" s="209" t="s">
        <v>56</v>
      </c>
      <c r="Z16" s="210" t="e">
        <f>(1/(1-#REF!))-1</f>
        <v>#REF!</v>
      </c>
      <c r="AC16" s="367" t="s">
        <v>3</v>
      </c>
      <c r="AD16" s="368"/>
      <c r="AE16" s="369"/>
      <c r="AG16" s="370" t="s">
        <v>58</v>
      </c>
      <c r="AH16" s="371"/>
      <c r="AJ16" s="211" t="s">
        <v>71</v>
      </c>
      <c r="AK16" s="362" t="s">
        <v>70</v>
      </c>
      <c r="AL16" s="363"/>
    </row>
    <row r="17" spans="1:39" ht="15.9" customHeight="1" thickBot="1" x14ac:dyDescent="0.55000000000000004">
      <c r="A17" s="212" t="s">
        <v>4</v>
      </c>
      <c r="B17" s="213" t="s">
        <v>5</v>
      </c>
      <c r="C17" s="212" t="s">
        <v>6</v>
      </c>
      <c r="D17" s="212" t="s">
        <v>7</v>
      </c>
      <c r="E17" s="212" t="s">
        <v>8</v>
      </c>
      <c r="M17" s="214">
        <v>0.80469999999999997</v>
      </c>
    </row>
    <row r="18" spans="1:39" ht="56.25" customHeight="1" thickBot="1" x14ac:dyDescent="0.55000000000000004">
      <c r="A18" s="215">
        <v>0</v>
      </c>
      <c r="B18" s="216"/>
      <c r="C18" s="217"/>
      <c r="D18" s="218"/>
      <c r="E18" s="218"/>
      <c r="F18" s="219" t="s">
        <v>131</v>
      </c>
      <c r="G18" s="220" t="s">
        <v>132</v>
      </c>
      <c r="H18" s="221" t="s">
        <v>133</v>
      </c>
      <c r="I18" s="221" t="s">
        <v>134</v>
      </c>
      <c r="J18" s="222" t="s">
        <v>135</v>
      </c>
      <c r="K18" s="223" t="s">
        <v>9</v>
      </c>
      <c r="L18" s="224">
        <v>7.4999999999999997E-2</v>
      </c>
      <c r="M18" s="225">
        <f>1-M17</f>
        <v>0.19530000000000003</v>
      </c>
      <c r="N18" s="226" t="s">
        <v>129</v>
      </c>
      <c r="Q18" s="227" t="s">
        <v>136</v>
      </c>
      <c r="R18" s="228" t="s">
        <v>137</v>
      </c>
      <c r="S18" s="229" t="s">
        <v>138</v>
      </c>
      <c r="T18" s="230" t="s">
        <v>139</v>
      </c>
      <c r="U18" s="231" t="s">
        <v>140</v>
      </c>
      <c r="V18" s="232" t="s">
        <v>141</v>
      </c>
      <c r="W18" s="233" t="s">
        <v>142</v>
      </c>
      <c r="X18" s="233" t="s">
        <v>143</v>
      </c>
      <c r="Y18" s="234" t="s">
        <v>144</v>
      </c>
      <c r="Z18" s="235" t="s">
        <v>145</v>
      </c>
      <c r="AA18" s="236" t="s">
        <v>130</v>
      </c>
      <c r="AC18" s="237" t="s">
        <v>146</v>
      </c>
      <c r="AD18" s="238" t="s">
        <v>147</v>
      </c>
      <c r="AE18" s="238" t="s">
        <v>33</v>
      </c>
      <c r="AG18" s="239" t="s">
        <v>148</v>
      </c>
      <c r="AH18" s="240" t="s">
        <v>149</v>
      </c>
      <c r="AI18" s="202" t="s">
        <v>150</v>
      </c>
      <c r="AJ18" s="202" t="s">
        <v>150</v>
      </c>
      <c r="AK18" s="241" t="s">
        <v>151</v>
      </c>
      <c r="AL18" s="242" t="s">
        <v>152</v>
      </c>
    </row>
    <row r="19" spans="1:39" ht="39.9" customHeight="1" thickBot="1" x14ac:dyDescent="0.55000000000000004">
      <c r="A19" s="243">
        <v>1</v>
      </c>
      <c r="B19" s="244">
        <v>1</v>
      </c>
      <c r="C19" s="245" t="s">
        <v>172</v>
      </c>
      <c r="D19" s="243"/>
      <c r="E19" s="243"/>
      <c r="F19" s="353" t="s">
        <v>175</v>
      </c>
      <c r="G19" s="354"/>
      <c r="H19" s="354"/>
      <c r="I19" s="354"/>
      <c r="J19" s="354"/>
      <c r="K19" s="354"/>
      <c r="L19" s="354"/>
      <c r="M19" s="354"/>
      <c r="N19" s="355"/>
      <c r="Q19" s="353" t="str">
        <f>IF(F19&lt;&gt;"",F19,"")</f>
        <v>INTERNOS</v>
      </c>
      <c r="R19" s="354"/>
      <c r="S19" s="354"/>
      <c r="T19" s="354"/>
      <c r="U19" s="354"/>
      <c r="V19" s="354"/>
      <c r="W19" s="354"/>
      <c r="X19" s="354"/>
      <c r="Y19" s="355"/>
      <c r="AK19" s="246"/>
      <c r="AL19" s="246"/>
    </row>
    <row r="20" spans="1:39" ht="39.9" customHeight="1" x14ac:dyDescent="0.5">
      <c r="A20" s="218">
        <v>2</v>
      </c>
      <c r="B20" s="244" t="s">
        <v>173</v>
      </c>
      <c r="C20" s="247" t="s">
        <v>167</v>
      </c>
      <c r="D20" s="218"/>
      <c r="E20" s="218"/>
      <c r="F20" s="356" t="s">
        <v>175</v>
      </c>
      <c r="G20" s="357"/>
      <c r="H20" s="357"/>
      <c r="I20" s="357"/>
      <c r="J20" s="357"/>
      <c r="K20" s="358"/>
      <c r="L20" s="249" t="s">
        <v>168</v>
      </c>
      <c r="M20" s="250" t="s">
        <v>169</v>
      </c>
      <c r="N20" s="251" t="s">
        <v>129</v>
      </c>
      <c r="Q20" s="356" t="str">
        <f>IF(F20&lt;&gt;"",F20,"")</f>
        <v>INTERNOS</v>
      </c>
      <c r="R20" s="357"/>
      <c r="S20" s="357"/>
      <c r="T20" s="357"/>
      <c r="U20" s="357"/>
      <c r="V20" s="357"/>
      <c r="W20" s="357"/>
      <c r="X20" s="357"/>
      <c r="Y20" s="359"/>
      <c r="Z20" s="252" t="s">
        <v>170</v>
      </c>
      <c r="AA20" s="253" t="s">
        <v>130</v>
      </c>
      <c r="AK20" s="248"/>
      <c r="AL20" s="248"/>
    </row>
    <row r="21" spans="1:39" ht="170.1" customHeight="1" x14ac:dyDescent="0.5">
      <c r="A21" s="218">
        <v>3</v>
      </c>
      <c r="B21" s="244" t="s">
        <v>174</v>
      </c>
      <c r="C21" s="254" t="s">
        <v>171</v>
      </c>
      <c r="D21" s="255" t="s">
        <v>176</v>
      </c>
      <c r="E21" s="255" t="s">
        <v>177</v>
      </c>
      <c r="F21" s="256" t="s">
        <v>192</v>
      </c>
      <c r="G21" s="257" t="s">
        <v>226</v>
      </c>
      <c r="H21" s="258">
        <v>1</v>
      </c>
      <c r="I21" s="259">
        <v>1</v>
      </c>
      <c r="J21" s="260">
        <v>2200</v>
      </c>
      <c r="K21" s="261">
        <f t="shared" ref="K21" si="0">IF(F21&lt;&gt;"",H21*I21*J21,"")</f>
        <v>2200</v>
      </c>
      <c r="L21" s="261">
        <f t="shared" ref="L21" si="1">IF(K21&lt;&gt;"",IF(D21="INTERNO",0,K21*$L$18),"")</f>
        <v>0</v>
      </c>
      <c r="M21" s="261">
        <f t="shared" ref="M21" si="2">IF(K21&lt;&gt;"",IF(E21="FAT.OGGI",SUM(K21:L21)*(1/(1-$M$18)-1),L21*(1/(1-$M$18)-1)),"")</f>
        <v>533.93811358270182</v>
      </c>
      <c r="N21" s="262">
        <f t="shared" ref="N21" si="3">SUM(K21:M21)</f>
        <v>2733.9381135827016</v>
      </c>
      <c r="O21" s="263"/>
      <c r="P21" s="263"/>
      <c r="Q21" s="264">
        <f t="shared" ref="Q21:R21" si="4">IF(H21&lt;&gt;"",H21,"")</f>
        <v>1</v>
      </c>
      <c r="R21" s="265">
        <f t="shared" si="4"/>
        <v>1</v>
      </c>
      <c r="S21" s="266">
        <v>0</v>
      </c>
      <c r="T21" s="266">
        <f t="shared" ref="T21" si="5">IF(Q21&lt;&gt;"",Q21*R21*S21,"")</f>
        <v>0</v>
      </c>
      <c r="U21" s="267">
        <f>IF(Q21&lt;&gt;"",K21-T21,"")</f>
        <v>2200</v>
      </c>
      <c r="V21" s="268">
        <f t="shared" ref="V21" si="6">IF(Q21&lt;&gt;"",0%,"")</f>
        <v>0</v>
      </c>
      <c r="W21" s="269">
        <f t="shared" ref="W21" si="7">IF(Q21&lt;&gt;"",V21*U21,"")</f>
        <v>0</v>
      </c>
      <c r="X21" s="269">
        <f t="shared" ref="X21" si="8">IF(Q21&lt;&gt;"",W21+T21,"")</f>
        <v>0</v>
      </c>
      <c r="Y21" s="270">
        <f>IF(Q21&lt;&gt;"",X21+M21,"")</f>
        <v>533.93811358270182</v>
      </c>
      <c r="Z21" s="271">
        <f t="shared" ref="Z21" si="9">IF(Q21&lt;&gt;"",U21/K21,"")</f>
        <v>1</v>
      </c>
      <c r="AA21" s="272" t="e">
        <f>T21/T22</f>
        <v>#DIV/0!</v>
      </c>
      <c r="AK21" s="273">
        <f>X21-AL21</f>
        <v>0</v>
      </c>
      <c r="AL21" s="274"/>
    </row>
    <row r="22" spans="1:39" ht="39.9" customHeight="1" x14ac:dyDescent="0.5">
      <c r="A22" s="255">
        <v>4</v>
      </c>
      <c r="B22" s="244"/>
      <c r="C22" s="254" t="s">
        <v>178</v>
      </c>
      <c r="D22" s="255"/>
      <c r="E22" s="255"/>
      <c r="F22" s="360" t="s">
        <v>179</v>
      </c>
      <c r="G22" s="361"/>
      <c r="H22" s="361"/>
      <c r="I22" s="361"/>
      <c r="J22" s="361"/>
      <c r="K22" s="275">
        <f>SUM(K21:K21)</f>
        <v>2200</v>
      </c>
      <c r="L22" s="275">
        <f>SUM(L21:L21)</f>
        <v>0</v>
      </c>
      <c r="M22" s="275">
        <f>SUM(M21:M21)</f>
        <v>533.93811358270182</v>
      </c>
      <c r="N22" s="276">
        <f>SUM(N21:N21)</f>
        <v>2733.9381135827016</v>
      </c>
      <c r="Q22" s="360" t="s">
        <v>188</v>
      </c>
      <c r="R22" s="361"/>
      <c r="S22" s="361"/>
      <c r="T22" s="277">
        <f>SUM(T21:T21)</f>
        <v>0</v>
      </c>
      <c r="U22" s="278">
        <f>SUM(U21:U21)</f>
        <v>2200</v>
      </c>
      <c r="V22" s="279"/>
      <c r="W22" s="279"/>
      <c r="X22" s="280">
        <f>SUM(X21:X21)</f>
        <v>0</v>
      </c>
      <c r="Y22" s="281">
        <f t="shared" ref="Y22" si="10">IF(Q22&lt;&gt;"",X22+M22,"")</f>
        <v>533.93811358270182</v>
      </c>
      <c r="Z22" s="282" t="s">
        <v>184</v>
      </c>
      <c r="AA22" s="283" t="s">
        <v>185</v>
      </c>
      <c r="AK22" s="273"/>
      <c r="AL22" s="274"/>
    </row>
    <row r="23" spans="1:39" ht="39.9" customHeight="1" thickBot="1" x14ac:dyDescent="0.55000000000000004">
      <c r="A23" s="243">
        <v>1</v>
      </c>
      <c r="B23" s="244">
        <v>1</v>
      </c>
      <c r="C23" s="245" t="s">
        <v>172</v>
      </c>
      <c r="D23" s="243"/>
      <c r="E23" s="243"/>
      <c r="F23" s="353" t="s">
        <v>218</v>
      </c>
      <c r="G23" s="354"/>
      <c r="H23" s="354"/>
      <c r="I23" s="354"/>
      <c r="J23" s="354"/>
      <c r="K23" s="354"/>
      <c r="L23" s="354"/>
      <c r="M23" s="354"/>
      <c r="N23" s="355"/>
      <c r="Q23" s="353" t="str">
        <f>IF(F23&lt;&gt;"",F23,"")</f>
        <v>BRINDES</v>
      </c>
      <c r="R23" s="354"/>
      <c r="S23" s="354"/>
      <c r="T23" s="354"/>
      <c r="U23" s="354"/>
      <c r="V23" s="354"/>
      <c r="W23" s="354"/>
      <c r="X23" s="354"/>
      <c r="Y23" s="355"/>
      <c r="AK23" s="273"/>
      <c r="AL23" s="274"/>
    </row>
    <row r="24" spans="1:39" ht="39.9" customHeight="1" x14ac:dyDescent="0.5">
      <c r="A24" s="218">
        <v>2</v>
      </c>
      <c r="B24" s="244" t="s">
        <v>173</v>
      </c>
      <c r="C24" s="247" t="s">
        <v>167</v>
      </c>
      <c r="D24" s="218"/>
      <c r="E24" s="218"/>
      <c r="F24" s="356" t="s">
        <v>175</v>
      </c>
      <c r="G24" s="357"/>
      <c r="H24" s="357"/>
      <c r="I24" s="357"/>
      <c r="J24" s="357"/>
      <c r="K24" s="358"/>
      <c r="L24" s="249" t="s">
        <v>168</v>
      </c>
      <c r="M24" s="250" t="s">
        <v>169</v>
      </c>
      <c r="N24" s="251" t="s">
        <v>129</v>
      </c>
      <c r="Q24" s="356" t="str">
        <f>IF(F24&lt;&gt;"",F24,"")</f>
        <v>INTERNOS</v>
      </c>
      <c r="R24" s="357"/>
      <c r="S24" s="357"/>
      <c r="T24" s="357"/>
      <c r="U24" s="357"/>
      <c r="V24" s="357"/>
      <c r="W24" s="357"/>
      <c r="X24" s="357"/>
      <c r="Y24" s="359"/>
      <c r="Z24" s="252" t="s">
        <v>170</v>
      </c>
      <c r="AA24" s="253" t="s">
        <v>130</v>
      </c>
      <c r="AK24" s="273"/>
      <c r="AL24" s="274"/>
    </row>
    <row r="25" spans="1:39" ht="170.1" customHeight="1" x14ac:dyDescent="0.5">
      <c r="A25" s="218">
        <v>3</v>
      </c>
      <c r="B25" s="244" t="s">
        <v>174</v>
      </c>
      <c r="C25" s="254" t="s">
        <v>171</v>
      </c>
      <c r="D25" s="255" t="s">
        <v>180</v>
      </c>
      <c r="E25" s="255" t="s">
        <v>189</v>
      </c>
      <c r="F25" s="256" t="s">
        <v>216</v>
      </c>
      <c r="G25" s="257" t="s">
        <v>217</v>
      </c>
      <c r="H25" s="258">
        <v>45</v>
      </c>
      <c r="I25" s="259">
        <v>1</v>
      </c>
      <c r="J25" s="260">
        <v>25.35</v>
      </c>
      <c r="K25" s="261">
        <f t="shared" ref="K25" si="11">IF(F25&lt;&gt;"",H25*I25*J25,"")</f>
        <v>1140.75</v>
      </c>
      <c r="L25" s="261">
        <f t="shared" ref="L25" si="12">IF(K25&lt;&gt;"",IF(D25="INTERNO",0,K25*$L$18),"")</f>
        <v>85.556249999999991</v>
      </c>
      <c r="M25" s="261">
        <f t="shared" ref="M25" si="13">IF(K25&lt;&gt;"",IF(E25="FAT.OGGI",SUM(K25:L25)*(1/(1-$M$18)-1),L25*(1/(1-$M$18)-1)),"")</f>
        <v>20.764428513731829</v>
      </c>
      <c r="N25" s="262">
        <f t="shared" ref="N25" si="14">SUM(K25:M25)</f>
        <v>1247.070678513732</v>
      </c>
      <c r="O25" s="263"/>
      <c r="P25" s="263"/>
      <c r="Q25" s="264">
        <f t="shared" ref="Q25" si="15">IF(H25&lt;&gt;"",H25,"")</f>
        <v>45</v>
      </c>
      <c r="R25" s="265">
        <f t="shared" ref="R25" si="16">IF(I25&lt;&gt;"",I25,"")</f>
        <v>1</v>
      </c>
      <c r="S25" s="266">
        <v>0</v>
      </c>
      <c r="T25" s="266">
        <v>972.45</v>
      </c>
      <c r="U25" s="267">
        <f>IF(Q25&lt;&gt;"",K25-T25,"")</f>
        <v>168.29999999999995</v>
      </c>
      <c r="V25" s="268">
        <f t="shared" ref="V25" si="17">IF(Q25&lt;&gt;"",0%,"")</f>
        <v>0</v>
      </c>
      <c r="W25" s="269">
        <f t="shared" ref="W25" si="18">IF(Q25&lt;&gt;"",V25*U25,"")</f>
        <v>0</v>
      </c>
      <c r="X25" s="269">
        <f t="shared" ref="X25" si="19">IF(Q25&lt;&gt;"",W25+T25,"")</f>
        <v>972.45</v>
      </c>
      <c r="Y25" s="270">
        <f>IF(Q25&lt;&gt;"",X25+M25,"")</f>
        <v>993.21442851373183</v>
      </c>
      <c r="Z25" s="271">
        <f t="shared" ref="Z25" si="20">IF(Q25&lt;&gt;"",U25/K25,"")</f>
        <v>0.14753451676528595</v>
      </c>
      <c r="AA25" s="272">
        <f>T25/T26</f>
        <v>1</v>
      </c>
      <c r="AK25" s="273">
        <f>T25-AL25</f>
        <v>0</v>
      </c>
      <c r="AL25" s="274">
        <f>872.5+99.95</f>
        <v>972.45</v>
      </c>
      <c r="AM25" s="295" t="s">
        <v>228</v>
      </c>
    </row>
    <row r="26" spans="1:39" ht="39.9" customHeight="1" thickBot="1" x14ac:dyDescent="0.55000000000000004">
      <c r="A26" s="255">
        <v>4</v>
      </c>
      <c r="B26" s="244"/>
      <c r="C26" s="254" t="s">
        <v>178</v>
      </c>
      <c r="D26" s="255"/>
      <c r="E26" s="255"/>
      <c r="F26" s="360" t="s">
        <v>179</v>
      </c>
      <c r="G26" s="361"/>
      <c r="H26" s="361"/>
      <c r="I26" s="361"/>
      <c r="J26" s="361"/>
      <c r="K26" s="275">
        <f>SUM(K25:K25)</f>
        <v>1140.75</v>
      </c>
      <c r="L26" s="275">
        <f>SUM(L25:L25)</f>
        <v>85.556249999999991</v>
      </c>
      <c r="M26" s="275">
        <f>SUM(M25:M25)</f>
        <v>20.764428513731829</v>
      </c>
      <c r="N26" s="276">
        <f>SUM(N25:N25)</f>
        <v>1247.070678513732</v>
      </c>
      <c r="Q26" s="360" t="s">
        <v>188</v>
      </c>
      <c r="R26" s="361"/>
      <c r="S26" s="361"/>
      <c r="T26" s="277">
        <f>SUM(T25:T25)</f>
        <v>972.45</v>
      </c>
      <c r="U26" s="278">
        <f>SUM(U25:U25)</f>
        <v>168.29999999999995</v>
      </c>
      <c r="V26" s="279"/>
      <c r="W26" s="279"/>
      <c r="X26" s="280">
        <f>SUM(X25:X25)</f>
        <v>972.45</v>
      </c>
      <c r="Y26" s="281">
        <f t="shared" ref="Y26" si="21">IF(Q26&lt;&gt;"",X26+M26,"")</f>
        <v>993.21442851373183</v>
      </c>
      <c r="Z26" s="282" t="s">
        <v>184</v>
      </c>
      <c r="AA26" s="283" t="s">
        <v>185</v>
      </c>
      <c r="AK26" s="273"/>
      <c r="AL26" s="274"/>
    </row>
    <row r="27" spans="1:39" ht="39.9" customHeight="1" thickBot="1" x14ac:dyDescent="0.55000000000000004">
      <c r="A27" s="284">
        <v>5</v>
      </c>
      <c r="B27" s="285"/>
      <c r="C27" s="286" t="s">
        <v>182</v>
      </c>
      <c r="D27" s="284"/>
      <c r="E27" s="284"/>
      <c r="F27" s="287" t="s">
        <v>183</v>
      </c>
      <c r="G27" s="288"/>
      <c r="H27" s="289"/>
      <c r="I27" s="289"/>
      <c r="J27" s="288"/>
      <c r="K27" s="290">
        <f>SUM(K21:K21)</f>
        <v>2200</v>
      </c>
      <c r="L27" s="290">
        <f>SUM(L21:L21)</f>
        <v>0</v>
      </c>
      <c r="M27" s="290">
        <f>SUM(M21:M21)</f>
        <v>533.93811358270182</v>
      </c>
      <c r="N27" s="291">
        <f>SUM(N21:N21)</f>
        <v>2733.9381135827016</v>
      </c>
      <c r="Q27" s="292" t="s">
        <v>43</v>
      </c>
      <c r="R27" s="289"/>
      <c r="S27" s="288"/>
      <c r="T27" s="290">
        <f>SUM(T21:T21)</f>
        <v>0</v>
      </c>
      <c r="U27" s="290">
        <f>SUM(U21:U21)</f>
        <v>2200</v>
      </c>
      <c r="V27" s="288"/>
      <c r="W27" s="288"/>
      <c r="X27" s="290">
        <f>X26</f>
        <v>972.45</v>
      </c>
      <c r="Y27" s="291">
        <f>SUM(Y21:Y21)</f>
        <v>533.93811358270182</v>
      </c>
      <c r="Z27" s="293">
        <f>IF(Q27&lt;&gt;"",(N27-Y27)/N27,"")</f>
        <v>0.80469999999999997</v>
      </c>
      <c r="AA27" s="294">
        <f>IF(Z27&lt;&gt;"",(N27-Y27),"")</f>
        <v>2200</v>
      </c>
      <c r="AK27" s="273"/>
      <c r="AL27" s="274"/>
    </row>
    <row r="28" spans="1:39" ht="30.6" x14ac:dyDescent="0.55000000000000004">
      <c r="AL28" s="331"/>
      <c r="AM28" s="332" t="s">
        <v>236</v>
      </c>
    </row>
    <row r="29" spans="1:39" ht="30.6" x14ac:dyDescent="0.55000000000000004">
      <c r="AL29" s="331">
        <f>X27</f>
        <v>972.45</v>
      </c>
      <c r="AM29" s="332" t="s">
        <v>237</v>
      </c>
    </row>
    <row r="30" spans="1:39" ht="30.6" x14ac:dyDescent="0.55000000000000004">
      <c r="AL30" s="331">
        <f>N27-X27</f>
        <v>1761.4881135827015</v>
      </c>
      <c r="AM30" s="333" t="s">
        <v>233</v>
      </c>
    </row>
    <row r="31" spans="1:39" ht="31.2" x14ac:dyDescent="0.6">
      <c r="AL31" s="334">
        <f>AL30*100%/N27</f>
        <v>0.64430431136363631</v>
      </c>
      <c r="AM31" s="335"/>
    </row>
  </sheetData>
  <mergeCells count="19">
    <mergeCell ref="F22:J22"/>
    <mergeCell ref="Q22:S22"/>
    <mergeCell ref="F1:G1"/>
    <mergeCell ref="F2:G2"/>
    <mergeCell ref="Q16:T16"/>
    <mergeCell ref="AK16:AL16"/>
    <mergeCell ref="F19:N19"/>
    <mergeCell ref="Q19:Y19"/>
    <mergeCell ref="F20:K20"/>
    <mergeCell ref="Q20:Y20"/>
    <mergeCell ref="U16:X16"/>
    <mergeCell ref="AC16:AE16"/>
    <mergeCell ref="AG16:AH16"/>
    <mergeCell ref="F23:N23"/>
    <mergeCell ref="Q23:Y23"/>
    <mergeCell ref="F24:K24"/>
    <mergeCell ref="Q24:Y24"/>
    <mergeCell ref="F26:J26"/>
    <mergeCell ref="Q26:S26"/>
  </mergeCells>
  <dataValidations count="3">
    <dataValidation type="list" allowBlank="1" showInputMessage="1" showErrorMessage="1" sqref="D21 D27 D25" xr:uid="{DA269D7F-6C44-43A3-BB83-205F08E1D24C}">
      <formula1>"INTERNO,OPERACIONAL"</formula1>
    </dataValidation>
    <dataValidation type="list" allowBlank="1" showInputMessage="1" showErrorMessage="1" sqref="E21 E25" xr:uid="{30520AF0-8E02-4C20-8892-CB40519A25F7}">
      <formula1>"FAT.OGGI,FAT.CLIENTE"</formula1>
    </dataValidation>
    <dataValidation type="list" allowBlank="1" showInputMessage="1" showErrorMessage="1" sqref="E27" xr:uid="{652439B7-11FE-4DC0-B989-557DE8F626FA}">
      <formula1>"FAT.OGGI,FAT.CLIENTE "</formula1>
    </dataValidation>
  </dataValidations>
  <pageMargins left="0" right="0" top="0.19685039370078741" bottom="0.19685039370078741" header="0" footer="0"/>
  <pageSetup paperSize="9" fitToHeight="0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3D59D-8DD2-4D27-9B4B-AA0F3DE1E70B}">
  <sheetPr codeName="Planilha23">
    <tabColor theme="4" tint="0.79998168889431442"/>
    <pageSetUpPr autoPageBreaks="0" fitToPage="1"/>
  </sheetPr>
  <dimension ref="A1:AM38"/>
  <sheetViews>
    <sheetView showGridLines="0" topLeftCell="B1" zoomScale="40" zoomScaleNormal="40" workbookViewId="0">
      <pane ySplit="1" topLeftCell="A22" activePane="bottomLeft" state="frozen"/>
      <selection activeCell="N39" sqref="N39"/>
      <selection pane="bottomLeft" activeCell="AO24" sqref="AO24"/>
    </sheetView>
  </sheetViews>
  <sheetFormatPr defaultColWidth="9.109375" defaultRowHeight="28.8" x14ac:dyDescent="0.55000000000000004"/>
  <cols>
    <col min="1" max="1" width="8.33203125" style="82" hidden="1" customWidth="1"/>
    <col min="2" max="2" width="12.5546875" style="82" customWidth="1"/>
    <col min="3" max="3" width="5.44140625" style="82" hidden="1" customWidth="1"/>
    <col min="4" max="4" width="6" style="82" hidden="1" customWidth="1"/>
    <col min="5" max="5" width="9" style="82" hidden="1" customWidth="1"/>
    <col min="6" max="6" width="36.88671875" style="82" customWidth="1"/>
    <col min="7" max="7" width="71.33203125" style="82" customWidth="1"/>
    <col min="8" max="9" width="7.6640625" style="85" hidden="1" customWidth="1"/>
    <col min="10" max="10" width="17.109375" style="82" hidden="1" customWidth="1"/>
    <col min="11" max="11" width="35" style="82" bestFit="1" customWidth="1"/>
    <col min="12" max="12" width="32.44140625" style="82" bestFit="1" customWidth="1"/>
    <col min="13" max="13" width="27.88671875" style="82" bestFit="1" customWidth="1"/>
    <col min="14" max="14" width="35" style="82" bestFit="1" customWidth="1"/>
    <col min="15" max="15" width="3.33203125" style="82" hidden="1" customWidth="1"/>
    <col min="16" max="16" width="1.88671875" style="82" hidden="1" customWidth="1"/>
    <col min="17" max="17" width="7.6640625" style="85" customWidth="1"/>
    <col min="18" max="18" width="7.6640625" style="85" hidden="1" customWidth="1"/>
    <col min="19" max="19" width="17" style="82" hidden="1" customWidth="1"/>
    <col min="20" max="20" width="35" style="82" bestFit="1" customWidth="1"/>
    <col min="21" max="21" width="23.5546875" style="82" hidden="1" customWidth="1"/>
    <col min="22" max="23" width="22.6640625" style="82" hidden="1" customWidth="1"/>
    <col min="24" max="24" width="35" style="82" bestFit="1" customWidth="1"/>
    <col min="25" max="25" width="28.33203125" style="82" hidden="1" customWidth="1"/>
    <col min="26" max="26" width="19.6640625" style="82" hidden="1" customWidth="1"/>
    <col min="27" max="27" width="25.109375" style="82" hidden="1" customWidth="1"/>
    <col min="28" max="28" width="38.109375" style="82" hidden="1" customWidth="1"/>
    <col min="29" max="30" width="33" style="82" hidden="1" customWidth="1"/>
    <col min="31" max="31" width="28" style="82" hidden="1" customWidth="1"/>
    <col min="32" max="32" width="1.33203125" style="82" hidden="1" customWidth="1"/>
    <col min="33" max="33" width="81.5546875" style="82" hidden="1" customWidth="1"/>
    <col min="34" max="34" width="36.6640625" style="82" hidden="1" customWidth="1"/>
    <col min="35" max="35" width="1.5546875" style="82" hidden="1" customWidth="1"/>
    <col min="36" max="36" width="20.33203125" style="82" hidden="1" customWidth="1"/>
    <col min="37" max="38" width="36.6640625" style="82" customWidth="1"/>
    <col min="39" max="39" width="9.109375" style="296"/>
    <col min="40" max="40" width="21.33203125" style="82" customWidth="1"/>
    <col min="41" max="16384" width="9.109375" style="82"/>
  </cols>
  <sheetData>
    <row r="1" spans="1:38" ht="49.5" customHeight="1" x14ac:dyDescent="0.55000000000000004">
      <c r="B1" s="83"/>
      <c r="C1" s="84"/>
      <c r="D1" s="84"/>
      <c r="F1" s="379" t="s">
        <v>128</v>
      </c>
      <c r="G1" s="379"/>
    </row>
    <row r="2" spans="1:38" ht="24.75" customHeight="1" x14ac:dyDescent="0.55000000000000004">
      <c r="B2" s="86"/>
      <c r="D2" s="84"/>
      <c r="F2" s="380" t="s">
        <v>0</v>
      </c>
      <c r="G2" s="380"/>
    </row>
    <row r="3" spans="1:38" x14ac:dyDescent="0.55000000000000004">
      <c r="B3" s="87"/>
      <c r="F3" s="88"/>
      <c r="G3" s="88"/>
    </row>
    <row r="4" spans="1:38" x14ac:dyDescent="0.55000000000000004">
      <c r="F4" s="89" t="s">
        <v>206</v>
      </c>
      <c r="G4" s="90"/>
    </row>
    <row r="5" spans="1:38" x14ac:dyDescent="0.55000000000000004">
      <c r="F5" s="91" t="s">
        <v>186</v>
      </c>
      <c r="G5" s="92"/>
    </row>
    <row r="6" spans="1:38" x14ac:dyDescent="0.55000000000000004">
      <c r="F6" s="91" t="s">
        <v>212</v>
      </c>
      <c r="G6" s="93"/>
    </row>
    <row r="7" spans="1:38" ht="21.75" customHeight="1" x14ac:dyDescent="0.55000000000000004">
      <c r="F7" s="91" t="s">
        <v>213</v>
      </c>
      <c r="G7" s="93"/>
    </row>
    <row r="8" spans="1:38" x14ac:dyDescent="0.55000000000000004">
      <c r="F8" s="94" t="s">
        <v>205</v>
      </c>
      <c r="G8" s="95"/>
    </row>
    <row r="9" spans="1:38" x14ac:dyDescent="0.55000000000000004">
      <c r="F9" s="91" t="s">
        <v>187</v>
      </c>
      <c r="G9" s="93"/>
      <c r="M9" s="82">
        <v>0.80469999999999997</v>
      </c>
    </row>
    <row r="10" spans="1:38" ht="27" customHeight="1" x14ac:dyDescent="0.55000000000000004">
      <c r="F10" s="91" t="s">
        <v>191</v>
      </c>
      <c r="G10" s="93"/>
      <c r="M10" s="82">
        <f>1-M9</f>
        <v>0.19530000000000003</v>
      </c>
    </row>
    <row r="11" spans="1:38" x14ac:dyDescent="0.55000000000000004">
      <c r="F11" s="96" t="s">
        <v>207</v>
      </c>
      <c r="G11" s="97"/>
    </row>
    <row r="12" spans="1:38" ht="87" hidden="1" thickBot="1" x14ac:dyDescent="0.6">
      <c r="B12" s="98"/>
      <c r="M12" s="99"/>
      <c r="Q12" s="381" t="s">
        <v>1</v>
      </c>
      <c r="R12" s="382"/>
      <c r="S12" s="382"/>
      <c r="T12" s="383"/>
      <c r="U12" s="395" t="s">
        <v>2</v>
      </c>
      <c r="V12" s="396"/>
      <c r="W12" s="396"/>
      <c r="X12" s="397"/>
      <c r="Y12" s="100" t="s">
        <v>56</v>
      </c>
      <c r="Z12" s="101" t="e">
        <f>(1/(1-#REF!))-1</f>
        <v>#REF!</v>
      </c>
      <c r="AC12" s="398" t="s">
        <v>3</v>
      </c>
      <c r="AD12" s="399"/>
      <c r="AE12" s="400"/>
      <c r="AG12" s="401" t="s">
        <v>58</v>
      </c>
      <c r="AH12" s="402"/>
      <c r="AJ12" s="102" t="s">
        <v>71</v>
      </c>
      <c r="AK12" s="384" t="s">
        <v>70</v>
      </c>
      <c r="AL12" s="385"/>
    </row>
    <row r="13" spans="1:38" ht="15.9" customHeight="1" thickBot="1" x14ac:dyDescent="0.6">
      <c r="A13" s="103" t="s">
        <v>4</v>
      </c>
      <c r="B13" s="104" t="s">
        <v>5</v>
      </c>
      <c r="C13" s="103" t="s">
        <v>6</v>
      </c>
      <c r="D13" s="103" t="s">
        <v>7</v>
      </c>
      <c r="E13" s="103" t="s">
        <v>8</v>
      </c>
      <c r="M13" s="105">
        <v>0.80469999999999997</v>
      </c>
    </row>
    <row r="14" spans="1:38" ht="39.9" customHeight="1" thickBot="1" x14ac:dyDescent="0.6">
      <c r="A14" s="106">
        <v>0</v>
      </c>
      <c r="B14" s="107"/>
      <c r="C14" s="108"/>
      <c r="D14" s="109"/>
      <c r="E14" s="109"/>
      <c r="F14" s="110" t="s">
        <v>131</v>
      </c>
      <c r="G14" s="111" t="s">
        <v>132</v>
      </c>
      <c r="H14" s="112" t="s">
        <v>133</v>
      </c>
      <c r="I14" s="112" t="s">
        <v>134</v>
      </c>
      <c r="J14" s="113" t="s">
        <v>135</v>
      </c>
      <c r="K14" s="114" t="s">
        <v>9</v>
      </c>
      <c r="L14" s="115">
        <v>0.05</v>
      </c>
      <c r="M14" s="116">
        <f>1-M13</f>
        <v>0.19530000000000003</v>
      </c>
      <c r="N14" s="117" t="s">
        <v>129</v>
      </c>
      <c r="Q14" s="118" t="s">
        <v>136</v>
      </c>
      <c r="R14" s="119" t="s">
        <v>137</v>
      </c>
      <c r="S14" s="120" t="s">
        <v>138</v>
      </c>
      <c r="T14" s="121" t="s">
        <v>139</v>
      </c>
      <c r="U14" s="122" t="s">
        <v>140</v>
      </c>
      <c r="V14" s="123" t="s">
        <v>141</v>
      </c>
      <c r="W14" s="124" t="s">
        <v>142</v>
      </c>
      <c r="X14" s="124" t="s">
        <v>143</v>
      </c>
      <c r="Y14" s="125" t="s">
        <v>144</v>
      </c>
      <c r="Z14" s="126" t="s">
        <v>145</v>
      </c>
      <c r="AA14" s="127" t="s">
        <v>130</v>
      </c>
      <c r="AC14" s="128" t="s">
        <v>146</v>
      </c>
      <c r="AD14" s="129" t="s">
        <v>147</v>
      </c>
      <c r="AE14" s="129" t="s">
        <v>33</v>
      </c>
      <c r="AG14" s="130" t="s">
        <v>148</v>
      </c>
      <c r="AH14" s="131" t="s">
        <v>149</v>
      </c>
      <c r="AI14" s="82" t="s">
        <v>150</v>
      </c>
      <c r="AJ14" s="82" t="s">
        <v>150</v>
      </c>
      <c r="AK14" s="132" t="s">
        <v>151</v>
      </c>
      <c r="AL14" s="133" t="s">
        <v>152</v>
      </c>
    </row>
    <row r="15" spans="1:38" ht="39.9" customHeight="1" thickBot="1" x14ac:dyDescent="0.6">
      <c r="A15" s="109">
        <v>1</v>
      </c>
      <c r="B15" s="135">
        <v>1</v>
      </c>
      <c r="C15" s="138" t="s">
        <v>172</v>
      </c>
      <c r="D15" s="109"/>
      <c r="E15" s="109"/>
      <c r="F15" s="386" t="s">
        <v>190</v>
      </c>
      <c r="G15" s="387"/>
      <c r="H15" s="387"/>
      <c r="I15" s="387"/>
      <c r="J15" s="387"/>
      <c r="K15" s="387"/>
      <c r="L15" s="387"/>
      <c r="M15" s="387"/>
      <c r="N15" s="388"/>
      <c r="Q15" s="386" t="str">
        <f>IF(F15&lt;&gt;"",F15,"")</f>
        <v>EVENTO</v>
      </c>
      <c r="R15" s="387"/>
      <c r="S15" s="387"/>
      <c r="T15" s="387"/>
      <c r="U15" s="387"/>
      <c r="V15" s="387"/>
      <c r="W15" s="387"/>
      <c r="X15" s="387"/>
      <c r="Y15" s="388"/>
      <c r="AK15" s="137"/>
      <c r="AL15" s="137"/>
    </row>
    <row r="16" spans="1:38" ht="39.9" customHeight="1" x14ac:dyDescent="0.55000000000000004">
      <c r="A16" s="109">
        <v>2</v>
      </c>
      <c r="B16" s="135" t="s">
        <v>173</v>
      </c>
      <c r="C16" s="138" t="s">
        <v>167</v>
      </c>
      <c r="D16" s="109"/>
      <c r="E16" s="109"/>
      <c r="F16" s="389" t="s">
        <v>210</v>
      </c>
      <c r="G16" s="390"/>
      <c r="H16" s="390"/>
      <c r="I16" s="390"/>
      <c r="J16" s="390"/>
      <c r="K16" s="391"/>
      <c r="L16" s="174" t="s">
        <v>168</v>
      </c>
      <c r="M16" s="175" t="s">
        <v>169</v>
      </c>
      <c r="N16" s="176" t="s">
        <v>129</v>
      </c>
      <c r="Q16" s="392" t="str">
        <f>IF(F16&lt;&gt;"",F16,"")</f>
        <v>ESTANPLAZA FUNCHAL FARIA LIMA - Rua Funchal, 281 - CEP: 04551-060 - Vila Olímpia</v>
      </c>
      <c r="R16" s="393"/>
      <c r="S16" s="393"/>
      <c r="T16" s="393"/>
      <c r="U16" s="393"/>
      <c r="V16" s="393"/>
      <c r="W16" s="393"/>
      <c r="X16" s="393"/>
      <c r="Y16" s="394"/>
      <c r="Z16" s="140" t="s">
        <v>170</v>
      </c>
      <c r="AA16" s="141" t="s">
        <v>130</v>
      </c>
      <c r="AK16" s="139"/>
      <c r="AL16" s="139"/>
    </row>
    <row r="17" spans="1:39" ht="180" customHeight="1" x14ac:dyDescent="0.55000000000000004">
      <c r="A17" s="134">
        <v>3</v>
      </c>
      <c r="B17" s="135" t="s">
        <v>174</v>
      </c>
      <c r="C17" s="136" t="s">
        <v>171</v>
      </c>
      <c r="D17" s="134" t="s">
        <v>180</v>
      </c>
      <c r="E17" s="134" t="s">
        <v>189</v>
      </c>
      <c r="F17" s="177" t="s">
        <v>193</v>
      </c>
      <c r="G17" s="178" t="s">
        <v>211</v>
      </c>
      <c r="H17" s="179">
        <v>1</v>
      </c>
      <c r="I17" s="179">
        <v>2</v>
      </c>
      <c r="J17" s="180">
        <v>6470</v>
      </c>
      <c r="K17" s="180">
        <f t="shared" ref="K17:K23" si="0">IF(F17&lt;&gt;"",H17*I17*J17,"")</f>
        <v>12940</v>
      </c>
      <c r="L17" s="180">
        <f t="shared" ref="L17:L24" si="1">IF(K17&lt;&gt;"",IF(D17="INTERNO",0,K17*$L$14),"")</f>
        <v>647</v>
      </c>
      <c r="M17" s="180">
        <f t="shared" ref="M17:M24" si="2">IF(K17&lt;&gt;"",IF(E17="FAT.OGGI",SUM(K17:L17)*(1/(1-$M$14)-1),L17*(1/(1-$M$14)-1)),"")</f>
        <v>157.02634522182186</v>
      </c>
      <c r="N17" s="181">
        <f t="shared" ref="N17:N24" si="3">SUM(K17:M17)</f>
        <v>13744.026345221822</v>
      </c>
      <c r="Q17" s="182">
        <f t="shared" ref="Q17:R24" si="4">IF(H17&lt;&gt;"",H17,"")</f>
        <v>1</v>
      </c>
      <c r="R17" s="183">
        <f t="shared" si="4"/>
        <v>2</v>
      </c>
      <c r="S17" s="184">
        <v>6470</v>
      </c>
      <c r="T17" s="184">
        <v>34936.400000000001</v>
      </c>
      <c r="U17" s="185">
        <f t="shared" ref="U17:U24" si="5">IF(Q17&lt;&gt;"",K17-T17,"")</f>
        <v>-21996.400000000001</v>
      </c>
      <c r="V17" s="186">
        <f t="shared" ref="V17:V24" si="6">IF(Q17&lt;&gt;"",0%,"")</f>
        <v>0</v>
      </c>
      <c r="W17" s="187">
        <f t="shared" ref="W17:W24" si="7">IF(Q17&lt;&gt;"",V17*U17,"")</f>
        <v>0</v>
      </c>
      <c r="X17" s="187">
        <f t="shared" ref="X17:X24" si="8">IF(Q17&lt;&gt;"",W17+T17,"")</f>
        <v>34936.400000000001</v>
      </c>
      <c r="Y17" s="188">
        <f t="shared" ref="Y17:Y25" si="9">IF(Q17&lt;&gt;"",X17+M17,"")</f>
        <v>35093.426345221822</v>
      </c>
      <c r="Z17" s="154">
        <f t="shared" ref="Z17:Z24" si="10">IF(Q17&lt;&gt;"",U17/K17,"")</f>
        <v>-1.6998763523956724</v>
      </c>
      <c r="AA17" s="155">
        <f>T17/T25</f>
        <v>1</v>
      </c>
      <c r="AK17" s="173">
        <f>X17-AL17</f>
        <v>0</v>
      </c>
      <c r="AL17" s="200">
        <f>4755+17241.4+12940</f>
        <v>34936.400000000001</v>
      </c>
      <c r="AM17" s="296" t="s">
        <v>227</v>
      </c>
    </row>
    <row r="18" spans="1:39" ht="180" customHeight="1" x14ac:dyDescent="0.55000000000000004">
      <c r="A18" s="109">
        <v>4</v>
      </c>
      <c r="B18" s="135" t="s">
        <v>153</v>
      </c>
      <c r="C18" s="138" t="s">
        <v>171</v>
      </c>
      <c r="D18" s="109" t="s">
        <v>180</v>
      </c>
      <c r="E18" s="109" t="s">
        <v>189</v>
      </c>
      <c r="F18" s="142" t="s">
        <v>204</v>
      </c>
      <c r="G18" s="189" t="s">
        <v>221</v>
      </c>
      <c r="H18" s="144">
        <f>12+7</f>
        <v>19</v>
      </c>
      <c r="I18" s="144">
        <v>1</v>
      </c>
      <c r="J18" s="145">
        <v>30</v>
      </c>
      <c r="K18" s="190">
        <f t="shared" si="0"/>
        <v>570</v>
      </c>
      <c r="L18" s="145">
        <f t="shared" si="1"/>
        <v>28.5</v>
      </c>
      <c r="M18" s="145">
        <f t="shared" si="2"/>
        <v>6.9169255623213646</v>
      </c>
      <c r="N18" s="146">
        <f t="shared" si="3"/>
        <v>605.41692556232135</v>
      </c>
      <c r="Q18" s="147">
        <f t="shared" si="4"/>
        <v>19</v>
      </c>
      <c r="R18" s="148">
        <f t="shared" si="4"/>
        <v>1</v>
      </c>
      <c r="S18" s="149">
        <v>30</v>
      </c>
      <c r="T18" s="149">
        <v>0</v>
      </c>
      <c r="U18" s="150">
        <f t="shared" si="5"/>
        <v>570</v>
      </c>
      <c r="V18" s="151">
        <f t="shared" si="6"/>
        <v>0</v>
      </c>
      <c r="W18" s="152">
        <f t="shared" si="7"/>
        <v>0</v>
      </c>
      <c r="X18" s="152">
        <f t="shared" si="8"/>
        <v>0</v>
      </c>
      <c r="Y18" s="153">
        <f t="shared" si="9"/>
        <v>6.9169255623213646</v>
      </c>
      <c r="Z18" s="154">
        <f t="shared" si="10"/>
        <v>1</v>
      </c>
      <c r="AA18" s="155" t="e">
        <f>T18/T24</f>
        <v>#DIV/0!</v>
      </c>
      <c r="AK18" s="173">
        <f t="shared" ref="AK18:AK24" si="11">X18-AL18</f>
        <v>0</v>
      </c>
      <c r="AL18" s="200"/>
    </row>
    <row r="19" spans="1:39" ht="180" customHeight="1" x14ac:dyDescent="0.55000000000000004">
      <c r="A19" s="109">
        <v>5</v>
      </c>
      <c r="B19" s="135" t="s">
        <v>196</v>
      </c>
      <c r="C19" s="138" t="s">
        <v>171</v>
      </c>
      <c r="D19" s="109" t="s">
        <v>180</v>
      </c>
      <c r="E19" s="109" t="s">
        <v>189</v>
      </c>
      <c r="F19" s="142" t="s">
        <v>208</v>
      </c>
      <c r="G19" s="191" t="s">
        <v>220</v>
      </c>
      <c r="H19" s="144">
        <v>13</v>
      </c>
      <c r="I19" s="144">
        <v>1</v>
      </c>
      <c r="J19" s="145">
        <v>45</v>
      </c>
      <c r="K19" s="190">
        <f t="shared" si="0"/>
        <v>585</v>
      </c>
      <c r="L19" s="145">
        <f t="shared" si="1"/>
        <v>29.25</v>
      </c>
      <c r="M19" s="145">
        <f t="shared" si="2"/>
        <v>7.098949919224558</v>
      </c>
      <c r="N19" s="146">
        <f t="shared" si="3"/>
        <v>621.34894991922454</v>
      </c>
      <c r="Q19" s="147">
        <f t="shared" si="4"/>
        <v>13</v>
      </c>
      <c r="R19" s="148">
        <f t="shared" si="4"/>
        <v>1</v>
      </c>
      <c r="S19" s="149">
        <v>45</v>
      </c>
      <c r="T19" s="149">
        <v>0</v>
      </c>
      <c r="U19" s="150">
        <f t="shared" si="5"/>
        <v>585</v>
      </c>
      <c r="V19" s="151">
        <f t="shared" si="6"/>
        <v>0</v>
      </c>
      <c r="W19" s="152">
        <f t="shared" si="7"/>
        <v>0</v>
      </c>
      <c r="X19" s="152">
        <f t="shared" si="8"/>
        <v>0</v>
      </c>
      <c r="Y19" s="153">
        <f t="shared" si="9"/>
        <v>7.098949919224558</v>
      </c>
      <c r="Z19" s="154">
        <f t="shared" si="10"/>
        <v>1</v>
      </c>
      <c r="AA19" s="155">
        <f>T19/T25</f>
        <v>0</v>
      </c>
      <c r="AK19" s="173">
        <f t="shared" si="11"/>
        <v>0</v>
      </c>
      <c r="AL19" s="200"/>
    </row>
    <row r="20" spans="1:39" ht="180" customHeight="1" x14ac:dyDescent="0.55000000000000004">
      <c r="A20" s="109">
        <v>6</v>
      </c>
      <c r="B20" s="135" t="s">
        <v>197</v>
      </c>
      <c r="C20" s="138" t="s">
        <v>171</v>
      </c>
      <c r="D20" s="109" t="s">
        <v>180</v>
      </c>
      <c r="E20" s="109" t="s">
        <v>189</v>
      </c>
      <c r="F20" s="142" t="s">
        <v>215</v>
      </c>
      <c r="G20" s="189" t="s">
        <v>223</v>
      </c>
      <c r="H20" s="144">
        <v>1</v>
      </c>
      <c r="I20" s="144">
        <v>1</v>
      </c>
      <c r="J20" s="145">
        <v>2161.5</v>
      </c>
      <c r="K20" s="190">
        <f t="shared" si="0"/>
        <v>2161.5</v>
      </c>
      <c r="L20" s="145">
        <f t="shared" si="1"/>
        <v>108.075</v>
      </c>
      <c r="M20" s="145">
        <f t="shared" si="2"/>
        <v>26.229709829750227</v>
      </c>
      <c r="N20" s="146">
        <f t="shared" si="3"/>
        <v>2295.8047098297502</v>
      </c>
      <c r="Q20" s="147">
        <f t="shared" si="4"/>
        <v>1</v>
      </c>
      <c r="R20" s="148">
        <f t="shared" si="4"/>
        <v>1</v>
      </c>
      <c r="S20" s="149">
        <v>2161.5</v>
      </c>
      <c r="T20" s="149">
        <v>0</v>
      </c>
      <c r="U20" s="150">
        <f t="shared" si="5"/>
        <v>2161.5</v>
      </c>
      <c r="V20" s="151">
        <f t="shared" si="6"/>
        <v>0</v>
      </c>
      <c r="W20" s="152">
        <f t="shared" si="7"/>
        <v>0</v>
      </c>
      <c r="X20" s="152">
        <f t="shared" si="8"/>
        <v>0</v>
      </c>
      <c r="Y20" s="153">
        <f t="shared" si="9"/>
        <v>26.229709829750227</v>
      </c>
      <c r="Z20" s="154">
        <f t="shared" si="10"/>
        <v>1</v>
      </c>
      <c r="AA20" s="155">
        <f>T20/T25</f>
        <v>0</v>
      </c>
      <c r="AK20" s="173">
        <f t="shared" si="11"/>
        <v>0</v>
      </c>
      <c r="AL20" s="200"/>
    </row>
    <row r="21" spans="1:39" ht="180" customHeight="1" x14ac:dyDescent="0.55000000000000004">
      <c r="A21" s="109">
        <v>6</v>
      </c>
      <c r="B21" s="135" t="s">
        <v>197</v>
      </c>
      <c r="C21" s="138" t="s">
        <v>171</v>
      </c>
      <c r="D21" s="109" t="s">
        <v>180</v>
      </c>
      <c r="E21" s="109" t="s">
        <v>189</v>
      </c>
      <c r="F21" s="142" t="s">
        <v>215</v>
      </c>
      <c r="G21" s="189" t="s">
        <v>222</v>
      </c>
      <c r="H21" s="144">
        <v>1</v>
      </c>
      <c r="I21" s="144">
        <v>2</v>
      </c>
      <c r="J21" s="145">
        <f>731.5</f>
        <v>731.5</v>
      </c>
      <c r="K21" s="190">
        <f t="shared" si="0"/>
        <v>1463</v>
      </c>
      <c r="L21" s="145">
        <f t="shared" si="1"/>
        <v>73.150000000000006</v>
      </c>
      <c r="M21" s="145">
        <f t="shared" si="2"/>
        <v>17.753442276624835</v>
      </c>
      <c r="N21" s="146">
        <f t="shared" si="3"/>
        <v>1553.9034422766249</v>
      </c>
      <c r="Q21" s="147">
        <f t="shared" si="4"/>
        <v>1</v>
      </c>
      <c r="R21" s="148">
        <f t="shared" si="4"/>
        <v>2</v>
      </c>
      <c r="S21" s="149">
        <v>731.5</v>
      </c>
      <c r="T21" s="149">
        <v>0</v>
      </c>
      <c r="U21" s="150">
        <f t="shared" si="5"/>
        <v>1463</v>
      </c>
      <c r="V21" s="151">
        <f t="shared" si="6"/>
        <v>0</v>
      </c>
      <c r="W21" s="152">
        <f t="shared" si="7"/>
        <v>0</v>
      </c>
      <c r="X21" s="152">
        <f t="shared" si="8"/>
        <v>0</v>
      </c>
      <c r="Y21" s="153">
        <f t="shared" si="9"/>
        <v>17.753442276624835</v>
      </c>
      <c r="Z21" s="154">
        <f t="shared" si="10"/>
        <v>1</v>
      </c>
      <c r="AA21" s="155">
        <f>T21/T25</f>
        <v>0</v>
      </c>
      <c r="AK21" s="173">
        <f t="shared" si="11"/>
        <v>0</v>
      </c>
      <c r="AL21" s="200"/>
    </row>
    <row r="22" spans="1:39" ht="180" customHeight="1" x14ac:dyDescent="0.55000000000000004">
      <c r="A22" s="109">
        <v>7</v>
      </c>
      <c r="B22" s="135" t="s">
        <v>198</v>
      </c>
      <c r="C22" s="138" t="s">
        <v>171</v>
      </c>
      <c r="D22" s="109" t="s">
        <v>180</v>
      </c>
      <c r="E22" s="109" t="s">
        <v>189</v>
      </c>
      <c r="F22" s="142" t="s">
        <v>215</v>
      </c>
      <c r="G22" s="143" t="s">
        <v>224</v>
      </c>
      <c r="H22" s="144">
        <v>35</v>
      </c>
      <c r="I22" s="144">
        <v>4</v>
      </c>
      <c r="J22" s="145">
        <v>61.6</v>
      </c>
      <c r="K22" s="190">
        <f t="shared" si="0"/>
        <v>8624</v>
      </c>
      <c r="L22" s="145">
        <f t="shared" si="1"/>
        <v>431.20000000000005</v>
      </c>
      <c r="M22" s="145">
        <f t="shared" si="2"/>
        <v>104.65187026220957</v>
      </c>
      <c r="N22" s="146">
        <f t="shared" si="3"/>
        <v>9159.8518702622096</v>
      </c>
      <c r="Q22" s="147">
        <f t="shared" si="4"/>
        <v>35</v>
      </c>
      <c r="R22" s="148">
        <f t="shared" si="4"/>
        <v>4</v>
      </c>
      <c r="S22" s="149">
        <v>61.6</v>
      </c>
      <c r="T22" s="149">
        <v>0</v>
      </c>
      <c r="U22" s="150">
        <f t="shared" si="5"/>
        <v>8624</v>
      </c>
      <c r="V22" s="151">
        <f t="shared" si="6"/>
        <v>0</v>
      </c>
      <c r="W22" s="152">
        <f t="shared" si="7"/>
        <v>0</v>
      </c>
      <c r="X22" s="152">
        <f t="shared" si="8"/>
        <v>0</v>
      </c>
      <c r="Y22" s="153">
        <f t="shared" si="9"/>
        <v>104.65187026220957</v>
      </c>
      <c r="Z22" s="154">
        <f t="shared" si="10"/>
        <v>1</v>
      </c>
      <c r="AA22" s="155">
        <f>T22/T25</f>
        <v>0</v>
      </c>
      <c r="AK22" s="173">
        <f t="shared" si="11"/>
        <v>0</v>
      </c>
      <c r="AL22" s="200"/>
    </row>
    <row r="23" spans="1:39" ht="180" customHeight="1" x14ac:dyDescent="0.55000000000000004">
      <c r="A23" s="109">
        <v>8</v>
      </c>
      <c r="B23" s="135" t="s">
        <v>199</v>
      </c>
      <c r="C23" s="138" t="s">
        <v>171</v>
      </c>
      <c r="D23" s="109" t="s">
        <v>180</v>
      </c>
      <c r="E23" s="109" t="s">
        <v>189</v>
      </c>
      <c r="F23" s="142" t="s">
        <v>219</v>
      </c>
      <c r="G23" s="192" t="s">
        <v>225</v>
      </c>
      <c r="H23" s="144">
        <f>27+24</f>
        <v>51</v>
      </c>
      <c r="I23" s="144">
        <v>1</v>
      </c>
      <c r="J23" s="145">
        <v>97.9</v>
      </c>
      <c r="K23" s="190">
        <f t="shared" si="0"/>
        <v>4992.9000000000005</v>
      </c>
      <c r="L23" s="145">
        <f t="shared" si="1"/>
        <v>249.64500000000004</v>
      </c>
      <c r="M23" s="145">
        <f t="shared" si="2"/>
        <v>60.588627438797097</v>
      </c>
      <c r="N23" s="146">
        <f t="shared" si="3"/>
        <v>5303.1336274387977</v>
      </c>
      <c r="Q23" s="147">
        <v>51</v>
      </c>
      <c r="R23" s="148">
        <v>1</v>
      </c>
      <c r="S23" s="193">
        <v>97.9</v>
      </c>
      <c r="T23" s="149">
        <v>0</v>
      </c>
      <c r="U23" s="150">
        <f t="shared" si="5"/>
        <v>4992.9000000000005</v>
      </c>
      <c r="V23" s="151">
        <f t="shared" si="6"/>
        <v>0</v>
      </c>
      <c r="W23" s="152">
        <f t="shared" si="7"/>
        <v>0</v>
      </c>
      <c r="X23" s="152">
        <f t="shared" si="8"/>
        <v>0</v>
      </c>
      <c r="Y23" s="153">
        <f t="shared" si="9"/>
        <v>60.588627438797097</v>
      </c>
      <c r="Z23" s="154">
        <f t="shared" si="10"/>
        <v>1</v>
      </c>
      <c r="AA23" s="155">
        <f>T23/T25</f>
        <v>0</v>
      </c>
      <c r="AK23" s="173">
        <f t="shared" si="11"/>
        <v>0</v>
      </c>
      <c r="AL23" s="200"/>
    </row>
    <row r="24" spans="1:39" ht="180" customHeight="1" thickBot="1" x14ac:dyDescent="0.6">
      <c r="A24" s="109">
        <v>9</v>
      </c>
      <c r="B24" s="135" t="s">
        <v>200</v>
      </c>
      <c r="C24" s="138" t="s">
        <v>171</v>
      </c>
      <c r="D24" s="109" t="s">
        <v>180</v>
      </c>
      <c r="E24" s="109" t="s">
        <v>189</v>
      </c>
      <c r="F24" s="142" t="s">
        <v>194</v>
      </c>
      <c r="G24" s="143" t="s">
        <v>209</v>
      </c>
      <c r="H24" s="144">
        <v>1</v>
      </c>
      <c r="I24" s="144">
        <v>2</v>
      </c>
      <c r="J24" s="194">
        <v>1800</v>
      </c>
      <c r="K24" s="145">
        <f>IF(F24&lt;&gt;"",H24*I24*J24,"")</f>
        <v>3600</v>
      </c>
      <c r="L24" s="145">
        <f t="shared" si="1"/>
        <v>180</v>
      </c>
      <c r="M24" s="145">
        <f t="shared" si="2"/>
        <v>43.68584565676651</v>
      </c>
      <c r="N24" s="146">
        <f t="shared" si="3"/>
        <v>3823.6858456567666</v>
      </c>
      <c r="Q24" s="147">
        <f t="shared" si="4"/>
        <v>1</v>
      </c>
      <c r="R24" s="148">
        <v>2</v>
      </c>
      <c r="S24" s="149">
        <v>1800</v>
      </c>
      <c r="T24" s="149">
        <v>0</v>
      </c>
      <c r="U24" s="150">
        <f t="shared" si="5"/>
        <v>3600</v>
      </c>
      <c r="V24" s="151">
        <f t="shared" si="6"/>
        <v>0</v>
      </c>
      <c r="W24" s="152">
        <f t="shared" si="7"/>
        <v>0</v>
      </c>
      <c r="X24" s="152">
        <f t="shared" si="8"/>
        <v>0</v>
      </c>
      <c r="Y24" s="153">
        <f t="shared" si="9"/>
        <v>43.68584565676651</v>
      </c>
      <c r="Z24" s="154">
        <f t="shared" si="10"/>
        <v>1</v>
      </c>
      <c r="AA24" s="155">
        <f>T24/T25</f>
        <v>0</v>
      </c>
      <c r="AK24" s="173">
        <f t="shared" si="11"/>
        <v>0</v>
      </c>
      <c r="AL24" s="200"/>
    </row>
    <row r="25" spans="1:39" ht="39.9" customHeight="1" thickBot="1" x14ac:dyDescent="0.6">
      <c r="A25" s="109">
        <v>10</v>
      </c>
      <c r="B25" s="135"/>
      <c r="C25" s="138" t="s">
        <v>178</v>
      </c>
      <c r="D25" s="109"/>
      <c r="E25" s="109"/>
      <c r="F25" s="377" t="s">
        <v>181</v>
      </c>
      <c r="G25" s="378"/>
      <c r="H25" s="378"/>
      <c r="I25" s="378"/>
      <c r="J25" s="378"/>
      <c r="K25" s="156">
        <f>SUM(K17:K24)</f>
        <v>34936.400000000001</v>
      </c>
      <c r="L25" s="156">
        <f>SUM(L17:L24)</f>
        <v>1746.8200000000002</v>
      </c>
      <c r="M25" s="156">
        <f>SUM(M17:M24)</f>
        <v>423.951716167516</v>
      </c>
      <c r="N25" s="157">
        <f>SUM(N17:N24)</f>
        <v>37107.171716167511</v>
      </c>
      <c r="Q25" s="377" t="s">
        <v>181</v>
      </c>
      <c r="R25" s="378"/>
      <c r="S25" s="378"/>
      <c r="T25" s="158">
        <f>SUM(T17:T24)</f>
        <v>34936.400000000001</v>
      </c>
      <c r="U25" s="159">
        <f>SUM(U17:U24)</f>
        <v>0</v>
      </c>
      <c r="V25" s="160"/>
      <c r="W25" s="160"/>
      <c r="X25" s="161">
        <f>SUM(X17:X24)</f>
        <v>34936.400000000001</v>
      </c>
      <c r="Y25" s="195">
        <f t="shared" si="9"/>
        <v>35360.351716167519</v>
      </c>
      <c r="Z25" s="196" t="s">
        <v>184</v>
      </c>
      <c r="AA25" s="197" t="s">
        <v>185</v>
      </c>
      <c r="AK25" s="173"/>
      <c r="AL25" s="200"/>
    </row>
    <row r="26" spans="1:39" ht="39.9" customHeight="1" thickBot="1" x14ac:dyDescent="0.6">
      <c r="A26" s="162">
        <v>11</v>
      </c>
      <c r="B26" s="163"/>
      <c r="C26" s="164" t="s">
        <v>182</v>
      </c>
      <c r="D26" s="162"/>
      <c r="E26" s="162"/>
      <c r="F26" s="165" t="s">
        <v>183</v>
      </c>
      <c r="G26" s="166"/>
      <c r="H26" s="167"/>
      <c r="I26" s="167"/>
      <c r="J26" s="166"/>
      <c r="K26" s="168">
        <f>SUM(K17:K24)</f>
        <v>34936.400000000001</v>
      </c>
      <c r="L26" s="168">
        <f>SUM(L17:L24)</f>
        <v>1746.8200000000002</v>
      </c>
      <c r="M26" s="168">
        <f>SUM(M17:M24)</f>
        <v>423.951716167516</v>
      </c>
      <c r="N26" s="169">
        <f>SUM(N17:N24)</f>
        <v>37107.171716167511</v>
      </c>
      <c r="Q26" s="170" t="s">
        <v>43</v>
      </c>
      <c r="R26" s="167"/>
      <c r="S26" s="166"/>
      <c r="T26" s="168">
        <f>SUM(T17:T24)</f>
        <v>34936.400000000001</v>
      </c>
      <c r="U26" s="168">
        <f>SUM(U17:U24)</f>
        <v>0</v>
      </c>
      <c r="V26" s="166"/>
      <c r="W26" s="166"/>
      <c r="X26" s="168">
        <f>SUM(X17:X24)</f>
        <v>34936.400000000001</v>
      </c>
      <c r="Y26" s="169">
        <f>SUM(Y17:Y24)</f>
        <v>35360.351716167512</v>
      </c>
      <c r="Z26" s="171">
        <f>IF(Q26&lt;&gt;"",(N26-Y26)/N26,"")</f>
        <v>4.7074997074997071E-2</v>
      </c>
      <c r="AA26" s="172">
        <f>IF(Z26&lt;&gt;"",(N26-Y26),"")</f>
        <v>1746.8199999999997</v>
      </c>
      <c r="AK26" s="173">
        <f>SUM(AK17:AK25)</f>
        <v>0</v>
      </c>
      <c r="AL26" s="200">
        <f>SUM(AL17:AL25)</f>
        <v>34936.400000000001</v>
      </c>
    </row>
    <row r="27" spans="1:39" ht="30.6" x14ac:dyDescent="0.55000000000000004">
      <c r="N27" s="198"/>
      <c r="AL27" s="331"/>
      <c r="AM27" s="332" t="s">
        <v>236</v>
      </c>
    </row>
    <row r="28" spans="1:39" ht="30.6" x14ac:dyDescent="0.55000000000000004">
      <c r="AL28" s="331">
        <f>X26</f>
        <v>34936.400000000001</v>
      </c>
      <c r="AM28" s="332" t="s">
        <v>237</v>
      </c>
    </row>
    <row r="29" spans="1:39" ht="30.6" x14ac:dyDescent="0.55000000000000004">
      <c r="K29" s="199"/>
      <c r="AL29" s="331">
        <f>N26-X26</f>
        <v>2170.77171616751</v>
      </c>
      <c r="AM29" s="333" t="s">
        <v>233</v>
      </c>
    </row>
    <row r="30" spans="1:39" ht="31.2" x14ac:dyDescent="0.6">
      <c r="K30" s="199"/>
      <c r="AL30" s="334">
        <f>AL29*100%/N26</f>
        <v>5.850005850005835E-2</v>
      </c>
      <c r="AM30" s="335"/>
    </row>
    <row r="32" spans="1:39" x14ac:dyDescent="0.55000000000000004">
      <c r="K32" s="199"/>
    </row>
    <row r="33" spans="11:11" x14ac:dyDescent="0.55000000000000004">
      <c r="K33" s="199"/>
    </row>
    <row r="35" spans="11:11" x14ac:dyDescent="0.55000000000000004">
      <c r="K35" s="199"/>
    </row>
    <row r="36" spans="11:11" x14ac:dyDescent="0.55000000000000004">
      <c r="K36" s="199"/>
    </row>
    <row r="37" spans="11:11" x14ac:dyDescent="0.55000000000000004">
      <c r="K37" s="199"/>
    </row>
    <row r="38" spans="11:11" x14ac:dyDescent="0.55000000000000004">
      <c r="K38" s="198"/>
    </row>
  </sheetData>
  <mergeCells count="13">
    <mergeCell ref="AK12:AL12"/>
    <mergeCell ref="F15:N15"/>
    <mergeCell ref="Q15:Y15"/>
    <mergeCell ref="F16:K16"/>
    <mergeCell ref="Q16:Y16"/>
    <mergeCell ref="U12:X12"/>
    <mergeCell ref="AC12:AE12"/>
    <mergeCell ref="AG12:AH12"/>
    <mergeCell ref="F25:J25"/>
    <mergeCell ref="Q25:S25"/>
    <mergeCell ref="F1:G1"/>
    <mergeCell ref="F2:G2"/>
    <mergeCell ref="Q12:T12"/>
  </mergeCells>
  <dataValidations count="3">
    <dataValidation type="list" allowBlank="1" showInputMessage="1" showErrorMessage="1" sqref="E26" xr:uid="{1C516DB7-7D17-4C11-8C05-A6DF38D6A787}">
      <formula1>"FAT.OGGI,FAT.CLIENTE "</formula1>
    </dataValidation>
    <dataValidation type="list" allowBlank="1" showInputMessage="1" showErrorMessage="1" sqref="D26 D17:D24" xr:uid="{866F769C-DC3B-45CC-9540-9BECA319202E}">
      <formula1>"INTERNO,OPERACIONAL"</formula1>
    </dataValidation>
    <dataValidation type="list" allowBlank="1" showInputMessage="1" showErrorMessage="1" sqref="E17:E24" xr:uid="{2D57916D-CB38-4126-ABF4-8199B92AD777}">
      <formula1>"FAT.OGGI,FAT.CLIENTE"</formula1>
    </dataValidation>
  </dataValidations>
  <pageMargins left="0" right="0" top="0.59055118110236227" bottom="0.19685039370078741" header="0" footer="0"/>
  <pageSetup paperSize="9" fitToHeight="0" orientation="landscape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7527C-717C-443C-B8EC-D1B82A861154}">
  <sheetPr>
    <tabColor theme="0"/>
    <pageSetUpPr autoPageBreaks="0"/>
  </sheetPr>
  <dimension ref="B1:E19"/>
  <sheetViews>
    <sheetView showGridLines="0" zoomScale="90" zoomScaleNormal="90" workbookViewId="0">
      <pane ySplit="1" topLeftCell="A9" activePane="bottomLeft" state="frozen"/>
      <selection activeCell="AC1" sqref="AC1"/>
      <selection pane="bottomLeft" activeCell="C17" sqref="C17"/>
    </sheetView>
  </sheetViews>
  <sheetFormatPr defaultRowHeight="14.4" x14ac:dyDescent="0.3"/>
  <cols>
    <col min="2" max="2" width="44.33203125" customWidth="1"/>
    <col min="3" max="3" width="26.88671875" customWidth="1"/>
    <col min="4" max="4" width="21.109375" customWidth="1"/>
    <col min="5" max="5" width="15.88671875" customWidth="1"/>
    <col min="6" max="6" width="15.6640625" customWidth="1"/>
  </cols>
  <sheetData>
    <row r="1" spans="2:4" ht="49.5" customHeight="1" x14ac:dyDescent="0.3">
      <c r="B1" s="372" t="s">
        <v>128</v>
      </c>
      <c r="C1" s="372"/>
    </row>
    <row r="2" spans="2:4" ht="24.75" customHeight="1" x14ac:dyDescent="0.3">
      <c r="B2" s="373" t="s">
        <v>0</v>
      </c>
      <c r="C2" s="373"/>
    </row>
    <row r="3" spans="2:4" ht="18.600000000000001" thickBot="1" x14ac:dyDescent="0.35">
      <c r="B3" s="26"/>
      <c r="C3" s="26"/>
    </row>
    <row r="4" spans="2:4" ht="18" x14ac:dyDescent="0.3">
      <c r="B4" s="49" t="s">
        <v>206</v>
      </c>
      <c r="C4" s="53"/>
    </row>
    <row r="5" spans="2:4" ht="18" x14ac:dyDescent="0.3">
      <c r="B5" s="50" t="s">
        <v>186</v>
      </c>
      <c r="C5" s="54"/>
    </row>
    <row r="6" spans="2:4" ht="18" x14ac:dyDescent="0.3">
      <c r="B6" s="50" t="s">
        <v>212</v>
      </c>
      <c r="C6" s="55"/>
    </row>
    <row r="7" spans="2:4" ht="21.75" customHeight="1" x14ac:dyDescent="0.3">
      <c r="B7" s="50" t="s">
        <v>213</v>
      </c>
      <c r="C7" s="56"/>
    </row>
    <row r="8" spans="2:4" ht="18" x14ac:dyDescent="0.3">
      <c r="B8" s="52" t="s">
        <v>205</v>
      </c>
      <c r="C8" s="57"/>
    </row>
    <row r="9" spans="2:4" ht="18" x14ac:dyDescent="0.3">
      <c r="B9" s="50" t="s">
        <v>187</v>
      </c>
      <c r="C9" s="56"/>
    </row>
    <row r="10" spans="2:4" ht="18" x14ac:dyDescent="0.3">
      <c r="B10" s="50" t="s">
        <v>191</v>
      </c>
      <c r="C10" s="56"/>
    </row>
    <row r="11" spans="2:4" ht="18.600000000000001" thickBot="1" x14ac:dyDescent="0.35">
      <c r="B11" s="51" t="s">
        <v>207</v>
      </c>
      <c r="C11" s="58"/>
    </row>
    <row r="13" spans="2:4" ht="15" thickBot="1" x14ac:dyDescent="0.35"/>
    <row r="14" spans="2:4" ht="27.75" customHeight="1" thickBot="1" x14ac:dyDescent="0.35">
      <c r="B14" s="403" t="s">
        <v>202</v>
      </c>
      <c r="C14" s="404"/>
      <c r="D14" s="59"/>
    </row>
    <row r="15" spans="2:4" ht="27.75" customHeight="1" x14ac:dyDescent="0.3">
      <c r="B15" s="60" t="s">
        <v>203</v>
      </c>
      <c r="C15" s="61">
        <f>PRINCIPAL!N27</f>
        <v>2733.9381135827016</v>
      </c>
      <c r="D15" s="68">
        <f>PRINCIPAL!Y27</f>
        <v>533.93811358270182</v>
      </c>
    </row>
    <row r="16" spans="2:4" ht="27.75" customHeight="1" x14ac:dyDescent="0.3">
      <c r="B16" s="62" t="s">
        <v>214</v>
      </c>
      <c r="C16" s="63">
        <f>'ESTANPLAZA VL OLÍMPIA'!N26</f>
        <v>37107.171716167511</v>
      </c>
      <c r="D16" s="69">
        <f>'ESTANPLAZA VL OLÍMPIA'!Y26</f>
        <v>35360.351716167512</v>
      </c>
    </row>
    <row r="17" spans="2:5" ht="27.75" customHeight="1" thickBot="1" x14ac:dyDescent="0.35">
      <c r="B17" s="64" t="s">
        <v>43</v>
      </c>
      <c r="C17" s="65">
        <f>SUM(C15:C16)</f>
        <v>39841.10982975021</v>
      </c>
      <c r="D17" s="70">
        <f>SUM(D15:D16)</f>
        <v>35894.289829750211</v>
      </c>
      <c r="E17" s="66">
        <f>C17-D17</f>
        <v>3946.8199999999997</v>
      </c>
    </row>
    <row r="18" spans="2:5" ht="27.75" customHeight="1" x14ac:dyDescent="0.3">
      <c r="E18" s="67">
        <f>(E17/C17)*100%</f>
        <v>9.9064007425135145E-2</v>
      </c>
    </row>
    <row r="19" spans="2:5" ht="27.75" customHeight="1" x14ac:dyDescent="0.3">
      <c r="E19" s="67"/>
    </row>
  </sheetData>
  <mergeCells count="3">
    <mergeCell ref="B1:C1"/>
    <mergeCell ref="B2:C2"/>
    <mergeCell ref="B14:C14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D39" sqref="D39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406" t="s">
        <v>11</v>
      </c>
      <c r="B1" s="406"/>
      <c r="C1" s="406"/>
      <c r="D1" s="408" t="s">
        <v>80</v>
      </c>
      <c r="E1" s="408"/>
      <c r="F1" s="408"/>
      <c r="G1" s="408"/>
      <c r="H1" s="408"/>
      <c r="I1" s="408"/>
      <c r="J1" s="27" t="s">
        <v>11</v>
      </c>
      <c r="K1" s="27" t="s">
        <v>11</v>
      </c>
      <c r="L1" s="27" t="s">
        <v>11</v>
      </c>
      <c r="M1" s="27" t="s">
        <v>11</v>
      </c>
      <c r="N1" s="27" t="s">
        <v>11</v>
      </c>
      <c r="O1" s="28" t="s">
        <v>11</v>
      </c>
    </row>
    <row r="2" spans="1:15" x14ac:dyDescent="0.3">
      <c r="A2" s="407"/>
      <c r="B2" s="407"/>
      <c r="C2" s="407"/>
      <c r="D2" s="406" t="s">
        <v>81</v>
      </c>
      <c r="E2" s="406"/>
      <c r="F2" s="406"/>
      <c r="G2" s="406"/>
      <c r="H2" s="406"/>
      <c r="I2" s="406"/>
      <c r="J2" s="27"/>
      <c r="K2" s="27"/>
      <c r="L2" s="27"/>
      <c r="M2" s="27"/>
      <c r="N2" s="27"/>
      <c r="O2" s="409" t="s">
        <v>82</v>
      </c>
    </row>
    <row r="3" spans="1:15" x14ac:dyDescent="0.3">
      <c r="A3" s="407"/>
      <c r="B3" s="407"/>
      <c r="C3" s="407"/>
      <c r="D3" s="406" t="s">
        <v>83</v>
      </c>
      <c r="E3" s="406"/>
      <c r="F3" s="406"/>
      <c r="G3" s="406"/>
      <c r="H3" s="406"/>
      <c r="I3" s="406"/>
      <c r="J3" s="27"/>
      <c r="K3" s="27"/>
      <c r="L3" s="27"/>
      <c r="M3" s="27"/>
      <c r="N3" s="27"/>
      <c r="O3" s="410"/>
    </row>
    <row r="4" spans="1:15" x14ac:dyDescent="0.3">
      <c r="A4" s="407"/>
      <c r="B4" s="407"/>
      <c r="C4" s="407"/>
      <c r="D4" s="406" t="s">
        <v>84</v>
      </c>
      <c r="E4" s="406"/>
      <c r="F4" s="406"/>
      <c r="G4" s="406"/>
      <c r="H4" s="406"/>
      <c r="I4" s="406"/>
      <c r="J4" s="27"/>
      <c r="K4" s="27"/>
      <c r="L4" s="27"/>
      <c r="M4" s="27"/>
      <c r="N4" s="27"/>
      <c r="O4" s="410"/>
    </row>
    <row r="5" spans="1:15" x14ac:dyDescent="0.3">
      <c r="A5" s="407"/>
      <c r="B5" s="407"/>
      <c r="C5" s="407"/>
      <c r="D5" s="406" t="s">
        <v>85</v>
      </c>
      <c r="E5" s="406"/>
      <c r="F5" s="406"/>
      <c r="G5" s="406"/>
      <c r="H5" s="406"/>
      <c r="I5" s="406"/>
      <c r="J5" s="27"/>
      <c r="K5" s="27"/>
      <c r="L5" s="27"/>
      <c r="M5" s="27"/>
      <c r="N5" s="27"/>
      <c r="O5" s="410"/>
    </row>
    <row r="6" spans="1:15" x14ac:dyDescent="0.3">
      <c r="A6" s="407"/>
      <c r="B6" s="407"/>
      <c r="C6" s="40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410"/>
    </row>
    <row r="7" spans="1:15" x14ac:dyDescent="0.3">
      <c r="A7" s="407"/>
      <c r="B7" s="407"/>
      <c r="C7" s="407"/>
      <c r="D7" s="406" t="s">
        <v>86</v>
      </c>
      <c r="E7" s="406"/>
      <c r="F7" s="406"/>
      <c r="G7" s="406"/>
      <c r="H7" s="406"/>
      <c r="I7" s="406"/>
      <c r="J7" s="27"/>
      <c r="K7" s="27"/>
      <c r="L7" s="27"/>
      <c r="M7" s="27"/>
      <c r="N7" s="27"/>
      <c r="O7" s="29">
        <v>45264.482613275461</v>
      </c>
    </row>
    <row r="8" spans="1:15" x14ac:dyDescent="0.3">
      <c r="A8" s="405" t="s">
        <v>87</v>
      </c>
      <c r="B8" s="405"/>
      <c r="C8" s="405"/>
      <c r="D8" s="405"/>
      <c r="E8" s="405"/>
      <c r="F8" s="405"/>
      <c r="G8" s="405"/>
      <c r="H8" s="405"/>
      <c r="I8" s="405"/>
      <c r="J8" s="405"/>
      <c r="K8" s="405"/>
      <c r="L8" s="405"/>
      <c r="M8" s="405"/>
      <c r="N8" s="405"/>
      <c r="O8" s="405"/>
    </row>
    <row r="9" spans="1:15" ht="27.6" x14ac:dyDescent="0.3">
      <c r="A9" s="30" t="s">
        <v>88</v>
      </c>
      <c r="B9" s="30" t="s">
        <v>89</v>
      </c>
      <c r="C9" s="30" t="s">
        <v>90</v>
      </c>
      <c r="D9" s="30" t="s">
        <v>52</v>
      </c>
      <c r="E9" s="30" t="s">
        <v>91</v>
      </c>
      <c r="F9" s="30" t="s">
        <v>92</v>
      </c>
      <c r="G9" s="30" t="s">
        <v>34</v>
      </c>
      <c r="H9" s="30" t="s">
        <v>93</v>
      </c>
      <c r="I9" s="30" t="s">
        <v>94</v>
      </c>
      <c r="J9" s="30" t="s">
        <v>92</v>
      </c>
      <c r="K9" s="30" t="s">
        <v>95</v>
      </c>
      <c r="L9" s="30" t="s">
        <v>96</v>
      </c>
      <c r="M9" s="30" t="s">
        <v>97</v>
      </c>
      <c r="N9" s="30" t="s">
        <v>98</v>
      </c>
      <c r="O9" s="31" t="s">
        <v>99</v>
      </c>
    </row>
    <row r="10" spans="1:15" x14ac:dyDescent="0.3">
      <c r="A10" s="32" t="s">
        <v>49</v>
      </c>
      <c r="B10" s="33">
        <v>1</v>
      </c>
      <c r="C10" s="32" t="s">
        <v>109</v>
      </c>
      <c r="D10" s="32" t="s">
        <v>63</v>
      </c>
      <c r="E10" s="32">
        <v>1</v>
      </c>
      <c r="F10" s="34">
        <v>20000</v>
      </c>
      <c r="G10" s="34">
        <v>20000</v>
      </c>
      <c r="H10" s="32" t="s">
        <v>103</v>
      </c>
      <c r="I10" s="34">
        <v>9900</v>
      </c>
      <c r="J10" s="34">
        <v>9900</v>
      </c>
      <c r="K10" s="34" t="s">
        <v>104</v>
      </c>
      <c r="L10" s="35" t="s">
        <v>105</v>
      </c>
      <c r="M10" s="35" t="s">
        <v>105</v>
      </c>
      <c r="N10" s="34">
        <v>0</v>
      </c>
      <c r="O10" s="36" t="s">
        <v>11</v>
      </c>
    </row>
    <row r="11" spans="1:15" x14ac:dyDescent="0.3">
      <c r="A11" s="37" t="s">
        <v>49</v>
      </c>
      <c r="B11" s="38">
        <v>2</v>
      </c>
      <c r="C11" s="37" t="s">
        <v>110</v>
      </c>
      <c r="D11" s="37" t="s">
        <v>72</v>
      </c>
      <c r="E11" s="37">
        <v>1</v>
      </c>
      <c r="F11" s="39">
        <v>11500</v>
      </c>
      <c r="G11" s="39">
        <v>11500</v>
      </c>
      <c r="H11" s="37" t="s">
        <v>103</v>
      </c>
      <c r="I11" s="39">
        <v>7400</v>
      </c>
      <c r="J11" s="39">
        <v>7400</v>
      </c>
      <c r="K11" s="39" t="s">
        <v>104</v>
      </c>
      <c r="L11" s="40" t="s">
        <v>105</v>
      </c>
      <c r="M11" s="40" t="s">
        <v>105</v>
      </c>
      <c r="N11" s="39">
        <v>0</v>
      </c>
      <c r="O11" s="41" t="s">
        <v>11</v>
      </c>
    </row>
    <row r="12" spans="1:15" x14ac:dyDescent="0.3">
      <c r="A12" s="32" t="s">
        <v>106</v>
      </c>
      <c r="B12" s="33">
        <v>3</v>
      </c>
      <c r="C12" s="32" t="s">
        <v>111</v>
      </c>
      <c r="D12" s="32" t="s">
        <v>73</v>
      </c>
      <c r="E12" s="32">
        <v>1</v>
      </c>
      <c r="F12" s="34">
        <v>1000</v>
      </c>
      <c r="G12" s="34">
        <v>1000</v>
      </c>
      <c r="H12" s="32" t="s">
        <v>103</v>
      </c>
      <c r="I12" s="34">
        <v>900</v>
      </c>
      <c r="J12" s="34">
        <v>900</v>
      </c>
      <c r="K12" s="34" t="s">
        <v>104</v>
      </c>
      <c r="L12" s="35" t="s">
        <v>112</v>
      </c>
      <c r="M12" s="35" t="s">
        <v>105</v>
      </c>
      <c r="N12" s="34">
        <v>0</v>
      </c>
      <c r="O12" s="36" t="s">
        <v>74</v>
      </c>
    </row>
    <row r="13" spans="1:15" x14ac:dyDescent="0.3">
      <c r="A13" s="37" t="s">
        <v>106</v>
      </c>
      <c r="B13" s="38">
        <v>4</v>
      </c>
      <c r="C13" s="37" t="s">
        <v>113</v>
      </c>
      <c r="D13" s="37" t="s">
        <v>75</v>
      </c>
      <c r="E13" s="37">
        <v>1</v>
      </c>
      <c r="F13" s="39">
        <v>2000</v>
      </c>
      <c r="G13" s="39">
        <v>2000</v>
      </c>
      <c r="H13" s="37" t="s">
        <v>103</v>
      </c>
      <c r="I13" s="39">
        <v>500</v>
      </c>
      <c r="J13" s="39">
        <v>500</v>
      </c>
      <c r="K13" s="39" t="s">
        <v>104</v>
      </c>
      <c r="L13" s="40" t="s">
        <v>112</v>
      </c>
      <c r="M13" s="40" t="s">
        <v>105</v>
      </c>
      <c r="N13" s="39">
        <v>0</v>
      </c>
      <c r="O13" s="41" t="s">
        <v>76</v>
      </c>
    </row>
    <row r="14" spans="1:15" x14ac:dyDescent="0.3">
      <c r="A14" s="32" t="s">
        <v>106</v>
      </c>
      <c r="B14" s="33">
        <v>5</v>
      </c>
      <c r="C14" s="32" t="s">
        <v>114</v>
      </c>
      <c r="D14" s="32" t="s">
        <v>59</v>
      </c>
      <c r="E14" s="32">
        <v>1</v>
      </c>
      <c r="F14" s="34">
        <v>4000</v>
      </c>
      <c r="G14" s="34">
        <v>4000</v>
      </c>
      <c r="H14" s="32" t="s">
        <v>103</v>
      </c>
      <c r="I14" s="34">
        <v>2000</v>
      </c>
      <c r="J14" s="34">
        <v>2000</v>
      </c>
      <c r="K14" s="34" t="s">
        <v>104</v>
      </c>
      <c r="L14" s="35" t="s">
        <v>112</v>
      </c>
      <c r="M14" s="35" t="s">
        <v>105</v>
      </c>
      <c r="N14" s="34">
        <v>0</v>
      </c>
      <c r="O14" s="36" t="s">
        <v>61</v>
      </c>
    </row>
    <row r="15" spans="1:15" x14ac:dyDescent="0.3">
      <c r="A15" s="37" t="s">
        <v>108</v>
      </c>
      <c r="B15" s="38">
        <v>6</v>
      </c>
      <c r="C15" s="37" t="s">
        <v>115</v>
      </c>
      <c r="D15" s="37" t="s">
        <v>107</v>
      </c>
      <c r="E15" s="37">
        <v>1</v>
      </c>
      <c r="F15" s="39">
        <v>0</v>
      </c>
      <c r="G15" s="39">
        <v>0</v>
      </c>
      <c r="H15" s="37" t="s">
        <v>103</v>
      </c>
      <c r="I15" s="39">
        <v>1000</v>
      </c>
      <c r="J15" s="39">
        <v>1000</v>
      </c>
      <c r="K15" s="39" t="s">
        <v>104</v>
      </c>
      <c r="L15" s="40" t="s">
        <v>112</v>
      </c>
      <c r="M15" s="40" t="s">
        <v>105</v>
      </c>
      <c r="N15" s="39">
        <v>0</v>
      </c>
      <c r="O15" s="41" t="s">
        <v>11</v>
      </c>
    </row>
    <row r="16" spans="1:15" x14ac:dyDescent="0.3">
      <c r="A16" s="32" t="s">
        <v>106</v>
      </c>
      <c r="B16" s="33">
        <v>7</v>
      </c>
      <c r="C16" s="32" t="s">
        <v>116</v>
      </c>
      <c r="D16" s="32" t="s">
        <v>60</v>
      </c>
      <c r="E16" s="32">
        <v>1</v>
      </c>
      <c r="F16" s="34">
        <v>2000</v>
      </c>
      <c r="G16" s="34">
        <v>2000</v>
      </c>
      <c r="H16" s="32" t="s">
        <v>103</v>
      </c>
      <c r="I16" s="34">
        <v>1000</v>
      </c>
      <c r="J16" s="34">
        <v>1000</v>
      </c>
      <c r="K16" s="34" t="s">
        <v>104</v>
      </c>
      <c r="L16" s="35" t="s">
        <v>112</v>
      </c>
      <c r="M16" s="35" t="s">
        <v>105</v>
      </c>
      <c r="N16" s="34">
        <v>0</v>
      </c>
      <c r="O16" s="36" t="s">
        <v>62</v>
      </c>
    </row>
    <row r="17" spans="1:15" x14ac:dyDescent="0.3">
      <c r="A17" s="37" t="s">
        <v>108</v>
      </c>
      <c r="B17" s="38">
        <v>14</v>
      </c>
      <c r="C17" s="37" t="s">
        <v>117</v>
      </c>
      <c r="D17" s="37" t="s">
        <v>79</v>
      </c>
      <c r="E17" s="37">
        <v>1</v>
      </c>
      <c r="F17" s="39">
        <v>2500</v>
      </c>
      <c r="G17" s="39">
        <v>2500</v>
      </c>
      <c r="H17" s="37" t="s">
        <v>103</v>
      </c>
      <c r="I17" s="39">
        <v>2000</v>
      </c>
      <c r="J17" s="39">
        <v>2000</v>
      </c>
      <c r="K17" s="39" t="s">
        <v>118</v>
      </c>
      <c r="L17" s="40" t="s">
        <v>119</v>
      </c>
      <c r="M17" s="40" t="s">
        <v>105</v>
      </c>
      <c r="N17" s="39">
        <v>0</v>
      </c>
      <c r="O17" s="41" t="s">
        <v>11</v>
      </c>
    </row>
    <row r="18" spans="1:15" x14ac:dyDescent="0.3">
      <c r="A18" s="32" t="s">
        <v>49</v>
      </c>
      <c r="B18" s="33">
        <v>8</v>
      </c>
      <c r="C18" s="32" t="s">
        <v>120</v>
      </c>
      <c r="D18" s="32" t="s">
        <v>77</v>
      </c>
      <c r="E18" s="32">
        <v>1</v>
      </c>
      <c r="F18" s="34">
        <v>8500</v>
      </c>
      <c r="G18" s="34">
        <v>8500</v>
      </c>
      <c r="H18" s="32" t="s">
        <v>103</v>
      </c>
      <c r="I18" s="34">
        <v>2500</v>
      </c>
      <c r="J18" s="34">
        <v>2500</v>
      </c>
      <c r="K18" s="34" t="s">
        <v>104</v>
      </c>
      <c r="L18" s="35" t="s">
        <v>105</v>
      </c>
      <c r="M18" s="35" t="s">
        <v>105</v>
      </c>
      <c r="N18" s="34">
        <v>0</v>
      </c>
      <c r="O18" s="36" t="s">
        <v>11</v>
      </c>
    </row>
    <row r="19" spans="1:15" ht="72" x14ac:dyDescent="0.3">
      <c r="A19" s="37" t="s">
        <v>106</v>
      </c>
      <c r="B19" s="38">
        <v>9</v>
      </c>
      <c r="C19" s="37" t="s">
        <v>121</v>
      </c>
      <c r="D19" s="37" t="s">
        <v>64</v>
      </c>
      <c r="E19" s="37">
        <v>2</v>
      </c>
      <c r="F19" s="39">
        <v>2000</v>
      </c>
      <c r="G19" s="39">
        <v>4000</v>
      </c>
      <c r="H19" s="37" t="s">
        <v>103</v>
      </c>
      <c r="I19" s="39">
        <v>1000</v>
      </c>
      <c r="J19" s="39">
        <v>500</v>
      </c>
      <c r="K19" s="39" t="s">
        <v>104</v>
      </c>
      <c r="L19" s="40" t="s">
        <v>112</v>
      </c>
      <c r="M19" s="40" t="s">
        <v>105</v>
      </c>
      <c r="N19" s="39">
        <v>0</v>
      </c>
      <c r="O19" s="42" t="s">
        <v>65</v>
      </c>
    </row>
    <row r="20" spans="1:15" ht="28.8" x14ac:dyDescent="0.3">
      <c r="A20" s="32" t="s">
        <v>106</v>
      </c>
      <c r="B20" s="33">
        <v>10</v>
      </c>
      <c r="C20" s="32" t="s">
        <v>122</v>
      </c>
      <c r="D20" s="32" t="s">
        <v>66</v>
      </c>
      <c r="E20" s="32">
        <v>3</v>
      </c>
      <c r="F20" s="34">
        <v>1500</v>
      </c>
      <c r="G20" s="34">
        <v>4500</v>
      </c>
      <c r="H20" s="32" t="s">
        <v>103</v>
      </c>
      <c r="I20" s="34">
        <v>1500</v>
      </c>
      <c r="J20" s="34">
        <v>500</v>
      </c>
      <c r="K20" s="34" t="s">
        <v>104</v>
      </c>
      <c r="L20" s="35" t="s">
        <v>112</v>
      </c>
      <c r="M20" s="35" t="s">
        <v>105</v>
      </c>
      <c r="N20" s="34">
        <v>0</v>
      </c>
      <c r="O20" s="43" t="s">
        <v>67</v>
      </c>
    </row>
    <row r="21" spans="1:15" x14ac:dyDescent="0.3">
      <c r="A21" s="37" t="s">
        <v>49</v>
      </c>
      <c r="B21" s="38">
        <v>11</v>
      </c>
      <c r="C21" s="37" t="s">
        <v>123</v>
      </c>
      <c r="D21" s="37" t="s">
        <v>68</v>
      </c>
      <c r="E21" s="37">
        <v>1</v>
      </c>
      <c r="F21" s="39">
        <v>7000</v>
      </c>
      <c r="G21" s="39">
        <v>7000</v>
      </c>
      <c r="H21" s="37" t="s">
        <v>103</v>
      </c>
      <c r="I21" s="39">
        <v>300</v>
      </c>
      <c r="J21" s="39">
        <v>300</v>
      </c>
      <c r="K21" s="39" t="s">
        <v>104</v>
      </c>
      <c r="L21" s="40" t="s">
        <v>105</v>
      </c>
      <c r="M21" s="40" t="s">
        <v>105</v>
      </c>
      <c r="N21" s="39">
        <v>0</v>
      </c>
      <c r="O21" s="41" t="s">
        <v>11</v>
      </c>
    </row>
    <row r="22" spans="1:15" x14ac:dyDescent="0.3">
      <c r="A22" s="32" t="s">
        <v>49</v>
      </c>
      <c r="B22" s="33">
        <v>12</v>
      </c>
      <c r="C22" s="32" t="s">
        <v>124</v>
      </c>
      <c r="D22" s="32" t="s">
        <v>69</v>
      </c>
      <c r="E22" s="32">
        <v>1</v>
      </c>
      <c r="F22" s="34">
        <v>7000</v>
      </c>
      <c r="G22" s="34">
        <v>7000</v>
      </c>
      <c r="H22" s="32" t="s">
        <v>103</v>
      </c>
      <c r="I22" s="34">
        <v>300</v>
      </c>
      <c r="J22" s="34">
        <v>300</v>
      </c>
      <c r="K22" s="34" t="s">
        <v>104</v>
      </c>
      <c r="L22" s="35" t="s">
        <v>105</v>
      </c>
      <c r="M22" s="35" t="s">
        <v>105</v>
      </c>
      <c r="N22" s="34">
        <v>0</v>
      </c>
      <c r="O22" s="36" t="s">
        <v>11</v>
      </c>
    </row>
    <row r="23" spans="1:15" x14ac:dyDescent="0.3">
      <c r="A23" s="37" t="s">
        <v>106</v>
      </c>
      <c r="B23" s="38">
        <v>13</v>
      </c>
      <c r="C23" s="37" t="s">
        <v>125</v>
      </c>
      <c r="D23" s="37" t="s">
        <v>78</v>
      </c>
      <c r="E23" s="37">
        <v>1</v>
      </c>
      <c r="F23" s="39">
        <v>5000</v>
      </c>
      <c r="G23" s="39">
        <v>5000</v>
      </c>
      <c r="H23" s="37" t="s">
        <v>103</v>
      </c>
      <c r="I23" s="39">
        <v>200</v>
      </c>
      <c r="J23" s="39">
        <v>200</v>
      </c>
      <c r="K23" s="39" t="s">
        <v>104</v>
      </c>
      <c r="L23" s="40" t="s">
        <v>112</v>
      </c>
      <c r="M23" s="40" t="s">
        <v>105</v>
      </c>
      <c r="N23" s="39">
        <v>0</v>
      </c>
      <c r="O23" s="41" t="s">
        <v>11</v>
      </c>
    </row>
    <row r="24" spans="1:15" x14ac:dyDescent="0.3">
      <c r="A24" s="32" t="s">
        <v>106</v>
      </c>
      <c r="B24" s="33">
        <v>15</v>
      </c>
      <c r="C24" s="32" t="s">
        <v>126</v>
      </c>
      <c r="D24" s="32" t="s">
        <v>79</v>
      </c>
      <c r="E24" s="32">
        <v>1</v>
      </c>
      <c r="F24" s="34">
        <v>2000</v>
      </c>
      <c r="G24" s="34">
        <v>2000</v>
      </c>
      <c r="H24" s="32" t="s">
        <v>103</v>
      </c>
      <c r="I24" s="34">
        <v>100</v>
      </c>
      <c r="J24" s="34">
        <v>100</v>
      </c>
      <c r="K24" s="34" t="s">
        <v>104</v>
      </c>
      <c r="L24" s="35" t="s">
        <v>112</v>
      </c>
      <c r="M24" s="35" t="s">
        <v>105</v>
      </c>
      <c r="N24" s="34">
        <v>0</v>
      </c>
      <c r="O24" s="36" t="s">
        <v>11</v>
      </c>
    </row>
    <row r="25" spans="1:15" x14ac:dyDescent="0.3">
      <c r="A25" s="37"/>
      <c r="B25" s="38"/>
      <c r="C25" s="37"/>
      <c r="D25" s="37"/>
      <c r="E25" s="37"/>
      <c r="F25" s="39"/>
      <c r="G25" s="39"/>
      <c r="H25" s="37"/>
      <c r="I25" s="39"/>
      <c r="J25" s="39"/>
      <c r="K25" s="39"/>
      <c r="L25" s="40"/>
      <c r="M25" s="40"/>
      <c r="N25" s="39"/>
      <c r="O25" s="41"/>
    </row>
    <row r="26" spans="1:15" x14ac:dyDescent="0.3">
      <c r="A26" s="32" t="s">
        <v>100</v>
      </c>
      <c r="B26" s="33"/>
      <c r="C26" s="32"/>
      <c r="D26" s="32"/>
      <c r="E26" s="32"/>
      <c r="F26" s="34"/>
      <c r="G26" s="34"/>
      <c r="H26" s="32"/>
      <c r="I26" s="34"/>
      <c r="J26" s="34"/>
      <c r="K26" s="34"/>
      <c r="L26" s="35"/>
      <c r="M26" s="35"/>
      <c r="N26" s="34"/>
      <c r="O26" s="36"/>
    </row>
    <row r="27" spans="1:15" x14ac:dyDescent="0.3">
      <c r="A27" s="37" t="s">
        <v>101</v>
      </c>
      <c r="B27" s="38"/>
      <c r="C27" s="37"/>
      <c r="D27" s="37"/>
      <c r="E27" s="37"/>
      <c r="F27" s="39"/>
      <c r="G27" s="39"/>
      <c r="H27" s="37"/>
      <c r="I27" s="39"/>
      <c r="J27" s="39"/>
      <c r="K27" s="39"/>
      <c r="L27" s="40"/>
      <c r="M27" s="40"/>
      <c r="N27" s="39"/>
      <c r="O27" s="41"/>
    </row>
    <row r="28" spans="1:15" x14ac:dyDescent="0.3">
      <c r="A28" s="44" t="s">
        <v>102</v>
      </c>
      <c r="B28" s="45"/>
      <c r="C28" s="44"/>
      <c r="D28" s="44"/>
      <c r="E28" s="44"/>
      <c r="F28" s="46"/>
      <c r="G28" s="46"/>
      <c r="H28" s="44"/>
      <c r="I28" s="46"/>
      <c r="J28" s="46"/>
      <c r="K28" s="46"/>
      <c r="L28" s="47"/>
      <c r="M28" s="47"/>
      <c r="N28" s="46"/>
      <c r="O28" s="48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554687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444" t="s">
        <v>3</v>
      </c>
      <c r="C2" s="445"/>
      <c r="D2" s="445"/>
      <c r="E2" s="445"/>
      <c r="F2" s="445"/>
      <c r="G2" s="445"/>
      <c r="H2" s="445"/>
      <c r="I2" s="445"/>
      <c r="J2" s="445"/>
      <c r="K2" s="445"/>
      <c r="L2" s="446"/>
    </row>
    <row r="3" spans="2:12" ht="47.4" customHeight="1" thickBot="1" x14ac:dyDescent="0.35">
      <c r="B3" s="447" t="s">
        <v>12</v>
      </c>
      <c r="C3" s="448"/>
      <c r="D3" s="448"/>
      <c r="E3" s="448"/>
      <c r="F3" s="448"/>
      <c r="G3" s="448"/>
      <c r="H3" s="448"/>
      <c r="I3" s="448"/>
      <c r="J3" s="448"/>
      <c r="K3" s="448"/>
      <c r="L3" s="449"/>
    </row>
    <row r="4" spans="2:12" ht="7.2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416" t="s">
        <v>13</v>
      </c>
      <c r="D6" s="416"/>
      <c r="E6" s="416"/>
      <c r="F6" s="416"/>
      <c r="G6" s="416"/>
      <c r="H6" s="416"/>
      <c r="I6" s="416"/>
      <c r="J6" s="416"/>
      <c r="K6" s="416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450" t="s">
        <v>154</v>
      </c>
      <c r="E8" s="451"/>
      <c r="F8" s="451"/>
      <c r="G8" s="451"/>
      <c r="H8" s="451"/>
      <c r="I8" s="451"/>
      <c r="J8" s="451"/>
      <c r="K8" s="452"/>
      <c r="L8" s="5"/>
    </row>
    <row r="9" spans="2:12" x14ac:dyDescent="0.3">
      <c r="B9" s="4"/>
      <c r="C9" s="7" t="s">
        <v>15</v>
      </c>
      <c r="D9" s="437" t="s">
        <v>16</v>
      </c>
      <c r="E9" s="438"/>
      <c r="F9" s="438"/>
      <c r="G9" s="438"/>
      <c r="H9" s="438"/>
      <c r="I9" s="438"/>
      <c r="J9" s="438"/>
      <c r="K9" s="439"/>
      <c r="L9" s="5"/>
    </row>
    <row r="10" spans="2:12" x14ac:dyDescent="0.3">
      <c r="B10" s="4"/>
      <c r="C10" s="7" t="s">
        <v>17</v>
      </c>
      <c r="D10" s="437" t="s">
        <v>11</v>
      </c>
      <c r="E10" s="438"/>
      <c r="F10" s="438"/>
      <c r="G10" s="438"/>
      <c r="H10" s="438"/>
      <c r="I10" s="438"/>
      <c r="J10" s="438"/>
      <c r="K10" s="439"/>
      <c r="L10" s="5"/>
    </row>
    <row r="11" spans="2:12" x14ac:dyDescent="0.3">
      <c r="B11" s="4"/>
      <c r="C11" s="7" t="s">
        <v>18</v>
      </c>
      <c r="D11" s="437" t="s">
        <v>155</v>
      </c>
      <c r="E11" s="438"/>
      <c r="F11" s="438"/>
      <c r="G11" s="438"/>
      <c r="H11" s="438"/>
      <c r="I11" s="438"/>
      <c r="J11" s="438"/>
      <c r="K11" s="439"/>
      <c r="L11" s="5"/>
    </row>
    <row r="12" spans="2:12" x14ac:dyDescent="0.3">
      <c r="B12" s="4"/>
      <c r="C12" s="10" t="s">
        <v>19</v>
      </c>
      <c r="D12" s="434" t="s">
        <v>156</v>
      </c>
      <c r="E12" s="435"/>
      <c r="F12" s="435"/>
      <c r="G12" s="435"/>
      <c r="H12" s="436"/>
      <c r="I12" s="11" t="s">
        <v>20</v>
      </c>
      <c r="J12" s="434" t="s">
        <v>153</v>
      </c>
      <c r="K12" s="436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2" customHeight="1" thickBot="1" x14ac:dyDescent="0.35"/>
    <row r="15" spans="2:12" ht="7.95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416" t="s">
        <v>21</v>
      </c>
      <c r="D16" s="416"/>
      <c r="E16" s="416"/>
      <c r="F16" s="416"/>
      <c r="G16" s="416"/>
      <c r="H16" s="416"/>
      <c r="I16" s="416"/>
      <c r="J16" s="416"/>
      <c r="K16" s="416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440" t="s">
        <v>127</v>
      </c>
      <c r="E18" s="440"/>
      <c r="F18" s="440"/>
      <c r="G18" s="431"/>
      <c r="H18" s="440" t="s">
        <v>22</v>
      </c>
      <c r="I18" s="440"/>
      <c r="J18" s="440"/>
      <c r="K18" s="431"/>
      <c r="L18" s="5"/>
    </row>
    <row r="19" spans="2:12" x14ac:dyDescent="0.3">
      <c r="B19" s="4"/>
      <c r="C19" s="15" t="s">
        <v>23</v>
      </c>
      <c r="D19" s="441" t="s">
        <v>158</v>
      </c>
      <c r="E19" s="442"/>
      <c r="F19" s="442"/>
      <c r="G19" s="442"/>
      <c r="H19" s="442"/>
      <c r="I19" s="442"/>
      <c r="J19" s="442"/>
      <c r="K19" s="443"/>
      <c r="L19" s="5"/>
    </row>
    <row r="20" spans="2:12" x14ac:dyDescent="0.3">
      <c r="B20" s="4"/>
      <c r="C20" s="7" t="s">
        <v>24</v>
      </c>
      <c r="D20" s="437"/>
      <c r="E20" s="438"/>
      <c r="F20" s="438"/>
      <c r="G20" s="438"/>
      <c r="H20" s="438"/>
      <c r="I20" s="438"/>
      <c r="J20" s="438"/>
      <c r="K20" s="439"/>
      <c r="L20" s="5"/>
    </row>
    <row r="21" spans="2:12" x14ac:dyDescent="0.3">
      <c r="B21" s="4"/>
      <c r="C21" s="7" t="s">
        <v>25</v>
      </c>
      <c r="D21" s="437" t="s">
        <v>162</v>
      </c>
      <c r="E21" s="439"/>
      <c r="F21" s="7" t="s">
        <v>57</v>
      </c>
      <c r="G21" s="16" t="s">
        <v>163</v>
      </c>
      <c r="H21" s="7" t="s">
        <v>26</v>
      </c>
      <c r="I21" s="8" t="s">
        <v>164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437" t="s">
        <v>157</v>
      </c>
      <c r="E22" s="438"/>
      <c r="F22" s="438"/>
      <c r="G22" s="439"/>
      <c r="H22" s="7" t="s">
        <v>29</v>
      </c>
      <c r="I22" s="437"/>
      <c r="J22" s="438"/>
      <c r="K22" s="439"/>
      <c r="L22" s="5"/>
    </row>
    <row r="23" spans="2:12" x14ac:dyDescent="0.3">
      <c r="B23" s="4"/>
      <c r="C23" s="10" t="s">
        <v>30</v>
      </c>
      <c r="D23" s="434" t="s">
        <v>159</v>
      </c>
      <c r="E23" s="435"/>
      <c r="F23" s="435"/>
      <c r="G23" s="436"/>
      <c r="H23" s="10" t="s">
        <v>31</v>
      </c>
      <c r="I23" s="434" t="s">
        <v>11</v>
      </c>
      <c r="J23" s="435"/>
      <c r="K23" s="436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7.95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416" t="s">
        <v>21</v>
      </c>
      <c r="D27" s="416"/>
      <c r="E27" s="416"/>
      <c r="F27" s="416"/>
      <c r="G27" s="416"/>
      <c r="H27" s="416"/>
      <c r="I27" s="416"/>
      <c r="J27" s="416"/>
      <c r="K27" s="416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430" t="s">
        <v>33</v>
      </c>
      <c r="E29" s="431"/>
      <c r="F29" s="430" t="s">
        <v>34</v>
      </c>
      <c r="G29" s="431"/>
      <c r="H29" s="432" t="s">
        <v>35</v>
      </c>
      <c r="I29" s="432"/>
      <c r="J29" s="432"/>
      <c r="K29" s="433"/>
      <c r="L29" s="5"/>
    </row>
    <row r="30" spans="2:12" x14ac:dyDescent="0.3">
      <c r="B30" s="4"/>
      <c r="C30" s="17" t="s">
        <v>36</v>
      </c>
      <c r="D30" s="417" t="s">
        <v>160</v>
      </c>
      <c r="E30" s="418"/>
      <c r="F30" s="419" t="s">
        <v>165</v>
      </c>
      <c r="G30" s="420"/>
      <c r="H30" s="18" t="s">
        <v>161</v>
      </c>
      <c r="I30" s="430" t="s">
        <v>40</v>
      </c>
      <c r="J30" s="431"/>
      <c r="K30" s="6" t="s">
        <v>38</v>
      </c>
      <c r="L30" s="5"/>
    </row>
    <row r="31" spans="2:12" x14ac:dyDescent="0.3">
      <c r="B31" s="4"/>
      <c r="C31" s="17" t="s">
        <v>39</v>
      </c>
      <c r="D31" s="417" t="s">
        <v>11</v>
      </c>
      <c r="E31" s="418"/>
      <c r="F31" s="419" t="s">
        <v>11</v>
      </c>
      <c r="G31" s="420"/>
      <c r="H31" s="17" t="s">
        <v>37</v>
      </c>
      <c r="I31" s="421" t="s">
        <v>40</v>
      </c>
      <c r="J31" s="422"/>
      <c r="K31" s="7" t="s">
        <v>38</v>
      </c>
      <c r="L31" s="5"/>
    </row>
    <row r="32" spans="2:12" x14ac:dyDescent="0.3">
      <c r="B32" s="4"/>
      <c r="C32" s="17" t="s">
        <v>41</v>
      </c>
      <c r="D32" s="417" t="s">
        <v>11</v>
      </c>
      <c r="E32" s="418"/>
      <c r="F32" s="419" t="s">
        <v>11</v>
      </c>
      <c r="G32" s="420"/>
      <c r="H32" s="17" t="s">
        <v>37</v>
      </c>
      <c r="I32" s="421" t="s">
        <v>40</v>
      </c>
      <c r="J32" s="422"/>
      <c r="K32" s="7" t="s">
        <v>38</v>
      </c>
      <c r="L32" s="5"/>
    </row>
    <row r="33" spans="2:12" x14ac:dyDescent="0.3">
      <c r="B33" s="4"/>
      <c r="C33" s="19" t="s">
        <v>42</v>
      </c>
      <c r="D33" s="417" t="s">
        <v>11</v>
      </c>
      <c r="E33" s="418"/>
      <c r="F33" s="423" t="s">
        <v>11</v>
      </c>
      <c r="G33" s="424"/>
      <c r="H33" s="17" t="s">
        <v>37</v>
      </c>
      <c r="I33" s="421" t="s">
        <v>40</v>
      </c>
      <c r="J33" s="422"/>
      <c r="K33" s="7" t="s">
        <v>38</v>
      </c>
      <c r="L33" s="5"/>
    </row>
    <row r="34" spans="2:12" x14ac:dyDescent="0.3">
      <c r="B34" s="4"/>
      <c r="C34" s="425" t="s">
        <v>43</v>
      </c>
      <c r="D34" s="426"/>
      <c r="E34" s="427"/>
      <c r="F34" s="428" t="s">
        <v>165</v>
      </c>
      <c r="G34" s="429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416" t="s">
        <v>44</v>
      </c>
      <c r="D38" s="416"/>
      <c r="E38" s="416"/>
      <c r="F38" s="416"/>
      <c r="G38" s="416"/>
      <c r="H38" s="416"/>
      <c r="I38" s="416"/>
      <c r="J38" s="416"/>
      <c r="K38" s="416"/>
      <c r="L38" s="5"/>
    </row>
    <row r="39" spans="2:12" x14ac:dyDescent="0.3">
      <c r="B39" s="4"/>
      <c r="C39" s="414" t="s">
        <v>166</v>
      </c>
      <c r="D39" s="414"/>
      <c r="E39" s="414"/>
      <c r="F39" s="414"/>
      <c r="G39" s="414"/>
      <c r="H39" s="414"/>
      <c r="I39" s="414"/>
      <c r="J39" s="414"/>
      <c r="K39" s="414"/>
      <c r="L39" s="5"/>
    </row>
    <row r="40" spans="2:12" x14ac:dyDescent="0.3">
      <c r="B40" s="4"/>
      <c r="C40" s="414"/>
      <c r="D40" s="414"/>
      <c r="E40" s="414"/>
      <c r="F40" s="414"/>
      <c r="G40" s="414"/>
      <c r="H40" s="414"/>
      <c r="I40" s="414"/>
      <c r="J40" s="414"/>
      <c r="K40" s="414"/>
      <c r="L40" s="5"/>
    </row>
    <row r="41" spans="2:12" x14ac:dyDescent="0.3">
      <c r="B41" s="4"/>
      <c r="C41" s="414"/>
      <c r="D41" s="414"/>
      <c r="E41" s="414"/>
      <c r="F41" s="414"/>
      <c r="G41" s="414"/>
      <c r="H41" s="414"/>
      <c r="I41" s="414"/>
      <c r="J41" s="414"/>
      <c r="K41" s="414"/>
      <c r="L41" s="5"/>
    </row>
    <row r="42" spans="2:12" x14ac:dyDescent="0.3">
      <c r="B42" s="4"/>
      <c r="C42" s="414"/>
      <c r="D42" s="414"/>
      <c r="E42" s="414"/>
      <c r="F42" s="414"/>
      <c r="G42" s="414"/>
      <c r="H42" s="414"/>
      <c r="I42" s="414"/>
      <c r="J42" s="414"/>
      <c r="K42" s="414"/>
      <c r="L42" s="5"/>
    </row>
    <row r="43" spans="2:12" x14ac:dyDescent="0.3">
      <c r="B43" s="4"/>
      <c r="C43" s="414"/>
      <c r="D43" s="414"/>
      <c r="E43" s="414"/>
      <c r="F43" s="414"/>
      <c r="G43" s="414"/>
      <c r="H43" s="414"/>
      <c r="I43" s="414"/>
      <c r="J43" s="414"/>
      <c r="K43" s="414"/>
      <c r="L43" s="5"/>
    </row>
    <row r="44" spans="2:12" x14ac:dyDescent="0.3">
      <c r="B44" s="4"/>
      <c r="C44" s="414"/>
      <c r="D44" s="414"/>
      <c r="E44" s="414"/>
      <c r="F44" s="414"/>
      <c r="G44" s="414"/>
      <c r="H44" s="414"/>
      <c r="I44" s="414"/>
      <c r="J44" s="414"/>
      <c r="K44" s="414"/>
      <c r="L44" s="5"/>
    </row>
    <row r="45" spans="2:12" x14ac:dyDescent="0.3">
      <c r="B45" s="4"/>
      <c r="C45" s="415"/>
      <c r="D45" s="415"/>
      <c r="E45" s="415"/>
      <c r="F45" s="415"/>
      <c r="G45" s="415"/>
      <c r="H45" s="415"/>
      <c r="I45" s="415"/>
      <c r="J45" s="415"/>
      <c r="K45" s="415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411" t="s">
        <v>45</v>
      </c>
      <c r="C48" s="412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413" t="s">
        <v>46</v>
      </c>
      <c r="D51" s="413"/>
      <c r="E51" s="413"/>
      <c r="F51" s="413"/>
      <c r="H51" s="413" t="s">
        <v>47</v>
      </c>
      <c r="I51" s="413"/>
      <c r="J51" s="413"/>
      <c r="K51" s="413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4bf414-7d56-47ef-876f-a064b6139123" xsi:nil="true"/>
    <lcf76f155ced4ddcb4097134ff3c332f xmlns="29a79990-ee87-4241-abc6-9e01ab9b2464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986077E6-810B-45B8-B725-D29C6A2F1DF8}">
  <ds:schemaRefs>
    <ds:schemaRef ds:uri="http://schemas.microsoft.com/office/2006/metadata/properties"/>
    <ds:schemaRef ds:uri="http://schemas.microsoft.com/office/infopath/2007/PartnerControls"/>
    <ds:schemaRef ds:uri="8f4bf414-7d56-47ef-876f-a064b6139123"/>
    <ds:schemaRef ds:uri="29a79990-ee87-4241-abc6-9e01ab9b2464"/>
  </ds:schemaRefs>
</ds:datastoreItem>
</file>

<file path=customXml/itemProps2.xml><?xml version="1.0" encoding="utf-8"?>
<ds:datastoreItem xmlns:ds="http://schemas.openxmlformats.org/officeDocument/2006/customXml" ds:itemID="{677FCE54-F68C-4D42-9903-584B7C05BF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FA91076-EBFC-424F-A192-E0DA8534C6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15</vt:i4>
      </vt:variant>
    </vt:vector>
  </HeadingPairs>
  <TitlesOfParts>
    <vt:vector size="22" baseType="lpstr">
      <vt:lpstr>RESUMO</vt:lpstr>
      <vt:lpstr>PRINCIPAL</vt:lpstr>
      <vt:lpstr>ESTANPLAZA VL OLÍMPIA</vt:lpstr>
      <vt:lpstr>TOTAL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2026-04-24T13:36:23Z</cp:lastPrinted>
  <dcterms:created xsi:type="dcterms:W3CDTF">2023-09-21T21:02:20Z</dcterms:created>
  <dcterms:modified xsi:type="dcterms:W3CDTF">2026-05-27T15:11:31Z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