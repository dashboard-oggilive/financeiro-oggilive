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4 abril\"/>
    </mc:Choice>
  </mc:AlternateContent>
  <xr:revisionPtr revIDLastSave="0" documentId="13_ncr:1_{36A7D9D0-4482-4C56-9B39-59E267CF15E1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94" r:id="rId1"/>
    <sheet name="PRINCIPAL" sheetId="91" r:id="rId2"/>
    <sheet name="Brindes" sheetId="96" r:id="rId3"/>
    <sheet name="CUSTOS OP." sheetId="95" r:id="rId4"/>
    <sheet name="Solicitações de Pagamento" sheetId="4" r:id="rId5"/>
    <sheet name="ItensOrc" sheetId="76" state="hidden" r:id="rId6"/>
    <sheet name="Template SP" sheetId="3" state="hidden" r:id="rId7"/>
  </sheets>
  <externalReferences>
    <externalReference r:id="rId8"/>
  </externalReferences>
  <definedNames>
    <definedName name="_xlnm._FilterDatabase" localSheetId="2">Brindes!$A$1:$AH$14</definedName>
    <definedName name="_xlnm._FilterDatabase" localSheetId="3" hidden="1">'CUSTOS OP.'!$H$3:$I$3</definedName>
    <definedName name="_xlnm._FilterDatabase" localSheetId="1" hidden="1">PRINCIPAL!$A$17:$AO$17</definedName>
    <definedName name="_xleta.N" hidden="1" xlm="1">#NAME?</definedName>
    <definedName name="_xleta.SUM" hidden="1" xlm="1">#NAME?</definedName>
    <definedName name="itensorc_desconto" localSheetId="5">ItensOrc!$M:$M</definedName>
    <definedName name="itensorc_desconto">#REF!</definedName>
    <definedName name="itensorc_descricao" localSheetId="5">ItensOrc!$D:$D</definedName>
    <definedName name="itensorc_descricao">#REF!</definedName>
    <definedName name="itensorc_encargos" localSheetId="5">ItensOrc!$N:$N</definedName>
    <definedName name="itensorc_encargos">#REF!</definedName>
    <definedName name="itensorc_especifica" localSheetId="5">ItensOrc!$O:$O</definedName>
    <definedName name="itensorc_especifica">#REF!</definedName>
    <definedName name="itensorc_item" localSheetId="5">ItensOrc!$C:$C</definedName>
    <definedName name="itensorc_item">#REF!</definedName>
    <definedName name="itensorc_lancamento" localSheetId="5">ItensOrc!$B:$B</definedName>
    <definedName name="itensorc_lancamento">#REF!</definedName>
    <definedName name="itensorc_percentualhonorarios" localSheetId="5">ItensOrc!$L:$L</definedName>
    <definedName name="itensorc_percentualhonorarios">#REF!</definedName>
    <definedName name="itensorc_quantidade" localSheetId="5">ItensOrc!$E:$E</definedName>
    <definedName name="itensorc_quantidade">#REF!</definedName>
    <definedName name="itensorc_situacao" localSheetId="5">ItensOrc!$H:$H</definedName>
    <definedName name="itensorc_situacao">#REF!</definedName>
    <definedName name="itensorc_subtipo" localSheetId="5">ItensOrc!$K:$K</definedName>
    <definedName name="itensorc_subtipo">#REF!</definedName>
    <definedName name="itensorc_tiporeceita" localSheetId="5">ItensOrc!$A:$A</definedName>
    <definedName name="itensorc_tiporeceita">#REF!</definedName>
    <definedName name="itensorc_valor" localSheetId="5">ItensOrc!$G:$G</definedName>
    <definedName name="itensorc_valor">#REF!</definedName>
    <definedName name="itensorc_valorfornecedor" localSheetId="5">ItensOrc!$I:$I</definedName>
    <definedName name="itensorc_valorfornecedor">#REF!</definedName>
    <definedName name="itensorc_valorfornecedorunitario" localSheetId="5">ItensOrc!$J:$J</definedName>
    <definedName name="itensorc_valorfornecedorunitario">#REF!</definedName>
    <definedName name="itensorc_valorunitario" localSheetId="5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4" i="95" l="1"/>
  <c r="E33" i="94"/>
  <c r="E32" i="94"/>
  <c r="E31" i="94"/>
  <c r="E30" i="94"/>
  <c r="D32" i="94"/>
  <c r="D31" i="94"/>
  <c r="C33" i="94"/>
  <c r="D33" i="94"/>
  <c r="C24" i="94"/>
  <c r="AH17" i="96"/>
  <c r="Y17" i="96"/>
  <c r="AH24" i="96"/>
  <c r="AH80" i="91"/>
  <c r="C22" i="94"/>
  <c r="R21" i="96"/>
  <c r="Q21" i="96"/>
  <c r="K21" i="96"/>
  <c r="Q20" i="96"/>
  <c r="Q19" i="96"/>
  <c r="S17" i="96"/>
  <c r="R17" i="96"/>
  <c r="Q17" i="96"/>
  <c r="V17" i="96" s="1"/>
  <c r="J17" i="96"/>
  <c r="K17" i="96" s="1"/>
  <c r="Q16" i="96"/>
  <c r="Q15" i="96"/>
  <c r="Z12" i="96"/>
  <c r="AH26" i="91"/>
  <c r="AH48" i="91"/>
  <c r="AH34" i="91"/>
  <c r="AH40" i="91"/>
  <c r="AH49" i="91"/>
  <c r="AH45" i="91"/>
  <c r="AH18" i="91"/>
  <c r="AH17" i="91"/>
  <c r="F32" i="94"/>
  <c r="F31" i="94"/>
  <c r="E3" i="94"/>
  <c r="S80" i="91"/>
  <c r="S79" i="91"/>
  <c r="V21" i="96" l="1"/>
  <c r="U21" i="96"/>
  <c r="Z21" i="96" s="1"/>
  <c r="K22" i="96"/>
  <c r="K23" i="96"/>
  <c r="L21" i="96"/>
  <c r="T18" i="96"/>
  <c r="AA17" i="96" s="1"/>
  <c r="T24" i="96"/>
  <c r="L17" i="96"/>
  <c r="M17" i="96"/>
  <c r="U17" i="96"/>
  <c r="K18" i="96"/>
  <c r="K24" i="96"/>
  <c r="T80" i="91"/>
  <c r="AH83" i="91"/>
  <c r="S76" i="91"/>
  <c r="S75" i="91"/>
  <c r="S67" i="91"/>
  <c r="N17" i="96" l="1"/>
  <c r="U22" i="96"/>
  <c r="U23" i="96"/>
  <c r="T22" i="96"/>
  <c r="T23" i="96"/>
  <c r="L22" i="96"/>
  <c r="L23" i="96"/>
  <c r="L18" i="96"/>
  <c r="L24" i="96"/>
  <c r="M18" i="96"/>
  <c r="W17" i="96"/>
  <c r="X17" i="96" s="1"/>
  <c r="Z17" i="96"/>
  <c r="U18" i="96"/>
  <c r="U24" i="96"/>
  <c r="M21" i="96"/>
  <c r="W21" i="96"/>
  <c r="X21" i="96" s="1"/>
  <c r="S35" i="91"/>
  <c r="N18" i="96" l="1"/>
  <c r="N24" i="96"/>
  <c r="C23" i="94" s="1"/>
  <c r="M24" i="96"/>
  <c r="N21" i="96"/>
  <c r="X24" i="96"/>
  <c r="X18" i="96"/>
  <c r="Y18" i="96" s="1"/>
  <c r="M23" i="96"/>
  <c r="M22" i="96"/>
  <c r="N23" i="96"/>
  <c r="N22" i="96"/>
  <c r="X23" i="96"/>
  <c r="Y23" i="96" s="1"/>
  <c r="X22" i="96"/>
  <c r="Y22" i="96" s="1"/>
  <c r="AG21" i="96"/>
  <c r="S77" i="91"/>
  <c r="S24" i="91"/>
  <c r="AG17" i="96" l="1"/>
  <c r="AG24" i="96" s="1"/>
  <c r="Y24" i="96"/>
  <c r="S34" i="91"/>
  <c r="S40" i="91"/>
  <c r="Z24" i="96" l="1"/>
  <c r="AA24" i="96" s="1"/>
  <c r="D23" i="94"/>
  <c r="R72" i="91"/>
  <c r="Q72" i="91"/>
  <c r="K72" i="91"/>
  <c r="E23" i="94" l="1"/>
  <c r="F23" i="94" s="1"/>
  <c r="V72" i="91"/>
  <c r="L72" i="91"/>
  <c r="R77" i="91"/>
  <c r="Q77" i="91"/>
  <c r="K77" i="91"/>
  <c r="L77" i="91" s="1"/>
  <c r="R25" i="91"/>
  <c r="Q25" i="91"/>
  <c r="V25" i="91" s="1"/>
  <c r="K25" i="91"/>
  <c r="R50" i="91"/>
  <c r="Q50" i="91"/>
  <c r="K50" i="91"/>
  <c r="L50" i="91" s="1"/>
  <c r="R55" i="91"/>
  <c r="Q55" i="91"/>
  <c r="K55" i="91"/>
  <c r="R79" i="91"/>
  <c r="Q79" i="91"/>
  <c r="V79" i="91" s="1"/>
  <c r="K79" i="91"/>
  <c r="R35" i="91"/>
  <c r="Q35" i="91"/>
  <c r="K35" i="91"/>
  <c r="L35" i="91" s="1"/>
  <c r="M72" i="91" l="1"/>
  <c r="U72" i="91"/>
  <c r="M77" i="91"/>
  <c r="N77" i="91" s="1"/>
  <c r="T77" i="91"/>
  <c r="V77" i="91"/>
  <c r="T25" i="91"/>
  <c r="U25" i="91" s="1"/>
  <c r="Z25" i="91" s="1"/>
  <c r="L25" i="91"/>
  <c r="M25" i="91" s="1"/>
  <c r="N25" i="91" s="1"/>
  <c r="M50" i="91"/>
  <c r="V50" i="91"/>
  <c r="V55" i="91"/>
  <c r="L55" i="91"/>
  <c r="L79" i="91"/>
  <c r="M79" i="91" s="1"/>
  <c r="M35" i="91"/>
  <c r="V35" i="91"/>
  <c r="R45" i="91"/>
  <c r="Q45" i="91"/>
  <c r="K45" i="91"/>
  <c r="R17" i="91"/>
  <c r="R56" i="91"/>
  <c r="Q56" i="91"/>
  <c r="K56" i="91"/>
  <c r="K46" i="91" l="1"/>
  <c r="U79" i="91"/>
  <c r="N35" i="91"/>
  <c r="U35" i="91"/>
  <c r="W35" i="91" s="1"/>
  <c r="X35" i="91" s="1"/>
  <c r="AG35" i="91" s="1"/>
  <c r="N72" i="91"/>
  <c r="U77" i="91"/>
  <c r="Z77" i="91" s="1"/>
  <c r="W72" i="91"/>
  <c r="X72" i="91" s="1"/>
  <c r="AG72" i="91" s="1"/>
  <c r="Z72" i="91"/>
  <c r="L56" i="91"/>
  <c r="W25" i="91"/>
  <c r="X25" i="91" s="1"/>
  <c r="U50" i="91"/>
  <c r="N50" i="91"/>
  <c r="U55" i="91"/>
  <c r="M55" i="91"/>
  <c r="N55" i="91" s="1"/>
  <c r="N79" i="91"/>
  <c r="T45" i="91"/>
  <c r="V45" i="91"/>
  <c r="L45" i="91"/>
  <c r="U56" i="91"/>
  <c r="V56" i="91"/>
  <c r="K54" i="91"/>
  <c r="Q54" i="91"/>
  <c r="R54" i="91"/>
  <c r="K29" i="91"/>
  <c r="K28" i="91"/>
  <c r="K27" i="91"/>
  <c r="K26" i="91"/>
  <c r="K24" i="91"/>
  <c r="K23" i="91"/>
  <c r="R78" i="91"/>
  <c r="Q78" i="91"/>
  <c r="K78" i="91"/>
  <c r="L78" i="91" s="1"/>
  <c r="R76" i="91"/>
  <c r="Q76" i="91"/>
  <c r="K76" i="91"/>
  <c r="R75" i="91"/>
  <c r="Q75" i="91"/>
  <c r="V75" i="91" s="1"/>
  <c r="K75" i="91"/>
  <c r="K30" i="91" l="1"/>
  <c r="Y25" i="91"/>
  <c r="AG25" i="91"/>
  <c r="Z79" i="91"/>
  <c r="W79" i="91"/>
  <c r="X79" i="91" s="1"/>
  <c r="T46" i="91"/>
  <c r="L46" i="91"/>
  <c r="Y72" i="91"/>
  <c r="Z35" i="91"/>
  <c r="W77" i="91"/>
  <c r="X77" i="91" s="1"/>
  <c r="M45" i="91"/>
  <c r="M56" i="91"/>
  <c r="U45" i="91"/>
  <c r="W50" i="91"/>
  <c r="X50" i="91" s="1"/>
  <c r="Z50" i="91"/>
  <c r="Z55" i="91"/>
  <c r="W55" i="91"/>
  <c r="X55" i="91" s="1"/>
  <c r="AG55" i="91" s="1"/>
  <c r="Y35" i="91"/>
  <c r="L54" i="91"/>
  <c r="Z56" i="91"/>
  <c r="W56" i="91"/>
  <c r="X56" i="91" s="1"/>
  <c r="AG56" i="91" s="1"/>
  <c r="V54" i="91"/>
  <c r="T54" i="91"/>
  <c r="V78" i="91"/>
  <c r="M78" i="91"/>
  <c r="N78" i="91" s="1"/>
  <c r="V76" i="91"/>
  <c r="L76" i="91"/>
  <c r="M76" i="91" s="1"/>
  <c r="L75" i="91"/>
  <c r="R27" i="91"/>
  <c r="Q27" i="91"/>
  <c r="L27" i="91"/>
  <c r="R26" i="91"/>
  <c r="Q26" i="91"/>
  <c r="L26" i="91"/>
  <c r="M26" i="91" s="1"/>
  <c r="N26" i="91" s="1"/>
  <c r="R24" i="91"/>
  <c r="Q24" i="91"/>
  <c r="L24" i="91"/>
  <c r="M24" i="91" s="1"/>
  <c r="R23" i="91"/>
  <c r="Q23" i="91"/>
  <c r="L23" i="91"/>
  <c r="R29" i="91"/>
  <c r="Q29" i="91"/>
  <c r="R28" i="91"/>
  <c r="Q28" i="91"/>
  <c r="R53" i="91"/>
  <c r="Q53" i="91"/>
  <c r="K53" i="91"/>
  <c r="K57" i="91" s="1"/>
  <c r="Q52" i="91"/>
  <c r="R80" i="91"/>
  <c r="Q80" i="91"/>
  <c r="K80" i="91"/>
  <c r="R74" i="91"/>
  <c r="Q74" i="91"/>
  <c r="K74" i="91"/>
  <c r="R73" i="91"/>
  <c r="Q73" i="91"/>
  <c r="K73" i="91"/>
  <c r="K81" i="91" s="1"/>
  <c r="Q71" i="91"/>
  <c r="R69" i="91"/>
  <c r="Q69" i="91"/>
  <c r="K69" i="91"/>
  <c r="R68" i="91"/>
  <c r="Q68" i="91"/>
  <c r="K68" i="91"/>
  <c r="L68" i="91" s="1"/>
  <c r="R67" i="91"/>
  <c r="Q67" i="91"/>
  <c r="K67" i="91"/>
  <c r="L67" i="91" s="1"/>
  <c r="R66" i="91"/>
  <c r="Q66" i="91"/>
  <c r="K66" i="91"/>
  <c r="Q65" i="91"/>
  <c r="Q64" i="91"/>
  <c r="R61" i="91"/>
  <c r="Q61" i="91"/>
  <c r="K61" i="91"/>
  <c r="Q60" i="91"/>
  <c r="Q59" i="91"/>
  <c r="R49" i="91"/>
  <c r="Q49" i="91"/>
  <c r="K49" i="91"/>
  <c r="R48" i="91"/>
  <c r="Q48" i="91"/>
  <c r="K48" i="91"/>
  <c r="Q47" i="91"/>
  <c r="Q44" i="91"/>
  <c r="Q43" i="91"/>
  <c r="R40" i="91"/>
  <c r="Q40" i="91"/>
  <c r="K40" i="91"/>
  <c r="Q39" i="91"/>
  <c r="Q38" i="91"/>
  <c r="R34" i="91"/>
  <c r="Q34" i="91"/>
  <c r="K34" i="91"/>
  <c r="Q33" i="91"/>
  <c r="Q32" i="91"/>
  <c r="Q22" i="91"/>
  <c r="R20" i="91"/>
  <c r="Q20" i="91"/>
  <c r="K20" i="91"/>
  <c r="L20" i="91" s="1"/>
  <c r="R19" i="91"/>
  <c r="Q19" i="91"/>
  <c r="K19" i="91"/>
  <c r="R18" i="91"/>
  <c r="Q18" i="91"/>
  <c r="K18" i="91"/>
  <c r="L18" i="91" s="1"/>
  <c r="Q17" i="91"/>
  <c r="K17" i="91"/>
  <c r="Q16" i="91"/>
  <c r="Q15" i="91"/>
  <c r="Y77" i="91" l="1"/>
  <c r="AG77" i="91"/>
  <c r="Y79" i="91"/>
  <c r="AG79" i="91"/>
  <c r="Y50" i="91"/>
  <c r="AG50" i="91"/>
  <c r="M46" i="91"/>
  <c r="U46" i="91"/>
  <c r="K82" i="91"/>
  <c r="K70" i="91"/>
  <c r="K63" i="91"/>
  <c r="K62" i="91"/>
  <c r="K51" i="91"/>
  <c r="K58" i="91"/>
  <c r="K42" i="91"/>
  <c r="K41" i="91"/>
  <c r="K37" i="91"/>
  <c r="K36" i="91"/>
  <c r="K21" i="91"/>
  <c r="K83" i="91"/>
  <c r="K31" i="91"/>
  <c r="N45" i="91"/>
  <c r="W45" i="91"/>
  <c r="X45" i="91" s="1"/>
  <c r="AG45" i="91" s="1"/>
  <c r="Y56" i="91"/>
  <c r="N56" i="91"/>
  <c r="Z45" i="91"/>
  <c r="M54" i="91"/>
  <c r="U54" i="91"/>
  <c r="Y55" i="91"/>
  <c r="U75" i="91"/>
  <c r="W75" i="91" s="1"/>
  <c r="X75" i="91" s="1"/>
  <c r="AG75" i="91" s="1"/>
  <c r="M75" i="91"/>
  <c r="N75" i="91" s="1"/>
  <c r="M23" i="91"/>
  <c r="M27" i="91"/>
  <c r="L49" i="91"/>
  <c r="U78" i="91"/>
  <c r="N76" i="91"/>
  <c r="U76" i="91"/>
  <c r="L48" i="91"/>
  <c r="U24" i="91"/>
  <c r="Z24" i="91" s="1"/>
  <c r="V26" i="91"/>
  <c r="T30" i="91"/>
  <c r="V28" i="91"/>
  <c r="V23" i="91"/>
  <c r="N24" i="91"/>
  <c r="V24" i="91"/>
  <c r="V27" i="91"/>
  <c r="V29" i="91"/>
  <c r="U29" i="91"/>
  <c r="L29" i="91"/>
  <c r="L28" i="91"/>
  <c r="L30" i="91" s="1"/>
  <c r="T53" i="91"/>
  <c r="T57" i="91" s="1"/>
  <c r="V53" i="91"/>
  <c r="L53" i="91"/>
  <c r="L57" i="91" s="1"/>
  <c r="M67" i="91"/>
  <c r="T40" i="91"/>
  <c r="L69" i="91"/>
  <c r="V40" i="91"/>
  <c r="V68" i="91"/>
  <c r="V69" i="91"/>
  <c r="V67" i="91"/>
  <c r="V73" i="91"/>
  <c r="T69" i="91"/>
  <c r="U69" i="91" s="1"/>
  <c r="Z69" i="91" s="1"/>
  <c r="T61" i="91"/>
  <c r="L66" i="91"/>
  <c r="M68" i="91"/>
  <c r="L73" i="91"/>
  <c r="L80" i="91"/>
  <c r="V61" i="91"/>
  <c r="T68" i="91"/>
  <c r="U68" i="91" s="1"/>
  <c r="Z68" i="91" s="1"/>
  <c r="V74" i="91"/>
  <c r="V49" i="91"/>
  <c r="T66" i="91"/>
  <c r="L61" i="91"/>
  <c r="V66" i="91"/>
  <c r="L74" i="91"/>
  <c r="V80" i="91"/>
  <c r="V48" i="91"/>
  <c r="L40" i="91"/>
  <c r="T18" i="91"/>
  <c r="L34" i="91"/>
  <c r="U19" i="91"/>
  <c r="Z19" i="91" s="1"/>
  <c r="V34" i="91"/>
  <c r="T17" i="91"/>
  <c r="V17" i="91"/>
  <c r="V19" i="91"/>
  <c r="T20" i="91"/>
  <c r="U20" i="91" s="1"/>
  <c r="Z20" i="91" s="1"/>
  <c r="L17" i="91"/>
  <c r="L19" i="91"/>
  <c r="V20" i="91"/>
  <c r="V18" i="91"/>
  <c r="L81" i="91" l="1"/>
  <c r="T70" i="91"/>
  <c r="N46" i="91"/>
  <c r="X46" i="91"/>
  <c r="L51" i="91"/>
  <c r="L58" i="91"/>
  <c r="T42" i="91"/>
  <c r="T41" i="91"/>
  <c r="T62" i="91"/>
  <c r="T63" i="91"/>
  <c r="L82" i="91"/>
  <c r="L70" i="91"/>
  <c r="L63" i="91"/>
  <c r="L62" i="91"/>
  <c r="T51" i="91"/>
  <c r="AA50" i="91" s="1"/>
  <c r="T58" i="91"/>
  <c r="L42" i="91"/>
  <c r="L41" i="91"/>
  <c r="L37" i="91"/>
  <c r="L36" i="91"/>
  <c r="T37" i="91"/>
  <c r="T36" i="91"/>
  <c r="AA35" i="91" s="1"/>
  <c r="T21" i="91"/>
  <c r="T31" i="91"/>
  <c r="L31" i="91"/>
  <c r="L21" i="91"/>
  <c r="L83" i="91"/>
  <c r="U80" i="91"/>
  <c r="T81" i="91"/>
  <c r="AA72" i="91" s="1"/>
  <c r="T83" i="91"/>
  <c r="T82" i="91"/>
  <c r="M40" i="91"/>
  <c r="U67" i="91"/>
  <c r="Z76" i="91"/>
  <c r="AA25" i="91"/>
  <c r="Y45" i="91"/>
  <c r="U26" i="91"/>
  <c r="M29" i="91"/>
  <c r="N29" i="91" s="1"/>
  <c r="Z78" i="91"/>
  <c r="W54" i="91"/>
  <c r="X54" i="91" s="1"/>
  <c r="U18" i="91"/>
  <c r="W18" i="91" s="1"/>
  <c r="X18" i="91" s="1"/>
  <c r="AG18" i="91" s="1"/>
  <c r="Z54" i="91"/>
  <c r="N54" i="91"/>
  <c r="N27" i="91"/>
  <c r="U17" i="91"/>
  <c r="Z75" i="91"/>
  <c r="Y75" i="91"/>
  <c r="M49" i="91"/>
  <c r="N23" i="91"/>
  <c r="U23" i="91"/>
  <c r="U40" i="91"/>
  <c r="U28" i="91"/>
  <c r="W28" i="91" s="1"/>
  <c r="X28" i="91" s="1"/>
  <c r="AG28" i="91" s="1"/>
  <c r="U49" i="91"/>
  <c r="U74" i="91"/>
  <c r="Z74" i="91" s="1"/>
  <c r="M73" i="91"/>
  <c r="M53" i="91"/>
  <c r="M57" i="91" s="1"/>
  <c r="U34" i="91"/>
  <c r="U53" i="91"/>
  <c r="U57" i="91" s="1"/>
  <c r="U73" i="91"/>
  <c r="U27" i="91"/>
  <c r="W78" i="91"/>
  <c r="X78" i="91" s="1"/>
  <c r="AG78" i="91" s="1"/>
  <c r="W76" i="91"/>
  <c r="X76" i="91" s="1"/>
  <c r="AG76" i="91" s="1"/>
  <c r="M48" i="91"/>
  <c r="U61" i="91"/>
  <c r="M34" i="91"/>
  <c r="M66" i="91"/>
  <c r="M61" i="91"/>
  <c r="U48" i="91"/>
  <c r="U66" i="91"/>
  <c r="M80" i="91"/>
  <c r="N80" i="91" s="1"/>
  <c r="M74" i="91"/>
  <c r="W69" i="91"/>
  <c r="X69" i="91" s="1"/>
  <c r="AG69" i="91" s="1"/>
  <c r="W68" i="91"/>
  <c r="X68" i="91" s="1"/>
  <c r="M69" i="91"/>
  <c r="N69" i="91" s="1"/>
  <c r="W24" i="91"/>
  <c r="X24" i="91" s="1"/>
  <c r="W29" i="91"/>
  <c r="X29" i="91" s="1"/>
  <c r="AG29" i="91" s="1"/>
  <c r="Z29" i="91"/>
  <c r="M28" i="91"/>
  <c r="W20" i="91"/>
  <c r="X20" i="91" s="1"/>
  <c r="AG20" i="91" s="1"/>
  <c r="W19" i="91"/>
  <c r="X19" i="91" s="1"/>
  <c r="AG19" i="91" s="1"/>
  <c r="N67" i="91"/>
  <c r="N68" i="91"/>
  <c r="Y54" i="91" l="1"/>
  <c r="AG54" i="91"/>
  <c r="Y68" i="91"/>
  <c r="AG68" i="91"/>
  <c r="W80" i="91"/>
  <c r="X80" i="91" s="1"/>
  <c r="Z80" i="91"/>
  <c r="U70" i="91"/>
  <c r="Y24" i="91"/>
  <c r="AG24" i="91"/>
  <c r="M81" i="91"/>
  <c r="U30" i="91"/>
  <c r="M42" i="91"/>
  <c r="M41" i="91"/>
  <c r="U31" i="91"/>
  <c r="U21" i="91"/>
  <c r="U42" i="91"/>
  <c r="U41" i="91"/>
  <c r="U37" i="91"/>
  <c r="U36" i="91"/>
  <c r="M51" i="91"/>
  <c r="M58" i="91"/>
  <c r="U63" i="91"/>
  <c r="U62" i="91"/>
  <c r="M37" i="91"/>
  <c r="M36" i="91"/>
  <c r="M82" i="91"/>
  <c r="M70" i="91"/>
  <c r="M63" i="91"/>
  <c r="M62" i="91"/>
  <c r="U51" i="91"/>
  <c r="U58" i="91"/>
  <c r="N28" i="91"/>
  <c r="N30" i="91" s="1"/>
  <c r="M30" i="91"/>
  <c r="U82" i="91"/>
  <c r="U81" i="91"/>
  <c r="U83" i="91"/>
  <c r="W67" i="91"/>
  <c r="X67" i="91" s="1"/>
  <c r="Z67" i="91"/>
  <c r="AA77" i="91"/>
  <c r="Y76" i="91"/>
  <c r="W26" i="91"/>
  <c r="X26" i="91" s="1"/>
  <c r="AA79" i="91"/>
  <c r="Y29" i="91"/>
  <c r="Z26" i="91"/>
  <c r="Y78" i="91"/>
  <c r="Z18" i="91"/>
  <c r="N49" i="91"/>
  <c r="AA78" i="91"/>
  <c r="AA56" i="91"/>
  <c r="AA55" i="91"/>
  <c r="W27" i="91"/>
  <c r="X27" i="91" s="1"/>
  <c r="AG27" i="91" s="1"/>
  <c r="Z17" i="91"/>
  <c r="W17" i="91"/>
  <c r="X17" i="91" s="1"/>
  <c r="AG17" i="91" s="1"/>
  <c r="W49" i="91"/>
  <c r="X49" i="91" s="1"/>
  <c r="AG49" i="91" s="1"/>
  <c r="W23" i="91"/>
  <c r="X23" i="91" s="1"/>
  <c r="AG23" i="91" s="1"/>
  <c r="AA45" i="91"/>
  <c r="N61" i="91"/>
  <c r="W61" i="91"/>
  <c r="X61" i="91" s="1"/>
  <c r="AG61" i="91" s="1"/>
  <c r="W73" i="91"/>
  <c r="X73" i="91" s="1"/>
  <c r="AG73" i="91" s="1"/>
  <c r="Z23" i="91"/>
  <c r="W40" i="91"/>
  <c r="X40" i="91" s="1"/>
  <c r="AG40" i="91" s="1"/>
  <c r="Z40" i="91"/>
  <c r="W53" i="91"/>
  <c r="X53" i="91" s="1"/>
  <c r="Z28" i="91"/>
  <c r="Z49" i="91"/>
  <c r="N74" i="91"/>
  <c r="W74" i="91"/>
  <c r="X74" i="91" s="1"/>
  <c r="AA54" i="91"/>
  <c r="N73" i="91"/>
  <c r="N53" i="91"/>
  <c r="N57" i="91" s="1"/>
  <c r="N48" i="91"/>
  <c r="Z53" i="91"/>
  <c r="Z34" i="91"/>
  <c r="W34" i="91"/>
  <c r="X34" i="91" s="1"/>
  <c r="AG34" i="91" s="1"/>
  <c r="Z73" i="91"/>
  <c r="W66" i="91"/>
  <c r="X66" i="91" s="1"/>
  <c r="AG66" i="91" s="1"/>
  <c r="N40" i="91"/>
  <c r="Z27" i="91"/>
  <c r="Z61" i="91"/>
  <c r="AA75" i="91"/>
  <c r="AA76" i="91"/>
  <c r="AA73" i="91"/>
  <c r="W48" i="91"/>
  <c r="X48" i="91" s="1"/>
  <c r="AG48" i="91" s="1"/>
  <c r="N34" i="91"/>
  <c r="Z66" i="91"/>
  <c r="Z48" i="91"/>
  <c r="N66" i="91"/>
  <c r="Y69" i="91"/>
  <c r="Y28" i="91"/>
  <c r="AA24" i="91"/>
  <c r="AA27" i="91"/>
  <c r="AA26" i="91"/>
  <c r="AA23" i="91"/>
  <c r="AA28" i="91"/>
  <c r="AA29" i="91"/>
  <c r="AA53" i="91"/>
  <c r="AA80" i="91"/>
  <c r="AA74" i="91"/>
  <c r="AA66" i="91"/>
  <c r="AA68" i="91"/>
  <c r="AA67" i="91"/>
  <c r="AA69" i="91"/>
  <c r="AA49" i="91"/>
  <c r="AA48" i="91"/>
  <c r="AA40" i="91"/>
  <c r="AA34" i="91"/>
  <c r="AA18" i="91"/>
  <c r="AA19" i="91"/>
  <c r="AA17" i="91"/>
  <c r="AA20" i="91"/>
  <c r="N81" i="91" l="1"/>
  <c r="X57" i="91"/>
  <c r="AG53" i="91"/>
  <c r="Y26" i="91"/>
  <c r="AG26" i="91"/>
  <c r="X30" i="91"/>
  <c r="Y30" i="91" s="1"/>
  <c r="AG80" i="91"/>
  <c r="Y80" i="91"/>
  <c r="X81" i="91"/>
  <c r="Y81" i="91" s="1"/>
  <c r="AG74" i="91"/>
  <c r="X82" i="91"/>
  <c r="Y82" i="91" s="1"/>
  <c r="AG67" i="91"/>
  <c r="AG83" i="91" s="1"/>
  <c r="X70" i="91"/>
  <c r="Y70" i="91" s="1"/>
  <c r="X21" i="91"/>
  <c r="X31" i="91"/>
  <c r="N63" i="91"/>
  <c r="N62" i="91"/>
  <c r="X63" i="91"/>
  <c r="Y63" i="91" s="1"/>
  <c r="X62" i="91"/>
  <c r="X42" i="91"/>
  <c r="Y42" i="91" s="1"/>
  <c r="X41" i="91"/>
  <c r="Y41" i="91" s="1"/>
  <c r="N51" i="91"/>
  <c r="N58" i="91"/>
  <c r="X37" i="91"/>
  <c r="Y37" i="91" s="1"/>
  <c r="X36" i="91"/>
  <c r="Y36" i="91" s="1"/>
  <c r="N42" i="91"/>
  <c r="N41" i="91"/>
  <c r="X83" i="91"/>
  <c r="D22" i="94" s="1"/>
  <c r="D24" i="94" s="1"/>
  <c r="X51" i="91"/>
  <c r="Y51" i="91" s="1"/>
  <c r="X58" i="91"/>
  <c r="Y58" i="91" s="1"/>
  <c r="N37" i="91"/>
  <c r="N36" i="91"/>
  <c r="N70" i="91"/>
  <c r="N82" i="91"/>
  <c r="Y67" i="91"/>
  <c r="Y27" i="91"/>
  <c r="Y49" i="91"/>
  <c r="Y46" i="91"/>
  <c r="Y73" i="91"/>
  <c r="Y23" i="91"/>
  <c r="Y40" i="91"/>
  <c r="Y57" i="91"/>
  <c r="Y61" i="91"/>
  <c r="Y53" i="91"/>
  <c r="Y66" i="91"/>
  <c r="Y74" i="91"/>
  <c r="Y48" i="91"/>
  <c r="Y34" i="91"/>
  <c r="Y62" i="91" l="1"/>
  <c r="Z12" i="91" l="1"/>
  <c r="M20" i="91"/>
  <c r="M18" i="91"/>
  <c r="M19" i="91"/>
  <c r="M17" i="91"/>
  <c r="M83" i="91" l="1"/>
  <c r="M21" i="91"/>
  <c r="Y21" i="91" s="1"/>
  <c r="M31" i="91"/>
  <c r="Y31" i="91" s="1"/>
  <c r="N18" i="91"/>
  <c r="Y18" i="91"/>
  <c r="N17" i="91"/>
  <c r="Y17" i="91"/>
  <c r="N20" i="91"/>
  <c r="Y20" i="91"/>
  <c r="N19" i="91"/>
  <c r="Y19" i="91"/>
  <c r="Y83" i="91" l="1"/>
  <c r="N83" i="91"/>
  <c r="N21" i="91"/>
  <c r="N31" i="91"/>
  <c r="Z83" i="91" l="1"/>
  <c r="AA83" i="91" s="1"/>
  <c r="E22" i="94" l="1"/>
  <c r="F30" i="94"/>
  <c r="F33" i="94"/>
  <c r="E24" i="94" l="1"/>
  <c r="F24" i="94" s="1"/>
  <c r="F22" i="94"/>
</calcChain>
</file>

<file path=xl/sharedStrings.xml><?xml version="1.0" encoding="utf-8"?>
<sst xmlns="http://schemas.openxmlformats.org/spreadsheetml/2006/main" count="727" uniqueCount="351">
  <si>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</si>
  <si>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</si>
  <si>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</si>
  <si>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</si>
  <si>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</si>
  <si>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</si>
  <si>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</si>
  <si>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</si>
  <si>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</si>
  <si>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</si>
  <si>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>CNPJ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</si>
  <si>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</si>
  <si>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</si>
  <si>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</si>
  <si>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</si>
  <si>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</si>
  <si>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</si>
  <si>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</si>
  <si>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</si>
  <si>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</si>
  <si>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</si>
  <si>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</si>
  <si>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</si>
  <si>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</si>
  <si>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</si>
  <si>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</si>
  <si>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</si>
  <si>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</si>
  <si>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</si>
  <si>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</si>
  <si>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</si>
  <si>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</si>
  <si>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</si>
  <si>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</si>
  <si>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</si>
  <si>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</si>
  <si>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</si>
  <si>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</si>
  <si>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</si>
  <si>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</si>
  <si>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</si>
  <si>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</si>
  <si>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</si>
  <si>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</si>
  <si>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</si>
  <si>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</si>
  <si>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</si>
  <si>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</si>
  <si>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</si>
  <si>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</si>
  <si>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</si>
  <si>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</si>
  <si>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</si>
  <si>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</si>
  <si>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</si>
  <si>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</si>
  <si>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ENCARGOS PUBLI</t>
  </si>
  <si>
    <t>Agência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</si>
  <si>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</si>
  <si>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</si>
  <si>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</si>
  <si>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</si>
  <si>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</si>
  <si>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</si>
  <si>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</si>
  <si>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</si>
  <si>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</si>
  <si>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</si>
  <si>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</si>
  <si>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</si>
  <si>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</si>
  <si>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</si>
  <si>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</si>
  <si>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</si>
  <si>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</si>
  <si>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</si>
  <si>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</si>
  <si>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</si>
  <si>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</si>
  <si>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</si>
  <si>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 X ) Pessoa Jurídica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</si>
  <si>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</si>
  <si>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</si>
  <si>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</si>
  <si>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</si>
  <si>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</si>
  <si>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</si>
  <si>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</si>
  <si>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</si>
  <si>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</si>
  <si>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</si>
  <si>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</si>
  <si>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</si>
  <si>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</si>
  <si>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</si>
  <si>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</si>
  <si>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</si>
  <si>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</si>
  <si>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</si>
  <si>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</si>
  <si>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CPF/CNPJ</t>
  </si>
  <si>
    <t>PENDENTE</t>
  </si>
  <si>
    <t>EFETUADO</t>
  </si>
  <si>
    <t>1.1.2</t>
  </si>
  <si>
    <t>24/06/2025</t>
  </si>
  <si>
    <t xml:space="preserve"> </t>
  </si>
  <si>
    <t>Orçamento Produção Oggi 5.1.xlsm</t>
  </si>
  <si>
    <t>24.636.168/0001-56</t>
  </si>
  <si>
    <t>CLINICA DEBORA PADUA LTDA</t>
  </si>
  <si>
    <t>(11) 8209-4333</t>
  </si>
  <si>
    <t>24/06/25</t>
  </si>
  <si>
    <t>( X ) Boleto</t>
  </si>
  <si>
    <t>Santader</t>
  </si>
  <si>
    <t>123123</t>
  </si>
  <si>
    <t>12312</t>
  </si>
  <si>
    <t>R$ 100,00</t>
  </si>
  <si>
    <t>Teste</t>
  </si>
  <si>
    <t xml:space="preserve">   </t>
  </si>
  <si>
    <t>ORÇAMENTO 5.2</t>
  </si>
  <si>
    <t>WHP_049_ESTANDE MAGALU</t>
  </si>
  <si>
    <t>Whirlpool</t>
  </si>
  <si>
    <t>Estande Magalu</t>
  </si>
  <si>
    <t>Distrito Anhembi - SP</t>
  </si>
  <si>
    <t>26, 27 e 28/03</t>
  </si>
  <si>
    <t>Claudia Custodio</t>
  </si>
  <si>
    <t>GRUPO</t>
  </si>
  <si>
    <t>INTERNO</t>
  </si>
  <si>
    <t>SUBGRUPO</t>
  </si>
  <si>
    <t>1.1</t>
  </si>
  <si>
    <t>AGENCIAMENTO</t>
  </si>
  <si>
    <t>IMPOSTOS</t>
  </si>
  <si>
    <t>Marg.</t>
  </si>
  <si>
    <t>EQUIPE INTERNA</t>
  </si>
  <si>
    <t>ITEM</t>
  </si>
  <si>
    <t>1.1.1</t>
  </si>
  <si>
    <t>1.1.3</t>
  </si>
  <si>
    <t>1.1.4</t>
  </si>
  <si>
    <t>1.2</t>
  </si>
  <si>
    <t>STAFF</t>
  </si>
  <si>
    <t>1.2.1</t>
  </si>
  <si>
    <t>1.2.2</t>
  </si>
  <si>
    <t>1.2.3</t>
  </si>
  <si>
    <t>1.2.4</t>
  </si>
  <si>
    <t>1.2.5</t>
  </si>
  <si>
    <t>1.2.6</t>
  </si>
  <si>
    <t>SUBTOTAL SUBGRUPO</t>
  </si>
  <si>
    <t>Subtotal EQUIPE INTERNA</t>
  </si>
  <si>
    <t>Subtotal STAFF</t>
  </si>
  <si>
    <t>SUBTOTAL GRUPO</t>
  </si>
  <si>
    <t>Subtotal INTERNO</t>
  </si>
  <si>
    <t>CENOGRAFIA</t>
  </si>
  <si>
    <t>2.1</t>
  </si>
  <si>
    <t>2.1.1</t>
  </si>
  <si>
    <t>Subtotal CENOGRAFIA</t>
  </si>
  <si>
    <t>TÉCNICA</t>
  </si>
  <si>
    <t>Subtotal TÉCNICA</t>
  </si>
  <si>
    <t>3.1</t>
  </si>
  <si>
    <t>3.1.1</t>
  </si>
  <si>
    <t>ATIVAÇÕES</t>
  </si>
  <si>
    <t>4.1</t>
  </si>
  <si>
    <t>Subtotal ATIVAÇÕES</t>
  </si>
  <si>
    <t>4.2</t>
  </si>
  <si>
    <t>BRINDES</t>
  </si>
  <si>
    <t>4.2.1</t>
  </si>
  <si>
    <t>4.2.2</t>
  </si>
  <si>
    <t>4.2.3</t>
  </si>
  <si>
    <t>4.3</t>
  </si>
  <si>
    <t>Subtotal BRINDES</t>
  </si>
  <si>
    <t>A&amp;B</t>
  </si>
  <si>
    <t>5.1</t>
  </si>
  <si>
    <t>5.1.1</t>
  </si>
  <si>
    <t xml:space="preserve">Subtotal </t>
  </si>
  <si>
    <t>Subtotal A&amp;B</t>
  </si>
  <si>
    <t>CUSTOS OPERACIONAIS</t>
  </si>
  <si>
    <t>6.1</t>
  </si>
  <si>
    <t>6.1.1</t>
  </si>
  <si>
    <t>6.1.2</t>
  </si>
  <si>
    <t>6.1.3</t>
  </si>
  <si>
    <t>6.1.4</t>
  </si>
  <si>
    <t>Subtotal TAXAS E LIBERAÇÕES</t>
  </si>
  <si>
    <t>6.2</t>
  </si>
  <si>
    <t>OPERAÇÃO</t>
  </si>
  <si>
    <t>6.2.1</t>
  </si>
  <si>
    <t>6.2.2</t>
  </si>
  <si>
    <t>6.2.3</t>
  </si>
  <si>
    <t>TAXAS E DECUMENTAÇÕES</t>
  </si>
  <si>
    <t>Subtotal TAXAS E DOCUMENTAÇÕES</t>
  </si>
  <si>
    <t>Subtotal OPERAÇÃO</t>
  </si>
  <si>
    <t>Subtotal CUSTOS OPERACIONAIS</t>
  </si>
  <si>
    <t>SUBTOTAL PLANILHA</t>
  </si>
  <si>
    <t>TOTAL WHP_049_ESTANDE MAGALU</t>
  </si>
  <si>
    <t>Marg. Lucro</t>
  </si>
  <si>
    <t>Lucro</t>
  </si>
  <si>
    <t>MATERIAIS GRÁFICOS</t>
  </si>
  <si>
    <t>Subtotal MATERIAIS GRÁFICOS</t>
  </si>
  <si>
    <t>4.3.1</t>
  </si>
  <si>
    <t>4.3.2</t>
  </si>
  <si>
    <t>4.3.3</t>
  </si>
  <si>
    <t>4.3.4</t>
  </si>
  <si>
    <t>CRIAÇÃO DO PROJETO</t>
  </si>
  <si>
    <t>PLANEJAMENTO</t>
  </si>
  <si>
    <t>ATENDIMENTO</t>
  </si>
  <si>
    <t>PRODUÇÃO</t>
  </si>
  <si>
    <t xml:space="preserve">PRODUTORES MONTAGEM / DESMONTAGEM / SERVIÇOS </t>
  </si>
  <si>
    <t>PRODUTORES GERAL</t>
  </si>
  <si>
    <t>LIMPEZA</t>
  </si>
  <si>
    <t>CARREGADORES</t>
  </si>
  <si>
    <t>SEGURANÇA</t>
  </si>
  <si>
    <t>PROMOTORES</t>
  </si>
  <si>
    <t>BRINDE RANKING</t>
  </si>
  <si>
    <t>BRINDE BRASTEMP</t>
  </si>
  <si>
    <t>INSUMOS GELADEIRAS</t>
  </si>
  <si>
    <t>RÁDIO</t>
  </si>
  <si>
    <t>SEGURO</t>
  </si>
  <si>
    <t>VERBA DE PRODUÇÃO</t>
  </si>
  <si>
    <t>ALIMENTAÇÃO E TRANSPORTE STAFF</t>
  </si>
  <si>
    <t>UNIFORME PROMOTORES</t>
  </si>
  <si>
    <t>6.2.4</t>
  </si>
  <si>
    <t>6.2.5</t>
  </si>
  <si>
    <t>ALIMENTAÇÃO E TRANSPORTE EQUIPE INTERNA</t>
  </si>
  <si>
    <t>TRANSPORTE DE MATERIAIS</t>
  </si>
  <si>
    <t>6.2.6</t>
  </si>
  <si>
    <t>Carolina Kelm / Larissa Neto</t>
  </si>
  <si>
    <t>FAT.OGGI</t>
  </si>
  <si>
    <t>OPERACIONAL</t>
  </si>
  <si>
    <t>FAT.CLIENTE</t>
  </si>
  <si>
    <t>DECORAÇÃO</t>
  </si>
  <si>
    <t>2.1.2</t>
  </si>
  <si>
    <t>LAVAGEM UNIFORME</t>
  </si>
  <si>
    <t>6.2.7</t>
  </si>
  <si>
    <t>VALOR SEM NOTA FISCAL</t>
  </si>
  <si>
    <t>FICHA URNA</t>
  </si>
  <si>
    <t>UNFORME STAFF</t>
  </si>
  <si>
    <t>PRODUTOR APOIO - ESTOQUE/REPOSIÇÃO</t>
  </si>
  <si>
    <t>R BRASIL</t>
  </si>
  <si>
    <t>VANESSA</t>
  </si>
  <si>
    <t>1.2.7</t>
  </si>
  <si>
    <t>GABRIEL</t>
  </si>
  <si>
    <t>EVENTSEG</t>
  </si>
  <si>
    <t>DUO</t>
  </si>
  <si>
    <t>X</t>
  </si>
  <si>
    <t>ADESIVO URNA</t>
  </si>
  <si>
    <t>CARRO PARA ESTOQUE</t>
  </si>
  <si>
    <t>BRINDE CONSUL</t>
  </si>
  <si>
    <t>ORGANIZADOR DE OBJETOS</t>
  </si>
  <si>
    <t>PONTOS AÉREOS</t>
  </si>
  <si>
    <t>4.1.1</t>
  </si>
  <si>
    <t>6.2.8</t>
  </si>
  <si>
    <t>ENVIO GUITARRA BF</t>
  </si>
  <si>
    <t>ENVIO GUITARRA BF
Custos operacionais para envio de Guitarra BF para Joinville</t>
  </si>
  <si>
    <t>6.2.9</t>
  </si>
  <si>
    <t>BRINDES EXTRAS</t>
  </si>
  <si>
    <t>AGUAS EXTRAS</t>
  </si>
  <si>
    <t>VÍDEO</t>
  </si>
  <si>
    <t>STUDIO ROCA</t>
  </si>
  <si>
    <t>VENDA</t>
  </si>
  <si>
    <t xml:space="preserve">CUSTO </t>
  </si>
  <si>
    <t>LUCRO</t>
  </si>
  <si>
    <t>PRINCIPAL</t>
  </si>
  <si>
    <t>NOTAS EMITIDAS</t>
  </si>
  <si>
    <t>NOTA FISCAL - 2850</t>
  </si>
  <si>
    <t>NOTA FISCAL - 2851</t>
  </si>
  <si>
    <t>NOTA DE DÉBITO - 19</t>
  </si>
  <si>
    <t>WHP_049</t>
  </si>
  <si>
    <t>WHP_049 ESTANDE MAGALU</t>
  </si>
  <si>
    <t>NOME</t>
  </si>
  <si>
    <t>LARISSA NETO</t>
  </si>
  <si>
    <t>MARIA CLAUDIA</t>
  </si>
  <si>
    <t>CKF</t>
  </si>
  <si>
    <t xml:space="preserve">CARTÃO ISABELA </t>
  </si>
  <si>
    <r>
      <t xml:space="preserve">CÓDIGO DO JOB: </t>
    </r>
    <r>
      <rPr>
        <b/>
        <sz val="16"/>
        <color theme="0" tint="-0.249977111117893"/>
        <rFont val="Trebuchet MS"/>
        <family val="2"/>
      </rPr>
      <t>(preencher na coluna G)</t>
    </r>
  </si>
  <si>
    <r>
      <t>CLIENTE:</t>
    </r>
    <r>
      <rPr>
        <b/>
        <sz val="16"/>
        <color theme="0" tint="-0.249977111117893"/>
        <rFont val="Trebuchet MS"/>
        <family val="2"/>
      </rPr>
      <t>(preencher na coluna G)</t>
    </r>
  </si>
  <si>
    <r>
      <t>EVENTO:</t>
    </r>
    <r>
      <rPr>
        <b/>
        <sz val="16"/>
        <color theme="0" tint="-0.249977111117893"/>
        <rFont val="Trebuchet MS"/>
        <family val="2"/>
      </rPr>
      <t>(preencher na coluna G)</t>
    </r>
  </si>
  <si>
    <r>
      <t>LOCAL:</t>
    </r>
    <r>
      <rPr>
        <b/>
        <sz val="16"/>
        <color theme="0" tint="-0.249977111117893"/>
        <rFont val="Trebuchet MS"/>
        <family val="2"/>
      </rPr>
      <t>(preencher na coluna G)</t>
    </r>
  </si>
  <si>
    <r>
      <t>DATA:</t>
    </r>
    <r>
      <rPr>
        <b/>
        <sz val="16"/>
        <color theme="0" tint="-0.249977111117893"/>
        <rFont val="Trebuchet MS"/>
        <family val="2"/>
      </rPr>
      <t>(preencher na coluna G)</t>
    </r>
  </si>
  <si>
    <r>
      <t>ATENDIMENTO:</t>
    </r>
    <r>
      <rPr>
        <b/>
        <sz val="16"/>
        <color theme="0" tint="-0.249977111117893"/>
        <rFont val="Trebuchet MS"/>
        <family val="2"/>
      </rPr>
      <t>(preencher na coluna G)</t>
    </r>
  </si>
  <si>
    <r>
      <t>PRODUTOR:</t>
    </r>
    <r>
      <rPr>
        <b/>
        <sz val="16"/>
        <color theme="0" tint="-0.249977111117893"/>
        <rFont val="Trebuchet MS"/>
        <family val="2"/>
      </rPr>
      <t>(preencher na coluna G)</t>
    </r>
  </si>
  <si>
    <r>
      <t>NOME PLANILHA:</t>
    </r>
    <r>
      <rPr>
        <b/>
        <sz val="16"/>
        <color theme="0" tint="-0.249977111117893"/>
        <rFont val="Trebuchet MS"/>
        <family val="2"/>
      </rPr>
      <t>(preencher na coluna G)</t>
    </r>
  </si>
  <si>
    <r>
      <rPr>
        <b/>
        <sz val="16"/>
        <color theme="1"/>
        <rFont val="Trebuchet MS"/>
        <family val="2"/>
      </rPr>
      <t>CRIAÇÃO DO PROJETO</t>
    </r>
    <r>
      <rPr>
        <sz val="16"/>
        <color theme="1"/>
        <rFont val="Trebuchet MS"/>
        <family val="2"/>
      </rPr>
      <t xml:space="preserve">
Criação do projeto 3D do evento e desdobramento de artes 2Ds para, materiais gráficos, etc.</t>
    </r>
  </si>
  <si>
    <r>
      <rPr>
        <b/>
        <sz val="16"/>
        <color theme="1"/>
        <rFont val="Trebuchet MS"/>
        <family val="2"/>
      </rPr>
      <t>PLANEJAMENTO DO PROJETO</t>
    </r>
    <r>
      <rPr>
        <sz val="16"/>
        <color theme="1"/>
        <rFont val="Trebuchet MS"/>
        <family val="2"/>
      </rPr>
      <t xml:space="preserve">
Planejamento de dinâmicas e cronograma do evento</t>
    </r>
  </si>
  <si>
    <r>
      <rPr>
        <b/>
        <sz val="16"/>
        <color theme="1"/>
        <rFont val="Trebuchet MS"/>
        <family val="2"/>
      </rPr>
      <t>ATENDIMENTO EXCLUSIVO</t>
    </r>
    <r>
      <rPr>
        <sz val="16"/>
        <color theme="1"/>
        <rFont val="Trebuchet MS"/>
        <family val="2"/>
      </rPr>
      <t xml:space="preserve">
01 profissional de atendimento por 01 mes 
Pré-evento, evento e entrega de relatório</t>
    </r>
  </si>
  <si>
    <r>
      <rPr>
        <b/>
        <sz val="16"/>
        <color theme="1"/>
        <rFont val="Trebuchet MS"/>
        <family val="2"/>
      </rPr>
      <t>PRODUTOR EXECUTIVO</t>
    </r>
    <r>
      <rPr>
        <sz val="16"/>
        <color theme="1"/>
        <rFont val="Trebuchet MS"/>
        <family val="2"/>
      </rPr>
      <t xml:space="preserve">
01 profissional de atendimento/produção por 01 mes 
Pré-evento, evento e entrega de relatório</t>
    </r>
  </si>
  <si>
    <r>
      <rPr>
        <b/>
        <sz val="16"/>
        <color theme="1"/>
        <rFont val="Trebuchet MS"/>
        <family val="2"/>
      </rPr>
      <t>PRODUTORES - MONTAGEM E DESMONTAGEM</t>
    </r>
    <r>
      <rPr>
        <sz val="16"/>
        <color theme="1"/>
        <rFont val="Trebuchet MS"/>
        <family val="2"/>
      </rPr>
      <t xml:space="preserve">
01 - Produtor de Montagem e desmontagem</t>
    </r>
  </si>
  <si>
    <r>
      <rPr>
        <b/>
        <sz val="16"/>
        <color theme="1"/>
        <rFont val="Trebuchet MS"/>
        <family val="2"/>
      </rPr>
      <t>PRODUTORES - GERAL</t>
    </r>
    <r>
      <rPr>
        <sz val="16"/>
        <color theme="1"/>
        <rFont val="Trebuchet MS"/>
        <family val="2"/>
      </rPr>
      <t xml:space="preserve">
01 - Produtor Geral</t>
    </r>
  </si>
  <si>
    <r>
      <rPr>
        <b/>
        <sz val="16"/>
        <color theme="1"/>
        <rFont val="Trebuchet MS"/>
        <family val="2"/>
      </rPr>
      <t>PRODUTOR DE APOIO</t>
    </r>
    <r>
      <rPr>
        <sz val="16"/>
        <color theme="1"/>
        <rFont val="Trebuchet MS"/>
        <family val="2"/>
      </rPr>
      <t xml:space="preserve">
01 - Produtor de Apoio (Serviços, Promotores e Estoque)</t>
    </r>
  </si>
  <si>
    <r>
      <rPr>
        <b/>
        <sz val="16"/>
        <color theme="1"/>
        <rFont val="Trebuchet MS"/>
        <family val="2"/>
      </rPr>
      <t>PROMOTORES ATIVAÇÕES</t>
    </r>
    <r>
      <rPr>
        <sz val="16"/>
        <color theme="1"/>
        <rFont val="Trebuchet MS"/>
        <family val="2"/>
      </rPr>
      <t xml:space="preserve">
02 - Promotores
Carga horária: 10 horas</t>
    </r>
  </si>
  <si>
    <r>
      <rPr>
        <b/>
        <sz val="16"/>
        <color theme="1"/>
        <rFont val="Trebuchet MS"/>
        <family val="2"/>
      </rPr>
      <t>LIMPEZA</t>
    </r>
    <r>
      <rPr>
        <sz val="16"/>
        <color theme="1"/>
        <rFont val="Trebuchet MS"/>
        <family val="2"/>
      </rPr>
      <t xml:space="preserve">
Considerado profissionais de limpeza para montagem, evento e desmontagem
Carga horária: 12 horas</t>
    </r>
  </si>
  <si>
    <r>
      <rPr>
        <b/>
        <sz val="16"/>
        <color theme="1"/>
        <rFont val="Trebuchet MS"/>
        <family val="2"/>
      </rPr>
      <t>CARREGADORES</t>
    </r>
    <r>
      <rPr>
        <sz val="16"/>
        <color theme="1"/>
        <rFont val="Trebuchet MS"/>
        <family val="2"/>
      </rPr>
      <t xml:space="preserve">
Considerado carregadores para montagem e desmontagem
Carga horária: 12 horas</t>
    </r>
  </si>
  <si>
    <r>
      <rPr>
        <b/>
        <sz val="16"/>
        <color theme="1"/>
        <rFont val="Trebuchet MS"/>
        <family val="2"/>
      </rPr>
      <t>SEGURANÇA</t>
    </r>
    <r>
      <rPr>
        <sz val="16"/>
        <color theme="1"/>
        <rFont val="Trebuchet MS"/>
        <family val="2"/>
      </rPr>
      <t xml:space="preserve">
Considerado profissionais de segurança para montagem, evento e desmontagem, sendo:
Carga horária: 12 horas</t>
    </r>
  </si>
  <si>
    <r>
      <rPr>
        <b/>
        <sz val="16"/>
        <color theme="1"/>
        <rFont val="Trebuchet MS"/>
        <family val="2"/>
      </rPr>
      <t>CENOGRAFIA</t>
    </r>
    <r>
      <rPr>
        <sz val="16"/>
        <color theme="1"/>
        <rFont val="Trebuchet MS"/>
        <family val="2"/>
      </rPr>
      <t xml:space="preserve">
Contratação de parceiro de Cenografia para execução do projeto enviado (STAND 50m² - 10,0 x 5,0m)
Montagem, Evento e Desmontagem</t>
    </r>
  </si>
  <si>
    <r>
      <rPr>
        <b/>
        <sz val="16"/>
        <color theme="1"/>
        <rFont val="Trebuchet MS"/>
        <family val="2"/>
      </rPr>
      <t>OBJETOS DE DECORAÇÃO</t>
    </r>
    <r>
      <rPr>
        <sz val="16"/>
        <color theme="1"/>
        <rFont val="Trebuchet MS"/>
        <family val="2"/>
      </rPr>
      <t xml:space="preserve">
Compra de objetos de decoração para áreas ambientadas</t>
    </r>
  </si>
  <si>
    <r>
      <rPr>
        <b/>
        <sz val="16"/>
        <color theme="1"/>
        <rFont val="Trebuchet MS"/>
        <family val="2"/>
      </rPr>
      <t>TÉCNICA</t>
    </r>
    <r>
      <rPr>
        <sz val="16"/>
        <color theme="1"/>
        <rFont val="Trebuchet MS"/>
        <family val="2"/>
      </rPr>
      <t xml:space="preserve">
Contratação de parceiro Audiovisual para execução do projeto.
Montagem, Evento e Desmontagem
</t>
    </r>
    <r>
      <rPr>
        <b/>
        <sz val="16"/>
        <color theme="1"/>
        <rFont val="Trebuchet MS"/>
        <family val="2"/>
      </rPr>
      <t>TESTEIRA DE LED</t>
    </r>
    <r>
      <rPr>
        <sz val="16"/>
        <color theme="1"/>
        <rFont val="Trebuchet MS"/>
        <family val="2"/>
      </rPr>
      <t xml:space="preserve">
Formato: 02 painéis 7,0 x 0,50 P2 FLEXIVEL</t>
    </r>
  </si>
  <si>
    <r>
      <rPr>
        <b/>
        <sz val="16"/>
        <color theme="1"/>
        <rFont val="Trebuchet MS"/>
        <family val="2"/>
      </rPr>
      <t xml:space="preserve">ORGANIZADOR DE OBJETOS </t>
    </r>
    <r>
      <rPr>
        <sz val="16"/>
        <color theme="1"/>
        <rFont val="Trebuchet MS"/>
        <family val="2"/>
      </rPr>
      <t xml:space="preserve">
JOGO COM SENSOR DE LEITURA LEAP MOTION
“DROPPER” </t>
    </r>
  </si>
  <si>
    <r>
      <rPr>
        <b/>
        <sz val="16"/>
        <color theme="1"/>
        <rFont val="Trebuchet MS"/>
        <family val="2"/>
      </rPr>
      <t>BRINDE RANKING</t>
    </r>
    <r>
      <rPr>
        <sz val="16"/>
        <color theme="1"/>
        <rFont val="Trebuchet MS"/>
        <family val="2"/>
      </rPr>
      <t xml:space="preserve">
Compra de Instax para premiação de ativações</t>
    </r>
  </si>
  <si>
    <r>
      <rPr>
        <b/>
        <sz val="16"/>
        <color theme="1"/>
        <rFont val="Trebuchet MS"/>
        <family val="2"/>
      </rPr>
      <t>BRINDE BRASTEMP</t>
    </r>
    <r>
      <rPr>
        <sz val="16"/>
        <color theme="1"/>
        <rFont val="Trebuchet MS"/>
        <family val="2"/>
      </rPr>
      <t xml:space="preserve">
Garrafa Térmica Brastemp para brinde dinâmica</t>
    </r>
  </si>
  <si>
    <r>
      <rPr>
        <b/>
        <sz val="16"/>
        <color theme="1"/>
        <rFont val="Trebuchet MS"/>
        <family val="2"/>
      </rPr>
      <t>BRINDE CONSUL</t>
    </r>
    <r>
      <rPr>
        <sz val="16"/>
        <color theme="1"/>
        <rFont val="Trebuchet MS"/>
        <family val="2"/>
      </rPr>
      <t xml:space="preserve">
Abridor de garrafa Consul </t>
    </r>
  </si>
  <si>
    <r>
      <rPr>
        <b/>
        <sz val="16"/>
        <color theme="1"/>
        <rFont val="Trebuchet MS"/>
        <family val="2"/>
      </rPr>
      <t>UNIFORME PROMOTORES</t>
    </r>
    <r>
      <rPr>
        <sz val="16"/>
        <color theme="1"/>
        <rFont val="Trebuchet MS"/>
        <family val="2"/>
      </rPr>
      <t xml:space="preserve">
REAPROVEITAMENTO DE MATERIAL JÁ PRODUZIDO</t>
    </r>
  </si>
  <si>
    <r>
      <rPr>
        <b/>
        <sz val="16"/>
        <color theme="1"/>
        <rFont val="Trebuchet MS"/>
        <family val="2"/>
      </rPr>
      <t>UNIFORME STAFF</t>
    </r>
    <r>
      <rPr>
        <sz val="16"/>
        <color theme="1"/>
        <rFont val="Trebuchet MS"/>
        <family val="2"/>
      </rPr>
      <t xml:space="preserve">
Produção de camisa polo preta com personalização conforme layout</t>
    </r>
  </si>
  <si>
    <r>
      <rPr>
        <b/>
        <sz val="16"/>
        <color theme="1"/>
        <rFont val="Trebuchet MS"/>
        <family val="2"/>
      </rPr>
      <t>FICHA URNA</t>
    </r>
    <r>
      <rPr>
        <sz val="16"/>
        <color theme="1"/>
        <rFont val="Trebuchet MS"/>
        <family val="2"/>
      </rPr>
      <t xml:space="preserve">
FORMATO: 5,0 x 10,00 cm
PAPEL: Offset 90 g/m²
CORES: 1 x 0
ACABAMENTO: Refile simples</t>
    </r>
  </si>
  <si>
    <r>
      <rPr>
        <b/>
        <sz val="16"/>
        <color theme="1"/>
        <rFont val="Trebuchet MS"/>
        <family val="2"/>
      </rPr>
      <t>ADESIVO URNA</t>
    </r>
    <r>
      <rPr>
        <sz val="16"/>
        <color theme="1"/>
        <rFont val="Trebuchet MS"/>
        <family val="2"/>
      </rPr>
      <t xml:space="preserve">
Produção de adesivos para personalização de urna existe fornecida pelo cliente
Descritivo: 
Qnt: 4 unidades 
Formato: 49,0 x 16,0cm
4x0 cores</t>
    </r>
  </si>
  <si>
    <r>
      <rPr>
        <b/>
        <sz val="16"/>
        <color theme="1"/>
        <rFont val="Trebuchet MS"/>
        <family val="2"/>
      </rPr>
      <t>INSUMOS GELADEIRAS</t>
    </r>
    <r>
      <rPr>
        <sz val="16"/>
        <color theme="1"/>
        <rFont val="Trebuchet MS"/>
        <family val="2"/>
      </rPr>
      <t xml:space="preserve">
Verba para compra de insumos para geladeiras:
200 Coca Cola - Lata 220ml
150 Coca Cola Zero - Lata 220ml
50 Aguás garrafinha
50 Redbull - Lata 250ml
45 Redbull Zero - Lata 250ml
75 Heineken Zero - Long Neck</t>
    </r>
  </si>
  <si>
    <r>
      <t xml:space="preserve">CREDENCIAIS - </t>
    </r>
    <r>
      <rPr>
        <b/>
        <sz val="16"/>
        <color rgb="FFFF0000"/>
        <rFont val="Trebuchet MS"/>
        <family val="2"/>
      </rPr>
      <t>RESPONSABILIDADE CLIENTE</t>
    </r>
  </si>
  <si>
    <r>
      <rPr>
        <b/>
        <sz val="16"/>
        <color theme="1"/>
        <rFont val="Trebuchet MS"/>
        <family val="2"/>
      </rPr>
      <t>CREDENCIAIS</t>
    </r>
    <r>
      <rPr>
        <sz val="16"/>
        <color theme="1"/>
        <rFont val="Trebuchet MS"/>
        <family val="2"/>
      </rPr>
      <t xml:space="preserve">
Compra de credenciais STAFF</t>
    </r>
  </si>
  <si>
    <r>
      <rPr>
        <b/>
        <sz val="16"/>
        <color theme="1"/>
        <rFont val="Trebuchet MS"/>
        <family val="2"/>
      </rPr>
      <t>PONTOS AÉREOS</t>
    </r>
    <r>
      <rPr>
        <sz val="16"/>
        <color theme="1"/>
        <rFont val="Trebuchet MS"/>
        <family val="2"/>
      </rPr>
      <t xml:space="preserve">
Taxa de utilização de pontos aéreos</t>
    </r>
  </si>
  <si>
    <r>
      <t xml:space="preserve">PONTOS HIGRÁULICOS - </t>
    </r>
    <r>
      <rPr>
        <b/>
        <sz val="16"/>
        <color rgb="FFFF0000"/>
        <rFont val="Trebuchet MS"/>
        <family val="2"/>
      </rPr>
      <t>RESPONSABILIDADE CLIENTE</t>
    </r>
  </si>
  <si>
    <r>
      <rPr>
        <b/>
        <sz val="16"/>
        <color theme="1"/>
        <rFont val="Trebuchet MS"/>
        <family val="2"/>
      </rPr>
      <t>PONTOS HIDRÁULICOS</t>
    </r>
    <r>
      <rPr>
        <sz val="16"/>
        <color theme="1"/>
        <rFont val="Trebuchet MS"/>
        <family val="2"/>
      </rPr>
      <t xml:space="preserve">
Taxa de mapeamento de Ponto Hidráulico</t>
    </r>
  </si>
  <si>
    <r>
      <t xml:space="preserve">CONSUMO KVAS - </t>
    </r>
    <r>
      <rPr>
        <b/>
        <sz val="16"/>
        <color rgb="FFFF0000"/>
        <rFont val="Trebuchet MS"/>
        <family val="2"/>
      </rPr>
      <t>RESPONSABILIDADE CLIENTE</t>
    </r>
  </si>
  <si>
    <r>
      <rPr>
        <b/>
        <sz val="16"/>
        <color theme="1"/>
        <rFont val="Trebuchet MS"/>
        <family val="2"/>
      </rPr>
      <t>PONTOS ELÉTRICOS</t>
    </r>
    <r>
      <rPr>
        <sz val="16"/>
        <color theme="1"/>
        <rFont val="Trebuchet MS"/>
        <family val="2"/>
      </rPr>
      <t xml:space="preserve">
Taxa de consumo de KVAs</t>
    </r>
  </si>
  <si>
    <r>
      <rPr>
        <b/>
        <sz val="16"/>
        <color theme="1"/>
        <rFont val="Trebuchet MS"/>
        <family val="2"/>
      </rPr>
      <t>RÁDIO HT</t>
    </r>
    <r>
      <rPr>
        <sz val="16"/>
        <color theme="1"/>
        <rFont val="Trebuchet MS"/>
        <family val="2"/>
      </rPr>
      <t xml:space="preserve">
5 rádios HT para equipe agência</t>
    </r>
  </si>
  <si>
    <r>
      <rPr>
        <b/>
        <sz val="16"/>
        <color theme="1"/>
        <rFont val="Trebuchet MS"/>
        <family val="2"/>
      </rPr>
      <t>SEGURO RC + RD + AP</t>
    </r>
    <r>
      <rPr>
        <sz val="16"/>
        <color theme="1"/>
        <rFont val="Trebuchet MS"/>
        <family val="2"/>
      </rPr>
      <t xml:space="preserve">
Contratação de Seguro</t>
    </r>
  </si>
  <si>
    <r>
      <rPr>
        <b/>
        <sz val="16"/>
        <color theme="1"/>
        <rFont val="Trebuchet MS"/>
        <family val="2"/>
      </rPr>
      <t>ALIMENTAÇÃO E TRANSPORTE EQUIPE INTERNA</t>
    </r>
    <r>
      <rPr>
        <sz val="16"/>
        <color theme="1"/>
        <rFont val="Trebuchet MS"/>
        <family val="2"/>
      </rPr>
      <t xml:space="preserve">
Reserva de verba para alimentação e transporte da equipe interna</t>
    </r>
  </si>
  <si>
    <r>
      <rPr>
        <b/>
        <sz val="16"/>
        <color theme="1"/>
        <rFont val="Trebuchet MS"/>
        <family val="2"/>
      </rPr>
      <t>ALIMENTAÇÃO E TRANSPORTE STAFF</t>
    </r>
    <r>
      <rPr>
        <sz val="16"/>
        <color theme="1"/>
        <rFont val="Trebuchet MS"/>
        <family val="2"/>
      </rPr>
      <t xml:space="preserve">
Reserva de verba para alimentação e transporte da equipe</t>
    </r>
  </si>
  <si>
    <r>
      <rPr>
        <b/>
        <sz val="16"/>
        <color theme="1"/>
        <rFont val="Trebuchet MS"/>
        <family val="2"/>
      </rPr>
      <t>CARRO PARA ESTOQUE DE MATERIAIS</t>
    </r>
    <r>
      <rPr>
        <sz val="16"/>
        <color theme="1"/>
        <rFont val="Trebuchet MS"/>
        <family val="2"/>
      </rPr>
      <t xml:space="preserve">
Locação de carro FIORINO para armazemento de materiais nos dias de evento</t>
    </r>
  </si>
  <si>
    <r>
      <rPr>
        <b/>
        <sz val="16"/>
        <color theme="1"/>
        <rFont val="Trebuchet MS"/>
        <family val="2"/>
      </rPr>
      <t>TRANSPORTE DE MATERIAIS</t>
    </r>
    <r>
      <rPr>
        <sz val="16"/>
        <color theme="1"/>
        <rFont val="Trebuchet MS"/>
        <family val="2"/>
      </rPr>
      <t xml:space="preserve">
Reserva de verba para transporte de materiais (brindes, insumos, etc)</t>
    </r>
  </si>
  <si>
    <r>
      <rPr>
        <b/>
        <sz val="16"/>
        <color theme="1"/>
        <rFont val="Trebuchet MS"/>
        <family val="2"/>
      </rPr>
      <t>LAVAGEM UNIFORME</t>
    </r>
    <r>
      <rPr>
        <sz val="16"/>
        <color theme="1"/>
        <rFont val="Trebuchet MS"/>
        <family val="2"/>
      </rPr>
      <t xml:space="preserve">
Reserva de verba para lavagem de uniforme</t>
    </r>
  </si>
  <si>
    <r>
      <rPr>
        <b/>
        <sz val="16"/>
        <color theme="1"/>
        <rFont val="Trebuchet MS"/>
        <family val="2"/>
      </rPr>
      <t>VERBA DE PRODUÇÃO</t>
    </r>
    <r>
      <rPr>
        <sz val="16"/>
        <color theme="1"/>
        <rFont val="Trebuchet MS"/>
        <family val="2"/>
      </rPr>
      <t xml:space="preserve">
Reserva de verba para custos operacionais</t>
    </r>
  </si>
  <si>
    <r>
      <rPr>
        <b/>
        <sz val="16"/>
        <color theme="1"/>
        <rFont val="Trebuchet MS"/>
        <family val="2"/>
      </rPr>
      <t xml:space="preserve">AGUAS EXTRAS
</t>
    </r>
    <r>
      <rPr>
        <sz val="16"/>
        <color theme="1"/>
        <rFont val="Trebuchet MS"/>
        <family val="2"/>
      </rPr>
      <t>Compra de agua extra</t>
    </r>
  </si>
  <si>
    <t xml:space="preserve">VANESSA </t>
  </si>
  <si>
    <t>GABRIEL GRECO</t>
  </si>
  <si>
    <t>JORGE LUIZ</t>
  </si>
  <si>
    <t>PROJETO E PRINT</t>
  </si>
  <si>
    <t>WORKS</t>
  </si>
  <si>
    <t>SPR COMERCIO</t>
  </si>
  <si>
    <t>IN TOUCH</t>
  </si>
  <si>
    <t>VIBE PRODUÇÕES</t>
  </si>
  <si>
    <t>CHUBB</t>
  </si>
  <si>
    <t>JACIELLEN</t>
  </si>
  <si>
    <t>NINE O CLOCK</t>
  </si>
  <si>
    <t>MW LED - LIDER RENTAL</t>
  </si>
  <si>
    <t>ELAINE AKIKO</t>
  </si>
  <si>
    <t>OCIMAR</t>
  </si>
  <si>
    <t>SANTTO AMARO</t>
  </si>
  <si>
    <t>FABIO BARNA - entretec</t>
  </si>
  <si>
    <t>CLEBER LUCIANO -ANA PAULA</t>
  </si>
  <si>
    <t>NATALIA</t>
  </si>
  <si>
    <t>CUSTOS OP.</t>
  </si>
  <si>
    <t>DA ORIKASSA</t>
  </si>
  <si>
    <t>AMAZON - GVR HOME</t>
  </si>
  <si>
    <r>
      <t xml:space="preserve">CÓDIGO DO JOB: </t>
    </r>
    <r>
      <rPr>
        <b/>
        <sz val="12"/>
        <color theme="0" tint="-0.249977111117893"/>
        <rFont val="Trebuchet MS"/>
        <family val="2"/>
      </rPr>
      <t>(preencher na coluna G)</t>
    </r>
  </si>
  <si>
    <r>
      <t>CLIENTE:</t>
    </r>
    <r>
      <rPr>
        <b/>
        <sz val="12"/>
        <color theme="0" tint="-0.249977111117893"/>
        <rFont val="Trebuchet MS"/>
        <family val="2"/>
      </rPr>
      <t>(preencher na coluna G)</t>
    </r>
  </si>
  <si>
    <r>
      <t>EVENTO:</t>
    </r>
    <r>
      <rPr>
        <b/>
        <sz val="12"/>
        <color theme="0" tint="-0.249977111117893"/>
        <rFont val="Trebuchet MS"/>
        <family val="2"/>
      </rPr>
      <t>(preencher na coluna G)</t>
    </r>
  </si>
  <si>
    <r>
      <t>LOCAL:</t>
    </r>
    <r>
      <rPr>
        <b/>
        <sz val="12"/>
        <color theme="0" tint="-0.249977111117893"/>
        <rFont val="Trebuchet MS"/>
        <family val="2"/>
      </rPr>
      <t>(preencher na coluna G)</t>
    </r>
  </si>
  <si>
    <r>
      <t>DATA:</t>
    </r>
    <r>
      <rPr>
        <b/>
        <sz val="12"/>
        <color theme="0" tint="-0.249977111117893"/>
        <rFont val="Trebuchet MS"/>
        <family val="2"/>
      </rPr>
      <t>(preencher na coluna G)</t>
    </r>
  </si>
  <si>
    <r>
      <t>ATENDIMENTO:</t>
    </r>
    <r>
      <rPr>
        <b/>
        <sz val="12"/>
        <color theme="0" tint="-0.249977111117893"/>
        <rFont val="Trebuchet MS"/>
        <family val="2"/>
      </rPr>
      <t>(preencher na coluna G)</t>
    </r>
  </si>
  <si>
    <r>
      <t>PRODUTOR:</t>
    </r>
    <r>
      <rPr>
        <b/>
        <sz val="12"/>
        <color theme="0" tint="-0.249977111117893"/>
        <rFont val="Trebuchet MS"/>
        <family val="2"/>
      </rPr>
      <t>(preencher na coluna G)</t>
    </r>
  </si>
  <si>
    <r>
      <t>NOME PLANILHA:</t>
    </r>
    <r>
      <rPr>
        <b/>
        <sz val="12"/>
        <color theme="0" tint="-0.249977111117893"/>
        <rFont val="Trebuchet MS"/>
        <family val="2"/>
      </rPr>
      <t>(preencher na coluna G)</t>
    </r>
  </si>
  <si>
    <t>CAROLINA GOYER</t>
  </si>
  <si>
    <t>AFX</t>
  </si>
  <si>
    <t>AMAZON</t>
  </si>
  <si>
    <t>SILVIA BRITO</t>
  </si>
  <si>
    <t xml:space="preserve">PEDRILLI - DANIEL - AULIK - RONALDO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</si>
</sst>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6"/>
      <color theme="0"/>
      <name val="Trebuchet MS"/>
      <family val="2"/>
    </font>
    <font>
      <sz val="8"/>
      <name val="Calibri"/>
      <family val="2"/>
      <scheme val="minor"/>
    </font>
    <font>
      <b/>
      <sz val="12"/>
      <color theme="0"/>
      <name val="Trebuchet MS"/>
      <family val="2"/>
    </font>
    <font>
      <sz val="16"/>
      <color theme="1"/>
      <name val="Calibri"/>
      <family val="2"/>
      <scheme val="minor"/>
    </font>
    <font>
      <b/>
      <sz val="16"/>
      <name val="Trebuchet MS"/>
      <family val="2"/>
    </font>
    <font>
      <b/>
      <sz val="16"/>
      <color theme="1"/>
      <name val="Gadugi"/>
      <family val="2"/>
    </font>
    <font>
      <b/>
      <sz val="16"/>
      <color theme="0" tint="-0.249977111117893"/>
      <name val="Trebuchet MS"/>
      <family val="2"/>
    </font>
    <font>
      <b/>
      <sz val="16"/>
      <color indexed="63"/>
      <name val="Trebuchet MS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Trebuchet MS"/>
      <family val="2"/>
    </font>
    <font>
      <sz val="16"/>
      <color theme="0"/>
      <name val="Calibri"/>
      <family val="2"/>
      <scheme val="minor"/>
    </font>
    <font>
      <sz val="16"/>
      <color theme="1"/>
      <name val="Trebuchet MS"/>
      <family val="2"/>
    </font>
    <font>
      <b/>
      <sz val="16"/>
      <color rgb="FFFF0000"/>
      <name val="Trebuchet MS"/>
      <family val="2"/>
    </font>
    <font>
      <b/>
      <sz val="16"/>
      <color rgb="FF00B050"/>
      <name val="Trebuchet MS"/>
      <family val="2"/>
    </font>
    <font>
      <b/>
      <sz val="16"/>
      <color rgb="FFFF000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b/>
      <sz val="12"/>
      <color theme="0" tint="-0.249977111117893"/>
      <name val="Trebuchet MS"/>
      <family val="2"/>
    </font>
    <font>
      <b/>
      <sz val="12"/>
      <color rgb="FFFF0000"/>
      <name val="Trebuchet MS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5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6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02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8" fillId="4" borderId="35" xfId="0" applyFont="1" applyFill="1" applyBorder="1"/>
    <xf numFmtId="0" fontId="8" fillId="4" borderId="36" xfId="0" applyFont="1" applyFill="1" applyBorder="1"/>
    <xf numFmtId="0" fontId="11" fillId="8" borderId="42" xfId="0" applyFont="1" applyFill="1" applyBorder="1" applyAlignment="1">
      <alignment vertical="center"/>
    </xf>
    <xf numFmtId="0" fontId="13" fillId="8" borderId="42" xfId="0" applyFont="1" applyFill="1" applyBorder="1" applyAlignment="1">
      <alignment horizontal="center" vertical="center"/>
    </xf>
    <xf numFmtId="22" fontId="11" fillId="8" borderId="42" xfId="0" applyNumberFormat="1" applyFont="1" applyFill="1" applyBorder="1" applyAlignment="1">
      <alignment horizontal="center" vertical="center"/>
    </xf>
    <xf numFmtId="0" fontId="15" fillId="8" borderId="43" xfId="0" applyFont="1" applyFill="1" applyBorder="1" applyAlignment="1">
      <alignment horizontal="center" vertical="center" wrapText="1"/>
    </xf>
    <xf numFmtId="0" fontId="15" fillId="8" borderId="44" xfId="0" applyFont="1" applyFill="1" applyBorder="1" applyAlignment="1">
      <alignment horizontal="center" vertical="center" wrapText="1"/>
    </xf>
    <xf numFmtId="44" fontId="19" fillId="15" borderId="12" xfId="0" applyNumberFormat="1" applyFont="1" applyFill="1" applyBorder="1" applyAlignment="1">
      <alignment vertical="center"/>
    </xf>
    <xf numFmtId="0" fontId="19" fillId="15" borderId="6" xfId="0" applyFont="1" applyFill="1" applyBorder="1" applyAlignment="1">
      <alignment vertical="center"/>
    </xf>
    <xf numFmtId="0" fontId="19" fillId="15" borderId="37" xfId="0" applyFont="1" applyFill="1" applyBorder="1" applyAlignment="1">
      <alignment vertical="center"/>
    </xf>
    <xf numFmtId="44" fontId="19" fillId="15" borderId="37" xfId="0" applyNumberFormat="1" applyFont="1" applyFill="1" applyBorder="1" applyAlignment="1">
      <alignment vertical="center"/>
    </xf>
    <xf numFmtId="44" fontId="19" fillId="15" borderId="72" xfId="0" applyNumberFormat="1" applyFont="1" applyFill="1" applyBorder="1" applyAlignment="1">
      <alignment vertical="center"/>
    </xf>
    <xf numFmtId="9" fontId="19" fillId="15" borderId="17" xfId="1" applyFont="1" applyFill="1" applyBorder="1" applyAlignment="1">
      <alignment vertical="center"/>
    </xf>
    <xf numFmtId="44" fontId="19" fillId="15" borderId="74" xfId="8" applyFont="1" applyFill="1" applyBorder="1" applyAlignment="1">
      <alignment vertical="center"/>
    </xf>
    <xf numFmtId="0" fontId="19" fillId="15" borderId="37" xfId="0" applyFont="1" applyFill="1" applyBorder="1" applyAlignment="1">
      <alignment horizontal="center" vertical="center"/>
    </xf>
    <xf numFmtId="0" fontId="19" fillId="15" borderId="6" xfId="0" applyFont="1" applyFill="1" applyBorder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center"/>
    </xf>
    <xf numFmtId="16" fontId="17" fillId="17" borderId="11" xfId="0" applyNumberFormat="1" applyFont="1" applyFill="1" applyBorder="1"/>
    <xf numFmtId="16" fontId="17" fillId="17" borderId="12" xfId="0" applyNumberFormat="1" applyFont="1" applyFill="1" applyBorder="1"/>
    <xf numFmtId="16" fontId="17" fillId="18" borderId="14" xfId="0" applyNumberFormat="1" applyFont="1" applyFill="1" applyBorder="1"/>
    <xf numFmtId="16" fontId="17" fillId="18" borderId="15" xfId="0" applyNumberFormat="1" applyFont="1" applyFill="1" applyBorder="1"/>
    <xf numFmtId="0" fontId="17" fillId="19" borderId="17" xfId="0" applyFont="1" applyFill="1" applyBorder="1" applyAlignment="1">
      <alignment horizontal="right"/>
    </xf>
    <xf numFmtId="0" fontId="17" fillId="19" borderId="0" xfId="0" applyFont="1" applyFill="1" applyAlignment="1">
      <alignment horizontal="right"/>
    </xf>
    <xf numFmtId="0" fontId="21" fillId="20" borderId="14" xfId="0" applyFont="1" applyFill="1" applyBorder="1"/>
    <xf numFmtId="0" fontId="21" fillId="20" borderId="15" xfId="0" applyFont="1" applyFill="1" applyBorder="1"/>
    <xf numFmtId="164" fontId="4" fillId="0" borderId="0" xfId="2" applyNumberFormat="1" applyFont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0" fontId="18" fillId="21" borderId="60" xfId="0" applyFont="1" applyFill="1" applyBorder="1" applyAlignment="1">
      <alignment horizontal="center"/>
    </xf>
    <xf numFmtId="164" fontId="4" fillId="0" borderId="60" xfId="2" applyNumberFormat="1" applyFont="1" applyBorder="1" applyAlignment="1" applyProtection="1">
      <alignment horizontal="left" vertical="center"/>
      <protection locked="0"/>
    </xf>
    <xf numFmtId="44" fontId="18" fillId="0" borderId="60" xfId="0" applyNumberFormat="1" applyFont="1" applyBorder="1"/>
    <xf numFmtId="9" fontId="18" fillId="0" borderId="60" xfId="1" applyFont="1" applyBorder="1" applyAlignment="1">
      <alignment horizontal="center"/>
    </xf>
    <xf numFmtId="44" fontId="18" fillId="21" borderId="60" xfId="0" applyNumberFormat="1" applyFont="1" applyFill="1" applyBorder="1" applyAlignment="1">
      <alignment horizontal="center"/>
    </xf>
    <xf numFmtId="0" fontId="18" fillId="0" borderId="50" xfId="0" applyFont="1" applyBorder="1"/>
    <xf numFmtId="170" fontId="18" fillId="0" borderId="76" xfId="0" applyNumberFormat="1" applyFont="1" applyBorder="1" applyAlignment="1">
      <alignment horizontal="center"/>
    </xf>
    <xf numFmtId="44" fontId="18" fillId="0" borderId="76" xfId="0" applyNumberFormat="1" applyFont="1" applyBorder="1"/>
    <xf numFmtId="170" fontId="18" fillId="0" borderId="76" xfId="0" applyNumberFormat="1" applyFont="1" applyBorder="1"/>
    <xf numFmtId="9" fontId="18" fillId="0" borderId="49" xfId="1" applyFont="1" applyBorder="1" applyAlignment="1">
      <alignment horizontal="center"/>
    </xf>
    <xf numFmtId="0" fontId="18" fillId="0" borderId="77" xfId="0" applyFont="1" applyBorder="1"/>
    <xf numFmtId="9" fontId="18" fillId="0" borderId="78" xfId="1" applyFont="1" applyBorder="1" applyAlignment="1">
      <alignment horizontal="center"/>
    </xf>
    <xf numFmtId="0" fontId="18" fillId="0" borderId="0" xfId="0" applyFont="1"/>
    <xf numFmtId="170" fontId="18" fillId="21" borderId="79" xfId="0" applyNumberFormat="1" applyFont="1" applyFill="1" applyBorder="1" applyAlignment="1">
      <alignment horizontal="center"/>
    </xf>
    <xf numFmtId="44" fontId="18" fillId="21" borderId="60" xfId="0" applyNumberFormat="1" applyFont="1" applyFill="1" applyBorder="1"/>
    <xf numFmtId="170" fontId="18" fillId="21" borderId="60" xfId="0" applyNumberFormat="1" applyFont="1" applyFill="1" applyBorder="1"/>
    <xf numFmtId="0" fontId="2" fillId="11" borderId="0" xfId="0" applyFont="1" applyFill="1"/>
    <xf numFmtId="44" fontId="2" fillId="11" borderId="0" xfId="8" applyFont="1" applyFill="1"/>
    <xf numFmtId="44" fontId="0" fillId="0" borderId="0" xfId="8" applyFont="1"/>
    <xf numFmtId="0" fontId="22" fillId="0" borderId="0" xfId="0" applyFont="1" applyAlignment="1">
      <alignment vertical="center"/>
    </xf>
    <xf numFmtId="49" fontId="23" fillId="0" borderId="0" xfId="2" applyNumberFormat="1" applyFont="1" applyAlignment="1">
      <alignment horizontal="left" vertical="center" wrapText="1"/>
    </xf>
    <xf numFmtId="0" fontId="23" fillId="0" borderId="0" xfId="2" applyFont="1" applyAlignment="1">
      <alignment horizontal="left" vertical="center" wrapText="1"/>
    </xf>
    <xf numFmtId="0" fontId="22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3" fillId="0" borderId="0" xfId="2" applyNumberFormat="1" applyFont="1" applyAlignment="1">
      <alignment horizontal="left" vertical="center"/>
    </xf>
    <xf numFmtId="164" fontId="23" fillId="0" borderId="20" xfId="2" applyNumberFormat="1" applyFont="1" applyBorder="1" applyAlignment="1" applyProtection="1">
      <alignment horizontal="left" vertical="center"/>
      <protection locked="0"/>
    </xf>
    <xf numFmtId="164" fontId="23" fillId="0" borderId="19" xfId="2" applyNumberFormat="1" applyFont="1" applyBorder="1" applyAlignment="1" applyProtection="1">
      <alignment horizontal="left" vertical="center"/>
      <protection locked="0"/>
    </xf>
    <xf numFmtId="164" fontId="23" fillId="0" borderId="31" xfId="2" applyNumberFormat="1" applyFont="1" applyBorder="1" applyAlignment="1" applyProtection="1">
      <alignment horizontal="left" vertical="center"/>
      <protection locked="0"/>
    </xf>
    <xf numFmtId="164" fontId="23" fillId="0" borderId="30" xfId="2" applyNumberFormat="1" applyFont="1" applyBorder="1" applyAlignment="1" applyProtection="1">
      <alignment horizontal="left" vertical="center"/>
      <protection locked="0"/>
    </xf>
    <xf numFmtId="0" fontId="23" fillId="0" borderId="23" xfId="2" applyFont="1" applyBorder="1" applyAlignment="1" applyProtection="1">
      <alignment horizontal="left" vertical="center"/>
      <protection locked="0"/>
    </xf>
    <xf numFmtId="14" fontId="23" fillId="0" borderId="30" xfId="2" applyNumberFormat="1" applyFont="1" applyBorder="1" applyAlignment="1" applyProtection="1">
      <alignment horizontal="left" vertical="center"/>
      <protection locked="0"/>
    </xf>
    <xf numFmtId="164" fontId="23" fillId="0" borderId="39" xfId="2" applyNumberFormat="1" applyFont="1" applyBorder="1" applyAlignment="1" applyProtection="1">
      <alignment horizontal="left" vertical="center"/>
      <protection locked="0"/>
    </xf>
    <xf numFmtId="0" fontId="23" fillId="0" borderId="26" xfId="2" applyFont="1" applyBorder="1" applyAlignment="1" applyProtection="1">
      <alignment horizontal="left" vertical="center"/>
      <protection locked="0"/>
    </xf>
    <xf numFmtId="49" fontId="22" fillId="0" borderId="0" xfId="0" applyNumberFormat="1" applyFont="1" applyAlignment="1">
      <alignment vertical="center"/>
    </xf>
    <xf numFmtId="0" fontId="22" fillId="0" borderId="0" xfId="1" applyNumberFormat="1" applyFont="1" applyAlignment="1">
      <alignment vertical="center"/>
    </xf>
    <xf numFmtId="165" fontId="26" fillId="6" borderId="38" xfId="4" applyFont="1" applyFill="1" applyBorder="1" applyAlignment="1">
      <alignment horizontal="center" vertical="center" wrapText="1"/>
    </xf>
    <xf numFmtId="168" fontId="27" fillId="0" borderId="5" xfId="1" applyNumberFormat="1" applyFont="1" applyBorder="1" applyAlignment="1">
      <alignment vertical="center"/>
    </xf>
    <xf numFmtId="166" fontId="26" fillId="0" borderId="40" xfId="4" applyNumberFormat="1" applyFont="1" applyBorder="1" applyAlignment="1">
      <alignment horizontal="center" vertical="center" wrapText="1"/>
    </xf>
    <xf numFmtId="166" fontId="26" fillId="4" borderId="0" xfId="4" applyNumberFormat="1" applyFont="1" applyFill="1" applyBorder="1" applyAlignment="1">
      <alignment horizontal="center" vertical="center" wrapText="1"/>
    </xf>
    <xf numFmtId="0" fontId="28" fillId="5" borderId="0" xfId="0" applyFont="1" applyFill="1" applyAlignment="1">
      <alignment vertical="center"/>
    </xf>
    <xf numFmtId="49" fontId="28" fillId="5" borderId="0" xfId="0" applyNumberFormat="1" applyFont="1" applyFill="1" applyAlignment="1">
      <alignment vertical="center"/>
    </xf>
    <xf numFmtId="0" fontId="29" fillId="0" borderId="0" xfId="0" applyFont="1" applyAlignment="1">
      <alignment vertical="center"/>
    </xf>
    <xf numFmtId="0" fontId="30" fillId="0" borderId="45" xfId="0" applyFont="1" applyBorder="1" applyAlignment="1">
      <alignment horizontal="left" vertical="center"/>
    </xf>
    <xf numFmtId="49" fontId="30" fillId="0" borderId="46" xfId="0" applyNumberFormat="1" applyFont="1" applyBorder="1" applyAlignment="1">
      <alignment horizontal="left" vertical="center"/>
    </xf>
    <xf numFmtId="0" fontId="30" fillId="0" borderId="47" xfId="0" applyFont="1" applyBorder="1" applyAlignment="1">
      <alignment horizontal="left" vertical="center"/>
    </xf>
    <xf numFmtId="0" fontId="30" fillId="0" borderId="45" xfId="0" applyFont="1" applyBorder="1" applyAlignment="1">
      <alignment horizontal="left" vertical="center" wrapText="1"/>
    </xf>
    <xf numFmtId="0" fontId="23" fillId="6" borderId="68" xfId="3" applyFont="1" applyFill="1" applyBorder="1" applyAlignment="1">
      <alignment horizontal="left" vertical="center"/>
    </xf>
    <xf numFmtId="0" fontId="23" fillId="6" borderId="57" xfId="3" applyFont="1" applyFill="1" applyBorder="1" applyAlignment="1">
      <alignment horizontal="center" vertical="center"/>
    </xf>
    <xf numFmtId="0" fontId="28" fillId="6" borderId="54" xfId="3" applyFont="1" applyFill="1" applyBorder="1" applyAlignment="1">
      <alignment horizontal="center" vertical="center"/>
    </xf>
    <xf numFmtId="169" fontId="28" fillId="6" borderId="54" xfId="3" applyNumberFormat="1" applyFont="1" applyFill="1" applyBorder="1" applyAlignment="1">
      <alignment horizontal="center" vertical="center" wrapText="1"/>
    </xf>
    <xf numFmtId="0" fontId="28" fillId="6" borderId="55" xfId="3" applyFont="1" applyFill="1" applyBorder="1" applyAlignment="1">
      <alignment horizontal="center" vertical="center" wrapText="1"/>
    </xf>
    <xf numFmtId="9" fontId="28" fillId="6" borderId="53" xfId="1" applyFont="1" applyFill="1" applyBorder="1" applyAlignment="1">
      <alignment horizontal="center" vertical="center" wrapText="1"/>
    </xf>
    <xf numFmtId="10" fontId="28" fillId="6" borderId="54" xfId="1" applyNumberFormat="1" applyFont="1" applyFill="1" applyBorder="1" applyAlignment="1">
      <alignment horizontal="center" vertical="center" wrapText="1"/>
    </xf>
    <xf numFmtId="0" fontId="28" fillId="6" borderId="56" xfId="3" applyFont="1" applyFill="1" applyBorder="1" applyAlignment="1">
      <alignment horizontal="center" vertical="center" wrapText="1"/>
    </xf>
    <xf numFmtId="37" fontId="26" fillId="6" borderId="53" xfId="3" applyNumberFormat="1" applyFont="1" applyFill="1" applyBorder="1" applyAlignment="1">
      <alignment horizontal="center" vertical="center"/>
    </xf>
    <xf numFmtId="37" fontId="26" fillId="6" borderId="54" xfId="3" applyNumberFormat="1" applyFont="1" applyFill="1" applyBorder="1" applyAlignment="1">
      <alignment horizontal="center" vertical="center"/>
    </xf>
    <xf numFmtId="40" fontId="26" fillId="6" borderId="54" xfId="4" applyNumberFormat="1" applyFont="1" applyFill="1" applyBorder="1" applyAlignment="1">
      <alignment horizontal="center" vertical="center"/>
    </xf>
    <xf numFmtId="165" fontId="26" fillId="6" borderId="54" xfId="4" applyFont="1" applyFill="1" applyBorder="1" applyAlignment="1">
      <alignment horizontal="right" vertical="center"/>
    </xf>
    <xf numFmtId="40" fontId="26" fillId="6" borderId="54" xfId="4" applyNumberFormat="1" applyFont="1" applyFill="1" applyBorder="1" applyAlignment="1">
      <alignment horizontal="center" vertical="center" wrapText="1"/>
    </xf>
    <xf numFmtId="10" fontId="26" fillId="6" borderId="54" xfId="5" applyNumberFormat="1" applyFont="1" applyFill="1" applyBorder="1" applyAlignment="1">
      <alignment horizontal="center" vertical="center" wrapText="1"/>
    </xf>
    <xf numFmtId="165" fontId="26" fillId="6" borderId="54" xfId="4" applyFont="1" applyFill="1" applyBorder="1" applyAlignment="1">
      <alignment horizontal="center" vertical="center" wrapText="1"/>
    </xf>
    <xf numFmtId="165" fontId="26" fillId="6" borderId="56" xfId="4" applyFont="1" applyFill="1" applyBorder="1" applyAlignment="1">
      <alignment horizontal="center" vertical="center" wrapText="1"/>
    </xf>
    <xf numFmtId="10" fontId="26" fillId="6" borderId="48" xfId="5" applyNumberFormat="1" applyFont="1" applyFill="1" applyBorder="1" applyAlignment="1">
      <alignment horizontal="center" vertical="center" wrapText="1"/>
    </xf>
    <xf numFmtId="10" fontId="26" fillId="6" borderId="49" xfId="5" applyNumberFormat="1" applyFont="1" applyFill="1" applyBorder="1" applyAlignment="1">
      <alignment horizontal="center" vertical="center" wrapText="1"/>
    </xf>
    <xf numFmtId="165" fontId="26" fillId="6" borderId="50" xfId="4" applyFont="1" applyFill="1" applyBorder="1" applyAlignment="1">
      <alignment horizontal="center" vertical="center" wrapText="1"/>
    </xf>
    <xf numFmtId="165" fontId="26" fillId="6" borderId="49" xfId="4" applyFont="1" applyFill="1" applyBorder="1" applyAlignment="1">
      <alignment horizontal="center" vertical="center" wrapText="1"/>
    </xf>
    <xf numFmtId="166" fontId="31" fillId="6" borderId="51" xfId="4" applyNumberFormat="1" applyFont="1" applyFill="1" applyBorder="1" applyAlignment="1">
      <alignment horizontal="center" vertical="center" wrapText="1"/>
    </xf>
    <xf numFmtId="166" fontId="32" fillId="6" borderId="52" xfId="4" applyNumberFormat="1" applyFont="1" applyFill="1" applyBorder="1" applyAlignment="1">
      <alignment horizontal="center" vertical="center" wrapText="1"/>
    </xf>
    <xf numFmtId="40" fontId="26" fillId="6" borderId="75" xfId="4" applyNumberFormat="1" applyFont="1" applyFill="1" applyBorder="1" applyAlignment="1">
      <alignment horizontal="center" vertical="center"/>
    </xf>
    <xf numFmtId="49" fontId="30" fillId="0" borderId="46" xfId="0" applyNumberFormat="1" applyFont="1" applyBorder="1" applyAlignment="1">
      <alignment horizontal="left" vertical="center" wrapText="1"/>
    </xf>
    <xf numFmtId="0" fontId="30" fillId="0" borderId="47" xfId="0" applyFont="1" applyBorder="1" applyAlignment="1">
      <alignment horizontal="left" vertical="center" wrapText="1"/>
    </xf>
    <xf numFmtId="0" fontId="28" fillId="11" borderId="55" xfId="0" applyFont="1" applyFill="1" applyBorder="1" applyAlignment="1">
      <alignment horizontal="center" vertical="center"/>
    </xf>
    <xf numFmtId="0" fontId="28" fillId="11" borderId="54" xfId="0" applyFont="1" applyFill="1" applyBorder="1" applyAlignment="1">
      <alignment horizontal="center" vertical="center"/>
    </xf>
    <xf numFmtId="0" fontId="28" fillId="11" borderId="13" xfId="0" applyFont="1" applyFill="1" applyBorder="1" applyAlignment="1">
      <alignment horizontal="center" vertical="center"/>
    </xf>
    <xf numFmtId="0" fontId="27" fillId="11" borderId="10" xfId="0" applyFont="1" applyFill="1" applyBorder="1" applyAlignment="1">
      <alignment horizontal="center" vertical="center"/>
    </xf>
    <xf numFmtId="0" fontId="27" fillId="11" borderId="60" xfId="0" applyFont="1" applyFill="1" applyBorder="1" applyAlignment="1">
      <alignment horizontal="center" vertical="center"/>
    </xf>
    <xf numFmtId="0" fontId="28" fillId="0" borderId="51" xfId="0" applyFont="1" applyBorder="1" applyAlignment="1">
      <alignment horizontal="left" vertical="center" wrapText="1"/>
    </xf>
    <xf numFmtId="0" fontId="30" fillId="0" borderId="62" xfId="0" applyFont="1" applyBorder="1" applyAlignment="1">
      <alignment horizontal="left" vertical="center" wrapText="1"/>
    </xf>
    <xf numFmtId="0" fontId="30" fillId="0" borderId="62" xfId="0" applyFont="1" applyBorder="1" applyAlignment="1">
      <alignment horizontal="center" vertical="center"/>
    </xf>
    <xf numFmtId="0" fontId="30" fillId="16" borderId="62" xfId="0" applyFont="1" applyFill="1" applyBorder="1" applyAlignment="1">
      <alignment horizontal="center" vertical="center"/>
    </xf>
    <xf numFmtId="44" fontId="30" fillId="0" borderId="62" xfId="8" applyFont="1" applyBorder="1" applyAlignment="1">
      <alignment vertical="center"/>
    </xf>
    <xf numFmtId="44" fontId="30" fillId="0" borderId="52" xfId="8" applyFont="1" applyBorder="1" applyAlignment="1">
      <alignment vertical="center"/>
    </xf>
    <xf numFmtId="1" fontId="30" fillId="12" borderId="63" xfId="0" applyNumberFormat="1" applyFont="1" applyFill="1" applyBorder="1" applyAlignment="1">
      <alignment horizontal="center" vertical="center"/>
    </xf>
    <xf numFmtId="1" fontId="30" fillId="12" borderId="60" xfId="0" applyNumberFormat="1" applyFont="1" applyFill="1" applyBorder="1" applyAlignment="1">
      <alignment horizontal="center" vertical="center"/>
    </xf>
    <xf numFmtId="44" fontId="30" fillId="12" borderId="60" xfId="8" applyFont="1" applyFill="1" applyBorder="1" applyAlignment="1">
      <alignment vertical="center"/>
    </xf>
    <xf numFmtId="44" fontId="30" fillId="14" borderId="60" xfId="8" applyFont="1" applyFill="1" applyBorder="1" applyAlignment="1">
      <alignment vertical="center"/>
    </xf>
    <xf numFmtId="9" fontId="30" fillId="13" borderId="60" xfId="1" applyFont="1" applyFill="1" applyBorder="1" applyAlignment="1">
      <alignment horizontal="center" vertical="center"/>
    </xf>
    <xf numFmtId="44" fontId="30" fillId="13" borderId="60" xfId="8" applyFont="1" applyFill="1" applyBorder="1" applyAlignment="1">
      <alignment vertical="center"/>
    </xf>
    <xf numFmtId="44" fontId="30" fillId="13" borderId="67" xfId="8" applyFont="1" applyFill="1" applyBorder="1" applyAlignment="1">
      <alignment vertical="center"/>
    </xf>
    <xf numFmtId="10" fontId="30" fillId="14" borderId="10" xfId="0" applyNumberFormat="1" applyFont="1" applyFill="1" applyBorder="1" applyAlignment="1">
      <alignment horizontal="center" vertical="center"/>
    </xf>
    <xf numFmtId="10" fontId="30" fillId="14" borderId="60" xfId="0" applyNumberFormat="1" applyFont="1" applyFill="1" applyBorder="1" applyAlignment="1">
      <alignment horizontal="center" vertical="center"/>
    </xf>
    <xf numFmtId="0" fontId="22" fillId="0" borderId="60" xfId="0" applyFont="1" applyBorder="1" applyAlignment="1">
      <alignment horizontal="center" vertical="center"/>
    </xf>
    <xf numFmtId="0" fontId="30" fillId="16" borderId="62" xfId="0" applyFont="1" applyFill="1" applyBorder="1" applyAlignment="1">
      <alignment horizontal="left" vertical="center" wrapText="1"/>
    </xf>
    <xf numFmtId="170" fontId="19" fillId="10" borderId="0" xfId="0" applyNumberFormat="1" applyFont="1" applyFill="1" applyAlignment="1">
      <alignment horizontal="right"/>
    </xf>
    <xf numFmtId="170" fontId="19" fillId="10" borderId="18" xfId="0" applyNumberFormat="1" applyFont="1" applyFill="1" applyBorder="1" applyAlignment="1">
      <alignment horizontal="right"/>
    </xf>
    <xf numFmtId="44" fontId="19" fillId="10" borderId="60" xfId="0" applyNumberFormat="1" applyFont="1" applyFill="1" applyBorder="1" applyAlignment="1">
      <alignment horizontal="right"/>
    </xf>
    <xf numFmtId="44" fontId="28" fillId="14" borderId="60" xfId="0" applyNumberFormat="1" applyFont="1" applyFill="1" applyBorder="1" applyAlignment="1">
      <alignment vertical="center"/>
    </xf>
    <xf numFmtId="0" fontId="22" fillId="13" borderId="60" xfId="0" applyFont="1" applyFill="1" applyBorder="1" applyAlignment="1">
      <alignment horizontal="center" vertical="center"/>
    </xf>
    <xf numFmtId="0" fontId="22" fillId="13" borderId="60" xfId="0" applyFont="1" applyFill="1" applyBorder="1" applyAlignment="1">
      <alignment vertical="center"/>
    </xf>
    <xf numFmtId="44" fontId="28" fillId="13" borderId="60" xfId="0" applyNumberFormat="1" applyFont="1" applyFill="1" applyBorder="1" applyAlignment="1">
      <alignment vertical="center"/>
    </xf>
    <xf numFmtId="44" fontId="28" fillId="13" borderId="67" xfId="8" applyFont="1" applyFill="1" applyBorder="1" applyAlignment="1">
      <alignment vertical="center"/>
    </xf>
    <xf numFmtId="44" fontId="30" fillId="0" borderId="62" xfId="8" applyFont="1" applyFill="1" applyBorder="1" applyAlignment="1">
      <alignment vertical="center"/>
    </xf>
    <xf numFmtId="0" fontId="28" fillId="0" borderId="63" xfId="0" applyFont="1" applyBorder="1" applyAlignment="1">
      <alignment horizontal="left" vertical="center" wrapText="1"/>
    </xf>
    <xf numFmtId="0" fontId="30" fillId="0" borderId="60" xfId="0" applyFont="1" applyBorder="1" applyAlignment="1">
      <alignment horizontal="left" vertical="center" wrapText="1"/>
    </xf>
    <xf numFmtId="0" fontId="30" fillId="0" borderId="60" xfId="0" applyFont="1" applyBorder="1" applyAlignment="1">
      <alignment horizontal="center" vertical="center"/>
    </xf>
    <xf numFmtId="44" fontId="30" fillId="0" borderId="60" xfId="8" applyFont="1" applyBorder="1" applyAlignment="1">
      <alignment vertical="center"/>
    </xf>
    <xf numFmtId="44" fontId="30" fillId="0" borderId="67" xfId="8" applyFont="1" applyBorder="1" applyAlignment="1">
      <alignment vertical="center"/>
    </xf>
    <xf numFmtId="0" fontId="28" fillId="16" borderId="51" xfId="0" applyFont="1" applyFill="1" applyBorder="1" applyAlignment="1">
      <alignment horizontal="left" vertical="center" wrapText="1"/>
    </xf>
    <xf numFmtId="170" fontId="19" fillId="10" borderId="15" xfId="0" applyNumberFormat="1" applyFont="1" applyFill="1" applyBorder="1" applyAlignment="1">
      <alignment horizontal="right"/>
    </xf>
    <xf numFmtId="170" fontId="19" fillId="10" borderId="16" xfId="0" applyNumberFormat="1" applyFont="1" applyFill="1" applyBorder="1" applyAlignment="1">
      <alignment horizontal="right"/>
    </xf>
    <xf numFmtId="44" fontId="19" fillId="9" borderId="0" xfId="0" applyNumberFormat="1" applyFont="1" applyFill="1" applyAlignment="1">
      <alignment horizontal="right"/>
    </xf>
    <xf numFmtId="44" fontId="19" fillId="9" borderId="18" xfId="0" applyNumberFormat="1" applyFont="1" applyFill="1" applyBorder="1" applyAlignment="1">
      <alignment horizontal="right"/>
    </xf>
    <xf numFmtId="44" fontId="19" fillId="9" borderId="62" xfId="0" applyNumberFormat="1" applyFont="1" applyFill="1" applyBorder="1" applyAlignment="1">
      <alignment horizontal="right"/>
    </xf>
    <xf numFmtId="44" fontId="28" fillId="14" borderId="62" xfId="0" applyNumberFormat="1" applyFont="1" applyFill="1" applyBorder="1" applyAlignment="1">
      <alignment vertical="center"/>
    </xf>
    <xf numFmtId="0" fontId="22" fillId="13" borderId="62" xfId="0" applyFont="1" applyFill="1" applyBorder="1" applyAlignment="1">
      <alignment horizontal="center" vertical="center"/>
    </xf>
    <xf numFmtId="0" fontId="22" fillId="13" borderId="62" xfId="0" applyFont="1" applyFill="1" applyBorder="1" applyAlignment="1">
      <alignment vertical="center"/>
    </xf>
    <xf numFmtId="44" fontId="28" fillId="13" borderId="62" xfId="0" applyNumberFormat="1" applyFont="1" applyFill="1" applyBorder="1" applyAlignment="1">
      <alignment vertical="center"/>
    </xf>
    <xf numFmtId="44" fontId="28" fillId="13" borderId="52" xfId="8" applyFont="1" applyFill="1" applyBorder="1" applyAlignment="1">
      <alignment vertical="center"/>
    </xf>
    <xf numFmtId="44" fontId="30" fillId="16" borderId="62" xfId="8" applyFont="1" applyFill="1" applyBorder="1" applyAlignment="1">
      <alignment vertical="center"/>
    </xf>
    <xf numFmtId="0" fontId="30" fillId="16" borderId="33" xfId="0" applyFont="1" applyFill="1" applyBorder="1" applyAlignment="1">
      <alignment horizontal="left" vertical="center" wrapText="1"/>
    </xf>
    <xf numFmtId="0" fontId="28" fillId="11" borderId="59" xfId="0" applyFont="1" applyFill="1" applyBorder="1" applyAlignment="1">
      <alignment horizontal="center" vertical="center"/>
    </xf>
    <xf numFmtId="0" fontId="28" fillId="11" borderId="62" xfId="0" applyFont="1" applyFill="1" applyBorder="1" applyAlignment="1">
      <alignment horizontal="center" vertical="center"/>
    </xf>
    <xf numFmtId="0" fontId="28" fillId="11" borderId="18" xfId="0" applyFont="1" applyFill="1" applyBorder="1" applyAlignment="1">
      <alignment horizontal="center" vertical="center"/>
    </xf>
    <xf numFmtId="0" fontId="28" fillId="0" borderId="62" xfId="0" applyFont="1" applyBorder="1" applyAlignment="1">
      <alignment horizontal="left" vertical="center" wrapText="1"/>
    </xf>
    <xf numFmtId="44" fontId="28" fillId="13" borderId="59" xfId="8" applyFont="1" applyFill="1" applyBorder="1" applyAlignment="1">
      <alignment vertical="center"/>
    </xf>
    <xf numFmtId="44" fontId="19" fillId="15" borderId="11" xfId="8" applyFont="1" applyFill="1" applyBorder="1" applyAlignment="1">
      <alignment horizontal="center"/>
    </xf>
    <xf numFmtId="44" fontId="19" fillId="15" borderId="73" xfId="8" applyFont="1" applyFill="1" applyBorder="1" applyAlignment="1">
      <alignment horizontal="center"/>
    </xf>
    <xf numFmtId="49" fontId="30" fillId="0" borderId="58" xfId="0" applyNumberFormat="1" applyFont="1" applyBorder="1" applyAlignment="1">
      <alignment horizontal="left" vertical="center" wrapText="1"/>
    </xf>
    <xf numFmtId="9" fontId="33" fillId="0" borderId="0" xfId="0" applyNumberFormat="1" applyFont="1" applyAlignment="1">
      <alignment horizontal="right" vertical="center"/>
    </xf>
    <xf numFmtId="44" fontId="33" fillId="0" borderId="60" xfId="8" applyFont="1" applyBorder="1" applyAlignment="1">
      <alignment horizontal="center" vertical="center"/>
    </xf>
    <xf numFmtId="44" fontId="33" fillId="0" borderId="0" xfId="8" applyFont="1" applyAlignment="1">
      <alignment vertical="center"/>
    </xf>
    <xf numFmtId="44" fontId="34" fillId="0" borderId="60" xfId="8" applyFont="1" applyBorder="1" applyAlignment="1">
      <alignment horizontal="center" vertical="center"/>
    </xf>
    <xf numFmtId="44" fontId="34" fillId="0" borderId="0" xfId="8" applyFont="1" applyAlignment="1">
      <alignment vertical="center"/>
    </xf>
    <xf numFmtId="44" fontId="34" fillId="0" borderId="0" xfId="8" applyFont="1" applyAlignment="1">
      <alignment horizontal="center" vertical="center"/>
    </xf>
    <xf numFmtId="44" fontId="33" fillId="0" borderId="60" xfId="8" applyFont="1" applyBorder="1" applyAlignment="1">
      <alignment vertical="center"/>
    </xf>
    <xf numFmtId="44" fontId="34" fillId="0" borderId="60" xfId="8" applyFont="1" applyBorder="1" applyAlignment="1">
      <alignment vertical="center"/>
    </xf>
    <xf numFmtId="168" fontId="27" fillId="0" borderId="72" xfId="1" applyNumberFormat="1" applyFont="1" applyBorder="1" applyAlignment="1">
      <alignment vertical="center"/>
    </xf>
    <xf numFmtId="0" fontId="28" fillId="11" borderId="73" xfId="0" applyFont="1" applyFill="1" applyBorder="1" applyAlignment="1">
      <alignment horizontal="center" vertical="center"/>
    </xf>
    <xf numFmtId="0" fontId="28" fillId="16" borderId="33" xfId="0" applyFont="1" applyFill="1" applyBorder="1" applyAlignment="1">
      <alignment horizontal="left" vertical="center" wrapText="1"/>
    </xf>
    <xf numFmtId="170" fontId="19" fillId="10" borderId="74" xfId="0" applyNumberFormat="1" applyFont="1" applyFill="1" applyBorder="1" applyAlignment="1">
      <alignment horizontal="right"/>
    </xf>
    <xf numFmtId="0" fontId="28" fillId="11" borderId="74" xfId="0" applyFont="1" applyFill="1" applyBorder="1" applyAlignment="1">
      <alignment horizontal="center" vertical="center"/>
    </xf>
    <xf numFmtId="44" fontId="19" fillId="9" borderId="74" xfId="0" applyNumberFormat="1" applyFont="1" applyFill="1" applyBorder="1" applyAlignment="1">
      <alignment horizontal="right"/>
    </xf>
    <xf numFmtId="0" fontId="27" fillId="0" borderId="0" xfId="0" applyFont="1" applyAlignment="1">
      <alignment horizontal="left" vertical="center"/>
    </xf>
    <xf numFmtId="164" fontId="4" fillId="0" borderId="20" xfId="2" applyNumberFormat="1" applyFont="1" applyBorder="1" applyAlignment="1" applyProtection="1">
      <alignment horizontal="left" vertical="center"/>
      <protection locked="0"/>
    </xf>
    <xf numFmtId="164" fontId="4" fillId="0" borderId="19" xfId="2" applyNumberFormat="1" applyFont="1" applyBorder="1" applyAlignment="1" applyProtection="1">
      <alignment horizontal="left" vertical="center"/>
      <protection locked="0"/>
    </xf>
    <xf numFmtId="164" fontId="4" fillId="0" borderId="31" xfId="2" applyNumberFormat="1" applyFont="1" applyBorder="1" applyAlignment="1" applyProtection="1">
      <alignment horizontal="left" vertical="center"/>
      <protection locked="0"/>
    </xf>
    <xf numFmtId="164" fontId="4" fillId="0" borderId="30" xfId="2" applyNumberFormat="1" applyFont="1" applyBorder="1" applyAlignment="1" applyProtection="1">
      <alignment horizontal="left" vertical="center"/>
      <protection locked="0"/>
    </xf>
    <xf numFmtId="0" fontId="4" fillId="0" borderId="23" xfId="2" applyFont="1" applyBorder="1" applyAlignment="1" applyProtection="1">
      <alignment horizontal="left" vertical="center"/>
      <protection locked="0"/>
    </xf>
    <xf numFmtId="14" fontId="4" fillId="0" borderId="30" xfId="2" applyNumberFormat="1" applyFont="1" applyBorder="1" applyAlignment="1" applyProtection="1">
      <alignment horizontal="left" vertical="center"/>
      <protection locked="0"/>
    </xf>
    <xf numFmtId="164" fontId="4" fillId="0" borderId="39" xfId="2" applyNumberFormat="1" applyFont="1" applyBorder="1" applyAlignment="1" applyProtection="1">
      <alignment horizontal="left" vertical="center"/>
      <protection locked="0"/>
    </xf>
    <xf numFmtId="44" fontId="2" fillId="0" borderId="0" xfId="8" applyFont="1"/>
    <xf numFmtId="0" fontId="27" fillId="0" borderId="0" xfId="0" applyFont="1" applyAlignment="1">
      <alignment horizontal="left"/>
    </xf>
    <xf numFmtId="44" fontId="17" fillId="0" borderId="73" xfId="0" applyNumberFormat="1" applyFont="1" applyBorder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8" fillId="21" borderId="6" xfId="0" applyFont="1" applyFill="1" applyBorder="1" applyAlignment="1">
      <alignment horizontal="center"/>
    </xf>
    <xf numFmtId="0" fontId="18" fillId="21" borderId="37" xfId="0" applyFont="1" applyFill="1" applyBorder="1" applyAlignment="1">
      <alignment horizontal="center"/>
    </xf>
    <xf numFmtId="0" fontId="18" fillId="21" borderId="72" xfId="0" applyFont="1" applyFill="1" applyBorder="1" applyAlignment="1">
      <alignment horizontal="center"/>
    </xf>
    <xf numFmtId="166" fontId="26" fillId="0" borderId="40" xfId="4" applyNumberFormat="1" applyFont="1" applyBorder="1" applyAlignment="1">
      <alignment horizontal="center" vertical="center" wrapText="1"/>
    </xf>
    <xf numFmtId="166" fontId="26" fillId="0" borderId="41" xfId="4" applyNumberFormat="1" applyFont="1" applyBorder="1" applyAlignment="1">
      <alignment horizontal="center" vertical="center" wrapText="1"/>
    </xf>
    <xf numFmtId="0" fontId="23" fillId="0" borderId="0" xfId="2" applyFont="1" applyAlignment="1">
      <alignment horizontal="left" vertical="center" wrapText="1"/>
    </xf>
    <xf numFmtId="0" fontId="23" fillId="0" borderId="0" xfId="2" applyFont="1" applyAlignment="1">
      <alignment horizontal="left" vertical="center"/>
    </xf>
    <xf numFmtId="0" fontId="26" fillId="2" borderId="3" xfId="3" applyFont="1" applyFill="1" applyBorder="1" applyAlignment="1">
      <alignment horizontal="center" vertical="center"/>
    </xf>
    <xf numFmtId="0" fontId="26" fillId="2" borderId="4" xfId="3" applyFont="1" applyFill="1" applyBorder="1" applyAlignment="1">
      <alignment horizontal="center" vertical="center"/>
    </xf>
    <xf numFmtId="0" fontId="26" fillId="2" borderId="5" xfId="3" applyFont="1" applyFill="1" applyBorder="1" applyAlignment="1">
      <alignment horizontal="center" vertical="center"/>
    </xf>
    <xf numFmtId="0" fontId="26" fillId="3" borderId="6" xfId="0" applyFont="1" applyFill="1" applyBorder="1" applyAlignment="1">
      <alignment horizontal="center" vertical="center" wrapText="1"/>
    </xf>
    <xf numFmtId="0" fontId="26" fillId="3" borderId="37" xfId="0" applyFont="1" applyFill="1" applyBorder="1" applyAlignment="1">
      <alignment horizontal="center" vertical="center" wrapText="1"/>
    </xf>
    <xf numFmtId="0" fontId="26" fillId="3" borderId="5" xfId="0" applyFont="1" applyFill="1" applyBorder="1" applyAlignment="1">
      <alignment horizontal="center" vertical="center" wrapText="1"/>
    </xf>
    <xf numFmtId="166" fontId="26" fillId="4" borderId="6" xfId="4" applyNumberFormat="1" applyFont="1" applyFill="1" applyBorder="1" applyAlignment="1">
      <alignment horizontal="center" vertical="center" wrapText="1"/>
    </xf>
    <xf numFmtId="166" fontId="26" fillId="4" borderId="37" xfId="4" applyNumberFormat="1" applyFont="1" applyFill="1" applyBorder="1" applyAlignment="1">
      <alignment horizontal="center" vertical="center" wrapText="1"/>
    </xf>
    <xf numFmtId="166" fontId="26" fillId="4" borderId="5" xfId="4" applyNumberFormat="1" applyFont="1" applyFill="1" applyBorder="1" applyAlignment="1">
      <alignment horizontal="center" vertical="center" wrapText="1"/>
    </xf>
    <xf numFmtId="0" fontId="19" fillId="10" borderId="64" xfId="0" applyFont="1" applyFill="1" applyBorder="1" applyAlignment="1">
      <alignment horizontal="left"/>
    </xf>
    <xf numFmtId="0" fontId="19" fillId="10" borderId="8" xfId="0" applyFont="1" applyFill="1" applyBorder="1" applyAlignment="1">
      <alignment horizontal="left"/>
    </xf>
    <xf numFmtId="0" fontId="19" fillId="10" borderId="63" xfId="0" applyFont="1" applyFill="1" applyBorder="1" applyAlignment="1">
      <alignment horizontal="left"/>
    </xf>
    <xf numFmtId="0" fontId="19" fillId="10" borderId="60" xfId="0" applyFont="1" applyFill="1" applyBorder="1" applyAlignment="1">
      <alignment horizontal="left"/>
    </xf>
    <xf numFmtId="0" fontId="19" fillId="10" borderId="11" xfId="0" applyFont="1" applyFill="1" applyBorder="1" applyAlignment="1">
      <alignment horizontal="left"/>
    </xf>
    <xf numFmtId="0" fontId="19" fillId="10" borderId="12" xfId="0" applyFont="1" applyFill="1" applyBorder="1" applyAlignment="1">
      <alignment horizontal="left"/>
    </xf>
    <xf numFmtId="0" fontId="19" fillId="10" borderId="57" xfId="0" applyFont="1" applyFill="1" applyBorder="1" applyAlignment="1">
      <alignment horizontal="left"/>
    </xf>
    <xf numFmtId="0" fontId="19" fillId="10" borderId="67" xfId="0" applyFont="1" applyFill="1" applyBorder="1" applyAlignment="1">
      <alignment horizontal="left"/>
    </xf>
    <xf numFmtId="0" fontId="19" fillId="9" borderId="11" xfId="0" applyFont="1" applyFill="1" applyBorder="1" applyAlignment="1">
      <alignment horizontal="center"/>
    </xf>
    <xf numFmtId="0" fontId="19" fillId="9" borderId="12" xfId="0" applyFont="1" applyFill="1" applyBorder="1" applyAlignment="1">
      <alignment horizontal="center"/>
    </xf>
    <xf numFmtId="0" fontId="19" fillId="9" borderId="13" xfId="0" applyFont="1" applyFill="1" applyBorder="1" applyAlignment="1">
      <alignment horizontal="center"/>
    </xf>
    <xf numFmtId="0" fontId="19" fillId="9" borderId="70" xfId="0" applyFont="1" applyFill="1" applyBorder="1" applyAlignment="1">
      <alignment horizontal="center"/>
    </xf>
    <xf numFmtId="0" fontId="19" fillId="9" borderId="69" xfId="0" applyFont="1" applyFill="1" applyBorder="1" applyAlignment="1">
      <alignment horizontal="center"/>
    </xf>
    <xf numFmtId="0" fontId="19" fillId="9" borderId="71" xfId="0" applyFont="1" applyFill="1" applyBorder="1" applyAlignment="1">
      <alignment horizontal="center"/>
    </xf>
    <xf numFmtId="0" fontId="19" fillId="10" borderId="65" xfId="0" applyFont="1" applyFill="1" applyBorder="1" applyAlignment="1">
      <alignment horizontal="left"/>
    </xf>
    <xf numFmtId="0" fontId="19" fillId="10" borderId="66" xfId="0" applyFont="1" applyFill="1" applyBorder="1" applyAlignment="1">
      <alignment horizontal="left"/>
    </xf>
    <xf numFmtId="0" fontId="19" fillId="9" borderId="11" xfId="0" applyFont="1" applyFill="1" applyBorder="1" applyAlignment="1">
      <alignment horizontal="left"/>
    </xf>
    <xf numFmtId="0" fontId="19" fillId="9" borderId="12" xfId="0" applyFont="1" applyFill="1" applyBorder="1" applyAlignment="1">
      <alignment horizontal="left"/>
    </xf>
    <xf numFmtId="0" fontId="19" fillId="9" borderId="51" xfId="0" applyFont="1" applyFill="1" applyBorder="1" applyAlignment="1">
      <alignment horizontal="left"/>
    </xf>
    <xf numFmtId="0" fontId="19" fillId="9" borderId="62" xfId="0" applyFont="1" applyFill="1" applyBorder="1" applyAlignment="1">
      <alignment horizontal="left"/>
    </xf>
    <xf numFmtId="0" fontId="19" fillId="10" borderId="17" xfId="0" applyFont="1" applyFill="1" applyBorder="1" applyAlignment="1">
      <alignment horizontal="left"/>
    </xf>
    <xf numFmtId="0" fontId="19" fillId="10" borderId="0" xfId="0" applyFont="1" applyFill="1" applyAlignment="1">
      <alignment horizontal="left"/>
    </xf>
    <xf numFmtId="0" fontId="19" fillId="10" borderId="61" xfId="0" applyFont="1" applyFill="1" applyBorder="1" applyAlignment="1">
      <alignment horizontal="left"/>
    </xf>
    <xf numFmtId="0" fontId="19" fillId="10" borderId="14" xfId="0" applyFont="1" applyFill="1" applyBorder="1" applyAlignment="1">
      <alignment horizontal="left"/>
    </xf>
    <xf numFmtId="0" fontId="19" fillId="10" borderId="15" xfId="0" applyFont="1" applyFill="1" applyBorder="1" applyAlignment="1">
      <alignment horizontal="left"/>
    </xf>
    <xf numFmtId="0" fontId="26" fillId="2" borderId="72" xfId="3" applyFont="1" applyFill="1" applyBorder="1" applyAlignment="1">
      <alignment horizontal="center" vertical="center"/>
    </xf>
    <xf numFmtId="0" fontId="26" fillId="3" borderId="72" xfId="0" applyFont="1" applyFill="1" applyBorder="1" applyAlignment="1">
      <alignment horizontal="center" vertical="center" wrapText="1"/>
    </xf>
    <xf numFmtId="166" fontId="26" fillId="4" borderId="72" xfId="4" applyNumberFormat="1" applyFont="1" applyFill="1" applyBorder="1" applyAlignment="1">
      <alignment horizontal="center" vertical="center" wrapText="1"/>
    </xf>
    <xf numFmtId="0" fontId="19" fillId="9" borderId="73" xfId="0" applyFont="1" applyFill="1" applyBorder="1" applyAlignment="1">
      <alignment horizontal="center"/>
    </xf>
    <xf numFmtId="0" fontId="11" fillId="8" borderId="42" xfId="0" applyFont="1" applyFill="1" applyBorder="1" applyAlignment="1">
      <alignment horizontal="left" vertical="center"/>
    </xf>
    <xf numFmtId="0" fontId="11" fillId="8" borderId="42" xfId="0" applyFont="1" applyFill="1" applyBorder="1" applyAlignment="1">
      <alignment vertical="center"/>
    </xf>
    <xf numFmtId="0" fontId="11" fillId="8" borderId="0" xfId="0" applyFont="1" applyFill="1" applyAlignment="1">
      <alignment vertical="center"/>
    </xf>
    <xf numFmtId="0" fontId="12" fillId="8" borderId="42" xfId="0" applyFont="1" applyFill="1" applyBorder="1" applyAlignment="1">
      <alignment horizontal="left" vertical="top"/>
    </xf>
    <xf numFmtId="0" fontId="14" fillId="8" borderId="42" xfId="0" applyFont="1" applyFill="1" applyBorder="1" applyAlignment="1">
      <alignment horizontal="center" vertical="center" wrapText="1"/>
    </xf>
    <xf numFmtId="0" fontId="14" fillId="8" borderId="0" xfId="0" applyFont="1" applyFill="1" applyAlignment="1">
      <alignment horizontal="center" vertical="center" wrapText="1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2" fillId="0" borderId="2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170" fontId="36" fillId="0" borderId="76" xfId="0" applyNumberFormat="1" applyFont="1" applyBorder="1"/>
    <xf numFmtId="170" fontId="17" fillId="0" borderId="0" xfId="0" applyNumberFormat="1" applyFont="1"/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130112</xdr:colOff>
      <xdr:row>0</xdr:row>
      <xdr:rowOff>152400</xdr:rowOff>
    </xdr:from>
    <xdr:to>
      <xdr:col>5</xdr:col>
      <xdr:colOff>994949</xdr:colOff>
      <xdr:row>1</xdr:row>
      <xdr:rowOff>66675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CB1F43E9-E50D-4C37-894D-9D2B9A7861D6}"/>
            </a:ext>
          </a:extLst>
        </xdr:cNvPr>
        <xdr:cNvSpPr/>
      </xdr:nvSpPr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5</xdr:col>
      <xdr:colOff>85199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1CAD9771-8352-4CE6-8D77-DBB296305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5207" cy="372267"/>
        </a:xfrm>
        <a:prstGeom prst="rect">
          <a:avLst/>
        </a:prstGeom>
      </xdr:spPr>
    </xdr:pic>
    <xdr:clientData/>
  </xdr:twoCellAnchor>
  <xdr:twoCellAnchor editAs="absolute">
    <xdr:from>
      <xdr:col>49</xdr:col>
      <xdr:colOff>433070</xdr:colOff>
      <xdr:row>0</xdr:row>
      <xdr:rowOff>190500</xdr:rowOff>
    </xdr:from>
    <xdr:to>
      <xdr:col>51</xdr:col>
      <xdr:colOff>257372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6324A32B-F725-47EB-A47D-0C01D7C2A961}"/>
            </a:ext>
          </a:extLst>
        </xdr:cNvPr>
        <xdr:cNvSpPr/>
      </xdr:nvSpPr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48</xdr:col>
      <xdr:colOff>572442</xdr:colOff>
      <xdr:row>0</xdr:row>
      <xdr:rowOff>182566</xdr:rowOff>
    </xdr:from>
    <xdr:to>
      <xdr:col>49</xdr:col>
      <xdr:colOff>356867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B093F04-D6FF-41CD-AAD0-45FB985AC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99740" y="179391"/>
          <a:ext cx="353217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130112</xdr:colOff>
      <xdr:row>0</xdr:row>
      <xdr:rowOff>152400</xdr:rowOff>
    </xdr:from>
    <xdr:to>
      <xdr:col>5</xdr:col>
      <xdr:colOff>994949</xdr:colOff>
      <xdr:row>1</xdr:row>
      <xdr:rowOff>66675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6ABA7E1C-E3A7-4A40-A94D-86E5F2BD72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49</xdr:col>
      <xdr:colOff>433070</xdr:colOff>
      <xdr:row>0</xdr:row>
      <xdr:rowOff>190500</xdr:rowOff>
    </xdr:from>
    <xdr:to>
      <xdr:col>51</xdr:col>
      <xdr:colOff>257372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0B3F352-0E54-457D-BA4A-E5B3FA4220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670151</xdr:colOff>
      <xdr:row>0</xdr:row>
      <xdr:rowOff>152400</xdr:rowOff>
    </xdr:from>
    <xdr:to>
      <xdr:col>5</xdr:col>
      <xdr:colOff>758845</xdr:colOff>
      <xdr:row>1</xdr:row>
      <xdr:rowOff>73025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2A248F69-A9BC-44FE-A7BD-44B82337C5F8}"/>
            </a:ext>
          </a:extLst>
        </xdr:cNvPr>
        <xdr:cNvSpPr/>
      </xdr:nvSpPr>
      <xdr:spPr bwMode="auto">
        <a:xfrm>
          <a:off x="670151" y="152400"/>
          <a:ext cx="850694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625238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28FED87E-88B9-45F8-9446-06303240E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68857" cy="372267"/>
        </a:xfrm>
        <a:prstGeom prst="rect">
          <a:avLst/>
        </a:prstGeom>
      </xdr:spPr>
    </xdr:pic>
    <xdr:clientData/>
  </xdr:twoCellAnchor>
  <xdr:twoCellAnchor editAs="absolute">
    <xdr:from>
      <xdr:col>40</xdr:col>
      <xdr:colOff>61595</xdr:colOff>
      <xdr:row>0</xdr:row>
      <xdr:rowOff>190500</xdr:rowOff>
    </xdr:from>
    <xdr:to>
      <xdr:col>41</xdr:col>
      <xdr:colOff>474715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2CF58597-F684-4B01-8719-AE09F353CE90}"/>
            </a:ext>
          </a:extLst>
        </xdr:cNvPr>
        <xdr:cNvSpPr/>
      </xdr:nvSpPr>
      <xdr:spPr bwMode="auto">
        <a:xfrm>
          <a:off x="28380285" y="190500"/>
          <a:ext cx="1001074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39</xdr:col>
      <xdr:colOff>194617</xdr:colOff>
      <xdr:row>0</xdr:row>
      <xdr:rowOff>185741</xdr:rowOff>
    </xdr:from>
    <xdr:to>
      <xdr:col>39</xdr:col>
      <xdr:colOff>574210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F14D32E-4575-47DC-A2F1-67C3DA2EF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27664" y="179391"/>
          <a:ext cx="376418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670151</xdr:colOff>
      <xdr:row>0</xdr:row>
      <xdr:rowOff>152400</xdr:rowOff>
    </xdr:from>
    <xdr:to>
      <xdr:col>5</xdr:col>
      <xdr:colOff>758845</xdr:colOff>
      <xdr:row>1</xdr:row>
      <xdr:rowOff>73025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A21B9923-1972-4E14-B26C-93153E9BCCD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151" y="152400"/>
          <a:ext cx="850694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40</xdr:col>
      <xdr:colOff>61595</xdr:colOff>
      <xdr:row>0</xdr:row>
      <xdr:rowOff>190500</xdr:rowOff>
    </xdr:from>
    <xdr:to>
      <xdr:col>41</xdr:col>
      <xdr:colOff>474715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5FD77DC7-B146-43D0-ACCE-CFEDB138F6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80285" y="190500"/>
          <a:ext cx="1001074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oggigrouplive.sharepoint.com/sites/OggiLive/Documentos%20Compartilhados/PROJETOS%202026/WHIRLPOOL%2026/WHP_049_ESTANDE%20MAGALU/PRODU&#199;&#195;O/PLANILHAS/OGGI/WHP_049_TOP%20CLUB_ESTANDE%20MAGALU%2006.03.26_V2.xlsm" TargetMode="External"/><Relationship Id="rId1" Type="http://schemas.openxmlformats.org/officeDocument/2006/relationships/externalLinkPath" Target="https://oggigrouplive.sharepoint.com/sites/OggiLive/Documentos%20Compartilhados/PROJETOS%202026/WHIRLPOOL%2026/WHP_049_ESTANDE%20MAGALU/PRODU&#199;&#195;O/PLANILHAS/OGGI/WHP_049_TOP%20CLUB_ESTANDE%20MAGALU%2006.03.26_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incipal"/>
      <sheetName val="Solicitações de Pagamento"/>
      <sheetName val="ItensOrc"/>
      <sheetName val="Template SP"/>
    </sheetNames>
    <sheetDataSet>
      <sheetData sheetId="0" refreshError="1">
        <row r="27">
          <cell r="K27">
            <v>15951.5</v>
          </cell>
          <cell r="T27">
            <v>13380.8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21945-FAA6-4C83-8E4B-21875C29C2B3}">
  <dimension ref="A1:F37"/>
  <sheetViews>
    <sheetView showGridLines="0" tabSelected="1" topLeftCell="A18" zoomScaleNormal="100" workbookViewId="0">
      <selection activeCell="E37" sqref="E37"/>
    </sheetView>
  </sheetViews>
  <sheetFormatPr defaultColWidth="8.6640625" defaultRowHeight="16.2" x14ac:dyDescent="0.35"/>
  <cols>
    <col min="1" max="1" width="8.6640625" style="40"/>
    <col min="2" max="2" width="26.109375" style="40" customWidth="1"/>
    <col min="3" max="3" width="38.5546875" style="40" bestFit="1" customWidth="1"/>
    <col min="4" max="4" width="20.44140625" style="40" customWidth="1"/>
    <col min="5" max="5" width="18.44140625" style="40" customWidth="1"/>
    <col min="6" max="6" width="11.88671875" style="41" bestFit="1" customWidth="1"/>
    <col min="7" max="7" width="12.88671875" style="40" bestFit="1" customWidth="1"/>
    <col min="8" max="8" width="12.5546875" style="40" bestFit="1" customWidth="1"/>
    <col min="9" max="16384" width="8.6640625" style="40"/>
  </cols>
  <sheetData>
    <row r="1" spans="1:5" s="41" customFormat="1" hidden="1" x14ac:dyDescent="0.35">
      <c r="A1" s="40"/>
      <c r="B1" s="40"/>
      <c r="C1" s="40"/>
      <c r="D1" s="40"/>
      <c r="E1" s="40"/>
    </row>
    <row r="2" spans="1:5" s="41" customFormat="1" hidden="1" x14ac:dyDescent="0.35">
      <c r="A2" s="40"/>
      <c r="B2" s="40"/>
      <c r="C2" s="40"/>
      <c r="D2" s="40"/>
      <c r="E2" s="40"/>
    </row>
    <row r="3" spans="1:5" s="41" customFormat="1" hidden="1" x14ac:dyDescent="0.35">
      <c r="A3" s="40"/>
      <c r="B3" s="40"/>
      <c r="C3" s="42">
        <v>45866</v>
      </c>
      <c r="D3" s="43"/>
      <c r="E3" s="205" t="e">
        <f>SUM(#REF!)</f>
        <v>#REF!</v>
      </c>
    </row>
    <row r="4" spans="1:5" s="41" customFormat="1" ht="15.6" hidden="1" customHeight="1" thickBot="1" x14ac:dyDescent="0.4">
      <c r="A4" s="40"/>
      <c r="B4" s="40"/>
      <c r="C4" s="44">
        <v>45867</v>
      </c>
      <c r="D4" s="45"/>
      <c r="E4" s="206"/>
    </row>
    <row r="5" spans="1:5" s="41" customFormat="1" hidden="1" x14ac:dyDescent="0.35">
      <c r="A5" s="40"/>
      <c r="B5" s="40"/>
      <c r="C5" s="46" t="s">
        <v>253</v>
      </c>
      <c r="D5" s="47"/>
      <c r="E5" s="40"/>
    </row>
    <row r="6" spans="1:5" s="41" customFormat="1" hidden="1" x14ac:dyDescent="0.35">
      <c r="A6" s="40"/>
      <c r="B6" s="40"/>
      <c r="C6" s="46" t="s">
        <v>254</v>
      </c>
      <c r="D6" s="47"/>
      <c r="E6" s="40"/>
    </row>
    <row r="7" spans="1:5" s="41" customFormat="1" ht="16.8" hidden="1" thickBot="1" x14ac:dyDescent="0.4">
      <c r="A7" s="40"/>
      <c r="B7" s="40"/>
      <c r="C7" s="48" t="s">
        <v>43</v>
      </c>
      <c r="D7" s="49"/>
      <c r="E7" s="40"/>
    </row>
    <row r="9" spans="1:5" s="41" customFormat="1" x14ac:dyDescent="0.35">
      <c r="A9" s="40" t="s">
        <v>105</v>
      </c>
      <c r="B9" s="40"/>
      <c r="C9" s="40"/>
      <c r="D9" s="40"/>
      <c r="E9" s="40"/>
    </row>
    <row r="10" spans="1:5" s="41" customFormat="1" ht="24" customHeight="1" x14ac:dyDescent="0.35">
      <c r="A10" s="40"/>
      <c r="B10" s="40"/>
      <c r="C10" s="40"/>
      <c r="D10" s="40"/>
      <c r="E10" s="40"/>
    </row>
    <row r="12" spans="1:5" s="41" customFormat="1" ht="15" customHeight="1" x14ac:dyDescent="0.35">
      <c r="A12" s="40"/>
      <c r="B12" s="196" t="s">
        <v>338</v>
      </c>
      <c r="C12" s="197" t="s">
        <v>263</v>
      </c>
      <c r="D12" s="50"/>
      <c r="E12" s="40"/>
    </row>
    <row r="13" spans="1:5" s="41" customFormat="1" ht="15" customHeight="1" x14ac:dyDescent="0.35">
      <c r="A13" s="40"/>
      <c r="B13" s="198" t="s">
        <v>339</v>
      </c>
      <c r="C13" s="199" t="s">
        <v>120</v>
      </c>
      <c r="D13" s="50"/>
      <c r="E13" s="40"/>
    </row>
    <row r="14" spans="1:5" s="41" customFormat="1" ht="15" customHeight="1" x14ac:dyDescent="0.35">
      <c r="A14" s="40"/>
      <c r="B14" s="198" t="s">
        <v>340</v>
      </c>
      <c r="C14" s="200" t="s">
        <v>121</v>
      </c>
      <c r="D14" s="51"/>
      <c r="E14" s="40"/>
    </row>
    <row r="15" spans="1:5" s="41" customFormat="1" ht="15" customHeight="1" x14ac:dyDescent="0.35">
      <c r="A15" s="40"/>
      <c r="B15" s="198" t="s">
        <v>341</v>
      </c>
      <c r="C15" s="200" t="s">
        <v>122</v>
      </c>
      <c r="D15" s="51"/>
      <c r="E15" s="40"/>
    </row>
    <row r="16" spans="1:5" s="41" customFormat="1" ht="15" customHeight="1" x14ac:dyDescent="0.35">
      <c r="A16" s="40"/>
      <c r="B16" s="198" t="s">
        <v>342</v>
      </c>
      <c r="C16" s="201" t="s">
        <v>123</v>
      </c>
      <c r="D16" s="52"/>
      <c r="E16" s="40"/>
    </row>
    <row r="17" spans="2:6" ht="15" customHeight="1" x14ac:dyDescent="0.35">
      <c r="B17" s="198" t="s">
        <v>343</v>
      </c>
      <c r="C17" s="200" t="s">
        <v>222</v>
      </c>
      <c r="D17" s="51"/>
    </row>
    <row r="18" spans="2:6" ht="15" customHeight="1" x14ac:dyDescent="0.35">
      <c r="B18" s="198" t="s">
        <v>344</v>
      </c>
      <c r="C18" s="200" t="s">
        <v>124</v>
      </c>
      <c r="D18" s="51"/>
    </row>
    <row r="19" spans="2:6" ht="15" customHeight="1" x14ac:dyDescent="0.35">
      <c r="B19" s="202" t="s">
        <v>345</v>
      </c>
      <c r="C19" s="197" t="s">
        <v>264</v>
      </c>
      <c r="D19" s="51"/>
    </row>
    <row r="21" spans="2:6" ht="15.6" customHeight="1" x14ac:dyDescent="0.35">
      <c r="B21" s="53"/>
      <c r="C21" s="53" t="s">
        <v>255</v>
      </c>
      <c r="D21" s="53" t="s">
        <v>256</v>
      </c>
      <c r="E21" s="53" t="s">
        <v>257</v>
      </c>
    </row>
    <row r="22" spans="2:6" x14ac:dyDescent="0.35">
      <c r="B22" s="54" t="s">
        <v>258</v>
      </c>
      <c r="C22" s="55">
        <f>PRINCIPAL!N83</f>
        <v>387814.52788194024</v>
      </c>
      <c r="D22" s="55">
        <f>PRINCIPAL!X83</f>
        <v>323463.18</v>
      </c>
      <c r="E22" s="55">
        <f>C22-D22</f>
        <v>64351.347881940252</v>
      </c>
      <c r="F22" s="56">
        <f>E22*100%/C22</f>
        <v>0.1659333089799315</v>
      </c>
    </row>
    <row r="23" spans="2:6" x14ac:dyDescent="0.35">
      <c r="B23" s="54" t="s">
        <v>162</v>
      </c>
      <c r="C23" s="55">
        <f>Brindes!N24</f>
        <v>21467.727107777908</v>
      </c>
      <c r="D23" s="55">
        <f>Brindes!Y24</f>
        <v>6279.4</v>
      </c>
      <c r="E23" s="55">
        <f t="shared" ref="E23" si="0">C23-D23</f>
        <v>15188.327107777908</v>
      </c>
      <c r="F23" s="56">
        <f t="shared" ref="F23" si="1">E23*100%/C23</f>
        <v>0.70749581599977907</v>
      </c>
    </row>
    <row r="24" spans="2:6" x14ac:dyDescent="0.35">
      <c r="B24" s="53" t="s">
        <v>43</v>
      </c>
      <c r="C24" s="57">
        <f>SUM(C22:C23)</f>
        <v>409282.25498971815</v>
      </c>
      <c r="D24" s="57">
        <f>SUM(D22:D23)</f>
        <v>329742.58</v>
      </c>
      <c r="E24" s="57">
        <f>SUM(E22:E23)</f>
        <v>79539.674989718158</v>
      </c>
      <c r="F24" s="56">
        <f t="shared" ref="F24" si="2">E24*100%/C24</f>
        <v>0.19433941740698318</v>
      </c>
    </row>
    <row r="26" spans="2:6" ht="200.1" hidden="1" customHeight="1" x14ac:dyDescent="0.35"/>
    <row r="28" spans="2:6" ht="16.8" thickBot="1" x14ac:dyDescent="0.4"/>
    <row r="29" spans="2:6" ht="21.9" customHeight="1" thickBot="1" x14ac:dyDescent="0.4">
      <c r="B29" s="207" t="s">
        <v>259</v>
      </c>
      <c r="C29" s="208"/>
      <c r="D29" s="208"/>
      <c r="E29" s="208"/>
      <c r="F29" s="209"/>
    </row>
    <row r="30" spans="2:6" ht="24.9" customHeight="1" thickBot="1" x14ac:dyDescent="0.4">
      <c r="B30" s="58" t="s">
        <v>262</v>
      </c>
      <c r="C30" s="59">
        <v>288011.88</v>
      </c>
      <c r="D30" s="60">
        <v>330791.58</v>
      </c>
      <c r="E30" s="300">
        <f>C30-D30</f>
        <v>-42779.700000000012</v>
      </c>
      <c r="F30" s="62">
        <f>E30*100%/C30</f>
        <v>-0.14853449795195953</v>
      </c>
    </row>
    <row r="31" spans="2:6" ht="24.9" customHeight="1" thickBot="1" x14ac:dyDescent="0.4">
      <c r="B31" s="63" t="s">
        <v>260</v>
      </c>
      <c r="C31" s="59">
        <v>21467.73</v>
      </c>
      <c r="D31" s="60">
        <f>C31*0.15</f>
        <v>3220.1594999999998</v>
      </c>
      <c r="E31" s="61">
        <f>C31-D31</f>
        <v>18247.570500000002</v>
      </c>
      <c r="F31" s="62">
        <f t="shared" ref="F31:F32" si="3">E31*100%/C31</f>
        <v>0.85000000000000009</v>
      </c>
    </row>
    <row r="32" spans="2:6" ht="29.4" customHeight="1" thickBot="1" x14ac:dyDescent="0.4">
      <c r="B32" s="63" t="s">
        <v>261</v>
      </c>
      <c r="C32" s="59">
        <v>99802.65</v>
      </c>
      <c r="D32" s="60">
        <f>C32*0.15</f>
        <v>14970.397499999999</v>
      </c>
      <c r="E32" s="61">
        <f>C32-D32</f>
        <v>84832.252500000002</v>
      </c>
      <c r="F32" s="62">
        <f t="shared" si="3"/>
        <v>0.85000000000000009</v>
      </c>
    </row>
    <row r="33" spans="2:6" ht="20.25" customHeight="1" thickBot="1" x14ac:dyDescent="0.4">
      <c r="B33" s="65"/>
      <c r="C33" s="66">
        <f>SUM(C30:C32)</f>
        <v>409282.26</v>
      </c>
      <c r="D33" s="67">
        <f>SUM(D30:D32)</f>
        <v>348982.13700000005</v>
      </c>
      <c r="E33" s="68">
        <f>SUM(E30:E32)</f>
        <v>60300.122999999992</v>
      </c>
      <c r="F33" s="64">
        <f>E33*100%/C33</f>
        <v>0.14733138690154807</v>
      </c>
    </row>
    <row r="37" spans="2:6" x14ac:dyDescent="0.35">
      <c r="E37" s="301"/>
    </row>
  </sheetData>
  <mergeCells count="2">
    <mergeCell ref="E3:E4"/>
    <mergeCell ref="B29:F29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B35F7-15A5-405C-ABF9-C7FFAB2A5A71}">
  <sheetPr codeName="Planilha11">
    <pageSetUpPr autoPageBreaks="0"/>
  </sheetPr>
  <dimension ref="A1:AO84"/>
  <sheetViews>
    <sheetView showGridLines="0" topLeftCell="B1" zoomScale="55" zoomScaleNormal="55" workbookViewId="0">
      <pane ySplit="1" topLeftCell="A74" activePane="bottomLeft" state="frozen"/>
      <selection pane="bottomLeft" activeCell="G11" sqref="G11"/>
    </sheetView>
  </sheetViews>
  <sheetFormatPr defaultColWidth="8.88671875" defaultRowHeight="21" x14ac:dyDescent="0.3"/>
  <cols>
    <col min="1" max="1" width="9.5546875" style="72" hidden="1" customWidth="1"/>
    <col min="2" max="2" width="8.109375" style="72" customWidth="1"/>
    <col min="3" max="3" width="16" style="72" hidden="1" customWidth="1"/>
    <col min="4" max="4" width="24.44140625" style="72" hidden="1" customWidth="1"/>
    <col min="5" max="5" width="16.109375" style="72" hidden="1" customWidth="1"/>
    <col min="6" max="6" width="50.6640625" style="72" customWidth="1"/>
    <col min="7" max="7" width="68.33203125" style="72" customWidth="1"/>
    <col min="8" max="9" width="10.5546875" style="75" hidden="1" customWidth="1"/>
    <col min="10" max="10" width="41.44140625" style="72" hidden="1" customWidth="1"/>
    <col min="11" max="11" width="26.88671875" style="72" hidden="1" customWidth="1"/>
    <col min="12" max="12" width="24.88671875" style="72" customWidth="1"/>
    <col min="13" max="14" width="26.88671875" style="72" customWidth="1"/>
    <col min="15" max="15" width="3.109375" style="72" hidden="1" customWidth="1"/>
    <col min="16" max="16" width="1.88671875" style="72" hidden="1" customWidth="1"/>
    <col min="17" max="17" width="10.5546875" style="75" customWidth="1"/>
    <col min="18" max="18" width="10.5546875" style="75" hidden="1" customWidth="1"/>
    <col min="19" max="19" width="30.5546875" style="72" hidden="1" customWidth="1"/>
    <col min="20" max="20" width="26.88671875" style="72" bestFit="1" customWidth="1"/>
    <col min="21" max="21" width="24.88671875" style="72" hidden="1" customWidth="1"/>
    <col min="22" max="22" width="9.88671875" style="75" hidden="1" customWidth="1"/>
    <col min="23" max="23" width="16.109375" style="72" hidden="1" customWidth="1"/>
    <col min="24" max="24" width="27.109375" style="72" bestFit="1" customWidth="1"/>
    <col min="25" max="25" width="26.88671875" style="72" hidden="1" customWidth="1"/>
    <col min="26" max="26" width="14.88671875" style="72" hidden="1" customWidth="1"/>
    <col min="27" max="27" width="24.88671875" style="72" hidden="1" customWidth="1"/>
    <col min="28" max="28" width="38.109375" style="72" hidden="1" customWidth="1"/>
    <col min="29" max="29" width="14.109375" style="72" hidden="1" customWidth="1"/>
    <col min="30" max="30" width="7.88671875" style="72" hidden="1" customWidth="1"/>
    <col min="31" max="31" width="6.88671875" style="72" hidden="1" customWidth="1"/>
    <col min="32" max="32" width="1.109375" style="72" hidden="1" customWidth="1"/>
    <col min="33" max="33" width="27.6640625" style="72" customWidth="1"/>
    <col min="34" max="34" width="29.6640625" style="72" customWidth="1"/>
    <col min="35" max="35" width="29.44140625" style="75" hidden="1" customWidth="1"/>
    <col min="36" max="36" width="6.109375" style="72" hidden="1" customWidth="1"/>
    <col min="37" max="37" width="12.88671875" style="72" hidden="1" customWidth="1"/>
    <col min="38" max="38" width="13.109375" style="72" hidden="1" customWidth="1"/>
    <col min="39" max="39" width="13.5546875" style="72" hidden="1" customWidth="1"/>
    <col min="40" max="40" width="0" style="72" hidden="1" customWidth="1"/>
    <col min="41" max="41" width="21.109375" style="195" customWidth="1"/>
    <col min="42" max="16384" width="8.88671875" style="72"/>
  </cols>
  <sheetData>
    <row r="1" spans="1:39" ht="49.5" customHeight="1" x14ac:dyDescent="0.3">
      <c r="B1" s="73"/>
      <c r="C1" s="74"/>
      <c r="D1" s="74"/>
      <c r="F1" s="212" t="s">
        <v>118</v>
      </c>
      <c r="G1" s="212"/>
    </row>
    <row r="2" spans="1:39" ht="24.75" customHeight="1" x14ac:dyDescent="0.3">
      <c r="B2" s="75"/>
      <c r="D2" s="74"/>
      <c r="F2" s="213" t="s">
        <v>0</v>
      </c>
      <c r="G2" s="213"/>
    </row>
    <row r="3" spans="1:39" ht="22.2" x14ac:dyDescent="0.3">
      <c r="B3" s="76"/>
      <c r="F3" s="77"/>
      <c r="G3" s="77"/>
    </row>
    <row r="4" spans="1:39" ht="22.2" x14ac:dyDescent="0.3">
      <c r="F4" s="78" t="s">
        <v>270</v>
      </c>
      <c r="G4" s="79">
        <v>49</v>
      </c>
    </row>
    <row r="5" spans="1:39" ht="22.2" x14ac:dyDescent="0.3">
      <c r="F5" s="80" t="s">
        <v>271</v>
      </c>
      <c r="G5" s="81" t="s">
        <v>120</v>
      </c>
    </row>
    <row r="6" spans="1:39" ht="22.2" x14ac:dyDescent="0.3">
      <c r="D6" s="72" t="s">
        <v>105</v>
      </c>
      <c r="F6" s="80" t="s">
        <v>272</v>
      </c>
      <c r="G6" s="82" t="s">
        <v>121</v>
      </c>
    </row>
    <row r="7" spans="1:39" ht="21.75" customHeight="1" x14ac:dyDescent="0.3">
      <c r="F7" s="80" t="s">
        <v>273</v>
      </c>
      <c r="G7" s="82" t="s">
        <v>122</v>
      </c>
      <c r="J7" s="72" t="s">
        <v>117</v>
      </c>
    </row>
    <row r="8" spans="1:39" ht="22.2" x14ac:dyDescent="0.3">
      <c r="F8" s="80" t="s">
        <v>274</v>
      </c>
      <c r="G8" s="83" t="s">
        <v>123</v>
      </c>
    </row>
    <row r="9" spans="1:39" ht="22.2" x14ac:dyDescent="0.3">
      <c r="F9" s="80" t="s">
        <v>275</v>
      </c>
      <c r="G9" s="82" t="s">
        <v>222</v>
      </c>
      <c r="J9" s="72" t="s">
        <v>105</v>
      </c>
    </row>
    <row r="10" spans="1:39" ht="27" customHeight="1" x14ac:dyDescent="0.3">
      <c r="F10" s="80" t="s">
        <v>276</v>
      </c>
      <c r="G10" s="82" t="s">
        <v>124</v>
      </c>
    </row>
    <row r="11" spans="1:39" ht="22.2" x14ac:dyDescent="0.3">
      <c r="F11" s="84" t="s">
        <v>277</v>
      </c>
      <c r="G11" s="85" t="s">
        <v>119</v>
      </c>
    </row>
    <row r="12" spans="1:39" ht="67.2" hidden="1" thickBot="1" x14ac:dyDescent="0.35">
      <c r="B12" s="86"/>
      <c r="M12" s="87"/>
      <c r="Q12" s="214" t="s">
        <v>1</v>
      </c>
      <c r="R12" s="215"/>
      <c r="S12" s="215"/>
      <c r="T12" s="216"/>
      <c r="U12" s="217" t="s">
        <v>2</v>
      </c>
      <c r="V12" s="218"/>
      <c r="W12" s="218"/>
      <c r="X12" s="219"/>
      <c r="Y12" s="88" t="s">
        <v>56</v>
      </c>
      <c r="Z12" s="89">
        <f>(1/(1-M14))-1</f>
        <v>0.20962864400629</v>
      </c>
      <c r="AC12" s="220" t="s">
        <v>3</v>
      </c>
      <c r="AD12" s="221"/>
      <c r="AE12" s="222"/>
      <c r="AG12" s="210" t="s">
        <v>58</v>
      </c>
      <c r="AH12" s="211"/>
      <c r="AI12" s="91"/>
      <c r="AK12" s="90" t="s">
        <v>59</v>
      </c>
      <c r="AL12" s="210" t="s">
        <v>58</v>
      </c>
      <c r="AM12" s="211"/>
    </row>
    <row r="13" spans="1:39" ht="22.8" thickBot="1" x14ac:dyDescent="0.35">
      <c r="A13" s="92" t="s">
        <v>4</v>
      </c>
      <c r="B13" s="93" t="s">
        <v>5</v>
      </c>
      <c r="C13" s="92" t="s">
        <v>6</v>
      </c>
      <c r="D13" s="92" t="s">
        <v>7</v>
      </c>
      <c r="E13" s="92" t="s">
        <v>8</v>
      </c>
      <c r="M13" s="94">
        <v>0.81</v>
      </c>
    </row>
    <row r="14" spans="1:39" ht="54.75" customHeight="1" thickBot="1" x14ac:dyDescent="0.35">
      <c r="A14" s="95">
        <v>0</v>
      </c>
      <c r="B14" s="96"/>
      <c r="C14" s="97"/>
      <c r="D14" s="98"/>
      <c r="E14" s="98"/>
      <c r="F14" s="99" t="s">
        <v>83</v>
      </c>
      <c r="G14" s="100" t="s">
        <v>84</v>
      </c>
      <c r="H14" s="101" t="s">
        <v>85</v>
      </c>
      <c r="I14" s="101" t="s">
        <v>86</v>
      </c>
      <c r="J14" s="102" t="s">
        <v>87</v>
      </c>
      <c r="K14" s="103" t="s">
        <v>9</v>
      </c>
      <c r="L14" s="104">
        <v>0.08</v>
      </c>
      <c r="M14" s="105">
        <v>0.17330000000000001</v>
      </c>
      <c r="N14" s="106" t="s">
        <v>81</v>
      </c>
      <c r="Q14" s="107" t="s">
        <v>88</v>
      </c>
      <c r="R14" s="108" t="s">
        <v>89</v>
      </c>
      <c r="S14" s="109" t="s">
        <v>90</v>
      </c>
      <c r="T14" s="110" t="s">
        <v>91</v>
      </c>
      <c r="U14" s="111" t="s">
        <v>92</v>
      </c>
      <c r="V14" s="112" t="s">
        <v>93</v>
      </c>
      <c r="W14" s="113" t="s">
        <v>94</v>
      </c>
      <c r="X14" s="113" t="s">
        <v>95</v>
      </c>
      <c r="Y14" s="114" t="s">
        <v>96</v>
      </c>
      <c r="Z14" s="115" t="s">
        <v>97</v>
      </c>
      <c r="AA14" s="116" t="s">
        <v>82</v>
      </c>
      <c r="AC14" s="117" t="s">
        <v>98</v>
      </c>
      <c r="AD14" s="118" t="s">
        <v>99</v>
      </c>
      <c r="AE14" s="118" t="s">
        <v>33</v>
      </c>
      <c r="AG14" s="119" t="s">
        <v>101</v>
      </c>
      <c r="AH14" s="120" t="s">
        <v>102</v>
      </c>
      <c r="AI14" s="121" t="s">
        <v>100</v>
      </c>
      <c r="AL14" s="119" t="s">
        <v>101</v>
      </c>
      <c r="AM14" s="120" t="s">
        <v>102</v>
      </c>
    </row>
    <row r="15" spans="1:39" ht="30" customHeight="1" thickBot="1" x14ac:dyDescent="0.5">
      <c r="A15" s="98">
        <v>1</v>
      </c>
      <c r="B15" s="122">
        <v>1</v>
      </c>
      <c r="C15" s="123" t="s">
        <v>125</v>
      </c>
      <c r="D15" s="98"/>
      <c r="E15" s="98"/>
      <c r="F15" s="231" t="s">
        <v>126</v>
      </c>
      <c r="G15" s="232"/>
      <c r="H15" s="232"/>
      <c r="I15" s="232"/>
      <c r="J15" s="232"/>
      <c r="K15" s="232"/>
      <c r="L15" s="232"/>
      <c r="M15" s="232"/>
      <c r="N15" s="233"/>
      <c r="Q15" s="234" t="str">
        <f>IF(F15&lt;&gt;"",F15,"")</f>
        <v>INTERNO</v>
      </c>
      <c r="R15" s="235"/>
      <c r="S15" s="235"/>
      <c r="T15" s="235"/>
      <c r="U15" s="235"/>
      <c r="V15" s="235"/>
      <c r="W15" s="235"/>
      <c r="X15" s="235"/>
      <c r="Y15" s="236"/>
      <c r="AG15" s="234"/>
      <c r="AH15" s="235"/>
    </row>
    <row r="16" spans="1:39" ht="30" customHeight="1" x14ac:dyDescent="0.45">
      <c r="A16" s="98">
        <v>2</v>
      </c>
      <c r="B16" s="122" t="s">
        <v>128</v>
      </c>
      <c r="C16" s="123" t="s">
        <v>127</v>
      </c>
      <c r="D16" s="98"/>
      <c r="E16" s="98"/>
      <c r="F16" s="227" t="s">
        <v>132</v>
      </c>
      <c r="G16" s="228"/>
      <c r="H16" s="228"/>
      <c r="I16" s="228"/>
      <c r="J16" s="228"/>
      <c r="K16" s="229"/>
      <c r="L16" s="124" t="s">
        <v>129</v>
      </c>
      <c r="M16" s="125" t="s">
        <v>130</v>
      </c>
      <c r="N16" s="126" t="s">
        <v>81</v>
      </c>
      <c r="Q16" s="225" t="str">
        <f>IF(F16&lt;&gt;"",F16,"")</f>
        <v>EQUIPE INTERNA</v>
      </c>
      <c r="R16" s="226"/>
      <c r="S16" s="226"/>
      <c r="T16" s="226"/>
      <c r="U16" s="226"/>
      <c r="V16" s="226"/>
      <c r="W16" s="226"/>
      <c r="X16" s="226"/>
      <c r="Y16" s="230"/>
      <c r="Z16" s="127" t="s">
        <v>131</v>
      </c>
      <c r="AA16" s="128" t="s">
        <v>82</v>
      </c>
      <c r="AG16" s="225"/>
      <c r="AH16" s="226"/>
    </row>
    <row r="17" spans="1:41" ht="80.099999999999994" customHeight="1" x14ac:dyDescent="0.3">
      <c r="A17" s="98">
        <v>3</v>
      </c>
      <c r="B17" s="122" t="s">
        <v>134</v>
      </c>
      <c r="C17" s="123" t="s">
        <v>133</v>
      </c>
      <c r="D17" s="98" t="s">
        <v>126</v>
      </c>
      <c r="E17" s="98" t="s">
        <v>223</v>
      </c>
      <c r="F17" s="129" t="s">
        <v>199</v>
      </c>
      <c r="G17" s="130" t="s">
        <v>278</v>
      </c>
      <c r="H17" s="131">
        <v>1</v>
      </c>
      <c r="I17" s="132">
        <v>1</v>
      </c>
      <c r="J17" s="133">
        <v>5000</v>
      </c>
      <c r="K17" s="133">
        <f>IF(F17&lt;&gt;"",H17*I17*J17,"")</f>
        <v>5000</v>
      </c>
      <c r="L17" s="133">
        <f>IF(K17&lt;&gt;"",IF(D17="INTERNO",0,K17*$L$14),"")</f>
        <v>0</v>
      </c>
      <c r="M17" s="133">
        <f>IF(K17&lt;&gt;"",IF(E17="FAT.OGGI",SUM(K17:L17)*(1/(1-$M$14)-1),L17*(1/(1-$M$14)-1)),0)</f>
        <v>1048.14322003145</v>
      </c>
      <c r="N17" s="134">
        <f>SUM(K17:M17)</f>
        <v>6048.1432200314503</v>
      </c>
      <c r="Q17" s="135">
        <f t="shared" ref="Q17:R20" si="0">IF(H17&lt;&gt;"",H17,"")</f>
        <v>1</v>
      </c>
      <c r="R17" s="136">
        <f t="shared" si="0"/>
        <v>1</v>
      </c>
      <c r="S17" s="137">
        <v>11000</v>
      </c>
      <c r="T17" s="137">
        <f>IF(Q17&lt;&gt;"",Q17*R17*S17,"")</f>
        <v>11000</v>
      </c>
      <c r="U17" s="138">
        <f>IF(Q17&lt;&gt;"",K17-T17,"")</f>
        <v>-6000</v>
      </c>
      <c r="V17" s="139">
        <f>IF(Q17&lt;&gt;"",0%,"")</f>
        <v>0</v>
      </c>
      <c r="W17" s="140">
        <f>IF(Q17&lt;&gt;"",V17*U17,"")</f>
        <v>0</v>
      </c>
      <c r="X17" s="140">
        <f>IF(Q17&lt;&gt;"",W17+T17,"")</f>
        <v>11000</v>
      </c>
      <c r="Y17" s="141">
        <f t="shared" ref="Y17:Y21" si="1">IF(Q17&lt;&gt;"",X17+M17,"")</f>
        <v>12048.14322003145</v>
      </c>
      <c r="Z17" s="142">
        <f>IF(Q17&lt;&gt;"", IFERROR(U17/K17, 0), 0)</f>
        <v>-1.2</v>
      </c>
      <c r="AA17" s="143">
        <f>IFERROR(T17/$T$21, "")</f>
        <v>0.41509433962264153</v>
      </c>
      <c r="AB17" s="72" t="s">
        <v>235</v>
      </c>
      <c r="AG17" s="182">
        <f>X17-AH17</f>
        <v>1000</v>
      </c>
      <c r="AH17" s="184">
        <f>6000+4000</f>
        <v>10000</v>
      </c>
      <c r="AI17" s="144"/>
      <c r="AL17" s="144"/>
      <c r="AM17" s="144" t="s">
        <v>240</v>
      </c>
      <c r="AO17" s="195" t="s">
        <v>317</v>
      </c>
    </row>
    <row r="18" spans="1:41" ht="80.099999999999994" customHeight="1" x14ac:dyDescent="0.3">
      <c r="A18" s="98">
        <v>4</v>
      </c>
      <c r="B18" s="122" t="s">
        <v>103</v>
      </c>
      <c r="C18" s="123" t="s">
        <v>133</v>
      </c>
      <c r="D18" s="98" t="s">
        <v>126</v>
      </c>
      <c r="E18" s="98" t="s">
        <v>223</v>
      </c>
      <c r="F18" s="129" t="s">
        <v>200</v>
      </c>
      <c r="G18" s="130" t="s">
        <v>279</v>
      </c>
      <c r="H18" s="131">
        <v>1</v>
      </c>
      <c r="I18" s="132">
        <v>1</v>
      </c>
      <c r="J18" s="133">
        <v>3000</v>
      </c>
      <c r="K18" s="133">
        <f>IF(F18&lt;&gt;"",H18*I18*J18,"")</f>
        <v>3000</v>
      </c>
      <c r="L18" s="133">
        <f>IF(K18&lt;&gt;"",IF(D18="INTERNO",0,K18*$L$14),"")</f>
        <v>0</v>
      </c>
      <c r="M18" s="133">
        <f>IF(K18&lt;&gt;"",IF(E18="FAT.OGGI",SUM(K18:L18)*(1/(1-$M$14)-1),L18*(1/(1-$M$14)-1)),0)</f>
        <v>628.88593201886999</v>
      </c>
      <c r="N18" s="134">
        <f>SUM(K18:M18)</f>
        <v>3628.8859320188699</v>
      </c>
      <c r="Q18" s="135">
        <f t="shared" si="0"/>
        <v>1</v>
      </c>
      <c r="R18" s="136">
        <f t="shared" si="0"/>
        <v>1</v>
      </c>
      <c r="S18" s="137">
        <v>10000</v>
      </c>
      <c r="T18" s="137">
        <f>IF(Q18&lt;&gt;"",Q18*R18*S18,"")</f>
        <v>10000</v>
      </c>
      <c r="U18" s="138">
        <f>IF(Q18&lt;&gt;"",K18-T18,"")</f>
        <v>-7000</v>
      </c>
      <c r="V18" s="139">
        <f>IF(Q18&lt;&gt;"",0%,"")</f>
        <v>0</v>
      </c>
      <c r="W18" s="140">
        <f>IF(Q18&lt;&gt;"",V18*U18,"")</f>
        <v>0</v>
      </c>
      <c r="X18" s="140">
        <f>IF(Q18&lt;&gt;"",W18+T18,"")</f>
        <v>10000</v>
      </c>
      <c r="Y18" s="141">
        <f t="shared" si="1"/>
        <v>10628.885932018869</v>
      </c>
      <c r="Z18" s="142">
        <f>IF(Q18&lt;&gt;"", IFERROR(U18/K18, 0), 0)</f>
        <v>-2.3333333333333335</v>
      </c>
      <c r="AA18" s="143">
        <f>IFERROR(T18/$T$21, "")</f>
        <v>0.37735849056603776</v>
      </c>
      <c r="AB18" s="72" t="s">
        <v>237</v>
      </c>
      <c r="AG18" s="182">
        <f t="shared" ref="AG18:AG80" si="2">X18-AH18</f>
        <v>-1000</v>
      </c>
      <c r="AH18" s="184">
        <f>3500+7500</f>
        <v>11000</v>
      </c>
      <c r="AI18" s="144"/>
      <c r="AL18" s="144"/>
      <c r="AM18" s="144" t="s">
        <v>240</v>
      </c>
      <c r="AO18" s="195" t="s">
        <v>318</v>
      </c>
    </row>
    <row r="19" spans="1:41" ht="80.099999999999994" customHeight="1" x14ac:dyDescent="0.3">
      <c r="A19" s="98">
        <v>5</v>
      </c>
      <c r="B19" s="122" t="s">
        <v>135</v>
      </c>
      <c r="C19" s="123" t="s">
        <v>133</v>
      </c>
      <c r="D19" s="98" t="s">
        <v>126</v>
      </c>
      <c r="E19" s="98" t="s">
        <v>223</v>
      </c>
      <c r="F19" s="129" t="s">
        <v>201</v>
      </c>
      <c r="G19" s="130" t="s">
        <v>280</v>
      </c>
      <c r="H19" s="131">
        <v>1</v>
      </c>
      <c r="I19" s="131">
        <v>1</v>
      </c>
      <c r="J19" s="133">
        <v>5000</v>
      </c>
      <c r="K19" s="133">
        <f>IF(F19&lt;&gt;"",H19*I19*J19,"")</f>
        <v>5000</v>
      </c>
      <c r="L19" s="133">
        <f>IF(K19&lt;&gt;"",IF(D19="INTERNO",0,K19*$L$14),"")</f>
        <v>0</v>
      </c>
      <c r="M19" s="133">
        <f>IF(K19&lt;&gt;"",IF(E19="FAT.OGGI",SUM(K19:L19)*(1/(1-$M$14)-1),L19*(1/(1-$M$14)-1)),0)</f>
        <v>1048.14322003145</v>
      </c>
      <c r="N19" s="134">
        <f>SUM(K19:M19)</f>
        <v>6048.1432200314503</v>
      </c>
      <c r="Q19" s="135">
        <f t="shared" si="0"/>
        <v>1</v>
      </c>
      <c r="R19" s="136">
        <f t="shared" si="0"/>
        <v>1</v>
      </c>
      <c r="S19" s="137">
        <v>0</v>
      </c>
      <c r="T19" s="137">
        <v>5500</v>
      </c>
      <c r="U19" s="138">
        <f>IF(Q19&lt;&gt;"",K19-T19,"")</f>
        <v>-500</v>
      </c>
      <c r="V19" s="139">
        <f>IF(Q19&lt;&gt;"",0%,"")</f>
        <v>0</v>
      </c>
      <c r="W19" s="140">
        <f>IF(Q19&lt;&gt;"",V19*U19,"")</f>
        <v>0</v>
      </c>
      <c r="X19" s="140">
        <f>IF(Q19&lt;&gt;"",W19+T19,"")</f>
        <v>5500</v>
      </c>
      <c r="Y19" s="141">
        <f t="shared" si="1"/>
        <v>6548.1432200314503</v>
      </c>
      <c r="Z19" s="142">
        <f>IF(Q19&lt;&gt;"", IFERROR(U19/K19, 0), 0)</f>
        <v>-0.1</v>
      </c>
      <c r="AA19" s="143">
        <f>IFERROR(T19/$T$21, "")</f>
        <v>0.20754716981132076</v>
      </c>
      <c r="AG19" s="182">
        <f t="shared" si="2"/>
        <v>0</v>
      </c>
      <c r="AH19" s="184">
        <v>5500</v>
      </c>
      <c r="AI19" s="144"/>
      <c r="AL19" s="144"/>
      <c r="AM19" s="144"/>
      <c r="AO19" s="195" t="s">
        <v>266</v>
      </c>
    </row>
    <row r="20" spans="1:41" ht="80.099999999999994" customHeight="1" x14ac:dyDescent="0.3">
      <c r="A20" s="98">
        <v>6</v>
      </c>
      <c r="B20" s="122" t="s">
        <v>136</v>
      </c>
      <c r="C20" s="123" t="s">
        <v>133</v>
      </c>
      <c r="D20" s="98" t="s">
        <v>126</v>
      </c>
      <c r="E20" s="98" t="s">
        <v>223</v>
      </c>
      <c r="F20" s="129" t="s">
        <v>202</v>
      </c>
      <c r="G20" s="145" t="s">
        <v>281</v>
      </c>
      <c r="H20" s="131">
        <v>1</v>
      </c>
      <c r="I20" s="131">
        <v>1</v>
      </c>
      <c r="J20" s="133">
        <v>5000</v>
      </c>
      <c r="K20" s="133">
        <f>IF(F20&lt;&gt;"",H20*I20*J20,"")</f>
        <v>5000</v>
      </c>
      <c r="L20" s="133">
        <f>IF(K20&lt;&gt;"",IF(D20="INTERNO",0,K20*$L$14),"")</f>
        <v>0</v>
      </c>
      <c r="M20" s="133">
        <f>IF(K20&lt;&gt;"",IF(E20="FAT.OGGI",SUM(K20:L20)*(1/(1-$M$14)-1),L20*(1/(1-$M$14)-1)),0)</f>
        <v>1048.14322003145</v>
      </c>
      <c r="N20" s="134">
        <f>SUM(K20:M20)</f>
        <v>6048.1432200314503</v>
      </c>
      <c r="Q20" s="135">
        <f t="shared" si="0"/>
        <v>1</v>
      </c>
      <c r="R20" s="136">
        <f t="shared" si="0"/>
        <v>1</v>
      </c>
      <c r="S20" s="137">
        <v>0</v>
      </c>
      <c r="T20" s="137">
        <f>IF(Q20&lt;&gt;"",Q20*R20*S20,"")</f>
        <v>0</v>
      </c>
      <c r="U20" s="138">
        <f>IF(Q20&lt;&gt;"",K20-T20,"")</f>
        <v>5000</v>
      </c>
      <c r="V20" s="139">
        <f>IF(Q20&lt;&gt;"",0%,"")</f>
        <v>0</v>
      </c>
      <c r="W20" s="140">
        <f>IF(Q20&lt;&gt;"",V20*U20,"")</f>
        <v>0</v>
      </c>
      <c r="X20" s="140">
        <f>IF(Q20&lt;&gt;"",W20+T20,"")</f>
        <v>0</v>
      </c>
      <c r="Y20" s="141">
        <f t="shared" si="1"/>
        <v>1048.14322003145</v>
      </c>
      <c r="Z20" s="142">
        <f>IF(Q20&lt;&gt;"", IFERROR(U20/K20, 0), 0)</f>
        <v>1</v>
      </c>
      <c r="AA20" s="143">
        <f>IFERROR(T20/$T$21, "")</f>
        <v>0</v>
      </c>
      <c r="AG20" s="182">
        <f t="shared" si="2"/>
        <v>0</v>
      </c>
      <c r="AH20" s="184"/>
      <c r="AI20" s="144"/>
      <c r="AL20" s="144"/>
      <c r="AM20" s="144"/>
    </row>
    <row r="21" spans="1:41" ht="30" customHeight="1" thickBot="1" x14ac:dyDescent="0.5">
      <c r="A21" s="98">
        <v>7</v>
      </c>
      <c r="B21" s="122"/>
      <c r="C21" s="123" t="s">
        <v>145</v>
      </c>
      <c r="D21" s="98"/>
      <c r="E21" s="98"/>
      <c r="F21" s="223" t="s">
        <v>146</v>
      </c>
      <c r="G21" s="224"/>
      <c r="H21" s="224"/>
      <c r="I21" s="224"/>
      <c r="J21" s="224"/>
      <c r="K21" s="146">
        <f>SUM(K17:K20)</f>
        <v>18000</v>
      </c>
      <c r="L21" s="146">
        <f>SUM(L17:L20)</f>
        <v>0</v>
      </c>
      <c r="M21" s="146">
        <f>SUM(M17:M20)</f>
        <v>3773.3155921132202</v>
      </c>
      <c r="N21" s="147">
        <f>SUM(N17:N20)</f>
        <v>21773.31559211322</v>
      </c>
      <c r="Q21" s="225" t="s">
        <v>146</v>
      </c>
      <c r="R21" s="226"/>
      <c r="S21" s="226"/>
      <c r="T21" s="148">
        <f>SUM(T17:T20)</f>
        <v>26500</v>
      </c>
      <c r="U21" s="149">
        <f>SUM(U17:U20)</f>
        <v>-8500</v>
      </c>
      <c r="V21" s="150"/>
      <c r="W21" s="151"/>
      <c r="X21" s="152">
        <f>SUM(X17:X20)</f>
        <v>26500</v>
      </c>
      <c r="Y21" s="153">
        <f t="shared" si="1"/>
        <v>30273.31559211322</v>
      </c>
      <c r="AG21" s="182"/>
      <c r="AH21" s="185"/>
    </row>
    <row r="22" spans="1:41" ht="30" customHeight="1" x14ac:dyDescent="0.45">
      <c r="A22" s="98">
        <v>8</v>
      </c>
      <c r="B22" s="122" t="s">
        <v>137</v>
      </c>
      <c r="C22" s="123" t="s">
        <v>127</v>
      </c>
      <c r="D22" s="98"/>
      <c r="E22" s="98"/>
      <c r="F22" s="227" t="s">
        <v>138</v>
      </c>
      <c r="G22" s="228"/>
      <c r="H22" s="228"/>
      <c r="I22" s="228"/>
      <c r="J22" s="228"/>
      <c r="K22" s="229"/>
      <c r="L22" s="124" t="s">
        <v>129</v>
      </c>
      <c r="M22" s="125" t="s">
        <v>130</v>
      </c>
      <c r="N22" s="126" t="s">
        <v>81</v>
      </c>
      <c r="Q22" s="225" t="str">
        <f>IF(F22&lt;&gt;"",F22,"")</f>
        <v>STAFF</v>
      </c>
      <c r="R22" s="226"/>
      <c r="S22" s="226"/>
      <c r="T22" s="226"/>
      <c r="U22" s="226"/>
      <c r="V22" s="226"/>
      <c r="W22" s="226"/>
      <c r="X22" s="226"/>
      <c r="Y22" s="230"/>
      <c r="Z22" s="127" t="s">
        <v>131</v>
      </c>
      <c r="AA22" s="128" t="s">
        <v>82</v>
      </c>
      <c r="AG22" s="182"/>
      <c r="AH22" s="185"/>
    </row>
    <row r="23" spans="1:41" ht="80.099999999999994" customHeight="1" x14ac:dyDescent="0.3">
      <c r="A23" s="98">
        <v>9</v>
      </c>
      <c r="B23" s="122" t="s">
        <v>139</v>
      </c>
      <c r="C23" s="123" t="s">
        <v>133</v>
      </c>
      <c r="D23" s="98" t="s">
        <v>224</v>
      </c>
      <c r="E23" s="98" t="s">
        <v>223</v>
      </c>
      <c r="F23" s="129" t="s">
        <v>203</v>
      </c>
      <c r="G23" s="130" t="s">
        <v>282</v>
      </c>
      <c r="H23" s="131">
        <v>1</v>
      </c>
      <c r="I23" s="131">
        <v>4</v>
      </c>
      <c r="J23" s="133">
        <v>850</v>
      </c>
      <c r="K23" s="133">
        <f t="shared" ref="K23:K29" si="3">IF(F23&lt;&gt;"",H23*I23*J23,"")</f>
        <v>3400</v>
      </c>
      <c r="L23" s="133">
        <f t="shared" ref="L23:L29" si="4">IF(K23&lt;&gt;"",IF(D23="INTERNO",0,K23*$L$14),"")</f>
        <v>272</v>
      </c>
      <c r="M23" s="133">
        <f t="shared" ref="M23:M29" si="5">IF(K23&lt;&gt;"",IF(E23="FAT.OGGI",SUM(K23:L23)*(1/(1-$M$14)-1),L23*(1/(1-$M$14)-1)),0)</f>
        <v>769.75638079109683</v>
      </c>
      <c r="N23" s="134">
        <f t="shared" ref="N23:N29" si="6">SUM(K23:M23)</f>
        <v>4441.7563807910965</v>
      </c>
      <c r="Q23" s="135">
        <f t="shared" ref="Q23:Q29" si="7">IF(H23&lt;&gt;"",H23,"")</f>
        <v>1</v>
      </c>
      <c r="R23" s="136">
        <f t="shared" ref="R23:R29" si="8">IF(I23&lt;&gt;"",I23,"")</f>
        <v>4</v>
      </c>
      <c r="S23" s="137">
        <v>750</v>
      </c>
      <c r="T23" s="137">
        <v>5241.34</v>
      </c>
      <c r="U23" s="138">
        <f t="shared" ref="U23:U29" si="9">IF(Q23&lt;&gt;"",K23-T23,"")</f>
        <v>-1841.3400000000001</v>
      </c>
      <c r="V23" s="139">
        <f t="shared" ref="V23:V29" si="10">IF(Q23&lt;&gt;"",0%,"")</f>
        <v>0</v>
      </c>
      <c r="W23" s="140">
        <f t="shared" ref="W23:W29" si="11">IF(Q23&lt;&gt;"",V23*U23,"")</f>
        <v>0</v>
      </c>
      <c r="X23" s="140">
        <f t="shared" ref="X23:X29" si="12">IF(Q23&lt;&gt;"",W23+T23,"")</f>
        <v>5241.34</v>
      </c>
      <c r="Y23" s="141">
        <f t="shared" ref="Y23:Y31" si="13">IF(Q23&lt;&gt;"",X23+M23,"")</f>
        <v>6011.0963807910966</v>
      </c>
      <c r="Z23" s="142">
        <f t="shared" ref="Z23:Z29" si="14">IF(Q23&lt;&gt;"", IFERROR(U23/K23, 0), 0)</f>
        <v>-0.54157058823529414</v>
      </c>
      <c r="AA23" s="143">
        <f t="shared" ref="AA23:AA29" si="15">IFERROR(T23/$T$30, "")</f>
        <v>0.26442914555726305</v>
      </c>
      <c r="AG23" s="182">
        <f t="shared" si="2"/>
        <v>0</v>
      </c>
      <c r="AH23" s="184">
        <v>5241.34</v>
      </c>
      <c r="AI23" s="144"/>
      <c r="AL23" s="144"/>
      <c r="AM23" s="144" t="s">
        <v>240</v>
      </c>
      <c r="AO23" s="195" t="s">
        <v>326</v>
      </c>
    </row>
    <row r="24" spans="1:41" ht="80.099999999999994" customHeight="1" x14ac:dyDescent="0.3">
      <c r="A24" s="98">
        <v>10</v>
      </c>
      <c r="B24" s="122" t="s">
        <v>140</v>
      </c>
      <c r="C24" s="123" t="s">
        <v>133</v>
      </c>
      <c r="D24" s="98" t="s">
        <v>224</v>
      </c>
      <c r="E24" s="98" t="s">
        <v>223</v>
      </c>
      <c r="F24" s="129" t="s">
        <v>204</v>
      </c>
      <c r="G24" s="130" t="s">
        <v>283</v>
      </c>
      <c r="H24" s="131">
        <v>1</v>
      </c>
      <c r="I24" s="131">
        <v>3</v>
      </c>
      <c r="J24" s="133">
        <v>850</v>
      </c>
      <c r="K24" s="133">
        <f t="shared" si="3"/>
        <v>2550</v>
      </c>
      <c r="L24" s="133">
        <f t="shared" si="4"/>
        <v>204</v>
      </c>
      <c r="M24" s="133">
        <f t="shared" si="5"/>
        <v>577.31728559332271</v>
      </c>
      <c r="N24" s="134">
        <f t="shared" si="6"/>
        <v>3331.3172855933226</v>
      </c>
      <c r="Q24" s="135">
        <f t="shared" si="7"/>
        <v>1</v>
      </c>
      <c r="R24" s="136">
        <f t="shared" si="8"/>
        <v>3</v>
      </c>
      <c r="S24" s="137">
        <f>1500/3</f>
        <v>500</v>
      </c>
      <c r="T24" s="137">
        <v>0</v>
      </c>
      <c r="U24" s="138">
        <f t="shared" si="9"/>
        <v>2550</v>
      </c>
      <c r="V24" s="139">
        <f t="shared" si="10"/>
        <v>0</v>
      </c>
      <c r="W24" s="140">
        <f t="shared" si="11"/>
        <v>0</v>
      </c>
      <c r="X24" s="140">
        <f t="shared" si="12"/>
        <v>0</v>
      </c>
      <c r="Y24" s="141">
        <f t="shared" si="13"/>
        <v>577.31728559332271</v>
      </c>
      <c r="Z24" s="142">
        <f t="shared" si="14"/>
        <v>1</v>
      </c>
      <c r="AA24" s="143">
        <f t="shared" si="15"/>
        <v>0</v>
      </c>
      <c r="AG24" s="182">
        <f t="shared" si="2"/>
        <v>0</v>
      </c>
      <c r="AH24" s="184">
        <v>0</v>
      </c>
      <c r="AI24" s="144"/>
      <c r="AL24" s="144"/>
      <c r="AM24" s="144" t="s">
        <v>240</v>
      </c>
    </row>
    <row r="25" spans="1:41" ht="80.099999999999994" customHeight="1" x14ac:dyDescent="0.3">
      <c r="A25" s="98">
        <v>11</v>
      </c>
      <c r="B25" s="122" t="s">
        <v>141</v>
      </c>
      <c r="C25" s="123" t="s">
        <v>133</v>
      </c>
      <c r="D25" s="98" t="s">
        <v>224</v>
      </c>
      <c r="E25" s="98" t="s">
        <v>223</v>
      </c>
      <c r="F25" s="129" t="s">
        <v>233</v>
      </c>
      <c r="G25" s="130" t="s">
        <v>284</v>
      </c>
      <c r="H25" s="131">
        <v>1</v>
      </c>
      <c r="I25" s="131">
        <v>3</v>
      </c>
      <c r="J25" s="154">
        <v>850</v>
      </c>
      <c r="K25" s="133">
        <f t="shared" ref="K25" si="16">IF(F25&lt;&gt;"",H25*I25*J25,"")</f>
        <v>2550</v>
      </c>
      <c r="L25" s="133">
        <f t="shared" ref="L25" si="17">IF(K25&lt;&gt;"",IF(D25="INTERNO",0,K25*$L$14),"")</f>
        <v>204</v>
      </c>
      <c r="M25" s="133">
        <f t="shared" ref="M25" si="18">IF(K25&lt;&gt;"",IF(E25="FAT.OGGI",SUM(K25:L25)*(1/(1-$M$14)-1),L25*(1/(1-$M$14)-1)),0)</f>
        <v>577.31728559332271</v>
      </c>
      <c r="N25" s="134">
        <f t="shared" ref="N25" si="19">SUM(K25:M25)</f>
        <v>3331.3172855933226</v>
      </c>
      <c r="Q25" s="135">
        <f t="shared" ref="Q25" si="20">IF(H25&lt;&gt;"",H25,"")</f>
        <v>1</v>
      </c>
      <c r="R25" s="136">
        <f t="shared" ref="R25" si="21">IF(I25&lt;&gt;"",I25,"")</f>
        <v>3</v>
      </c>
      <c r="S25" s="137">
        <v>750</v>
      </c>
      <c r="T25" s="137">
        <f t="shared" ref="T25" si="22">IF(Q25&lt;&gt;"",Q25*R25*S25,"")</f>
        <v>2250</v>
      </c>
      <c r="U25" s="138">
        <f t="shared" ref="U25" si="23">IF(Q25&lt;&gt;"",K25-T25,"")</f>
        <v>300</v>
      </c>
      <c r="V25" s="139">
        <f t="shared" ref="V25" si="24">IF(Q25&lt;&gt;"",0%,"")</f>
        <v>0</v>
      </c>
      <c r="W25" s="140">
        <f t="shared" ref="W25" si="25">IF(Q25&lt;&gt;"",V25*U25,"")</f>
        <v>0</v>
      </c>
      <c r="X25" s="140">
        <f t="shared" ref="X25" si="26">IF(Q25&lt;&gt;"",W25+T25,"")</f>
        <v>2250</v>
      </c>
      <c r="Y25" s="141">
        <f t="shared" ref="Y25" si="27">IF(Q25&lt;&gt;"",X25+M25,"")</f>
        <v>2827.3172855933226</v>
      </c>
      <c r="Z25" s="142">
        <f t="shared" ref="Z25" si="28">IF(Q25&lt;&gt;"", IFERROR(U25/K25, 0), 0)</f>
        <v>0.11764705882352941</v>
      </c>
      <c r="AA25" s="143">
        <f t="shared" ref="AA25" si="29">IFERROR(T25/$T$30, "")</f>
        <v>0.11351402074733595</v>
      </c>
      <c r="AG25" s="182">
        <f t="shared" si="2"/>
        <v>0</v>
      </c>
      <c r="AH25" s="184">
        <v>2250</v>
      </c>
      <c r="AI25" s="144"/>
      <c r="AL25" s="144"/>
      <c r="AM25" s="144" t="s">
        <v>240</v>
      </c>
      <c r="AO25" s="195" t="s">
        <v>319</v>
      </c>
    </row>
    <row r="26" spans="1:41" ht="80.099999999999994" customHeight="1" x14ac:dyDescent="0.3">
      <c r="A26" s="98">
        <v>12</v>
      </c>
      <c r="B26" s="122" t="s">
        <v>142</v>
      </c>
      <c r="C26" s="123" t="s">
        <v>133</v>
      </c>
      <c r="D26" s="98" t="s">
        <v>224</v>
      </c>
      <c r="E26" s="98" t="s">
        <v>223</v>
      </c>
      <c r="F26" s="129" t="s">
        <v>208</v>
      </c>
      <c r="G26" s="130" t="s">
        <v>285</v>
      </c>
      <c r="H26" s="131">
        <v>2</v>
      </c>
      <c r="I26" s="131">
        <v>3</v>
      </c>
      <c r="J26" s="133">
        <v>450</v>
      </c>
      <c r="K26" s="133">
        <f t="shared" si="3"/>
        <v>2700</v>
      </c>
      <c r="L26" s="133">
        <f t="shared" si="4"/>
        <v>216</v>
      </c>
      <c r="M26" s="133">
        <f t="shared" si="5"/>
        <v>611.27712592234161</v>
      </c>
      <c r="N26" s="134">
        <f t="shared" si="6"/>
        <v>3527.2771259223418</v>
      </c>
      <c r="Q26" s="135">
        <f t="shared" si="7"/>
        <v>2</v>
      </c>
      <c r="R26" s="136">
        <f t="shared" si="8"/>
        <v>3</v>
      </c>
      <c r="S26" s="137">
        <v>380</v>
      </c>
      <c r="T26" s="137">
        <v>4560</v>
      </c>
      <c r="U26" s="138">
        <f t="shared" si="9"/>
        <v>-1860</v>
      </c>
      <c r="V26" s="139">
        <f t="shared" si="10"/>
        <v>0</v>
      </c>
      <c r="W26" s="140">
        <f t="shared" si="11"/>
        <v>0</v>
      </c>
      <c r="X26" s="140">
        <f t="shared" si="12"/>
        <v>4560</v>
      </c>
      <c r="Y26" s="141">
        <f t="shared" si="13"/>
        <v>5171.2771259223418</v>
      </c>
      <c r="Z26" s="142">
        <f t="shared" si="14"/>
        <v>-0.68888888888888888</v>
      </c>
      <c r="AA26" s="143">
        <f t="shared" si="15"/>
        <v>0.23005508204793421</v>
      </c>
      <c r="AG26" s="182">
        <f t="shared" si="2"/>
        <v>0</v>
      </c>
      <c r="AH26" s="184">
        <f>2280+2280</f>
        <v>4560</v>
      </c>
      <c r="AI26" s="144"/>
      <c r="AL26" s="144"/>
      <c r="AM26" s="144"/>
      <c r="AO26" s="195" t="s">
        <v>334</v>
      </c>
    </row>
    <row r="27" spans="1:41" ht="80.099999999999994" customHeight="1" x14ac:dyDescent="0.3">
      <c r="A27" s="98">
        <v>13</v>
      </c>
      <c r="B27" s="122" t="s">
        <v>143</v>
      </c>
      <c r="C27" s="123" t="s">
        <v>133</v>
      </c>
      <c r="D27" s="98" t="s">
        <v>224</v>
      </c>
      <c r="E27" s="98" t="s">
        <v>223</v>
      </c>
      <c r="F27" s="155" t="s">
        <v>205</v>
      </c>
      <c r="G27" s="156" t="s">
        <v>286</v>
      </c>
      <c r="H27" s="157">
        <v>2</v>
      </c>
      <c r="I27" s="157">
        <v>4</v>
      </c>
      <c r="J27" s="158">
        <v>380</v>
      </c>
      <c r="K27" s="133">
        <f t="shared" si="3"/>
        <v>3040</v>
      </c>
      <c r="L27" s="133">
        <f t="shared" si="4"/>
        <v>243.20000000000002</v>
      </c>
      <c r="M27" s="133">
        <f t="shared" si="5"/>
        <v>688.25276400145128</v>
      </c>
      <c r="N27" s="159">
        <f t="shared" si="6"/>
        <v>3971.4527640014512</v>
      </c>
      <c r="Q27" s="135">
        <f t="shared" si="7"/>
        <v>2</v>
      </c>
      <c r="R27" s="136">
        <f t="shared" si="8"/>
        <v>4</v>
      </c>
      <c r="S27" s="137">
        <v>290</v>
      </c>
      <c r="T27" s="137">
        <v>7770</v>
      </c>
      <c r="U27" s="138">
        <f t="shared" si="9"/>
        <v>-4730</v>
      </c>
      <c r="V27" s="139">
        <f t="shared" si="10"/>
        <v>0</v>
      </c>
      <c r="W27" s="140">
        <f t="shared" si="11"/>
        <v>0</v>
      </c>
      <c r="X27" s="140">
        <f t="shared" si="12"/>
        <v>7770</v>
      </c>
      <c r="Y27" s="141">
        <f t="shared" si="13"/>
        <v>8458.2527640014505</v>
      </c>
      <c r="Z27" s="142">
        <f t="shared" si="14"/>
        <v>-1.555921052631579</v>
      </c>
      <c r="AA27" s="143">
        <f t="shared" si="15"/>
        <v>0.39200175164746681</v>
      </c>
      <c r="AG27" s="182">
        <f t="shared" si="2"/>
        <v>0</v>
      </c>
      <c r="AH27" s="184">
        <v>7770</v>
      </c>
      <c r="AI27" s="144"/>
      <c r="AL27" s="144"/>
      <c r="AM27" s="144" t="s">
        <v>240</v>
      </c>
      <c r="AO27" s="195" t="s">
        <v>234</v>
      </c>
    </row>
    <row r="28" spans="1:41" ht="80.099999999999994" customHeight="1" x14ac:dyDescent="0.3">
      <c r="A28" s="98">
        <v>14</v>
      </c>
      <c r="B28" s="122" t="s">
        <v>144</v>
      </c>
      <c r="C28" s="123" t="s">
        <v>133</v>
      </c>
      <c r="D28" s="98" t="s">
        <v>224</v>
      </c>
      <c r="E28" s="98" t="s">
        <v>223</v>
      </c>
      <c r="F28" s="160" t="s">
        <v>206</v>
      </c>
      <c r="G28" s="145" t="s">
        <v>287</v>
      </c>
      <c r="H28" s="132">
        <v>2</v>
      </c>
      <c r="I28" s="132">
        <v>4</v>
      </c>
      <c r="J28" s="133">
        <v>380</v>
      </c>
      <c r="K28" s="133">
        <f t="shared" si="3"/>
        <v>3040</v>
      </c>
      <c r="L28" s="133">
        <f t="shared" si="4"/>
        <v>243.20000000000002</v>
      </c>
      <c r="M28" s="133">
        <f t="shared" si="5"/>
        <v>688.25276400145128</v>
      </c>
      <c r="N28" s="134">
        <f t="shared" si="6"/>
        <v>3971.4527640014512</v>
      </c>
      <c r="Q28" s="135">
        <f t="shared" si="7"/>
        <v>2</v>
      </c>
      <c r="R28" s="136">
        <f t="shared" si="8"/>
        <v>4</v>
      </c>
      <c r="S28" s="137">
        <v>290</v>
      </c>
      <c r="T28" s="137">
        <v>0</v>
      </c>
      <c r="U28" s="138">
        <f t="shared" si="9"/>
        <v>3040</v>
      </c>
      <c r="V28" s="139">
        <f t="shared" si="10"/>
        <v>0</v>
      </c>
      <c r="W28" s="140">
        <f t="shared" si="11"/>
        <v>0</v>
      </c>
      <c r="X28" s="140">
        <f t="shared" si="12"/>
        <v>0</v>
      </c>
      <c r="Y28" s="141">
        <f t="shared" si="13"/>
        <v>688.25276400145128</v>
      </c>
      <c r="Z28" s="142">
        <f t="shared" si="14"/>
        <v>1</v>
      </c>
      <c r="AA28" s="143">
        <f t="shared" si="15"/>
        <v>0</v>
      </c>
      <c r="AG28" s="182">
        <f t="shared" si="2"/>
        <v>0</v>
      </c>
      <c r="AH28" s="184">
        <v>0</v>
      </c>
      <c r="AI28" s="144"/>
      <c r="AL28" s="144"/>
      <c r="AM28" s="144" t="s">
        <v>240</v>
      </c>
    </row>
    <row r="29" spans="1:41" ht="80.099999999999994" customHeight="1" x14ac:dyDescent="0.3">
      <c r="A29" s="98">
        <v>15</v>
      </c>
      <c r="B29" s="122" t="s">
        <v>236</v>
      </c>
      <c r="C29" s="123" t="s">
        <v>133</v>
      </c>
      <c r="D29" s="98" t="s">
        <v>224</v>
      </c>
      <c r="E29" s="98" t="s">
        <v>223</v>
      </c>
      <c r="F29" s="129" t="s">
        <v>207</v>
      </c>
      <c r="G29" s="130" t="s">
        <v>288</v>
      </c>
      <c r="H29" s="131">
        <v>2</v>
      </c>
      <c r="I29" s="131">
        <v>4</v>
      </c>
      <c r="J29" s="133">
        <v>420</v>
      </c>
      <c r="K29" s="133">
        <f t="shared" si="3"/>
        <v>3360</v>
      </c>
      <c r="L29" s="133">
        <f t="shared" si="4"/>
        <v>268.8</v>
      </c>
      <c r="M29" s="133">
        <f t="shared" si="5"/>
        <v>760.70042337002519</v>
      </c>
      <c r="N29" s="134">
        <f t="shared" si="6"/>
        <v>4389.5004233700256</v>
      </c>
      <c r="Q29" s="135">
        <f t="shared" si="7"/>
        <v>2</v>
      </c>
      <c r="R29" s="136">
        <f t="shared" si="8"/>
        <v>4</v>
      </c>
      <c r="S29" s="137">
        <v>392</v>
      </c>
      <c r="T29" s="137">
        <v>0</v>
      </c>
      <c r="U29" s="138">
        <f t="shared" si="9"/>
        <v>3360</v>
      </c>
      <c r="V29" s="139">
        <f t="shared" si="10"/>
        <v>0</v>
      </c>
      <c r="W29" s="140">
        <f t="shared" si="11"/>
        <v>0</v>
      </c>
      <c r="X29" s="140">
        <f t="shared" si="12"/>
        <v>0</v>
      </c>
      <c r="Y29" s="141">
        <f t="shared" si="13"/>
        <v>760.70042337002519</v>
      </c>
      <c r="Z29" s="142">
        <f t="shared" si="14"/>
        <v>1</v>
      </c>
      <c r="AA29" s="143">
        <f t="shared" si="15"/>
        <v>0</v>
      </c>
      <c r="AG29" s="182">
        <f t="shared" si="2"/>
        <v>0</v>
      </c>
      <c r="AH29" s="184">
        <v>0</v>
      </c>
      <c r="AI29" s="144"/>
      <c r="AL29" s="144"/>
      <c r="AM29" s="144" t="s">
        <v>240</v>
      </c>
    </row>
    <row r="30" spans="1:41" ht="30" customHeight="1" thickBot="1" x14ac:dyDescent="0.5">
      <c r="A30" s="98">
        <v>16</v>
      </c>
      <c r="B30" s="122"/>
      <c r="C30" s="123" t="s">
        <v>145</v>
      </c>
      <c r="D30" s="98"/>
      <c r="E30" s="98"/>
      <c r="F30" s="237" t="s">
        <v>147</v>
      </c>
      <c r="G30" s="238"/>
      <c r="H30" s="238"/>
      <c r="I30" s="238"/>
      <c r="J30" s="238"/>
      <c r="K30" s="161">
        <f>SUM(K23:K29)</f>
        <v>20640</v>
      </c>
      <c r="L30" s="161">
        <f>SUM(L23:L29)</f>
        <v>1651.2</v>
      </c>
      <c r="M30" s="161">
        <f>SUM(M23:M29)</f>
        <v>4672.8740292730117</v>
      </c>
      <c r="N30" s="162">
        <f>SUM(N23:N29)</f>
        <v>26964.074029273004</v>
      </c>
      <c r="Q30" s="225" t="s">
        <v>147</v>
      </c>
      <c r="R30" s="226"/>
      <c r="S30" s="226"/>
      <c r="T30" s="148">
        <f>SUM(T23:T29)</f>
        <v>19821.34</v>
      </c>
      <c r="U30" s="149">
        <f>SUM(U23:U29)</f>
        <v>818.65999999999985</v>
      </c>
      <c r="V30" s="150"/>
      <c r="W30" s="151"/>
      <c r="X30" s="152">
        <f>SUM(X23:X29)</f>
        <v>19821.34</v>
      </c>
      <c r="Y30" s="153">
        <f t="shared" si="13"/>
        <v>24494.214029273011</v>
      </c>
      <c r="AG30" s="182"/>
      <c r="AH30" s="185"/>
    </row>
    <row r="31" spans="1:41" ht="30" customHeight="1" thickBot="1" x14ac:dyDescent="0.5">
      <c r="A31" s="98">
        <v>17</v>
      </c>
      <c r="B31" s="122"/>
      <c r="C31" s="123" t="s">
        <v>148</v>
      </c>
      <c r="D31" s="98"/>
      <c r="E31" s="98"/>
      <c r="F31" s="239" t="s">
        <v>149</v>
      </c>
      <c r="G31" s="240"/>
      <c r="H31" s="240"/>
      <c r="I31" s="240"/>
      <c r="J31" s="240"/>
      <c r="K31" s="163">
        <f>SUM(K17:K20)+SUM(K23:K29)</f>
        <v>38640</v>
      </c>
      <c r="L31" s="163">
        <f>SUM(L17:L20)+SUM(L23:L29)</f>
        <v>1651.2</v>
      </c>
      <c r="M31" s="163">
        <f>SUM(M17:M20)+SUM(M23:M29)</f>
        <v>8446.189621386231</v>
      </c>
      <c r="N31" s="164">
        <f>SUM(N17:N20)+SUM(N23:N29)</f>
        <v>48737.389621386224</v>
      </c>
      <c r="Q31" s="241" t="s">
        <v>149</v>
      </c>
      <c r="R31" s="242"/>
      <c r="S31" s="242"/>
      <c r="T31" s="165">
        <f>SUM(T17:T20)+SUM(T23:T29)</f>
        <v>46321.34</v>
      </c>
      <c r="U31" s="166">
        <f>SUM(U17:U20)+SUM(U23:U29)</f>
        <v>-7681.34</v>
      </c>
      <c r="V31" s="167"/>
      <c r="W31" s="168"/>
      <c r="X31" s="169">
        <f>SUM(X17:X20)+SUM(X23:X29)</f>
        <v>46321.34</v>
      </c>
      <c r="Y31" s="170">
        <f t="shared" si="13"/>
        <v>54767.529621386231</v>
      </c>
      <c r="AG31" s="182"/>
      <c r="AH31" s="185"/>
    </row>
    <row r="32" spans="1:41" ht="30" customHeight="1" thickBot="1" x14ac:dyDescent="0.5">
      <c r="A32" s="98">
        <v>18</v>
      </c>
      <c r="B32" s="122">
        <v>2</v>
      </c>
      <c r="C32" s="123" t="s">
        <v>125</v>
      </c>
      <c r="D32" s="98"/>
      <c r="E32" s="98"/>
      <c r="F32" s="231" t="s">
        <v>150</v>
      </c>
      <c r="G32" s="232"/>
      <c r="H32" s="232"/>
      <c r="I32" s="232"/>
      <c r="J32" s="232"/>
      <c r="K32" s="232"/>
      <c r="L32" s="232"/>
      <c r="M32" s="232"/>
      <c r="N32" s="233"/>
      <c r="Q32" s="234" t="str">
        <f>IF(F32&lt;&gt;"",F32,"")</f>
        <v>CENOGRAFIA</v>
      </c>
      <c r="R32" s="235"/>
      <c r="S32" s="235"/>
      <c r="T32" s="235"/>
      <c r="U32" s="235"/>
      <c r="V32" s="235"/>
      <c r="W32" s="235"/>
      <c r="X32" s="235"/>
      <c r="Y32" s="236"/>
      <c r="AG32" s="182"/>
      <c r="AH32" s="185"/>
    </row>
    <row r="33" spans="1:41" ht="30" customHeight="1" x14ac:dyDescent="0.45">
      <c r="A33" s="98">
        <v>19</v>
      </c>
      <c r="B33" s="122" t="s">
        <v>151</v>
      </c>
      <c r="C33" s="123" t="s">
        <v>127</v>
      </c>
      <c r="D33" s="98"/>
      <c r="E33" s="98"/>
      <c r="F33" s="227" t="s">
        <v>150</v>
      </c>
      <c r="G33" s="228"/>
      <c r="H33" s="228"/>
      <c r="I33" s="228"/>
      <c r="J33" s="228"/>
      <c r="K33" s="229"/>
      <c r="L33" s="124" t="s">
        <v>129</v>
      </c>
      <c r="M33" s="125" t="s">
        <v>130</v>
      </c>
      <c r="N33" s="126" t="s">
        <v>81</v>
      </c>
      <c r="Q33" s="225" t="str">
        <f>IF(F33&lt;&gt;"",F33,"")</f>
        <v>CENOGRAFIA</v>
      </c>
      <c r="R33" s="226"/>
      <c r="S33" s="226"/>
      <c r="T33" s="226"/>
      <c r="U33" s="226"/>
      <c r="V33" s="226"/>
      <c r="W33" s="226"/>
      <c r="X33" s="226"/>
      <c r="Y33" s="230"/>
      <c r="Z33" s="127" t="s">
        <v>131</v>
      </c>
      <c r="AA33" s="128" t="s">
        <v>82</v>
      </c>
      <c r="AG33" s="182"/>
      <c r="AH33" s="185"/>
    </row>
    <row r="34" spans="1:41" ht="80.099999999999994" customHeight="1" x14ac:dyDescent="0.3">
      <c r="A34" s="98">
        <v>20</v>
      </c>
      <c r="B34" s="122" t="s">
        <v>152</v>
      </c>
      <c r="C34" s="123" t="s">
        <v>133</v>
      </c>
      <c r="D34" s="98" t="s">
        <v>224</v>
      </c>
      <c r="E34" s="98" t="s">
        <v>225</v>
      </c>
      <c r="F34" s="129" t="s">
        <v>150</v>
      </c>
      <c r="G34" s="130" t="s">
        <v>289</v>
      </c>
      <c r="H34" s="131">
        <v>1</v>
      </c>
      <c r="I34" s="131">
        <v>1</v>
      </c>
      <c r="J34" s="133">
        <v>148000</v>
      </c>
      <c r="K34" s="133">
        <f t="shared" ref="K34" si="30">IF(F34&lt;&gt;"",H34*I34*J34,"")</f>
        <v>148000</v>
      </c>
      <c r="L34" s="133">
        <f t="shared" ref="L34" si="31">IF(K34&lt;&gt;"",IF(D34="INTERNO",0,K34*$L$14),"")</f>
        <v>11840</v>
      </c>
      <c r="M34" s="133">
        <f t="shared" ref="M34" si="32">IF(K34&lt;&gt;"",IF(E34="FAT.OGGI",SUM(K34:L34)*(1/(1-$M$14)-1),L34*(1/(1-$M$14)-1)),0)</f>
        <v>2482.0031450344736</v>
      </c>
      <c r="N34" s="134">
        <f t="shared" ref="N34" si="33">SUM(K34:M34)</f>
        <v>162322.00314503448</v>
      </c>
      <c r="Q34" s="135">
        <f t="shared" ref="Q34" si="34">IF(H34&lt;&gt;"",H34,"")</f>
        <v>1</v>
      </c>
      <c r="R34" s="136">
        <f t="shared" ref="R34" si="35">IF(I34&lt;&gt;"",I34,"")</f>
        <v>1</v>
      </c>
      <c r="S34" s="137">
        <f>136944.81+375</f>
        <v>137319.81</v>
      </c>
      <c r="T34" s="137">
        <v>136944.81</v>
      </c>
      <c r="U34" s="138">
        <f t="shared" ref="U34" si="36">IF(Q34&lt;&gt;"",K34-T34,"")</f>
        <v>11055.190000000002</v>
      </c>
      <c r="V34" s="139">
        <f t="shared" ref="V34" si="37">IF(Q34&lt;&gt;"",0%,"")</f>
        <v>0</v>
      </c>
      <c r="W34" s="140">
        <f t="shared" ref="W34" si="38">IF(Q34&lt;&gt;"",V34*U34,"")</f>
        <v>0</v>
      </c>
      <c r="X34" s="140">
        <f t="shared" ref="X34" si="39">IF(Q34&lt;&gt;"",W34+T34,"")</f>
        <v>136944.81</v>
      </c>
      <c r="Y34" s="141">
        <f t="shared" ref="Y34:Y37" si="40">IF(Q34&lt;&gt;"",X34+M34,"")</f>
        <v>139426.81314503448</v>
      </c>
      <c r="Z34" s="142">
        <f t="shared" ref="Z34" si="41">IF(Q34&lt;&gt;"", IFERROR(U34/K34, 0), 0)</f>
        <v>7.4697229729729739E-2</v>
      </c>
      <c r="AA34" s="143">
        <f>IFERROR(T34/$T$36, "")</f>
        <v>0.9959873896453969</v>
      </c>
      <c r="AB34" s="72" t="s">
        <v>230</v>
      </c>
      <c r="AG34" s="182">
        <f t="shared" si="2"/>
        <v>0</v>
      </c>
      <c r="AH34" s="184">
        <f>23472.41+25000+68472.4+20000</f>
        <v>136944.81</v>
      </c>
      <c r="AI34" s="144"/>
      <c r="AL34" s="144"/>
      <c r="AM34" s="144" t="s">
        <v>240</v>
      </c>
      <c r="AO34" s="195" t="s">
        <v>239</v>
      </c>
    </row>
    <row r="35" spans="1:41" ht="80.099999999999994" customHeight="1" x14ac:dyDescent="0.3">
      <c r="A35" s="98">
        <v>21</v>
      </c>
      <c r="B35" s="122" t="s">
        <v>227</v>
      </c>
      <c r="C35" s="123" t="s">
        <v>133</v>
      </c>
      <c r="D35" s="98" t="s">
        <v>224</v>
      </c>
      <c r="E35" s="98" t="s">
        <v>223</v>
      </c>
      <c r="F35" s="129" t="s">
        <v>226</v>
      </c>
      <c r="G35" s="130" t="s">
        <v>290</v>
      </c>
      <c r="H35" s="131">
        <v>1</v>
      </c>
      <c r="I35" s="131">
        <v>1</v>
      </c>
      <c r="J35" s="133">
        <v>2000</v>
      </c>
      <c r="K35" s="133">
        <f t="shared" ref="K35" si="42">IF(F35&lt;&gt;"",H35*I35*J35,"")</f>
        <v>2000</v>
      </c>
      <c r="L35" s="133">
        <f t="shared" ref="L35" si="43">IF(K35&lt;&gt;"",IF(D35="INTERNO",0,K35*$L$14),"")</f>
        <v>160</v>
      </c>
      <c r="M35" s="133">
        <f t="shared" ref="M35" si="44">IF(K35&lt;&gt;"",IF(E35="FAT.OGGI",SUM(K35:L35)*(1/(1-$M$14)-1),L35*(1/(1-$M$14)-1)),0)</f>
        <v>452.79787105358639</v>
      </c>
      <c r="N35" s="134">
        <f t="shared" ref="N35" si="45">SUM(K35:M35)</f>
        <v>2612.7978710535863</v>
      </c>
      <c r="Q35" s="135">
        <f t="shared" ref="Q35" si="46">IF(H35&lt;&gt;"",H35,"")</f>
        <v>1</v>
      </c>
      <c r="R35" s="136">
        <f t="shared" ref="R35" si="47">IF(I35&lt;&gt;"",I35,"")</f>
        <v>1</v>
      </c>
      <c r="S35" s="137">
        <f>SUM(700+1103.46)</f>
        <v>1803.46</v>
      </c>
      <c r="T35" s="137">
        <v>551.72</v>
      </c>
      <c r="U35" s="138">
        <f t="shared" ref="U35" si="48">IF(Q35&lt;&gt;"",K35-T35,"")</f>
        <v>1448.28</v>
      </c>
      <c r="V35" s="139">
        <f t="shared" ref="V35" si="49">IF(Q35&lt;&gt;"",0%,"")</f>
        <v>0</v>
      </c>
      <c r="W35" s="140">
        <f t="shared" ref="W35" si="50">IF(Q35&lt;&gt;"",V35*U35,"")</f>
        <v>0</v>
      </c>
      <c r="X35" s="140">
        <f t="shared" ref="X35" si="51">IF(Q35&lt;&gt;"",W35+T35,"")</f>
        <v>551.72</v>
      </c>
      <c r="Y35" s="141">
        <f t="shared" ref="Y35" si="52">IF(Q35&lt;&gt;"",X35+M35,"")</f>
        <v>1004.5178710535864</v>
      </c>
      <c r="Z35" s="142">
        <f t="shared" ref="Z35" si="53">IF(Q35&lt;&gt;"", IFERROR(U35/K35, 0), 0)</f>
        <v>0.72414000000000001</v>
      </c>
      <c r="AA35" s="143">
        <f>IFERROR(T35/$T$36, "")</f>
        <v>4.0126103546031314E-3</v>
      </c>
      <c r="AG35" s="182">
        <f t="shared" si="2"/>
        <v>0</v>
      </c>
      <c r="AH35" s="184">
        <v>551.72</v>
      </c>
      <c r="AI35" s="144"/>
      <c r="AL35" s="144"/>
      <c r="AM35" s="144"/>
      <c r="AO35" s="195" t="s">
        <v>320</v>
      </c>
    </row>
    <row r="36" spans="1:41" ht="30" customHeight="1" thickBot="1" x14ac:dyDescent="0.5">
      <c r="A36" s="98">
        <v>22</v>
      </c>
      <c r="B36" s="122"/>
      <c r="C36" s="123" t="s">
        <v>145</v>
      </c>
      <c r="D36" s="98"/>
      <c r="E36" s="98"/>
      <c r="F36" s="223" t="s">
        <v>153</v>
      </c>
      <c r="G36" s="224"/>
      <c r="H36" s="224"/>
      <c r="I36" s="224"/>
      <c r="J36" s="224"/>
      <c r="K36" s="146">
        <f>SUM(K34:K35)</f>
        <v>150000</v>
      </c>
      <c r="L36" s="146">
        <f>SUM(L34:L35)</f>
        <v>12000</v>
      </c>
      <c r="M36" s="146">
        <f>SUM(M34:M35)</f>
        <v>2934.8010160880599</v>
      </c>
      <c r="N36" s="147">
        <f>SUM(N34:N35)</f>
        <v>164934.80101608808</v>
      </c>
      <c r="Q36" s="225" t="s">
        <v>153</v>
      </c>
      <c r="R36" s="226"/>
      <c r="S36" s="226"/>
      <c r="T36" s="148">
        <f>SUM(T34:T35)</f>
        <v>137496.53</v>
      </c>
      <c r="U36" s="149">
        <f>SUM(U34:U35)</f>
        <v>12503.470000000003</v>
      </c>
      <c r="V36" s="150"/>
      <c r="W36" s="151"/>
      <c r="X36" s="152">
        <f>SUM(X34:X35)</f>
        <v>137496.53</v>
      </c>
      <c r="Y36" s="153">
        <f t="shared" si="40"/>
        <v>140431.33101608805</v>
      </c>
      <c r="AG36" s="182"/>
      <c r="AH36" s="185"/>
    </row>
    <row r="37" spans="1:41" ht="30" customHeight="1" thickBot="1" x14ac:dyDescent="0.5">
      <c r="A37" s="98">
        <v>23</v>
      </c>
      <c r="B37" s="122"/>
      <c r="C37" s="123" t="s">
        <v>148</v>
      </c>
      <c r="D37" s="98"/>
      <c r="E37" s="98"/>
      <c r="F37" s="239" t="s">
        <v>153</v>
      </c>
      <c r="G37" s="240"/>
      <c r="H37" s="240"/>
      <c r="I37" s="240"/>
      <c r="J37" s="240"/>
      <c r="K37" s="163">
        <f>SUM(K34:K35)</f>
        <v>150000</v>
      </c>
      <c r="L37" s="163">
        <f>SUM(L34:L35)</f>
        <v>12000</v>
      </c>
      <c r="M37" s="163">
        <f>SUM(M34:M35)</f>
        <v>2934.8010160880599</v>
      </c>
      <c r="N37" s="164">
        <f>SUM(N34:N35)</f>
        <v>164934.80101608808</v>
      </c>
      <c r="Q37" s="241" t="s">
        <v>153</v>
      </c>
      <c r="R37" s="242"/>
      <c r="S37" s="242"/>
      <c r="T37" s="165">
        <f>SUM(T34:T35)</f>
        <v>137496.53</v>
      </c>
      <c r="U37" s="166">
        <f>SUM(U34:U35)</f>
        <v>12503.470000000003</v>
      </c>
      <c r="V37" s="167"/>
      <c r="W37" s="168"/>
      <c r="X37" s="169">
        <f>SUM(X34:X35)</f>
        <v>137496.53</v>
      </c>
      <c r="Y37" s="170">
        <f t="shared" si="40"/>
        <v>140431.33101608805</v>
      </c>
      <c r="AG37" s="182"/>
      <c r="AH37" s="185"/>
    </row>
    <row r="38" spans="1:41" ht="30" customHeight="1" thickBot="1" x14ac:dyDescent="0.5">
      <c r="A38" s="98">
        <v>24</v>
      </c>
      <c r="B38" s="122">
        <v>3</v>
      </c>
      <c r="C38" s="123" t="s">
        <v>125</v>
      </c>
      <c r="D38" s="98"/>
      <c r="E38" s="98"/>
      <c r="F38" s="231" t="s">
        <v>154</v>
      </c>
      <c r="G38" s="232"/>
      <c r="H38" s="232"/>
      <c r="I38" s="232"/>
      <c r="J38" s="232"/>
      <c r="K38" s="232"/>
      <c r="L38" s="232"/>
      <c r="M38" s="232"/>
      <c r="N38" s="233"/>
      <c r="Q38" s="234" t="str">
        <f>IF(F38&lt;&gt;"",F38,"")</f>
        <v>TÉCNICA</v>
      </c>
      <c r="R38" s="235"/>
      <c r="S38" s="235"/>
      <c r="T38" s="235"/>
      <c r="U38" s="235"/>
      <c r="V38" s="235"/>
      <c r="W38" s="235"/>
      <c r="X38" s="235"/>
      <c r="Y38" s="236"/>
      <c r="AG38" s="182"/>
      <c r="AH38" s="185"/>
    </row>
    <row r="39" spans="1:41" ht="30" customHeight="1" x14ac:dyDescent="0.45">
      <c r="A39" s="98">
        <v>25</v>
      </c>
      <c r="B39" s="122" t="s">
        <v>156</v>
      </c>
      <c r="C39" s="123" t="s">
        <v>127</v>
      </c>
      <c r="D39" s="98"/>
      <c r="E39" s="98"/>
      <c r="F39" s="227" t="s">
        <v>154</v>
      </c>
      <c r="G39" s="228"/>
      <c r="H39" s="228"/>
      <c r="I39" s="228"/>
      <c r="J39" s="228"/>
      <c r="K39" s="229"/>
      <c r="L39" s="124" t="s">
        <v>129</v>
      </c>
      <c r="M39" s="125" t="s">
        <v>130</v>
      </c>
      <c r="N39" s="126" t="s">
        <v>81</v>
      </c>
      <c r="Q39" s="225" t="str">
        <f>IF(F39&lt;&gt;"",F39,"")</f>
        <v>TÉCNICA</v>
      </c>
      <c r="R39" s="226"/>
      <c r="S39" s="226"/>
      <c r="T39" s="226"/>
      <c r="U39" s="226"/>
      <c r="V39" s="226"/>
      <c r="W39" s="226"/>
      <c r="X39" s="226"/>
      <c r="Y39" s="230"/>
      <c r="Z39" s="127" t="s">
        <v>131</v>
      </c>
      <c r="AA39" s="128" t="s">
        <v>82</v>
      </c>
      <c r="AG39" s="182"/>
      <c r="AH39" s="185"/>
    </row>
    <row r="40" spans="1:41" ht="80.099999999999994" customHeight="1" x14ac:dyDescent="0.3">
      <c r="A40" s="98">
        <v>26</v>
      </c>
      <c r="B40" s="122" t="s">
        <v>157</v>
      </c>
      <c r="C40" s="123" t="s">
        <v>133</v>
      </c>
      <c r="D40" s="98" t="s">
        <v>224</v>
      </c>
      <c r="E40" s="98" t="s">
        <v>225</v>
      </c>
      <c r="F40" s="160" t="s">
        <v>154</v>
      </c>
      <c r="G40" s="145" t="s">
        <v>291</v>
      </c>
      <c r="H40" s="132">
        <v>1</v>
      </c>
      <c r="I40" s="132">
        <v>1</v>
      </c>
      <c r="J40" s="171">
        <v>16235</v>
      </c>
      <c r="K40" s="133">
        <f t="shared" ref="K40" si="54">IF(F40&lt;&gt;"",H40*I40*J40,"")</f>
        <v>16235</v>
      </c>
      <c r="L40" s="133">
        <f t="shared" ref="L40" si="55">IF(K40&lt;&gt;"",IF(D40="INTERNO",0,K40*$L$14),"")</f>
        <v>1298.8</v>
      </c>
      <c r="M40" s="133">
        <f>IF(K40&lt;&gt;"",IF(E40="FAT.OGGI",SUM(K40:L40)*(1/(1-$M$14)-1),L40*(1/(1-$M$14)-1)),0)</f>
        <v>272.26568283536943</v>
      </c>
      <c r="N40" s="134">
        <f t="shared" ref="N40" si="56">SUM(K40:M40)</f>
        <v>17806.065682835368</v>
      </c>
      <c r="Q40" s="135">
        <f t="shared" ref="Q40" si="57">IF(H40&lt;&gt;"",H40,"")</f>
        <v>1</v>
      </c>
      <c r="R40" s="136">
        <f t="shared" ref="R40" si="58">IF(I40&lt;&gt;"",I40,"")</f>
        <v>1</v>
      </c>
      <c r="S40" s="137">
        <f>7800+2550</f>
        <v>10350</v>
      </c>
      <c r="T40" s="137">
        <f t="shared" ref="T40" si="59">IF(Q40&lt;&gt;"",Q40*R40*S40,"")</f>
        <v>10350</v>
      </c>
      <c r="U40" s="138">
        <f t="shared" ref="U40" si="60">IF(Q40&lt;&gt;"",K40-T40,"")</f>
        <v>5885</v>
      </c>
      <c r="V40" s="139">
        <f t="shared" ref="V40" si="61">IF(Q40&lt;&gt;"",0%,"")</f>
        <v>0</v>
      </c>
      <c r="W40" s="140">
        <f t="shared" ref="W40" si="62">IF(Q40&lt;&gt;"",V40*U40,"")</f>
        <v>0</v>
      </c>
      <c r="X40" s="140">
        <f t="shared" ref="X40" si="63">IF(Q40&lt;&gt;"",W40+T40,"")</f>
        <v>10350</v>
      </c>
      <c r="Y40" s="141">
        <f t="shared" ref="Y40:Y42" si="64">IF(Q40&lt;&gt;"",X40+M40,"")</f>
        <v>10622.26568283537</v>
      </c>
      <c r="Z40" s="142">
        <f t="shared" ref="Z40" si="65">IF(Q40&lt;&gt;"", IFERROR(U40/K40, 0), 0)</f>
        <v>0.36248845087773329</v>
      </c>
      <c r="AA40" s="143">
        <f>IFERROR(T40/$T$41, "")</f>
        <v>1</v>
      </c>
      <c r="AG40" s="182">
        <f t="shared" si="2"/>
        <v>0</v>
      </c>
      <c r="AH40" s="184">
        <f>7800+2550</f>
        <v>10350</v>
      </c>
      <c r="AI40" s="144"/>
      <c r="AL40" s="144"/>
      <c r="AM40" s="144" t="s">
        <v>240</v>
      </c>
      <c r="AO40" s="195" t="s">
        <v>328</v>
      </c>
    </row>
    <row r="41" spans="1:41" ht="30" customHeight="1" thickBot="1" x14ac:dyDescent="0.5">
      <c r="A41" s="98">
        <v>27</v>
      </c>
      <c r="B41" s="122"/>
      <c r="C41" s="123" t="s">
        <v>145</v>
      </c>
      <c r="D41" s="98"/>
      <c r="E41" s="98"/>
      <c r="F41" s="237" t="s">
        <v>155</v>
      </c>
      <c r="G41" s="238"/>
      <c r="H41" s="238"/>
      <c r="I41" s="238"/>
      <c r="J41" s="238"/>
      <c r="K41" s="161">
        <f>SUM(K40:K40)</f>
        <v>16235</v>
      </c>
      <c r="L41" s="161">
        <f>SUM(L40:L40)</f>
        <v>1298.8</v>
      </c>
      <c r="M41" s="161">
        <f>SUM(M40:M40)</f>
        <v>272.26568283536943</v>
      </c>
      <c r="N41" s="162">
        <f>SUM(N40:N40)</f>
        <v>17806.065682835368</v>
      </c>
      <c r="Q41" s="225" t="s">
        <v>155</v>
      </c>
      <c r="R41" s="226"/>
      <c r="S41" s="226"/>
      <c r="T41" s="148">
        <f>SUM(T40:T40)</f>
        <v>10350</v>
      </c>
      <c r="U41" s="149">
        <f>SUM(U40:U40)</f>
        <v>5885</v>
      </c>
      <c r="V41" s="150"/>
      <c r="W41" s="151"/>
      <c r="X41" s="152">
        <f>SUM(X40:X40)</f>
        <v>10350</v>
      </c>
      <c r="Y41" s="153">
        <f t="shared" si="64"/>
        <v>10622.26568283537</v>
      </c>
      <c r="AG41" s="182"/>
      <c r="AH41" s="185"/>
    </row>
    <row r="42" spans="1:41" ht="30" customHeight="1" thickBot="1" x14ac:dyDescent="0.5">
      <c r="A42" s="98">
        <v>28</v>
      </c>
      <c r="B42" s="122"/>
      <c r="C42" s="123" t="s">
        <v>148</v>
      </c>
      <c r="D42" s="98"/>
      <c r="E42" s="98"/>
      <c r="F42" s="239" t="s">
        <v>155</v>
      </c>
      <c r="G42" s="240"/>
      <c r="H42" s="240"/>
      <c r="I42" s="240"/>
      <c r="J42" s="240"/>
      <c r="K42" s="163">
        <f>SUM(K40:K40)</f>
        <v>16235</v>
      </c>
      <c r="L42" s="163">
        <f>SUM(L40:L40)</f>
        <v>1298.8</v>
      </c>
      <c r="M42" s="163">
        <f>SUM(M40:M40)</f>
        <v>272.26568283536943</v>
      </c>
      <c r="N42" s="164">
        <f>SUM(N40:N40)</f>
        <v>17806.065682835368</v>
      </c>
      <c r="Q42" s="241" t="s">
        <v>155</v>
      </c>
      <c r="R42" s="242"/>
      <c r="S42" s="242"/>
      <c r="T42" s="165">
        <f>SUM(T40:T40)</f>
        <v>10350</v>
      </c>
      <c r="U42" s="166">
        <f>SUM(U40:U40)</f>
        <v>5885</v>
      </c>
      <c r="V42" s="167"/>
      <c r="W42" s="168"/>
      <c r="X42" s="169">
        <f>SUM(X40:X40)</f>
        <v>10350</v>
      </c>
      <c r="Y42" s="170">
        <f t="shared" si="64"/>
        <v>10622.26568283537</v>
      </c>
      <c r="AG42" s="182"/>
      <c r="AH42" s="185"/>
    </row>
    <row r="43" spans="1:41" ht="30" customHeight="1" thickBot="1" x14ac:dyDescent="0.5">
      <c r="A43" s="98">
        <v>29</v>
      </c>
      <c r="B43" s="122">
        <v>4</v>
      </c>
      <c r="C43" s="123" t="s">
        <v>125</v>
      </c>
      <c r="D43" s="98"/>
      <c r="E43" s="98"/>
      <c r="F43" s="231" t="s">
        <v>158</v>
      </c>
      <c r="G43" s="232"/>
      <c r="H43" s="232"/>
      <c r="I43" s="232"/>
      <c r="J43" s="232"/>
      <c r="K43" s="232"/>
      <c r="L43" s="232"/>
      <c r="M43" s="232"/>
      <c r="N43" s="233"/>
      <c r="Q43" s="234" t="str">
        <f>IF(F43&lt;&gt;"",F43,"")</f>
        <v>ATIVAÇÕES</v>
      </c>
      <c r="R43" s="235"/>
      <c r="S43" s="235"/>
      <c r="T43" s="235"/>
      <c r="U43" s="235"/>
      <c r="V43" s="235"/>
      <c r="W43" s="235"/>
      <c r="X43" s="235"/>
      <c r="Y43" s="236"/>
      <c r="AG43" s="182"/>
      <c r="AH43" s="185"/>
    </row>
    <row r="44" spans="1:41" ht="30" customHeight="1" x14ac:dyDescent="0.45">
      <c r="A44" s="98">
        <v>30</v>
      </c>
      <c r="B44" s="122" t="s">
        <v>159</v>
      </c>
      <c r="C44" s="123" t="s">
        <v>127</v>
      </c>
      <c r="D44" s="98"/>
      <c r="E44" s="98"/>
      <c r="F44" s="227" t="s">
        <v>158</v>
      </c>
      <c r="G44" s="228"/>
      <c r="H44" s="228"/>
      <c r="I44" s="228"/>
      <c r="J44" s="228"/>
      <c r="K44" s="229"/>
      <c r="L44" s="124" t="s">
        <v>129</v>
      </c>
      <c r="M44" s="125" t="s">
        <v>130</v>
      </c>
      <c r="N44" s="126" t="s">
        <v>81</v>
      </c>
      <c r="Q44" s="225" t="str">
        <f>IF(F44&lt;&gt;"",F44,"")</f>
        <v>ATIVAÇÕES</v>
      </c>
      <c r="R44" s="226"/>
      <c r="S44" s="226"/>
      <c r="T44" s="226"/>
      <c r="U44" s="226"/>
      <c r="V44" s="226"/>
      <c r="W44" s="226"/>
      <c r="X44" s="226"/>
      <c r="Y44" s="230"/>
      <c r="Z44" s="127" t="s">
        <v>131</v>
      </c>
      <c r="AA44" s="128" t="s">
        <v>82</v>
      </c>
      <c r="AG44" s="182"/>
      <c r="AH44" s="185"/>
      <c r="AI44" s="144"/>
    </row>
    <row r="45" spans="1:41" ht="80.099999999999994" customHeight="1" x14ac:dyDescent="0.3">
      <c r="A45" s="98">
        <v>31</v>
      </c>
      <c r="B45" s="122" t="s">
        <v>246</v>
      </c>
      <c r="C45" s="123" t="s">
        <v>133</v>
      </c>
      <c r="D45" s="98" t="s">
        <v>224</v>
      </c>
      <c r="E45" s="98" t="s">
        <v>225</v>
      </c>
      <c r="F45" s="160" t="s">
        <v>244</v>
      </c>
      <c r="G45" s="172" t="s">
        <v>292</v>
      </c>
      <c r="H45" s="132">
        <v>1</v>
      </c>
      <c r="I45" s="132">
        <v>1</v>
      </c>
      <c r="J45" s="171">
        <v>24125</v>
      </c>
      <c r="K45" s="133">
        <f t="shared" ref="K45" si="66">IF(F45&lt;&gt;"",H45*I45*J45,"")</f>
        <v>24125</v>
      </c>
      <c r="L45" s="133">
        <f t="shared" ref="L45" si="67">IF(K45&lt;&gt;"",IF(D45="INTERNO",0,K45*$L$14),"")</f>
        <v>1930</v>
      </c>
      <c r="M45" s="133">
        <f t="shared" ref="M45" si="68">IF(K45&lt;&gt;"",IF(E45="FAT.OGGI",SUM(K45:L45)*(1/(1-$M$14)-1),L45*(1/(1-$M$14)-1)),0)</f>
        <v>404.5832829321397</v>
      </c>
      <c r="N45" s="134">
        <f t="shared" ref="N45" si="69">SUM(K45:M45)</f>
        <v>26459.583282932141</v>
      </c>
      <c r="Q45" s="135">
        <f t="shared" ref="Q45" si="70">IF(H45&lt;&gt;"",H45,"")</f>
        <v>1</v>
      </c>
      <c r="R45" s="136">
        <f t="shared" ref="R45" si="71">IF(I45&lt;&gt;"",I45,"")</f>
        <v>1</v>
      </c>
      <c r="S45" s="137">
        <v>19600</v>
      </c>
      <c r="T45" s="137">
        <f t="shared" ref="T45" si="72">IF(Q45&lt;&gt;"",Q45*R45*S45,"")</f>
        <v>19600</v>
      </c>
      <c r="U45" s="138">
        <f t="shared" ref="U45" si="73">IF(Q45&lt;&gt;"",K45-T45,"")</f>
        <v>4525</v>
      </c>
      <c r="V45" s="139">
        <f t="shared" ref="V45" si="74">IF(Q45&lt;&gt;"",0%,"")</f>
        <v>0</v>
      </c>
      <c r="W45" s="140">
        <f t="shared" ref="W45" si="75">IF(Q45&lt;&gt;"",V45*U45,"")</f>
        <v>0</v>
      </c>
      <c r="X45" s="140">
        <f t="shared" ref="X45" si="76">IF(Q45&lt;&gt;"",W45+T45,"")</f>
        <v>19600</v>
      </c>
      <c r="Y45" s="141">
        <f t="shared" ref="Y45" si="77">IF(Q45&lt;&gt;"",X45+M45,"")</f>
        <v>20004.583282932141</v>
      </c>
      <c r="Z45" s="142">
        <f t="shared" ref="Z45" si="78">IF(Q45&lt;&gt;"", IFERROR(U45/K45, 0), 0)</f>
        <v>0.18756476683937823</v>
      </c>
      <c r="AA45" s="143">
        <f>IFERROR(T45/$T$46, "")</f>
        <v>1</v>
      </c>
      <c r="AG45" s="182">
        <f t="shared" si="2"/>
        <v>0</v>
      </c>
      <c r="AH45" s="184">
        <f>2000+17600</f>
        <v>19600</v>
      </c>
      <c r="AI45" s="144"/>
      <c r="AL45" s="144"/>
      <c r="AM45" s="144" t="s">
        <v>240</v>
      </c>
      <c r="AO45" s="195" t="s">
        <v>332</v>
      </c>
    </row>
    <row r="46" spans="1:41" ht="30" customHeight="1" thickBot="1" x14ac:dyDescent="0.5">
      <c r="A46" s="98">
        <v>32</v>
      </c>
      <c r="B46" s="122"/>
      <c r="C46" s="123" t="s">
        <v>145</v>
      </c>
      <c r="D46" s="98"/>
      <c r="E46" s="98"/>
      <c r="F46" s="223" t="s">
        <v>160</v>
      </c>
      <c r="G46" s="224"/>
      <c r="H46" s="224"/>
      <c r="I46" s="224"/>
      <c r="J46" s="224"/>
      <c r="K46" s="146">
        <f>SUM(K45:K45)</f>
        <v>24125</v>
      </c>
      <c r="L46" s="146">
        <f>SUM(L45:L45)</f>
        <v>1930</v>
      </c>
      <c r="M46" s="146">
        <f>SUM(M45:M45)</f>
        <v>404.5832829321397</v>
      </c>
      <c r="N46" s="147">
        <f>SUM(N45:N45)</f>
        <v>26459.583282932141</v>
      </c>
      <c r="Q46" s="225" t="s">
        <v>160</v>
      </c>
      <c r="R46" s="226"/>
      <c r="S46" s="226"/>
      <c r="T46" s="148">
        <f>SUM(T45:T45)</f>
        <v>19600</v>
      </c>
      <c r="U46" s="149">
        <f>SUM(U45:U45)</f>
        <v>4525</v>
      </c>
      <c r="V46" s="150"/>
      <c r="W46" s="151"/>
      <c r="X46" s="152">
        <f>SUM(X45:X45)</f>
        <v>19600</v>
      </c>
      <c r="Y46" s="153">
        <f t="shared" ref="Y46" si="79">IF(Q46&lt;&gt;"",X46+M46,"")</f>
        <v>20004.583282932141</v>
      </c>
      <c r="AG46" s="182"/>
      <c r="AH46" s="185"/>
    </row>
    <row r="47" spans="1:41" ht="30" customHeight="1" x14ac:dyDescent="0.45">
      <c r="A47" s="98">
        <v>33</v>
      </c>
      <c r="B47" s="122" t="s">
        <v>161</v>
      </c>
      <c r="C47" s="123" t="s">
        <v>127</v>
      </c>
      <c r="D47" s="98"/>
      <c r="E47" s="98"/>
      <c r="F47" s="227" t="s">
        <v>162</v>
      </c>
      <c r="G47" s="228"/>
      <c r="H47" s="228"/>
      <c r="I47" s="228"/>
      <c r="J47" s="228"/>
      <c r="K47" s="229"/>
      <c r="L47" s="124" t="s">
        <v>129</v>
      </c>
      <c r="M47" s="125" t="s">
        <v>130</v>
      </c>
      <c r="N47" s="126" t="s">
        <v>81</v>
      </c>
      <c r="Q47" s="225" t="str">
        <f>IF(F47&lt;&gt;"",F47,"")</f>
        <v>BRINDES</v>
      </c>
      <c r="R47" s="226"/>
      <c r="S47" s="226"/>
      <c r="T47" s="226"/>
      <c r="U47" s="226"/>
      <c r="V47" s="226"/>
      <c r="W47" s="226"/>
      <c r="X47" s="226"/>
      <c r="Y47" s="230"/>
      <c r="Z47" s="127" t="s">
        <v>131</v>
      </c>
      <c r="AA47" s="128" t="s">
        <v>82</v>
      </c>
      <c r="AG47" s="182"/>
      <c r="AH47" s="185"/>
    </row>
    <row r="48" spans="1:41" ht="80.099999999999994" customHeight="1" x14ac:dyDescent="0.3">
      <c r="A48" s="98">
        <v>34</v>
      </c>
      <c r="B48" s="122" t="s">
        <v>163</v>
      </c>
      <c r="C48" s="123" t="s">
        <v>133</v>
      </c>
      <c r="D48" s="98" t="s">
        <v>224</v>
      </c>
      <c r="E48" s="98" t="s">
        <v>223</v>
      </c>
      <c r="F48" s="160" t="s">
        <v>209</v>
      </c>
      <c r="G48" s="145" t="s">
        <v>293</v>
      </c>
      <c r="H48" s="132">
        <v>5</v>
      </c>
      <c r="I48" s="132">
        <v>0</v>
      </c>
      <c r="J48" s="171">
        <v>700</v>
      </c>
      <c r="K48" s="133">
        <f>IF(F48&lt;&gt;"",H48*I48*J48,"")</f>
        <v>0</v>
      </c>
      <c r="L48" s="133">
        <f>IF(K48&lt;&gt;"",IF(D48="INTERNO",0,K48*$L$14),"")</f>
        <v>0</v>
      </c>
      <c r="M48" s="133">
        <f>IF(K48&lt;&gt;"",IF(E48="FAT.OGGI",SUM(K48:L48)*(1/(1-$M$14)-1),L48*(1/(1-$M$14)-1)),0)</f>
        <v>0</v>
      </c>
      <c r="N48" s="134">
        <f>SUM(K48:M48)</f>
        <v>0</v>
      </c>
      <c r="Q48" s="135">
        <f t="shared" ref="Q48:R49" si="80">IF(H48&lt;&gt;"",H48,"")</f>
        <v>5</v>
      </c>
      <c r="R48" s="136">
        <f t="shared" si="80"/>
        <v>0</v>
      </c>
      <c r="S48" s="137">
        <v>600</v>
      </c>
      <c r="T48" s="137">
        <v>4220</v>
      </c>
      <c r="U48" s="138">
        <f>IF(Q48&lt;&gt;"",K48-T48,"")</f>
        <v>-4220</v>
      </c>
      <c r="V48" s="139">
        <f>IF(Q48&lt;&gt;"",0%,"")</f>
        <v>0</v>
      </c>
      <c r="W48" s="140">
        <f>IF(Q48&lt;&gt;"",V48*U48,"")</f>
        <v>0</v>
      </c>
      <c r="X48" s="140">
        <f>IF(Q48&lt;&gt;"",W48+T48,"")</f>
        <v>4220</v>
      </c>
      <c r="Y48" s="141">
        <f>IF(Q48&lt;&gt;"",X48+M48,"")</f>
        <v>4220</v>
      </c>
      <c r="Z48" s="142">
        <f>IF(Q48&lt;&gt;"", IFERROR(U48/K48, 0), 0)</f>
        <v>0</v>
      </c>
      <c r="AA48" s="143">
        <f>IFERROR(T48/$T$51, "")</f>
        <v>6.581279503665477E-2</v>
      </c>
      <c r="AG48" s="182">
        <f t="shared" si="2"/>
        <v>0</v>
      </c>
      <c r="AH48" s="184">
        <f>1166+1449+1605</f>
        <v>4220</v>
      </c>
      <c r="AI48" s="144"/>
      <c r="AL48" s="144"/>
      <c r="AM48" s="144"/>
      <c r="AO48" s="195" t="s">
        <v>337</v>
      </c>
    </row>
    <row r="49" spans="1:41" ht="80.099999999999994" customHeight="1" x14ac:dyDescent="0.3">
      <c r="A49" s="98">
        <v>35</v>
      </c>
      <c r="B49" s="122" t="s">
        <v>164</v>
      </c>
      <c r="C49" s="123" t="s">
        <v>133</v>
      </c>
      <c r="D49" s="98" t="s">
        <v>224</v>
      </c>
      <c r="E49" s="98" t="s">
        <v>225</v>
      </c>
      <c r="F49" s="160" t="s">
        <v>210</v>
      </c>
      <c r="G49" s="145" t="s">
        <v>294</v>
      </c>
      <c r="H49" s="132">
        <v>800</v>
      </c>
      <c r="I49" s="132">
        <v>1</v>
      </c>
      <c r="J49" s="171">
        <v>58.5</v>
      </c>
      <c r="K49" s="133">
        <f>IF(F49&lt;&gt;"",H49*I49*J49,"")</f>
        <v>46800</v>
      </c>
      <c r="L49" s="133">
        <f>IF(K49&lt;&gt;"",IF(D49="INTERNO",0,K49*$L$14),"")</f>
        <v>3744</v>
      </c>
      <c r="M49" s="133">
        <f>IF(K49&lt;&gt;"",IF(E49="FAT.OGGI",SUM(K49:L49)*(1/(1-$M$14)-1),L49*(1/(1-$M$14)-1)),0)</f>
        <v>784.84964315954971</v>
      </c>
      <c r="N49" s="134">
        <f>SUM(K49:M49)</f>
        <v>51328.849643159549</v>
      </c>
      <c r="Q49" s="135">
        <f t="shared" si="80"/>
        <v>800</v>
      </c>
      <c r="R49" s="136">
        <f t="shared" si="80"/>
        <v>1</v>
      </c>
      <c r="S49" s="137">
        <v>47.9</v>
      </c>
      <c r="T49" s="137">
        <v>59901.27</v>
      </c>
      <c r="U49" s="138">
        <f>IF(Q49&lt;&gt;"",K49-T49,"")</f>
        <v>-13101.269999999997</v>
      </c>
      <c r="V49" s="139">
        <f>IF(Q49&lt;&gt;"",0%,"")</f>
        <v>0</v>
      </c>
      <c r="W49" s="140">
        <f>IF(Q49&lt;&gt;"",V49*U49,"")</f>
        <v>0</v>
      </c>
      <c r="X49" s="140">
        <f>IF(Q49&lt;&gt;"",W49+T49,"")</f>
        <v>59901.27</v>
      </c>
      <c r="Y49" s="141">
        <f>IF(Q49&lt;&gt;"",X49+M49,"")</f>
        <v>60686.119643159545</v>
      </c>
      <c r="Z49" s="142">
        <f>IF(Q49&lt;&gt;"", IFERROR(U49/K49, 0), 0)</f>
        <v>-0.27994166666666659</v>
      </c>
      <c r="AA49" s="143">
        <f>IFERROR(T49/$T$51, "")</f>
        <v>0.93418720496334529</v>
      </c>
      <c r="AG49" s="182">
        <f t="shared" si="2"/>
        <v>0</v>
      </c>
      <c r="AH49" s="184">
        <f>38320+15800+5781.27</f>
        <v>59901.270000000004</v>
      </c>
      <c r="AI49" s="144"/>
      <c r="AL49" s="144"/>
      <c r="AM49" s="144" t="s">
        <v>240</v>
      </c>
      <c r="AO49" s="195" t="s">
        <v>333</v>
      </c>
    </row>
    <row r="50" spans="1:41" ht="80.099999999999994" customHeight="1" x14ac:dyDescent="0.3">
      <c r="A50" s="98">
        <v>36</v>
      </c>
      <c r="B50" s="122" t="s">
        <v>165</v>
      </c>
      <c r="C50" s="123" t="s">
        <v>133</v>
      </c>
      <c r="D50" s="98" t="s">
        <v>224</v>
      </c>
      <c r="E50" s="98" t="s">
        <v>225</v>
      </c>
      <c r="F50" s="160" t="s">
        <v>243</v>
      </c>
      <c r="G50" s="145" t="s">
        <v>295</v>
      </c>
      <c r="H50" s="132">
        <v>2000</v>
      </c>
      <c r="I50" s="132">
        <v>1</v>
      </c>
      <c r="J50" s="171">
        <v>10.64</v>
      </c>
      <c r="K50" s="133">
        <f>IF(F50&lt;&gt;"",H50*I50*J50,"")</f>
        <v>21280</v>
      </c>
      <c r="L50" s="133">
        <f>IF(K50&lt;&gt;"",IF(D50="INTERNO",0,K50*$L$14),"")</f>
        <v>1702.4</v>
      </c>
      <c r="M50" s="133">
        <f>IF(K50&lt;&gt;"",IF(E50="FAT.OGGI",SUM(K50:L50)*(1/(1-$M$14)-1),L50*(1/(1-$M$14)-1)),0)</f>
        <v>356.87180355630812</v>
      </c>
      <c r="N50" s="134">
        <f>SUM(K50:M50)</f>
        <v>23339.271803556308</v>
      </c>
      <c r="Q50" s="135">
        <f t="shared" ref="Q50" si="81">IF(H50&lt;&gt;"",H50,"")</f>
        <v>2000</v>
      </c>
      <c r="R50" s="136">
        <f t="shared" ref="R50" si="82">IF(I50&lt;&gt;"",I50,"")</f>
        <v>1</v>
      </c>
      <c r="S50" s="137">
        <v>7.9</v>
      </c>
      <c r="T50" s="137">
        <v>0</v>
      </c>
      <c r="U50" s="138">
        <f>IF(Q50&lt;&gt;"",K50-T50,"")</f>
        <v>21280</v>
      </c>
      <c r="V50" s="139">
        <f>IF(Q50&lt;&gt;"",0%,"")</f>
        <v>0</v>
      </c>
      <c r="W50" s="140">
        <f>IF(Q50&lt;&gt;"",V50*U50,"")</f>
        <v>0</v>
      </c>
      <c r="X50" s="140">
        <f>IF(Q50&lt;&gt;"",W50+T50,"")</f>
        <v>0</v>
      </c>
      <c r="Y50" s="141">
        <f>IF(Q50&lt;&gt;"",X50+M50,"")</f>
        <v>356.87180355630812</v>
      </c>
      <c r="Z50" s="142">
        <f>IF(Q50&lt;&gt;"", IFERROR(U50/K50, 0), 0)</f>
        <v>1</v>
      </c>
      <c r="AA50" s="143">
        <f>IFERROR(T50/$T$51, "")</f>
        <v>0</v>
      </c>
      <c r="AG50" s="182">
        <f t="shared" si="2"/>
        <v>0</v>
      </c>
      <c r="AH50" s="184">
        <v>0</v>
      </c>
      <c r="AI50" s="144"/>
      <c r="AL50" s="144"/>
      <c r="AM50" s="144" t="s">
        <v>240</v>
      </c>
    </row>
    <row r="51" spans="1:41" ht="30" customHeight="1" thickBot="1" x14ac:dyDescent="0.5">
      <c r="A51" s="98">
        <v>37</v>
      </c>
      <c r="B51" s="122"/>
      <c r="C51" s="123" t="s">
        <v>145</v>
      </c>
      <c r="D51" s="98"/>
      <c r="E51" s="98"/>
      <c r="F51" s="237" t="s">
        <v>167</v>
      </c>
      <c r="G51" s="238"/>
      <c r="H51" s="238"/>
      <c r="I51" s="238"/>
      <c r="J51" s="238"/>
      <c r="K51" s="161">
        <f>SUM(K48:K50)</f>
        <v>68080</v>
      </c>
      <c r="L51" s="161">
        <f>SUM(L48:L50)</f>
        <v>5446.4</v>
      </c>
      <c r="M51" s="161">
        <f>SUM(M48:M50)</f>
        <v>1141.7214467158578</v>
      </c>
      <c r="N51" s="162">
        <f>SUM(N48:N50)</f>
        <v>74668.121446715857</v>
      </c>
      <c r="Q51" s="225" t="s">
        <v>167</v>
      </c>
      <c r="R51" s="226"/>
      <c r="S51" s="226"/>
      <c r="T51" s="148">
        <f>SUM(T48:T50)</f>
        <v>64121.27</v>
      </c>
      <c r="U51" s="149">
        <f>SUM(U48:U50)</f>
        <v>3958.7300000000032</v>
      </c>
      <c r="V51" s="150"/>
      <c r="W51" s="151"/>
      <c r="X51" s="152">
        <f>SUM(X48:X50)</f>
        <v>64121.27</v>
      </c>
      <c r="Y51" s="153">
        <f>IF(Q51&lt;&gt;"",X51+M51,"")</f>
        <v>65262.991446715852</v>
      </c>
      <c r="AG51" s="182"/>
      <c r="AH51" s="185"/>
    </row>
    <row r="52" spans="1:41" ht="30" customHeight="1" x14ac:dyDescent="0.45">
      <c r="A52" s="98">
        <v>38</v>
      </c>
      <c r="B52" s="122" t="s">
        <v>166</v>
      </c>
      <c r="C52" s="123" t="s">
        <v>127</v>
      </c>
      <c r="D52" s="98"/>
      <c r="E52" s="98"/>
      <c r="F52" s="227" t="s">
        <v>193</v>
      </c>
      <c r="G52" s="228"/>
      <c r="H52" s="228"/>
      <c r="I52" s="228"/>
      <c r="J52" s="228"/>
      <c r="K52" s="229"/>
      <c r="L52" s="124" t="s">
        <v>129</v>
      </c>
      <c r="M52" s="125" t="s">
        <v>130</v>
      </c>
      <c r="N52" s="126" t="s">
        <v>81</v>
      </c>
      <c r="Q52" s="225" t="str">
        <f>IF(F52&lt;&gt;"",F52,"")</f>
        <v>MATERIAIS GRÁFICOS</v>
      </c>
      <c r="R52" s="226"/>
      <c r="S52" s="226"/>
      <c r="T52" s="226"/>
      <c r="U52" s="226"/>
      <c r="V52" s="226"/>
      <c r="W52" s="226"/>
      <c r="X52" s="226"/>
      <c r="Y52" s="230"/>
      <c r="Z52" s="127" t="s">
        <v>131</v>
      </c>
      <c r="AA52" s="128" t="s">
        <v>82</v>
      </c>
      <c r="AG52" s="182"/>
      <c r="AH52" s="185"/>
    </row>
    <row r="53" spans="1:41" ht="80.099999999999994" customHeight="1" x14ac:dyDescent="0.3">
      <c r="A53" s="98">
        <v>39</v>
      </c>
      <c r="B53" s="122" t="s">
        <v>195</v>
      </c>
      <c r="C53" s="123" t="s">
        <v>133</v>
      </c>
      <c r="D53" s="98" t="s">
        <v>224</v>
      </c>
      <c r="E53" s="98" t="s">
        <v>223</v>
      </c>
      <c r="F53" s="129" t="s">
        <v>216</v>
      </c>
      <c r="G53" s="130" t="s">
        <v>296</v>
      </c>
      <c r="H53" s="131">
        <v>2</v>
      </c>
      <c r="I53" s="131">
        <v>0</v>
      </c>
      <c r="J53" s="133">
        <v>0</v>
      </c>
      <c r="K53" s="133">
        <f t="shared" ref="K53:K56" si="83">IF(F53&lt;&gt;"",H53*I53*J53,"")</f>
        <v>0</v>
      </c>
      <c r="L53" s="133">
        <f t="shared" ref="L53:L56" si="84">IF(K53&lt;&gt;"",IF(D53="INTERNO",0,K53*$L$14),"")</f>
        <v>0</v>
      </c>
      <c r="M53" s="133">
        <f t="shared" ref="M53:M56" si="85">IF(K53&lt;&gt;"",IF(E53="FAT.OGGI",SUM(K53:L53)*(1/(1-$M$14)-1),L53*(1/(1-$M$14)-1)),0)</f>
        <v>0</v>
      </c>
      <c r="N53" s="134">
        <f t="shared" ref="N53:N56" si="86">SUM(K53:M53)</f>
        <v>0</v>
      </c>
      <c r="Q53" s="135">
        <f t="shared" ref="Q53:R54" si="87">IF(H53&lt;&gt;"",H53,"")</f>
        <v>2</v>
      </c>
      <c r="R53" s="136">
        <f t="shared" si="87"/>
        <v>0</v>
      </c>
      <c r="S53" s="137">
        <v>0</v>
      </c>
      <c r="T53" s="137">
        <f t="shared" ref="T53:T54" si="88">IF(Q53&lt;&gt;"",Q53*R53*S53,"")</f>
        <v>0</v>
      </c>
      <c r="U53" s="138">
        <f t="shared" ref="U53:U56" si="89">IF(Q53&lt;&gt;"",K53-T53,"")</f>
        <v>0</v>
      </c>
      <c r="V53" s="139">
        <f t="shared" ref="V53:V56" si="90">IF(Q53&lt;&gt;"",0%,"")</f>
        <v>0</v>
      </c>
      <c r="W53" s="140">
        <f t="shared" ref="W53:W56" si="91">IF(Q53&lt;&gt;"",V53*U53,"")</f>
        <v>0</v>
      </c>
      <c r="X53" s="140">
        <f t="shared" ref="X53:X56" si="92">IF(Q53&lt;&gt;"",W53+T53,"")</f>
        <v>0</v>
      </c>
      <c r="Y53" s="141">
        <f t="shared" ref="Y53:Y58" si="93">IF(Q53&lt;&gt;"",X53+M53,"")</f>
        <v>0</v>
      </c>
      <c r="Z53" s="142">
        <f t="shared" ref="Z53:Z56" si="94">IF(Q53&lt;&gt;"", IFERROR(U53/K53, 0), 0)</f>
        <v>0</v>
      </c>
      <c r="AA53" s="143">
        <f t="shared" ref="AA53:AA56" si="95">IFERROR(T53/$T$51, "")</f>
        <v>0</v>
      </c>
      <c r="AG53" s="182">
        <f t="shared" si="2"/>
        <v>0</v>
      </c>
      <c r="AH53" s="184"/>
      <c r="AI53" s="144"/>
      <c r="AL53" s="144"/>
      <c r="AM53" s="144"/>
    </row>
    <row r="54" spans="1:41" ht="80.099999999999994" customHeight="1" x14ac:dyDescent="0.3">
      <c r="A54" s="98">
        <v>40</v>
      </c>
      <c r="B54" s="122" t="s">
        <v>196</v>
      </c>
      <c r="C54" s="123" t="s">
        <v>133</v>
      </c>
      <c r="D54" s="98" t="s">
        <v>224</v>
      </c>
      <c r="E54" s="98" t="s">
        <v>223</v>
      </c>
      <c r="F54" s="160" t="s">
        <v>232</v>
      </c>
      <c r="G54" s="145" t="s">
        <v>297</v>
      </c>
      <c r="H54" s="132">
        <v>17</v>
      </c>
      <c r="I54" s="132">
        <v>1</v>
      </c>
      <c r="J54" s="171">
        <v>137.5</v>
      </c>
      <c r="K54" s="133">
        <f t="shared" si="83"/>
        <v>2337.5</v>
      </c>
      <c r="L54" s="133">
        <f t="shared" si="84"/>
        <v>187</v>
      </c>
      <c r="M54" s="133">
        <f>IF(K54&lt;&gt;"",IF(E54="FAT.OGGI",SUM(K54:L54)*(1/(1-$M$14)-1),L54*(1/(1-$M$14)-1)),0)</f>
        <v>529.20751179387912</v>
      </c>
      <c r="N54" s="134">
        <f t="shared" si="86"/>
        <v>3053.7075117938793</v>
      </c>
      <c r="Q54" s="135">
        <f t="shared" si="87"/>
        <v>17</v>
      </c>
      <c r="R54" s="136">
        <f t="shared" si="87"/>
        <v>1</v>
      </c>
      <c r="S54" s="137">
        <v>110</v>
      </c>
      <c r="T54" s="137">
        <f t="shared" si="88"/>
        <v>1870</v>
      </c>
      <c r="U54" s="138">
        <f t="shared" si="89"/>
        <v>467.5</v>
      </c>
      <c r="V54" s="139">
        <f t="shared" si="90"/>
        <v>0</v>
      </c>
      <c r="W54" s="140">
        <f t="shared" si="91"/>
        <v>0</v>
      </c>
      <c r="X54" s="140">
        <f t="shared" si="92"/>
        <v>1870</v>
      </c>
      <c r="Y54" s="141">
        <f t="shared" si="93"/>
        <v>2399.2075117938793</v>
      </c>
      <c r="Z54" s="142">
        <f t="shared" si="94"/>
        <v>0.2</v>
      </c>
      <c r="AA54" s="143">
        <f t="shared" si="95"/>
        <v>2.9163489743730904E-2</v>
      </c>
      <c r="AG54" s="182">
        <f t="shared" si="2"/>
        <v>0</v>
      </c>
      <c r="AH54" s="184">
        <v>1870</v>
      </c>
      <c r="AI54" s="144"/>
      <c r="AL54" s="144"/>
      <c r="AM54" s="144" t="s">
        <v>240</v>
      </c>
      <c r="AO54" s="195" t="s">
        <v>322</v>
      </c>
    </row>
    <row r="55" spans="1:41" ht="80.099999999999994" customHeight="1" x14ac:dyDescent="0.3">
      <c r="A55" s="98">
        <v>41</v>
      </c>
      <c r="B55" s="122" t="s">
        <v>197</v>
      </c>
      <c r="C55" s="123" t="s">
        <v>133</v>
      </c>
      <c r="D55" s="98" t="s">
        <v>224</v>
      </c>
      <c r="E55" s="98" t="s">
        <v>223</v>
      </c>
      <c r="F55" s="160" t="s">
        <v>231</v>
      </c>
      <c r="G55" s="145" t="s">
        <v>298</v>
      </c>
      <c r="H55" s="132">
        <v>3000</v>
      </c>
      <c r="I55" s="132">
        <v>1</v>
      </c>
      <c r="J55" s="171">
        <v>0.49</v>
      </c>
      <c r="K55" s="133">
        <f t="shared" ref="K55" si="96">IF(F55&lt;&gt;"",H55*I55*J55,"")</f>
        <v>1470</v>
      </c>
      <c r="L55" s="133">
        <f t="shared" ref="L55" si="97">IF(K55&lt;&gt;"",IF(D55="INTERNO",0,K55*$L$14),"")</f>
        <v>117.60000000000001</v>
      </c>
      <c r="M55" s="133">
        <f t="shared" ref="M55" si="98">IF(K55&lt;&gt;"",IF(E55="FAT.OGGI",SUM(K55:L55)*(1/(1-$M$14)-1),L55*(1/(1-$M$14)-1)),0)</f>
        <v>332.80643522438601</v>
      </c>
      <c r="N55" s="134">
        <f t="shared" ref="N55" si="99">SUM(K55:M55)</f>
        <v>1920.4064352243859</v>
      </c>
      <c r="Q55" s="135">
        <f t="shared" ref="Q55" si="100">IF(H55&lt;&gt;"",H55,"")</f>
        <v>3000</v>
      </c>
      <c r="R55" s="136">
        <f t="shared" ref="R55" si="101">IF(I55&lt;&gt;"",I55,"")</f>
        <v>1</v>
      </c>
      <c r="S55" s="137">
        <v>0.09</v>
      </c>
      <c r="T55" s="137">
        <v>539.6</v>
      </c>
      <c r="U55" s="138">
        <f t="shared" ref="U55" si="102">IF(Q55&lt;&gt;"",K55-T55,"")</f>
        <v>930.4</v>
      </c>
      <c r="V55" s="139">
        <f t="shared" ref="V55" si="103">IF(Q55&lt;&gt;"",0%,"")</f>
        <v>0</v>
      </c>
      <c r="W55" s="140">
        <f t="shared" ref="W55" si="104">IF(Q55&lt;&gt;"",V55*U55,"")</f>
        <v>0</v>
      </c>
      <c r="X55" s="140">
        <f t="shared" ref="X55" si="105">IF(Q55&lt;&gt;"",W55+T55,"")</f>
        <v>539.6</v>
      </c>
      <c r="Y55" s="141">
        <f t="shared" ref="Y55" si="106">IF(Q55&lt;&gt;"",X55+M55,"")</f>
        <v>872.40643522438609</v>
      </c>
      <c r="Z55" s="142">
        <f t="shared" ref="Z55" si="107">IF(Q55&lt;&gt;"", IFERROR(U55/K55, 0), 0)</f>
        <v>0.63292517006802718</v>
      </c>
      <c r="AA55" s="143">
        <f t="shared" ref="AA55" si="108">IFERROR(T55/$T$51, "")</f>
        <v>8.4153043132177523E-3</v>
      </c>
      <c r="AG55" s="182">
        <f t="shared" si="2"/>
        <v>0</v>
      </c>
      <c r="AH55" s="184">
        <v>539.6</v>
      </c>
      <c r="AI55" s="144"/>
      <c r="AL55" s="144"/>
      <c r="AM55" s="144" t="s">
        <v>240</v>
      </c>
      <c r="AO55" s="195" t="s">
        <v>331</v>
      </c>
    </row>
    <row r="56" spans="1:41" ht="80.099999999999994" customHeight="1" x14ac:dyDescent="0.3">
      <c r="A56" s="98">
        <v>42</v>
      </c>
      <c r="B56" s="122" t="s">
        <v>198</v>
      </c>
      <c r="C56" s="123" t="s">
        <v>133</v>
      </c>
      <c r="D56" s="98" t="s">
        <v>224</v>
      </c>
      <c r="E56" s="98" t="s">
        <v>223</v>
      </c>
      <c r="F56" s="160" t="s">
        <v>241</v>
      </c>
      <c r="G56" s="145" t="s">
        <v>299</v>
      </c>
      <c r="H56" s="132">
        <v>4</v>
      </c>
      <c r="I56" s="132">
        <v>1</v>
      </c>
      <c r="J56" s="171">
        <v>165.9</v>
      </c>
      <c r="K56" s="133">
        <f t="shared" si="83"/>
        <v>663.6</v>
      </c>
      <c r="L56" s="133">
        <f t="shared" si="84"/>
        <v>53.088000000000001</v>
      </c>
      <c r="M56" s="133">
        <f t="shared" si="85"/>
        <v>150.23833361557996</v>
      </c>
      <c r="N56" s="134">
        <f t="shared" si="86"/>
        <v>866.92633361558001</v>
      </c>
      <c r="Q56" s="135">
        <f t="shared" ref="Q56" si="109">IF(H56&lt;&gt;"",H56,"")</f>
        <v>4</v>
      </c>
      <c r="R56" s="136">
        <f t="shared" ref="R56" si="110">IF(I56&lt;&gt;"",I56,"")</f>
        <v>1</v>
      </c>
      <c r="S56" s="137">
        <v>67.400000000000006</v>
      </c>
      <c r="T56" s="137">
        <v>0</v>
      </c>
      <c r="U56" s="138">
        <f t="shared" si="89"/>
        <v>663.6</v>
      </c>
      <c r="V56" s="139">
        <f t="shared" si="90"/>
        <v>0</v>
      </c>
      <c r="W56" s="140">
        <f t="shared" si="91"/>
        <v>0</v>
      </c>
      <c r="X56" s="140">
        <f t="shared" si="92"/>
        <v>0</v>
      </c>
      <c r="Y56" s="141">
        <f t="shared" ref="Y56" si="111">IF(Q56&lt;&gt;"",X56+M56,"")</f>
        <v>150.23833361557996</v>
      </c>
      <c r="Z56" s="142">
        <f t="shared" si="94"/>
        <v>1</v>
      </c>
      <c r="AA56" s="143">
        <f t="shared" si="95"/>
        <v>0</v>
      </c>
      <c r="AG56" s="182">
        <f t="shared" si="2"/>
        <v>0</v>
      </c>
      <c r="AH56" s="184">
        <v>0</v>
      </c>
      <c r="AI56" s="144"/>
      <c r="AL56" s="144"/>
      <c r="AM56" s="144" t="s">
        <v>240</v>
      </c>
    </row>
    <row r="57" spans="1:41" ht="30" customHeight="1" thickBot="1" x14ac:dyDescent="0.5">
      <c r="A57" s="98">
        <v>43</v>
      </c>
      <c r="B57" s="122"/>
      <c r="C57" s="123" t="s">
        <v>145</v>
      </c>
      <c r="D57" s="98"/>
      <c r="E57" s="98"/>
      <c r="F57" s="237" t="s">
        <v>194</v>
      </c>
      <c r="G57" s="238"/>
      <c r="H57" s="238"/>
      <c r="I57" s="238"/>
      <c r="J57" s="238"/>
      <c r="K57" s="161">
        <f>SUM(K53:K56)</f>
        <v>4471.1000000000004</v>
      </c>
      <c r="L57" s="161">
        <f>SUM(L53:L56)</f>
        <v>357.68800000000005</v>
      </c>
      <c r="M57" s="161">
        <f>SUM(M53:M56)</f>
        <v>1012.252280633845</v>
      </c>
      <c r="N57" s="162">
        <f>SUM(N53:N56)</f>
        <v>5841.0402806338452</v>
      </c>
      <c r="Q57" s="225" t="s">
        <v>167</v>
      </c>
      <c r="R57" s="226"/>
      <c r="S57" s="226"/>
      <c r="T57" s="148">
        <f>SUM(T53:T56)</f>
        <v>2409.6</v>
      </c>
      <c r="U57" s="149">
        <f>SUM(U53:U56)</f>
        <v>2061.5</v>
      </c>
      <c r="V57" s="150"/>
      <c r="W57" s="151"/>
      <c r="X57" s="152">
        <f>SUM(X53:X56)</f>
        <v>2409.6</v>
      </c>
      <c r="Y57" s="153">
        <f t="shared" si="93"/>
        <v>3421.8522806338451</v>
      </c>
      <c r="AG57" s="182"/>
      <c r="AH57" s="185"/>
    </row>
    <row r="58" spans="1:41" ht="30" customHeight="1" thickBot="1" x14ac:dyDescent="0.5">
      <c r="A58" s="98">
        <v>44</v>
      </c>
      <c r="B58" s="122"/>
      <c r="C58" s="123" t="s">
        <v>148</v>
      </c>
      <c r="D58" s="98"/>
      <c r="E58" s="98"/>
      <c r="F58" s="239" t="s">
        <v>160</v>
      </c>
      <c r="G58" s="240"/>
      <c r="H58" s="240"/>
      <c r="I58" s="240"/>
      <c r="J58" s="240"/>
      <c r="K58" s="163">
        <f>SUM(K45:K45)+SUM(K48:K50)+SUM(K53:K56)</f>
        <v>96676.1</v>
      </c>
      <c r="L58" s="163">
        <f>SUM(L45:L45)+SUM(L48:L50)+SUM(L53:L56)</f>
        <v>7734.0879999999997</v>
      </c>
      <c r="M58" s="163">
        <f>SUM(M45:M45)+SUM(M48:M50)+SUM(M53:M56)</f>
        <v>2558.5570102818428</v>
      </c>
      <c r="N58" s="164">
        <f>SUM(N45:N45)+SUM(N48:N50)+SUM(N53:N56)</f>
        <v>106968.74501028184</v>
      </c>
      <c r="Q58" s="241" t="s">
        <v>160</v>
      </c>
      <c r="R58" s="242"/>
      <c r="S58" s="242"/>
      <c r="T58" s="165">
        <f>SUM(T45:T45)+SUM(T48:T50)+SUM(T53:T56)</f>
        <v>86130.87</v>
      </c>
      <c r="U58" s="166">
        <f>SUM(U45:U45)+SUM(U48:U50)+SUM(U53:U56)</f>
        <v>10545.230000000003</v>
      </c>
      <c r="V58" s="167"/>
      <c r="W58" s="168"/>
      <c r="X58" s="169">
        <f>SUM(X45:X45)+SUM(X48:X50)+SUM(X53:X56)</f>
        <v>86130.87</v>
      </c>
      <c r="Y58" s="170">
        <f t="shared" si="93"/>
        <v>88689.427010281841</v>
      </c>
      <c r="AG58" s="182"/>
      <c r="AH58" s="185"/>
    </row>
    <row r="59" spans="1:41" ht="30" customHeight="1" x14ac:dyDescent="0.45">
      <c r="A59" s="98">
        <v>45</v>
      </c>
      <c r="B59" s="122">
        <v>5</v>
      </c>
      <c r="C59" s="123" t="s">
        <v>125</v>
      </c>
      <c r="D59" s="98"/>
      <c r="E59" s="98"/>
      <c r="F59" s="231" t="s">
        <v>168</v>
      </c>
      <c r="G59" s="232"/>
      <c r="H59" s="232"/>
      <c r="I59" s="232"/>
      <c r="J59" s="232"/>
      <c r="K59" s="232"/>
      <c r="L59" s="232"/>
      <c r="M59" s="232"/>
      <c r="N59" s="233"/>
      <c r="Q59" s="234" t="str">
        <f>IF(F59&lt;&gt;"",F59,"")</f>
        <v>A&amp;B</v>
      </c>
      <c r="R59" s="235"/>
      <c r="S59" s="235"/>
      <c r="T59" s="235"/>
      <c r="U59" s="235"/>
      <c r="V59" s="235"/>
      <c r="W59" s="235"/>
      <c r="X59" s="235"/>
      <c r="Y59" s="236"/>
      <c r="AG59" s="182"/>
      <c r="AH59" s="185"/>
    </row>
    <row r="60" spans="1:41" ht="30" customHeight="1" x14ac:dyDescent="0.45">
      <c r="A60" s="98">
        <v>46</v>
      </c>
      <c r="B60" s="122" t="s">
        <v>169</v>
      </c>
      <c r="C60" s="123" t="s">
        <v>127</v>
      </c>
      <c r="D60" s="98"/>
      <c r="E60" s="98"/>
      <c r="F60" s="243" t="s">
        <v>168</v>
      </c>
      <c r="G60" s="244"/>
      <c r="H60" s="244"/>
      <c r="I60" s="244"/>
      <c r="J60" s="244"/>
      <c r="K60" s="245"/>
      <c r="L60" s="173" t="s">
        <v>129</v>
      </c>
      <c r="M60" s="174" t="s">
        <v>130</v>
      </c>
      <c r="N60" s="175" t="s">
        <v>81</v>
      </c>
      <c r="Q60" s="225" t="str">
        <f>IF(F60&lt;&gt;"",F60,"")</f>
        <v>A&amp;B</v>
      </c>
      <c r="R60" s="226"/>
      <c r="S60" s="226"/>
      <c r="T60" s="226"/>
      <c r="U60" s="226"/>
      <c r="V60" s="226"/>
      <c r="W60" s="226"/>
      <c r="X60" s="226"/>
      <c r="Y60" s="230"/>
      <c r="Z60" s="127" t="s">
        <v>131</v>
      </c>
      <c r="AA60" s="128" t="s">
        <v>82</v>
      </c>
      <c r="AG60" s="182"/>
      <c r="AH60" s="185"/>
    </row>
    <row r="61" spans="1:41" ht="80.099999999999994" customHeight="1" x14ac:dyDescent="0.3">
      <c r="A61" s="98">
        <v>47</v>
      </c>
      <c r="B61" s="122" t="s">
        <v>170</v>
      </c>
      <c r="C61" s="123" t="s">
        <v>133</v>
      </c>
      <c r="D61" s="98" t="s">
        <v>224</v>
      </c>
      <c r="E61" s="98" t="s">
        <v>223</v>
      </c>
      <c r="F61" s="160" t="s">
        <v>211</v>
      </c>
      <c r="G61" s="145" t="s">
        <v>300</v>
      </c>
      <c r="H61" s="132">
        <v>1</v>
      </c>
      <c r="I61" s="132">
        <v>1</v>
      </c>
      <c r="J61" s="171">
        <v>3572.4650000000001</v>
      </c>
      <c r="K61" s="133">
        <f>IF(F61&lt;&gt;"",H61*I61*J61,"")</f>
        <v>3572.4650000000001</v>
      </c>
      <c r="L61" s="133">
        <f>IF(K61&lt;&gt;"",IF(D61="INTERNO",0,K61*$L$14),"")</f>
        <v>285.79720000000003</v>
      </c>
      <c r="M61" s="133">
        <f>IF(K61&lt;&gt;"",IF(E61="FAT.OGGI",SUM(K61:L61)*(1/(1-$M$14)-1),L61*(1/(1-$M$14)-1)),0)</f>
        <v>808.80227320672532</v>
      </c>
      <c r="N61" s="134">
        <f>SUM(K61:M61)</f>
        <v>4667.0644732067258</v>
      </c>
      <c r="Q61" s="135">
        <f t="shared" ref="Q61:R61" si="112">IF(H61&lt;&gt;"",H61,"")</f>
        <v>1</v>
      </c>
      <c r="R61" s="136">
        <f t="shared" si="112"/>
        <v>1</v>
      </c>
      <c r="S61" s="137">
        <v>2748.05</v>
      </c>
      <c r="T61" s="137">
        <f>IF(Q61&lt;&gt;"",Q61*R61*S61,"")</f>
        <v>2748.05</v>
      </c>
      <c r="U61" s="138">
        <f>IF(Q61&lt;&gt;"",K61-T61,"")</f>
        <v>824.41499999999996</v>
      </c>
      <c r="V61" s="139">
        <f>IF(Q61&lt;&gt;"",0%,"")</f>
        <v>0</v>
      </c>
      <c r="W61" s="140">
        <f>IF(Q61&lt;&gt;"",V61*U61,"")</f>
        <v>0</v>
      </c>
      <c r="X61" s="140">
        <f>IF(Q61&lt;&gt;"",W61+T61,"")</f>
        <v>2748.05</v>
      </c>
      <c r="Y61" s="141">
        <f t="shared" ref="Y61:Y63" si="113">IF(Q61&lt;&gt;"",X61+M61,"")</f>
        <v>3556.8522732067254</v>
      </c>
      <c r="Z61" s="142">
        <f>IF(Q61&lt;&gt;"", IFERROR(U61/K61, 0), 0)</f>
        <v>0.23076923076923075</v>
      </c>
      <c r="AG61" s="182">
        <f t="shared" si="2"/>
        <v>0</v>
      </c>
      <c r="AH61" s="184">
        <v>2748.05</v>
      </c>
      <c r="AI61" s="144"/>
      <c r="AL61" s="144"/>
      <c r="AM61" s="144"/>
      <c r="AO61" s="195" t="s">
        <v>330</v>
      </c>
    </row>
    <row r="62" spans="1:41" ht="30" customHeight="1" thickBot="1" x14ac:dyDescent="0.5">
      <c r="A62" s="98">
        <v>48</v>
      </c>
      <c r="B62" s="122"/>
      <c r="C62" s="123" t="s">
        <v>145</v>
      </c>
      <c r="D62" s="98"/>
      <c r="E62" s="98"/>
      <c r="F62" s="246" t="s">
        <v>172</v>
      </c>
      <c r="G62" s="247"/>
      <c r="H62" s="247"/>
      <c r="I62" s="247"/>
      <c r="J62" s="247"/>
      <c r="K62" s="161">
        <f>SUM(K61:K61)</f>
        <v>3572.4650000000001</v>
      </c>
      <c r="L62" s="161">
        <f>SUM(L61:L61)</f>
        <v>285.79720000000003</v>
      </c>
      <c r="M62" s="161">
        <f>SUM(M61:M61)</f>
        <v>808.80227320672532</v>
      </c>
      <c r="N62" s="162">
        <f>SUM(N61:N61)</f>
        <v>4667.0644732067258</v>
      </c>
      <c r="Q62" s="225" t="s">
        <v>171</v>
      </c>
      <c r="R62" s="226"/>
      <c r="S62" s="226"/>
      <c r="T62" s="148">
        <f>SUM(T61:T61)</f>
        <v>2748.05</v>
      </c>
      <c r="U62" s="149">
        <f>SUM(U61:U61)</f>
        <v>824.41499999999996</v>
      </c>
      <c r="V62" s="150"/>
      <c r="W62" s="151"/>
      <c r="X62" s="152">
        <f>SUM(X61:X61)</f>
        <v>2748.05</v>
      </c>
      <c r="Y62" s="153">
        <f t="shared" si="113"/>
        <v>3556.8522732067254</v>
      </c>
      <c r="AG62" s="182"/>
      <c r="AH62" s="185"/>
      <c r="AI62" s="72"/>
    </row>
    <row r="63" spans="1:41" ht="30" customHeight="1" thickBot="1" x14ac:dyDescent="0.5">
      <c r="A63" s="98">
        <v>49</v>
      </c>
      <c r="B63" s="122"/>
      <c r="C63" s="123" t="s">
        <v>148</v>
      </c>
      <c r="D63" s="98"/>
      <c r="E63" s="98"/>
      <c r="F63" s="239" t="s">
        <v>172</v>
      </c>
      <c r="G63" s="240"/>
      <c r="H63" s="240"/>
      <c r="I63" s="240"/>
      <c r="J63" s="240"/>
      <c r="K63" s="163">
        <f>SUM(K61:K61)</f>
        <v>3572.4650000000001</v>
      </c>
      <c r="L63" s="163">
        <f>SUM(L61:L61)</f>
        <v>285.79720000000003</v>
      </c>
      <c r="M63" s="163">
        <f>SUM(M61:M61)</f>
        <v>808.80227320672532</v>
      </c>
      <c r="N63" s="164">
        <f>SUM(N61:N61)</f>
        <v>4667.0644732067258</v>
      </c>
      <c r="Q63" s="241" t="s">
        <v>172</v>
      </c>
      <c r="R63" s="242"/>
      <c r="S63" s="242"/>
      <c r="T63" s="165">
        <f>SUM(T61:T61)</f>
        <v>2748.05</v>
      </c>
      <c r="U63" s="166">
        <f>SUM(U61:U61)</f>
        <v>824.41499999999996</v>
      </c>
      <c r="V63" s="167"/>
      <c r="W63" s="168"/>
      <c r="X63" s="169">
        <f>SUM(X61:X61)</f>
        <v>2748.05</v>
      </c>
      <c r="Y63" s="170">
        <f t="shared" si="113"/>
        <v>3556.8522732067254</v>
      </c>
      <c r="AG63" s="182"/>
      <c r="AH63" s="185"/>
      <c r="AI63" s="72"/>
    </row>
    <row r="64" spans="1:41" ht="30" customHeight="1" thickBot="1" x14ac:dyDescent="0.5">
      <c r="A64" s="98">
        <v>50</v>
      </c>
      <c r="B64" s="122">
        <v>6</v>
      </c>
      <c r="C64" s="123" t="s">
        <v>125</v>
      </c>
      <c r="D64" s="98"/>
      <c r="E64" s="98"/>
      <c r="F64" s="231" t="s">
        <v>173</v>
      </c>
      <c r="G64" s="232"/>
      <c r="H64" s="232"/>
      <c r="I64" s="232"/>
      <c r="J64" s="232"/>
      <c r="K64" s="232"/>
      <c r="L64" s="232"/>
      <c r="M64" s="232"/>
      <c r="N64" s="233"/>
      <c r="Q64" s="234" t="str">
        <f>IF(F64&lt;&gt;"",F64,"")</f>
        <v>CUSTOS OPERACIONAIS</v>
      </c>
      <c r="R64" s="235"/>
      <c r="S64" s="235"/>
      <c r="T64" s="235"/>
      <c r="U64" s="235"/>
      <c r="V64" s="235"/>
      <c r="W64" s="235"/>
      <c r="X64" s="235"/>
      <c r="Y64" s="236"/>
      <c r="AG64" s="182"/>
      <c r="AH64" s="185"/>
      <c r="AI64" s="72"/>
    </row>
    <row r="65" spans="1:41" ht="30" customHeight="1" x14ac:dyDescent="0.45">
      <c r="A65" s="98">
        <v>51</v>
      </c>
      <c r="B65" s="122" t="s">
        <v>174</v>
      </c>
      <c r="C65" s="123" t="s">
        <v>127</v>
      </c>
      <c r="D65" s="98"/>
      <c r="E65" s="98"/>
      <c r="F65" s="227" t="s">
        <v>185</v>
      </c>
      <c r="G65" s="228"/>
      <c r="H65" s="228"/>
      <c r="I65" s="228"/>
      <c r="J65" s="228"/>
      <c r="K65" s="229"/>
      <c r="L65" s="124" t="s">
        <v>129</v>
      </c>
      <c r="M65" s="125" t="s">
        <v>130</v>
      </c>
      <c r="N65" s="126" t="s">
        <v>81</v>
      </c>
      <c r="Q65" s="225" t="str">
        <f>IF(F65&lt;&gt;"",F65,"")</f>
        <v>TAXAS E DECUMENTAÇÕES</v>
      </c>
      <c r="R65" s="226"/>
      <c r="S65" s="226"/>
      <c r="T65" s="226"/>
      <c r="U65" s="226"/>
      <c r="V65" s="226"/>
      <c r="W65" s="226"/>
      <c r="X65" s="226"/>
      <c r="Y65" s="230"/>
      <c r="Z65" s="127" t="s">
        <v>131</v>
      </c>
      <c r="AA65" s="128" t="s">
        <v>82</v>
      </c>
      <c r="AG65" s="182"/>
      <c r="AH65" s="185"/>
      <c r="AI65" s="72"/>
    </row>
    <row r="66" spans="1:41" ht="80.099999999999994" customHeight="1" x14ac:dyDescent="0.3">
      <c r="A66" s="98">
        <v>52</v>
      </c>
      <c r="B66" s="122" t="s">
        <v>175</v>
      </c>
      <c r="C66" s="123" t="s">
        <v>133</v>
      </c>
      <c r="D66" s="98" t="s">
        <v>224</v>
      </c>
      <c r="E66" s="98" t="s">
        <v>225</v>
      </c>
      <c r="F66" s="129" t="s">
        <v>301</v>
      </c>
      <c r="G66" s="130" t="s">
        <v>302</v>
      </c>
      <c r="H66" s="131">
        <v>1</v>
      </c>
      <c r="I66" s="131">
        <v>1</v>
      </c>
      <c r="J66" s="133">
        <v>0</v>
      </c>
      <c r="K66" s="133">
        <f>IF(F66&lt;&gt;"",H66*I66*J66,"")</f>
        <v>0</v>
      </c>
      <c r="L66" s="133">
        <f>IF(K66&lt;&gt;"",IF(D66="INTERNO",0,K66*$L$14),"")</f>
        <v>0</v>
      </c>
      <c r="M66" s="133">
        <f>IF(K66&lt;&gt;"",IF(E66="FAT.OGGI",SUM(K66:L66)*(1/(1-$M$14)-1),L66*(1/(1-$M$14)-1)),0)</f>
        <v>0</v>
      </c>
      <c r="N66" s="134">
        <f>SUM(K66:M66)</f>
        <v>0</v>
      </c>
      <c r="Q66" s="135">
        <f t="shared" ref="Q66:R69" si="114">IF(H66&lt;&gt;"",H66,"")</f>
        <v>1</v>
      </c>
      <c r="R66" s="136">
        <f t="shared" si="114"/>
        <v>1</v>
      </c>
      <c r="S66" s="137"/>
      <c r="T66" s="137">
        <f>IF(Q66&lt;&gt;"",Q66*R66*S66,"")</f>
        <v>0</v>
      </c>
      <c r="U66" s="138">
        <f>IF(Q66&lt;&gt;"",K66-T66,"")</f>
        <v>0</v>
      </c>
      <c r="V66" s="139">
        <f>IF(Q66&lt;&gt;"",0%,"")</f>
        <v>0</v>
      </c>
      <c r="W66" s="140">
        <f>IF(Q66&lt;&gt;"",V66*U66,"")</f>
        <v>0</v>
      </c>
      <c r="X66" s="140">
        <f>IF(Q66&lt;&gt;"",W66+T66,"")</f>
        <v>0</v>
      </c>
      <c r="Y66" s="141">
        <f t="shared" ref="Y66:Y70" si="115">IF(Q66&lt;&gt;"",X66+M66,"")</f>
        <v>0</v>
      </c>
      <c r="Z66" s="142">
        <f>IF(Q66&lt;&gt;"", IFERROR(U66/K66, 0), 0)</f>
        <v>0</v>
      </c>
      <c r="AA66" s="143" t="str">
        <f>IFERROR(T66/$T$70, "")</f>
        <v/>
      </c>
      <c r="AG66" s="182">
        <f t="shared" si="2"/>
        <v>0</v>
      </c>
      <c r="AH66" s="184"/>
      <c r="AI66" s="144"/>
      <c r="AL66" s="144"/>
      <c r="AM66" s="144"/>
    </row>
    <row r="67" spans="1:41" ht="80.099999999999994" customHeight="1" x14ac:dyDescent="0.3">
      <c r="A67" s="98">
        <v>53</v>
      </c>
      <c r="B67" s="122" t="s">
        <v>176</v>
      </c>
      <c r="C67" s="123" t="s">
        <v>133</v>
      </c>
      <c r="D67" s="98" t="s">
        <v>224</v>
      </c>
      <c r="E67" s="98" t="s">
        <v>225</v>
      </c>
      <c r="F67" s="129" t="s">
        <v>245</v>
      </c>
      <c r="G67" s="130" t="s">
        <v>303</v>
      </c>
      <c r="H67" s="131">
        <v>14</v>
      </c>
      <c r="I67" s="131">
        <v>1</v>
      </c>
      <c r="J67" s="133">
        <v>440</v>
      </c>
      <c r="K67" s="133">
        <f>IF(F67&lt;&gt;"",H67*I67*J67,"")</f>
        <v>6160</v>
      </c>
      <c r="L67" s="133">
        <f>IF(K67&lt;&gt;"",IF(D67="INTERNO",0,K67*$L$14),"")</f>
        <v>492.8</v>
      </c>
      <c r="M67" s="133">
        <f>IF(K67&lt;&gt;"",IF(E67="FAT.OGGI",SUM(K67:L67)*(1/(1-$M$14)-1),L67*(1/(1-$M$14)-1)),0)</f>
        <v>103.30499576629971</v>
      </c>
      <c r="N67" s="134">
        <f>SUM(K67:M67)</f>
        <v>6756.1049957662999</v>
      </c>
      <c r="Q67" s="135">
        <f t="shared" si="114"/>
        <v>14</v>
      </c>
      <c r="R67" s="136">
        <f t="shared" si="114"/>
        <v>1</v>
      </c>
      <c r="S67" s="137">
        <f>5280/14</f>
        <v>377.14285714285717</v>
      </c>
      <c r="T67" s="137">
        <v>0</v>
      </c>
      <c r="U67" s="138">
        <f>IF(Q67&lt;&gt;"",K67-T67,"")</f>
        <v>6160</v>
      </c>
      <c r="V67" s="139">
        <f>IF(Q67&lt;&gt;"",0%,"")</f>
        <v>0</v>
      </c>
      <c r="W67" s="140">
        <f>IF(Q67&lt;&gt;"",V67*U67,"")</f>
        <v>0</v>
      </c>
      <c r="X67" s="140">
        <f>IF(Q67&lt;&gt;"",W67+T67,"")</f>
        <v>0</v>
      </c>
      <c r="Y67" s="141">
        <f t="shared" si="115"/>
        <v>103.30499576629971</v>
      </c>
      <c r="Z67" s="142">
        <f>IF(Q67&lt;&gt;"", IFERROR(U67/K67, 0), 0)</f>
        <v>1</v>
      </c>
      <c r="AA67" s="143" t="str">
        <f>IFERROR(T67/$T$70, "")</f>
        <v/>
      </c>
      <c r="AG67" s="182">
        <f t="shared" si="2"/>
        <v>0</v>
      </c>
      <c r="AH67" s="184">
        <v>0</v>
      </c>
      <c r="AI67" s="144"/>
      <c r="AL67" s="144"/>
      <c r="AM67" s="144" t="s">
        <v>240</v>
      </c>
    </row>
    <row r="68" spans="1:41" ht="80.099999999999994" customHeight="1" x14ac:dyDescent="0.3">
      <c r="A68" s="98">
        <v>54</v>
      </c>
      <c r="B68" s="122" t="s">
        <v>177</v>
      </c>
      <c r="C68" s="123" t="s">
        <v>133</v>
      </c>
      <c r="D68" s="98" t="s">
        <v>224</v>
      </c>
      <c r="E68" s="98" t="s">
        <v>225</v>
      </c>
      <c r="F68" s="129" t="s">
        <v>304</v>
      </c>
      <c r="G68" s="130" t="s">
        <v>305</v>
      </c>
      <c r="H68" s="131">
        <v>1</v>
      </c>
      <c r="I68" s="131">
        <v>1</v>
      </c>
      <c r="J68" s="133">
        <v>0</v>
      </c>
      <c r="K68" s="133">
        <f>IF(F68&lt;&gt;"",H68*I68*J68,"")</f>
        <v>0</v>
      </c>
      <c r="L68" s="133">
        <f>IF(K68&lt;&gt;"",IF(D68="INTERNO",0,K68*$L$14),"")</f>
        <v>0</v>
      </c>
      <c r="M68" s="133">
        <f>IF(K68&lt;&gt;"",IF(E68="FAT.OGGI",SUM(K68:L68)*(1/(1-$M$14)-1),L68*(1/(1-$M$14)-1)),0)</f>
        <v>0</v>
      </c>
      <c r="N68" s="134">
        <f>SUM(K68:M68)</f>
        <v>0</v>
      </c>
      <c r="Q68" s="135">
        <f t="shared" si="114"/>
        <v>1</v>
      </c>
      <c r="R68" s="136">
        <f t="shared" si="114"/>
        <v>1</v>
      </c>
      <c r="S68" s="137"/>
      <c r="T68" s="137">
        <f>IF(Q68&lt;&gt;"",Q68*R68*S68,"")</f>
        <v>0</v>
      </c>
      <c r="U68" s="138">
        <f>IF(Q68&lt;&gt;"",K68-T68,"")</f>
        <v>0</v>
      </c>
      <c r="V68" s="139">
        <f>IF(Q68&lt;&gt;"",0%,"")</f>
        <v>0</v>
      </c>
      <c r="W68" s="140">
        <f>IF(Q68&lt;&gt;"",V68*U68,"")</f>
        <v>0</v>
      </c>
      <c r="X68" s="140">
        <f>IF(Q68&lt;&gt;"",W68+T68,"")</f>
        <v>0</v>
      </c>
      <c r="Y68" s="141">
        <f t="shared" si="115"/>
        <v>0</v>
      </c>
      <c r="Z68" s="142">
        <f>IF(Q68&lt;&gt;"", IFERROR(U68/K68, 0), 0)</f>
        <v>0</v>
      </c>
      <c r="AA68" s="143" t="str">
        <f>IFERROR(T68/$T$70, "")</f>
        <v/>
      </c>
      <c r="AG68" s="182">
        <f t="shared" si="2"/>
        <v>0</v>
      </c>
      <c r="AH68" s="184"/>
      <c r="AI68" s="144"/>
      <c r="AL68" s="144"/>
      <c r="AM68" s="144"/>
    </row>
    <row r="69" spans="1:41" ht="80.099999999999994" customHeight="1" x14ac:dyDescent="0.3">
      <c r="A69" s="98">
        <v>55</v>
      </c>
      <c r="B69" s="122" t="s">
        <v>178</v>
      </c>
      <c r="C69" s="123" t="s">
        <v>133</v>
      </c>
      <c r="D69" s="98" t="s">
        <v>224</v>
      </c>
      <c r="E69" s="98" t="s">
        <v>225</v>
      </c>
      <c r="F69" s="129" t="s">
        <v>306</v>
      </c>
      <c r="G69" s="130" t="s">
        <v>307</v>
      </c>
      <c r="H69" s="131">
        <v>1</v>
      </c>
      <c r="I69" s="131">
        <v>1</v>
      </c>
      <c r="J69" s="133">
        <v>0</v>
      </c>
      <c r="K69" s="133">
        <f>IF(F69&lt;&gt;"",H69*I69*J69,"")</f>
        <v>0</v>
      </c>
      <c r="L69" s="133">
        <f>IF(K69&lt;&gt;"",IF(D69="INTERNO",0,K69*$L$14),"")</f>
        <v>0</v>
      </c>
      <c r="M69" s="133">
        <f>IF(K69&lt;&gt;"",IF(E69="FAT.OGGI",SUM(K69:L69)*(1/(1-$M$14)-1),L69*(1/(1-$M$14)-1)),0)</f>
        <v>0</v>
      </c>
      <c r="N69" s="134">
        <f>SUM(K69:M69)</f>
        <v>0</v>
      </c>
      <c r="Q69" s="135">
        <f t="shared" si="114"/>
        <v>1</v>
      </c>
      <c r="R69" s="136">
        <f t="shared" si="114"/>
        <v>1</v>
      </c>
      <c r="S69" s="137"/>
      <c r="T69" s="137">
        <f>IF(Q69&lt;&gt;"",Q69*R69*S69,"")</f>
        <v>0</v>
      </c>
      <c r="U69" s="138">
        <f>IF(Q69&lt;&gt;"",K69-T69,"")</f>
        <v>0</v>
      </c>
      <c r="V69" s="139">
        <f>IF(Q69&lt;&gt;"",0%,"")</f>
        <v>0</v>
      </c>
      <c r="W69" s="140">
        <f>IF(Q69&lt;&gt;"",V69*U69,"")</f>
        <v>0</v>
      </c>
      <c r="X69" s="140">
        <f>IF(Q69&lt;&gt;"",W69+T69,"")</f>
        <v>0</v>
      </c>
      <c r="Y69" s="141">
        <f t="shared" si="115"/>
        <v>0</v>
      </c>
      <c r="Z69" s="142">
        <f>IF(Q69&lt;&gt;"", IFERROR(U69/K69, 0), 0)</f>
        <v>0</v>
      </c>
      <c r="AA69" s="143" t="str">
        <f>IFERROR(T69/$T$70, "")</f>
        <v/>
      </c>
      <c r="AG69" s="182">
        <f t="shared" si="2"/>
        <v>0</v>
      </c>
      <c r="AH69" s="184"/>
      <c r="AI69" s="144"/>
      <c r="AL69" s="144"/>
      <c r="AM69" s="144"/>
    </row>
    <row r="70" spans="1:41" ht="30" customHeight="1" thickBot="1" x14ac:dyDescent="0.5">
      <c r="A70" s="98">
        <v>56</v>
      </c>
      <c r="B70" s="122"/>
      <c r="C70" s="123" t="s">
        <v>145</v>
      </c>
      <c r="D70" s="98"/>
      <c r="E70" s="98"/>
      <c r="F70" s="223" t="s">
        <v>186</v>
      </c>
      <c r="G70" s="224"/>
      <c r="H70" s="224"/>
      <c r="I70" s="224"/>
      <c r="J70" s="224"/>
      <c r="K70" s="146">
        <f>SUM(K66:K69)</f>
        <v>6160</v>
      </c>
      <c r="L70" s="146">
        <f>SUM(L66:L69)</f>
        <v>492.8</v>
      </c>
      <c r="M70" s="146">
        <f>SUM(M66:M69)</f>
        <v>103.30499576629971</v>
      </c>
      <c r="N70" s="147">
        <f>SUM(N66:N69)</f>
        <v>6756.1049957662999</v>
      </c>
      <c r="Q70" s="225" t="s">
        <v>179</v>
      </c>
      <c r="R70" s="226"/>
      <c r="S70" s="226"/>
      <c r="T70" s="148">
        <f>SUM(T66:T69)</f>
        <v>0</v>
      </c>
      <c r="U70" s="149">
        <f>SUM(U66:U69)</f>
        <v>6160</v>
      </c>
      <c r="V70" s="150"/>
      <c r="W70" s="151"/>
      <c r="X70" s="152">
        <f>SUM(X66:X69)</f>
        <v>0</v>
      </c>
      <c r="Y70" s="153">
        <f t="shared" si="115"/>
        <v>103.30499576629971</v>
      </c>
      <c r="AG70" s="182"/>
      <c r="AH70" s="186"/>
      <c r="AL70" s="75"/>
      <c r="AM70" s="75"/>
    </row>
    <row r="71" spans="1:41" ht="30" customHeight="1" x14ac:dyDescent="0.45">
      <c r="A71" s="98">
        <v>57</v>
      </c>
      <c r="B71" s="122" t="s">
        <v>180</v>
      </c>
      <c r="C71" s="123" t="s">
        <v>127</v>
      </c>
      <c r="D71" s="98"/>
      <c r="E71" s="98"/>
      <c r="F71" s="227" t="s">
        <v>181</v>
      </c>
      <c r="G71" s="228"/>
      <c r="H71" s="228"/>
      <c r="I71" s="228"/>
      <c r="J71" s="228"/>
      <c r="K71" s="229"/>
      <c r="L71" s="124" t="s">
        <v>129</v>
      </c>
      <c r="M71" s="125" t="s">
        <v>130</v>
      </c>
      <c r="N71" s="126" t="s">
        <v>81</v>
      </c>
      <c r="Q71" s="225" t="str">
        <f>IF(F71&lt;&gt;"",F71,"")</f>
        <v>OPERAÇÃO</v>
      </c>
      <c r="R71" s="226"/>
      <c r="S71" s="226"/>
      <c r="T71" s="226"/>
      <c r="U71" s="226"/>
      <c r="V71" s="226"/>
      <c r="W71" s="226"/>
      <c r="X71" s="226"/>
      <c r="Y71" s="230"/>
      <c r="Z71" s="127" t="s">
        <v>131</v>
      </c>
      <c r="AA71" s="128" t="s">
        <v>82</v>
      </c>
      <c r="AG71" s="182"/>
      <c r="AH71" s="186"/>
      <c r="AL71" s="75"/>
      <c r="AM71" s="75"/>
    </row>
    <row r="72" spans="1:41" ht="80.099999999999994" customHeight="1" x14ac:dyDescent="0.3">
      <c r="A72" s="98">
        <v>58</v>
      </c>
      <c r="B72" s="122" t="s">
        <v>182</v>
      </c>
      <c r="C72" s="123" t="s">
        <v>133</v>
      </c>
      <c r="D72" s="98" t="s">
        <v>224</v>
      </c>
      <c r="E72" s="98" t="s">
        <v>223</v>
      </c>
      <c r="F72" s="129" t="s">
        <v>248</v>
      </c>
      <c r="G72" s="176" t="s">
        <v>249</v>
      </c>
      <c r="H72" s="131">
        <v>1</v>
      </c>
      <c r="I72" s="131">
        <v>1</v>
      </c>
      <c r="J72" s="133">
        <v>1755</v>
      </c>
      <c r="K72" s="133">
        <f t="shared" ref="K72" si="116">IF(F72&lt;&gt;"",H72*I72*J72,"")</f>
        <v>1755</v>
      </c>
      <c r="L72" s="133">
        <f t="shared" ref="L72" si="117">IF(K72&lt;&gt;"",IF(D72="INTERNO",0,K72*$L$14),"")</f>
        <v>140.4</v>
      </c>
      <c r="M72" s="133">
        <f t="shared" ref="M72" si="118">IF(K72&lt;&gt;"",IF(E72="FAT.OGGI",SUM(K72:L72)*(1/(1-$M$14)-1),L72*(1/(1-$M$14)-1)),0)</f>
        <v>397.3301318495221</v>
      </c>
      <c r="N72" s="134">
        <f t="shared" ref="N72" si="119">SUM(K72:M72)</f>
        <v>2292.730131849522</v>
      </c>
      <c r="Q72" s="135">
        <f t="shared" ref="Q72" si="120">IF(H72&lt;&gt;"",H72,"")</f>
        <v>1</v>
      </c>
      <c r="R72" s="136">
        <f t="shared" ref="R72" si="121">IF(I72&lt;&gt;"",I72,"")</f>
        <v>1</v>
      </c>
      <c r="S72" s="137">
        <v>18.666665999999999</v>
      </c>
      <c r="T72" s="137">
        <v>0</v>
      </c>
      <c r="U72" s="138">
        <f t="shared" ref="U72" si="122">IF(Q72&lt;&gt;"",K72-T72,"")</f>
        <v>1755</v>
      </c>
      <c r="V72" s="139">
        <f t="shared" ref="V72" si="123">IF(Q72&lt;&gt;"",0%,"")</f>
        <v>0</v>
      </c>
      <c r="W72" s="140">
        <f t="shared" ref="W72" si="124">IF(Q72&lt;&gt;"",V72*U72,"")</f>
        <v>0</v>
      </c>
      <c r="X72" s="140">
        <f t="shared" ref="X72" si="125">IF(Q72&lt;&gt;"",W72+T72,"")</f>
        <v>0</v>
      </c>
      <c r="Y72" s="141">
        <f t="shared" ref="Y72" si="126">IF(Q72&lt;&gt;"",X72+M72,"")</f>
        <v>397.3301318495221</v>
      </c>
      <c r="Z72" s="142">
        <f t="shared" ref="Z72" si="127">IF(Q72&lt;&gt;"", IFERROR(U72/K72, 0), 0)</f>
        <v>1</v>
      </c>
      <c r="AA72" s="143">
        <f t="shared" ref="AA72" si="128">IFERROR(T72/$T$81, "")</f>
        <v>0</v>
      </c>
      <c r="AG72" s="182">
        <f t="shared" si="2"/>
        <v>0</v>
      </c>
      <c r="AH72" s="184">
        <v>0</v>
      </c>
      <c r="AI72" s="144"/>
      <c r="AL72" s="144"/>
      <c r="AM72" s="144" t="s">
        <v>240</v>
      </c>
    </row>
    <row r="73" spans="1:41" ht="80.099999999999994" customHeight="1" x14ac:dyDescent="0.3">
      <c r="A73" s="98">
        <v>59</v>
      </c>
      <c r="B73" s="122" t="s">
        <v>183</v>
      </c>
      <c r="C73" s="123" t="s">
        <v>133</v>
      </c>
      <c r="D73" s="98" t="s">
        <v>224</v>
      </c>
      <c r="E73" s="98" t="s">
        <v>223</v>
      </c>
      <c r="F73" s="129" t="s">
        <v>212</v>
      </c>
      <c r="G73" s="130" t="s">
        <v>308</v>
      </c>
      <c r="H73" s="131">
        <v>5</v>
      </c>
      <c r="I73" s="131">
        <v>6</v>
      </c>
      <c r="J73" s="133">
        <v>38</v>
      </c>
      <c r="K73" s="133">
        <f t="shared" ref="K73:K80" si="129">IF(F73&lt;&gt;"",H73*I73*J73,"")</f>
        <v>1140</v>
      </c>
      <c r="L73" s="133">
        <f t="shared" ref="L73:L80" si="130">IF(K73&lt;&gt;"",IF(D73="INTERNO",0,K73*$L$14),"")</f>
        <v>91.2</v>
      </c>
      <c r="M73" s="133">
        <f t="shared" ref="M73:M80" si="131">IF(K73&lt;&gt;"",IF(E73="FAT.OGGI",SUM(K73:L73)*(1/(1-$M$14)-1),L73*(1/(1-$M$14)-1)),0)</f>
        <v>258.09478650054427</v>
      </c>
      <c r="N73" s="134">
        <f t="shared" ref="N73:N80" si="132">SUM(K73:M73)</f>
        <v>1489.2947865005444</v>
      </c>
      <c r="Q73" s="135">
        <f t="shared" ref="Q73:R80" si="133">IF(H73&lt;&gt;"",H73,"")</f>
        <v>5</v>
      </c>
      <c r="R73" s="136">
        <f t="shared" si="133"/>
        <v>6</v>
      </c>
      <c r="S73" s="137">
        <v>18.666665999999999</v>
      </c>
      <c r="T73" s="137">
        <v>560</v>
      </c>
      <c r="U73" s="138">
        <f t="shared" ref="U73:U80" si="134">IF(Q73&lt;&gt;"",K73-T73,"")</f>
        <v>580</v>
      </c>
      <c r="V73" s="139">
        <f t="shared" ref="V73:V80" si="135">IF(Q73&lt;&gt;"",0%,"")</f>
        <v>0</v>
      </c>
      <c r="W73" s="140">
        <f t="shared" ref="W73:W80" si="136">IF(Q73&lt;&gt;"",V73*U73,"")</f>
        <v>0</v>
      </c>
      <c r="X73" s="140">
        <f t="shared" ref="X73:X80" si="137">IF(Q73&lt;&gt;"",W73+T73,"")</f>
        <v>560</v>
      </c>
      <c r="Y73" s="141">
        <f t="shared" ref="Y73:Y82" si="138">IF(Q73&lt;&gt;"",X73+M73,"")</f>
        <v>818.09478650054427</v>
      </c>
      <c r="Z73" s="142">
        <f t="shared" ref="Z73:Z80" si="139">IF(Q73&lt;&gt;"", IFERROR(U73/K73, 0), 0)</f>
        <v>0.50877192982456143</v>
      </c>
      <c r="AA73" s="143">
        <f t="shared" ref="AA73:AA80" si="140">IFERROR(T73/$T$81, "")</f>
        <v>1.3855764950803375E-2</v>
      </c>
      <c r="AG73" s="182">
        <f t="shared" si="2"/>
        <v>0</v>
      </c>
      <c r="AH73" s="184">
        <v>560</v>
      </c>
      <c r="AI73" s="144"/>
      <c r="AL73" s="144"/>
      <c r="AM73" s="144" t="s">
        <v>240</v>
      </c>
      <c r="AO73" s="195" t="s">
        <v>323</v>
      </c>
    </row>
    <row r="74" spans="1:41" ht="80.099999999999994" customHeight="1" x14ac:dyDescent="0.3">
      <c r="A74" s="98">
        <v>60</v>
      </c>
      <c r="B74" s="122" t="s">
        <v>184</v>
      </c>
      <c r="C74" s="123" t="s">
        <v>133</v>
      </c>
      <c r="D74" s="98" t="s">
        <v>224</v>
      </c>
      <c r="E74" s="98" t="s">
        <v>223</v>
      </c>
      <c r="F74" s="129" t="s">
        <v>213</v>
      </c>
      <c r="G74" s="130" t="s">
        <v>309</v>
      </c>
      <c r="H74" s="131">
        <v>1</v>
      </c>
      <c r="I74" s="131">
        <v>1</v>
      </c>
      <c r="J74" s="133">
        <v>2000</v>
      </c>
      <c r="K74" s="133">
        <f t="shared" si="129"/>
        <v>2000</v>
      </c>
      <c r="L74" s="133">
        <f t="shared" si="130"/>
        <v>160</v>
      </c>
      <c r="M74" s="133">
        <f t="shared" si="131"/>
        <v>452.79787105358639</v>
      </c>
      <c r="N74" s="134">
        <f t="shared" si="132"/>
        <v>2612.7978710535863</v>
      </c>
      <c r="Q74" s="135">
        <f t="shared" si="133"/>
        <v>1</v>
      </c>
      <c r="R74" s="136">
        <f t="shared" si="133"/>
        <v>1</v>
      </c>
      <c r="S74" s="137">
        <v>1500</v>
      </c>
      <c r="T74" s="137">
        <v>1500.02</v>
      </c>
      <c r="U74" s="138">
        <f t="shared" si="134"/>
        <v>499.98</v>
      </c>
      <c r="V74" s="139">
        <f t="shared" si="135"/>
        <v>0</v>
      </c>
      <c r="W74" s="140">
        <f t="shared" si="136"/>
        <v>0</v>
      </c>
      <c r="X74" s="140">
        <f t="shared" si="137"/>
        <v>1500.02</v>
      </c>
      <c r="Y74" s="141">
        <f t="shared" si="138"/>
        <v>1952.8178710535863</v>
      </c>
      <c r="Z74" s="142">
        <f t="shared" si="139"/>
        <v>0.24999000000000002</v>
      </c>
      <c r="AA74" s="143">
        <f t="shared" si="140"/>
        <v>3.7114150966971571E-2</v>
      </c>
      <c r="AB74" s="72" t="s">
        <v>238</v>
      </c>
      <c r="AG74" s="182">
        <f t="shared" si="2"/>
        <v>0</v>
      </c>
      <c r="AH74" s="184">
        <v>1500.02</v>
      </c>
      <c r="AI74" s="144"/>
      <c r="AL74" s="144"/>
      <c r="AM74" s="144" t="s">
        <v>240</v>
      </c>
      <c r="AO74" s="195" t="s">
        <v>325</v>
      </c>
    </row>
    <row r="75" spans="1:41" ht="80.099999999999994" customHeight="1" x14ac:dyDescent="0.3">
      <c r="A75" s="98">
        <v>61</v>
      </c>
      <c r="B75" s="122" t="s">
        <v>217</v>
      </c>
      <c r="C75" s="123" t="s">
        <v>133</v>
      </c>
      <c r="D75" s="98" t="s">
        <v>224</v>
      </c>
      <c r="E75" s="98" t="s">
        <v>223</v>
      </c>
      <c r="F75" s="129" t="s">
        <v>219</v>
      </c>
      <c r="G75" s="130" t="s">
        <v>310</v>
      </c>
      <c r="H75" s="131">
        <v>3</v>
      </c>
      <c r="I75" s="131">
        <v>6</v>
      </c>
      <c r="J75" s="133">
        <v>250</v>
      </c>
      <c r="K75" s="133">
        <f t="shared" si="129"/>
        <v>4500</v>
      </c>
      <c r="L75" s="133">
        <f t="shared" si="130"/>
        <v>360</v>
      </c>
      <c r="M75" s="133">
        <f t="shared" si="131"/>
        <v>1018.7952098705694</v>
      </c>
      <c r="N75" s="134">
        <f t="shared" si="132"/>
        <v>5878.7952098705691</v>
      </c>
      <c r="Q75" s="135">
        <f t="shared" si="133"/>
        <v>3</v>
      </c>
      <c r="R75" s="136">
        <f t="shared" si="133"/>
        <v>6</v>
      </c>
      <c r="S75" s="137">
        <f>SUM(891+653.7+538.45+90+50)/3/7</f>
        <v>105.86428571428573</v>
      </c>
      <c r="T75" s="137">
        <v>0</v>
      </c>
      <c r="U75" s="138">
        <f t="shared" si="134"/>
        <v>4500</v>
      </c>
      <c r="V75" s="139">
        <f t="shared" si="135"/>
        <v>0</v>
      </c>
      <c r="W75" s="140">
        <f t="shared" si="136"/>
        <v>0</v>
      </c>
      <c r="X75" s="140">
        <f t="shared" si="137"/>
        <v>0</v>
      </c>
      <c r="Y75" s="141">
        <f t="shared" si="138"/>
        <v>1018.7952098705694</v>
      </c>
      <c r="Z75" s="142">
        <f t="shared" si="139"/>
        <v>1</v>
      </c>
      <c r="AA75" s="143">
        <f t="shared" si="140"/>
        <v>0</v>
      </c>
      <c r="AG75" s="182">
        <f t="shared" si="2"/>
        <v>0</v>
      </c>
      <c r="AH75" s="184"/>
      <c r="AI75" s="144"/>
      <c r="AL75" s="144"/>
      <c r="AM75" s="144"/>
    </row>
    <row r="76" spans="1:41" ht="80.099999999999994" customHeight="1" x14ac:dyDescent="0.3">
      <c r="A76" s="98">
        <v>62</v>
      </c>
      <c r="B76" s="122" t="s">
        <v>218</v>
      </c>
      <c r="C76" s="123" t="s">
        <v>133</v>
      </c>
      <c r="D76" s="98" t="s">
        <v>224</v>
      </c>
      <c r="E76" s="98" t="s">
        <v>223</v>
      </c>
      <c r="F76" s="129" t="s">
        <v>215</v>
      </c>
      <c r="G76" s="130" t="s">
        <v>311</v>
      </c>
      <c r="H76" s="131">
        <v>7</v>
      </c>
      <c r="I76" s="131">
        <v>3</v>
      </c>
      <c r="J76" s="133">
        <v>250</v>
      </c>
      <c r="K76" s="133">
        <f t="shared" si="129"/>
        <v>5250</v>
      </c>
      <c r="L76" s="133">
        <f t="shared" si="130"/>
        <v>420</v>
      </c>
      <c r="M76" s="133">
        <f t="shared" si="131"/>
        <v>1188.5944115156642</v>
      </c>
      <c r="N76" s="134">
        <f t="shared" si="132"/>
        <v>6858.5944115156644</v>
      </c>
      <c r="Q76" s="135">
        <f t="shared" ref="Q76:Q79" si="141">IF(H76&lt;&gt;"",H76,"")</f>
        <v>7</v>
      </c>
      <c r="R76" s="136">
        <f t="shared" ref="R76:R79" si="142">IF(I76&lt;&gt;"",I76,"")</f>
        <v>3</v>
      </c>
      <c r="S76" s="137">
        <f>SUM(358.38+120.9+56+84.95+741.34+348.83)/3/7</f>
        <v>81.447619047619042</v>
      </c>
      <c r="T76" s="137">
        <v>0</v>
      </c>
      <c r="U76" s="138">
        <f t="shared" si="134"/>
        <v>5250</v>
      </c>
      <c r="V76" s="139">
        <f t="shared" si="135"/>
        <v>0</v>
      </c>
      <c r="W76" s="140">
        <f t="shared" si="136"/>
        <v>0</v>
      </c>
      <c r="X76" s="140">
        <f t="shared" si="137"/>
        <v>0</v>
      </c>
      <c r="Y76" s="141">
        <f t="shared" ref="Y76:Y79" si="143">IF(Q76&lt;&gt;"",X76+M76,"")</f>
        <v>1188.5944115156642</v>
      </c>
      <c r="Z76" s="142">
        <f t="shared" si="139"/>
        <v>1</v>
      </c>
      <c r="AA76" s="143">
        <f t="shared" si="140"/>
        <v>0</v>
      </c>
      <c r="AG76" s="182">
        <f t="shared" si="2"/>
        <v>0</v>
      </c>
      <c r="AH76" s="184"/>
      <c r="AI76" s="144"/>
      <c r="AL76" s="144"/>
      <c r="AM76" s="144"/>
    </row>
    <row r="77" spans="1:41" ht="80.099999999999994" customHeight="1" x14ac:dyDescent="0.3">
      <c r="A77" s="98">
        <v>63</v>
      </c>
      <c r="B77" s="122" t="s">
        <v>221</v>
      </c>
      <c r="C77" s="123" t="s">
        <v>133</v>
      </c>
      <c r="D77" s="98" t="s">
        <v>224</v>
      </c>
      <c r="E77" s="98" t="s">
        <v>223</v>
      </c>
      <c r="F77" s="160" t="s">
        <v>242</v>
      </c>
      <c r="G77" s="145" t="s">
        <v>312</v>
      </c>
      <c r="H77" s="132">
        <v>1</v>
      </c>
      <c r="I77" s="132">
        <v>4</v>
      </c>
      <c r="J77" s="171">
        <v>2200</v>
      </c>
      <c r="K77" s="133">
        <f t="shared" ref="K77" si="144">IF(F77&lt;&gt;"",H77*I77*J77,"")</f>
        <v>8800</v>
      </c>
      <c r="L77" s="133">
        <f t="shared" ref="L77" si="145">IF(K77&lt;&gt;"",IF(D77="INTERNO",0,K77*$L$14),"")</f>
        <v>704</v>
      </c>
      <c r="M77" s="133">
        <f t="shared" ref="M77" si="146">IF(K77&lt;&gt;"",IF(E77="FAT.OGGI",SUM(K77:L77)*(1/(1-$M$14)-1),L77*(1/(1-$M$14)-1)),0)</f>
        <v>1992.3106326357802</v>
      </c>
      <c r="N77" s="134">
        <f t="shared" ref="N77" si="147">SUM(K77:M77)</f>
        <v>11496.310632635781</v>
      </c>
      <c r="Q77" s="135">
        <f t="shared" ref="Q77" si="148">IF(H77&lt;&gt;"",H77,"")</f>
        <v>1</v>
      </c>
      <c r="R77" s="136">
        <f t="shared" ref="R77" si="149">IF(I77&lt;&gt;"",I77,"")</f>
        <v>4</v>
      </c>
      <c r="S77" s="137">
        <f>7200/4</f>
        <v>1800</v>
      </c>
      <c r="T77" s="137">
        <f t="shared" ref="T77" si="150">IF(Q77&lt;&gt;"",Q77*R77*S77,"")</f>
        <v>7200</v>
      </c>
      <c r="U77" s="138">
        <f t="shared" ref="U77" si="151">IF(Q77&lt;&gt;"",K77-T77,"")</f>
        <v>1600</v>
      </c>
      <c r="V77" s="139">
        <f t="shared" ref="V77" si="152">IF(Q77&lt;&gt;"",0%,"")</f>
        <v>0</v>
      </c>
      <c r="W77" s="140">
        <f t="shared" ref="W77" si="153">IF(Q77&lt;&gt;"",V77*U77,"")</f>
        <v>0</v>
      </c>
      <c r="X77" s="140">
        <f t="shared" ref="X77" si="154">IF(Q77&lt;&gt;"",W77+T77,"")</f>
        <v>7200</v>
      </c>
      <c r="Y77" s="141">
        <f t="shared" ref="Y77" si="155">IF(Q77&lt;&gt;"",X77+M77,"")</f>
        <v>9192.3106326357811</v>
      </c>
      <c r="Z77" s="142">
        <f t="shared" ref="Z77" si="156">IF(Q77&lt;&gt;"", IFERROR(U77/K77, 0), 0)</f>
        <v>0.18181818181818182</v>
      </c>
      <c r="AA77" s="143">
        <f t="shared" ref="AA77" si="157">IFERROR(T77/$T$81, "")</f>
        <v>0.17814554936747196</v>
      </c>
      <c r="AG77" s="182">
        <f t="shared" si="2"/>
        <v>0</v>
      </c>
      <c r="AH77" s="184">
        <v>7200</v>
      </c>
      <c r="AI77" s="144"/>
      <c r="AL77" s="144"/>
      <c r="AM77" s="144" t="s">
        <v>240</v>
      </c>
      <c r="AO77" s="195" t="s">
        <v>324</v>
      </c>
    </row>
    <row r="78" spans="1:41" ht="80.099999999999994" customHeight="1" x14ac:dyDescent="0.3">
      <c r="A78" s="98">
        <v>64</v>
      </c>
      <c r="B78" s="122" t="s">
        <v>229</v>
      </c>
      <c r="C78" s="123" t="s">
        <v>133</v>
      </c>
      <c r="D78" s="98" t="s">
        <v>224</v>
      </c>
      <c r="E78" s="98" t="s">
        <v>223</v>
      </c>
      <c r="F78" s="160" t="s">
        <v>220</v>
      </c>
      <c r="G78" s="145" t="s">
        <v>313</v>
      </c>
      <c r="H78" s="132">
        <v>1</v>
      </c>
      <c r="I78" s="132">
        <v>1</v>
      </c>
      <c r="J78" s="171">
        <v>3000</v>
      </c>
      <c r="K78" s="133">
        <f t="shared" si="129"/>
        <v>3000</v>
      </c>
      <c r="L78" s="133">
        <f t="shared" si="130"/>
        <v>240</v>
      </c>
      <c r="M78" s="133">
        <f t="shared" si="131"/>
        <v>679.19680658037964</v>
      </c>
      <c r="N78" s="134">
        <f t="shared" si="132"/>
        <v>3919.1968065803794</v>
      </c>
      <c r="Q78" s="135">
        <f t="shared" si="141"/>
        <v>1</v>
      </c>
      <c r="R78" s="136">
        <f t="shared" si="142"/>
        <v>1</v>
      </c>
      <c r="S78" s="137">
        <v>1000</v>
      </c>
      <c r="T78" s="137">
        <v>0</v>
      </c>
      <c r="U78" s="138">
        <f t="shared" si="134"/>
        <v>3000</v>
      </c>
      <c r="V78" s="139">
        <f t="shared" si="135"/>
        <v>0</v>
      </c>
      <c r="W78" s="140">
        <f t="shared" si="136"/>
        <v>0</v>
      </c>
      <c r="X78" s="140">
        <f t="shared" si="137"/>
        <v>0</v>
      </c>
      <c r="Y78" s="141">
        <f t="shared" si="143"/>
        <v>679.19680658037964</v>
      </c>
      <c r="Z78" s="142">
        <f t="shared" si="139"/>
        <v>1</v>
      </c>
      <c r="AA78" s="143">
        <f t="shared" si="140"/>
        <v>0</v>
      </c>
      <c r="AG78" s="182">
        <f t="shared" si="2"/>
        <v>0</v>
      </c>
      <c r="AH78" s="184"/>
      <c r="AI78" s="144"/>
      <c r="AL78" s="144"/>
      <c r="AM78" s="144"/>
    </row>
    <row r="79" spans="1:41" ht="80.099999999999994" customHeight="1" x14ac:dyDescent="0.3">
      <c r="A79" s="98">
        <v>65</v>
      </c>
      <c r="B79" s="122" t="s">
        <v>247</v>
      </c>
      <c r="C79" s="123" t="s">
        <v>133</v>
      </c>
      <c r="D79" s="98" t="s">
        <v>224</v>
      </c>
      <c r="E79" s="98" t="s">
        <v>223</v>
      </c>
      <c r="F79" s="129" t="s">
        <v>228</v>
      </c>
      <c r="G79" s="130" t="s">
        <v>314</v>
      </c>
      <c r="H79" s="131">
        <v>1</v>
      </c>
      <c r="I79" s="131">
        <v>1</v>
      </c>
      <c r="J79" s="133">
        <v>600</v>
      </c>
      <c r="K79" s="133">
        <f t="shared" ref="K79" si="158">IF(F79&lt;&gt;"",H79*I79*J79,"")</f>
        <v>600</v>
      </c>
      <c r="L79" s="133">
        <f t="shared" ref="L79" si="159">IF(K79&lt;&gt;"",IF(D79="INTERNO",0,K79*$L$14),"")</f>
        <v>48</v>
      </c>
      <c r="M79" s="133">
        <f t="shared" ref="M79" si="160">IF(K79&lt;&gt;"",IF(E79="FAT.OGGI",SUM(K79:L79)*(1/(1-$M$14)-1),L79*(1/(1-$M$14)-1)),0)</f>
        <v>135.83936131607592</v>
      </c>
      <c r="N79" s="134">
        <f t="shared" ref="N79" si="161">SUM(K79:M79)</f>
        <v>783.83936131607595</v>
      </c>
      <c r="Q79" s="135">
        <f t="shared" si="141"/>
        <v>1</v>
      </c>
      <c r="R79" s="136">
        <f t="shared" si="142"/>
        <v>1</v>
      </c>
      <c r="S79" s="137">
        <f>295</f>
        <v>295</v>
      </c>
      <c r="T79" s="137">
        <v>506</v>
      </c>
      <c r="U79" s="138">
        <f t="shared" ref="U79" si="162">IF(Q79&lt;&gt;"",K79-T79,"")</f>
        <v>94</v>
      </c>
      <c r="V79" s="139">
        <f t="shared" ref="V79" si="163">IF(Q79&lt;&gt;"",0%,"")</f>
        <v>0</v>
      </c>
      <c r="W79" s="140">
        <f t="shared" ref="W79" si="164">IF(Q79&lt;&gt;"",V79*U79,"")</f>
        <v>0</v>
      </c>
      <c r="X79" s="140">
        <f t="shared" ref="X79" si="165">IF(Q79&lt;&gt;"",W79+T79,"")</f>
        <v>506</v>
      </c>
      <c r="Y79" s="141">
        <f t="shared" si="143"/>
        <v>641.83936131607595</v>
      </c>
      <c r="Z79" s="142">
        <f t="shared" ref="Z79" si="166">IF(Q79&lt;&gt;"", IFERROR(U79/K79, 0), 0)</f>
        <v>0.15666666666666668</v>
      </c>
      <c r="AA79" s="143">
        <f t="shared" ref="AA79" si="167">IFERROR(T79/$T$81, "")</f>
        <v>1.2519673330547335E-2</v>
      </c>
      <c r="AG79" s="182">
        <f t="shared" si="2"/>
        <v>0</v>
      </c>
      <c r="AH79" s="184">
        <v>506</v>
      </c>
      <c r="AI79" s="144"/>
      <c r="AL79" s="144"/>
      <c r="AM79" s="144"/>
      <c r="AO79" s="195" t="s">
        <v>329</v>
      </c>
    </row>
    <row r="80" spans="1:41" ht="80.099999999999994" customHeight="1" x14ac:dyDescent="0.3">
      <c r="A80" s="98">
        <v>66</v>
      </c>
      <c r="B80" s="122" t="s">
        <v>250</v>
      </c>
      <c r="C80" s="123" t="s">
        <v>133</v>
      </c>
      <c r="D80" s="98" t="s">
        <v>224</v>
      </c>
      <c r="E80" s="98" t="s">
        <v>223</v>
      </c>
      <c r="F80" s="129" t="s">
        <v>214</v>
      </c>
      <c r="G80" s="130" t="s">
        <v>315</v>
      </c>
      <c r="H80" s="131">
        <v>1</v>
      </c>
      <c r="I80" s="131">
        <v>1</v>
      </c>
      <c r="J80" s="133">
        <v>2000</v>
      </c>
      <c r="K80" s="133">
        <f t="shared" si="129"/>
        <v>2000</v>
      </c>
      <c r="L80" s="133">
        <f t="shared" si="130"/>
        <v>160</v>
      </c>
      <c r="M80" s="133">
        <f t="shared" si="131"/>
        <v>452.79787105358639</v>
      </c>
      <c r="N80" s="134">
        <f t="shared" si="132"/>
        <v>2612.7978710535863</v>
      </c>
      <c r="Q80" s="135">
        <f t="shared" si="133"/>
        <v>1</v>
      </c>
      <c r="R80" s="136">
        <f t="shared" si="133"/>
        <v>1</v>
      </c>
      <c r="S80" s="137">
        <f>SUM(24.46+28.84+55.68+506+357.3)</f>
        <v>972.28</v>
      </c>
      <c r="T80" s="137">
        <f>AH80</f>
        <v>30650.37</v>
      </c>
      <c r="U80" s="138">
        <f t="shared" si="134"/>
        <v>-28650.37</v>
      </c>
      <c r="V80" s="139">
        <f t="shared" si="135"/>
        <v>0</v>
      </c>
      <c r="W80" s="140">
        <f t="shared" si="136"/>
        <v>0</v>
      </c>
      <c r="X80" s="140">
        <f t="shared" si="137"/>
        <v>30650.37</v>
      </c>
      <c r="Y80" s="141">
        <f t="shared" si="138"/>
        <v>31103.167871053585</v>
      </c>
      <c r="Z80" s="142">
        <f t="shared" si="139"/>
        <v>-14.325184999999999</v>
      </c>
      <c r="AA80" s="143">
        <f t="shared" si="140"/>
        <v>0.75836486138420578</v>
      </c>
      <c r="AG80" s="182">
        <f t="shared" si="2"/>
        <v>0</v>
      </c>
      <c r="AH80" s="184">
        <f>'CUSTOS OP.'!I24</f>
        <v>30650.37</v>
      </c>
      <c r="AI80" s="144"/>
      <c r="AL80" s="144"/>
      <c r="AM80" s="144"/>
      <c r="AO80" s="195" t="s">
        <v>335</v>
      </c>
    </row>
    <row r="81" spans="1:34" ht="30" customHeight="1" thickBot="1" x14ac:dyDescent="0.5">
      <c r="A81" s="98">
        <v>67</v>
      </c>
      <c r="B81" s="122"/>
      <c r="C81" s="123" t="s">
        <v>145</v>
      </c>
      <c r="D81" s="98"/>
      <c r="E81" s="98"/>
      <c r="F81" s="237" t="s">
        <v>187</v>
      </c>
      <c r="G81" s="238"/>
      <c r="H81" s="238"/>
      <c r="I81" s="238"/>
      <c r="J81" s="238"/>
      <c r="K81" s="161">
        <f>SUM(K72:K80)</f>
        <v>29045</v>
      </c>
      <c r="L81" s="161">
        <f>SUM(L72:L80)</f>
        <v>2323.6</v>
      </c>
      <c r="M81" s="161">
        <f>SUM(M72:M80)</f>
        <v>6575.7570823757087</v>
      </c>
      <c r="N81" s="162">
        <f>SUM(N72:N80)</f>
        <v>37944.357082375704</v>
      </c>
      <c r="Q81" s="225" t="s">
        <v>187</v>
      </c>
      <c r="R81" s="226"/>
      <c r="S81" s="226"/>
      <c r="T81" s="148">
        <f>SUM(T72:T80)</f>
        <v>40416.39</v>
      </c>
      <c r="U81" s="149">
        <f>SUM(U72:U80)</f>
        <v>-11371.39</v>
      </c>
      <c r="V81" s="150"/>
      <c r="W81" s="151"/>
      <c r="X81" s="152">
        <f>SUM(X72:X80)</f>
        <v>40416.39</v>
      </c>
      <c r="Y81" s="153">
        <f t="shared" si="138"/>
        <v>46992.147082375712</v>
      </c>
      <c r="AG81" s="183"/>
      <c r="AH81" s="185"/>
    </row>
    <row r="82" spans="1:34" ht="30" customHeight="1" thickBot="1" x14ac:dyDescent="0.5">
      <c r="A82" s="98">
        <v>68</v>
      </c>
      <c r="B82" s="122"/>
      <c r="C82" s="123" t="s">
        <v>148</v>
      </c>
      <c r="D82" s="98"/>
      <c r="E82" s="98"/>
      <c r="F82" s="239" t="s">
        <v>188</v>
      </c>
      <c r="G82" s="240"/>
      <c r="H82" s="240"/>
      <c r="I82" s="240"/>
      <c r="J82" s="240"/>
      <c r="K82" s="163">
        <f>SUM(K66:K69)+SUM(K72:K80)</f>
        <v>35205</v>
      </c>
      <c r="L82" s="163">
        <f>SUM(L66:L69)+SUM(L72:L80)</f>
        <v>2816.4</v>
      </c>
      <c r="M82" s="163">
        <f>SUM(M66:M69)+SUM(M72:M80)</f>
        <v>6679.0620781420084</v>
      </c>
      <c r="N82" s="164">
        <f>SUM(N66:N69)+SUM(N72:N80)</f>
        <v>44700.462078142002</v>
      </c>
      <c r="Q82" s="241" t="s">
        <v>188</v>
      </c>
      <c r="R82" s="242"/>
      <c r="S82" s="242"/>
      <c r="T82" s="165">
        <f>SUM(T66:T69)+SUM(T72:T80)</f>
        <v>40416.39</v>
      </c>
      <c r="U82" s="166">
        <f>SUM(U66:U69)+SUM(U72:U80)</f>
        <v>-5211.3899999999994</v>
      </c>
      <c r="V82" s="167"/>
      <c r="W82" s="168"/>
      <c r="X82" s="169">
        <f>SUM(X66:X69)+SUM(X72:X80)</f>
        <v>40416.39</v>
      </c>
      <c r="Y82" s="177">
        <f t="shared" si="138"/>
        <v>47095.452078142007</v>
      </c>
      <c r="Z82" s="178" t="s">
        <v>191</v>
      </c>
      <c r="AA82" s="179" t="s">
        <v>192</v>
      </c>
      <c r="AG82" s="183"/>
      <c r="AH82" s="185"/>
    </row>
    <row r="83" spans="1:34" ht="30" customHeight="1" thickBot="1" x14ac:dyDescent="0.35">
      <c r="A83" s="98">
        <v>69</v>
      </c>
      <c r="B83" s="180"/>
      <c r="C83" s="123" t="s">
        <v>189</v>
      </c>
      <c r="D83" s="98"/>
      <c r="E83" s="98"/>
      <c r="F83" s="32" t="s">
        <v>190</v>
      </c>
      <c r="G83" s="33"/>
      <c r="H83" s="38"/>
      <c r="I83" s="38"/>
      <c r="J83" s="33"/>
      <c r="K83" s="34">
        <f>SUM(K17:K20)+SUM(K23:K29)+SUM(K34:K35)+SUM(K40:K40)+SUM(K45:K45)+SUM(K48:K50)+SUM(K53:K56)+SUM(K61:K61)+SUM(K66:K69)+SUM(K72:K80)</f>
        <v>340328.565</v>
      </c>
      <c r="L83" s="31">
        <f>SUM(L17:L20)+SUM(L23:L29)+SUM(L34:L35)+SUM(L40:L40)+SUM(L45:L45)+SUM(L48:L50)+SUM(L53:L56)+SUM(L61:L61)+SUM(L66:L69)+SUM(L72:L80)</f>
        <v>25786.285199999998</v>
      </c>
      <c r="M83" s="31">
        <f>SUM(M17:M20)+SUM(M23:M29)+SUM(M34:M35)+SUM(M40:M40)+SUM(M45:M45)+SUM(M48:M50)+SUM(M53:M56)+SUM(M61:M61)+SUM(M66:M69)+SUM(M72:M80)</f>
        <v>21699.677681940237</v>
      </c>
      <c r="N83" s="35">
        <f>SUM(N17:N20)+SUM(N23:N29)+SUM(N34:N35)+SUM(N40:N40)+SUM(N45:N45)+SUM(N48:N50)+SUM(N53:N56)+SUM(N61:N61)+SUM(N66:N69)+SUM(N72:N80)</f>
        <v>387814.52788194024</v>
      </c>
      <c r="Q83" s="39" t="s">
        <v>43</v>
      </c>
      <c r="R83" s="38"/>
      <c r="S83" s="33"/>
      <c r="T83" s="34">
        <f>SUM(T17:T20)+SUM(T23:T29)+SUM(T34:T35)+SUM(T40:T40)+SUM(T45:T45)+SUM(T48:T50)+SUM(T53:T56)+SUM(T61:T61)+SUM(T66:T69)+SUM(T72:T80)</f>
        <v>323463.18</v>
      </c>
      <c r="U83" s="34">
        <f>SUM(U17:U20)+SUM(U23:U29)+SUM(U34:U35)+SUM(U40:U40)+SUM(U45:U45)+SUM(U48:U50)+SUM(U53:U56)+SUM(U61:U61)+SUM(U66:U69)+SUM(U72:U80)</f>
        <v>16865.385000000009</v>
      </c>
      <c r="V83" s="38"/>
      <c r="W83" s="33"/>
      <c r="X83" s="34">
        <f>SUM(X17:X20)+SUM(X23:X29)+SUM(X34:X35)+SUM(X40:X40)+SUM(X45:X45)+SUM(X48:X50)+SUM(X53:X56)+SUM(X61:X61)+SUM(X66:X69)+SUM(X72:X80)</f>
        <v>323463.18</v>
      </c>
      <c r="Y83" s="35">
        <f>SUM(Y17:Y20)+SUM(Y23:Y29)+SUM(Y34:Y35)+SUM(Y40:Y40)+SUM(Y45:Y45)+SUM(Y48:Y50)+SUM(Y53:Y56)+SUM(Y61:Y61)+SUM(Y66:Y69)+SUM(Y72:Y80)</f>
        <v>345162.85768194031</v>
      </c>
      <c r="Z83" s="36">
        <f>IF(Q83&lt;&gt;"",(N83-Y83)/N83,"")</f>
        <v>0.10997955758115409</v>
      </c>
      <c r="AA83" s="37">
        <f>IF(Z83&lt;&gt;"",(N83-Y83),"")</f>
        <v>42651.670199999935</v>
      </c>
      <c r="AG83" s="187">
        <f>SUM(AG17:AG82)</f>
        <v>0</v>
      </c>
      <c r="AH83" s="188">
        <f>SUM(AH17:AH82)</f>
        <v>323463.18</v>
      </c>
    </row>
    <row r="84" spans="1:34" x14ac:dyDescent="0.3">
      <c r="Z84" s="181"/>
    </row>
  </sheetData>
  <mergeCells count="73">
    <mergeCell ref="AG15:AH15"/>
    <mergeCell ref="AG16:AH16"/>
    <mergeCell ref="F82:J82"/>
    <mergeCell ref="Q82:S82"/>
    <mergeCell ref="F70:J70"/>
    <mergeCell ref="Q70:S70"/>
    <mergeCell ref="F71:K71"/>
    <mergeCell ref="Q71:Y71"/>
    <mergeCell ref="F81:J81"/>
    <mergeCell ref="Q81:S81"/>
    <mergeCell ref="F65:K65"/>
    <mergeCell ref="Q65:Y65"/>
    <mergeCell ref="F60:K60"/>
    <mergeCell ref="Q60:Y60"/>
    <mergeCell ref="F62:J62"/>
    <mergeCell ref="Q62:S62"/>
    <mergeCell ref="F63:J63"/>
    <mergeCell ref="Q63:S63"/>
    <mergeCell ref="F64:N64"/>
    <mergeCell ref="Q64:Y64"/>
    <mergeCell ref="F51:J51"/>
    <mergeCell ref="Q51:S51"/>
    <mergeCell ref="F58:J58"/>
    <mergeCell ref="Q58:S58"/>
    <mergeCell ref="F59:N59"/>
    <mergeCell ref="Q59:Y59"/>
    <mergeCell ref="F52:K52"/>
    <mergeCell ref="Q52:Y52"/>
    <mergeCell ref="F57:J57"/>
    <mergeCell ref="Q57:S57"/>
    <mergeCell ref="F46:J46"/>
    <mergeCell ref="Q46:S46"/>
    <mergeCell ref="F47:K47"/>
    <mergeCell ref="Q47:Y47"/>
    <mergeCell ref="F42:J42"/>
    <mergeCell ref="Q42:S42"/>
    <mergeCell ref="F43:N43"/>
    <mergeCell ref="Q43:Y43"/>
    <mergeCell ref="F44:K44"/>
    <mergeCell ref="Q44:Y44"/>
    <mergeCell ref="F41:J41"/>
    <mergeCell ref="Q41:S41"/>
    <mergeCell ref="F33:K33"/>
    <mergeCell ref="Q33:Y33"/>
    <mergeCell ref="F36:J36"/>
    <mergeCell ref="Q36:S36"/>
    <mergeCell ref="F37:J37"/>
    <mergeCell ref="Q37:S37"/>
    <mergeCell ref="Q38:Y38"/>
    <mergeCell ref="F38:N38"/>
    <mergeCell ref="F39:K39"/>
    <mergeCell ref="Q39:Y39"/>
    <mergeCell ref="F30:J30"/>
    <mergeCell ref="Q30:S30"/>
    <mergeCell ref="F31:J31"/>
    <mergeCell ref="Q31:S31"/>
    <mergeCell ref="F32:N32"/>
    <mergeCell ref="Q32:Y32"/>
    <mergeCell ref="F21:J21"/>
    <mergeCell ref="Q21:S21"/>
    <mergeCell ref="F22:K22"/>
    <mergeCell ref="Q22:Y22"/>
    <mergeCell ref="F15:N15"/>
    <mergeCell ref="Q15:Y15"/>
    <mergeCell ref="F16:K16"/>
    <mergeCell ref="Q16:Y16"/>
    <mergeCell ref="AL12:AM12"/>
    <mergeCell ref="F1:G1"/>
    <mergeCell ref="F2:G2"/>
    <mergeCell ref="Q12:T12"/>
    <mergeCell ref="U12:X12"/>
    <mergeCell ref="AC12:AE12"/>
    <mergeCell ref="AG12:AH12"/>
  </mergeCells>
  <phoneticPr fontId="20" type="noConversion"/>
  <dataValidations disablePrompts="1" count="3">
    <dataValidation type="list" allowBlank="1" showInputMessage="1" showErrorMessage="1" sqref="D34:D35 D72:D80 D83 D66:D69 D23:D29 D17:D20 D48:D50 D40 D61 D53:D56 D45" xr:uid="{9CDBE7F1-731B-4723-9E5F-CBD9CFE75CBD}">
      <formula1>"INTERNO,OPERACIONAL"</formula1>
    </dataValidation>
    <dataValidation type="list" allowBlank="1" showInputMessage="1" showErrorMessage="1" sqref="E34:E35 E72:E80 E66:E69 E23:E29 E17:E20 E48:E50 E40 E61 E53:E56 E45" xr:uid="{6759C163-281D-4FC8-8A51-B0A4B0679C5A}">
      <formula1>"FAT.OGGI,FAT.CLIENTE"</formula1>
    </dataValidation>
    <dataValidation type="list" allowBlank="1" showInputMessage="1" showErrorMessage="1" sqref="E83" xr:uid="{EA8529B6-C771-4112-93BB-9BCD41512A98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2BC84-C1AE-4BBB-93F1-29A13361BB5B}">
  <sheetPr codeName="Planilha12">
    <pageSetUpPr autoPageBreaks="0"/>
  </sheetPr>
  <dimension ref="A1:AI25"/>
  <sheetViews>
    <sheetView showGridLines="0" topLeftCell="K1" zoomScale="55" zoomScaleNormal="55" workbookViewId="0">
      <pane ySplit="1" topLeftCell="A15" activePane="bottomLeft" state="frozen"/>
      <selection pane="bottomLeft" activeCell="Y22" sqref="Y22"/>
    </sheetView>
  </sheetViews>
  <sheetFormatPr defaultColWidth="8.88671875" defaultRowHeight="21" x14ac:dyDescent="0.4"/>
  <cols>
    <col min="1" max="1" width="9.5546875" style="72" hidden="1" customWidth="1"/>
    <col min="2" max="2" width="11.5546875" style="72" customWidth="1"/>
    <col min="3" max="3" width="16" style="72" hidden="1" customWidth="1"/>
    <col min="4" max="4" width="24.44140625" style="72" hidden="1" customWidth="1"/>
    <col min="5" max="5" width="16.109375" style="72" hidden="1" customWidth="1"/>
    <col min="6" max="6" width="59.44140625" style="72" customWidth="1"/>
    <col min="7" max="7" width="46.109375" style="72" bestFit="1" customWidth="1"/>
    <col min="8" max="9" width="10.5546875" style="75" hidden="1" customWidth="1"/>
    <col min="10" max="10" width="41.44140625" style="72" hidden="1" customWidth="1"/>
    <col min="11" max="11" width="26.88671875" style="72" customWidth="1"/>
    <col min="12" max="12" width="24.88671875" style="72" bestFit="1" customWidth="1"/>
    <col min="13" max="14" width="26.88671875" style="72" bestFit="1" customWidth="1"/>
    <col min="15" max="15" width="3.109375" style="72" hidden="1" customWidth="1"/>
    <col min="16" max="16" width="1.88671875" style="72" hidden="1" customWidth="1"/>
    <col min="17" max="17" width="10.5546875" style="75" customWidth="1"/>
    <col min="18" max="18" width="10.5546875" style="75" hidden="1" customWidth="1"/>
    <col min="19" max="19" width="30.5546875" style="72" hidden="1" customWidth="1"/>
    <col min="20" max="20" width="26.88671875" style="72" bestFit="1" customWidth="1"/>
    <col min="21" max="21" width="24.88671875" style="72" hidden="1" customWidth="1"/>
    <col min="22" max="22" width="9.88671875" style="75" hidden="1" customWidth="1"/>
    <col min="23" max="23" width="16.109375" style="72" hidden="1" customWidth="1"/>
    <col min="24" max="24" width="27.109375" style="72" bestFit="1" customWidth="1"/>
    <col min="25" max="25" width="26.88671875" style="72" bestFit="1" customWidth="1"/>
    <col min="26" max="26" width="14.88671875" style="72" hidden="1" customWidth="1"/>
    <col min="27" max="27" width="24.88671875" style="72" hidden="1" customWidth="1"/>
    <col min="28" max="28" width="38.109375" style="72" hidden="1" customWidth="1"/>
    <col min="29" max="29" width="14.109375" style="72" hidden="1" customWidth="1"/>
    <col min="30" max="30" width="7.88671875" style="72" hidden="1" customWidth="1"/>
    <col min="31" max="31" width="6.88671875" style="72" hidden="1" customWidth="1"/>
    <col min="32" max="32" width="1.109375" style="72" hidden="1" customWidth="1"/>
    <col min="33" max="33" width="20.44140625" style="72" customWidth="1"/>
    <col min="34" max="34" width="25.33203125" style="72" customWidth="1"/>
    <col min="35" max="35" width="8.88671875" style="204"/>
    <col min="36" max="36" width="21.109375" style="72" customWidth="1"/>
    <col min="37" max="16384" width="8.88671875" style="72"/>
  </cols>
  <sheetData>
    <row r="1" spans="1:34" ht="49.5" customHeight="1" x14ac:dyDescent="0.4">
      <c r="B1" s="73"/>
      <c r="C1" s="74"/>
      <c r="D1" s="74"/>
      <c r="F1" s="212" t="s">
        <v>118</v>
      </c>
      <c r="G1" s="212"/>
    </row>
    <row r="2" spans="1:34" ht="24.75" customHeight="1" x14ac:dyDescent="0.4">
      <c r="B2" s="75"/>
      <c r="D2" s="74"/>
      <c r="F2" s="213" t="s">
        <v>0</v>
      </c>
      <c r="G2" s="213"/>
    </row>
    <row r="3" spans="1:34" ht="22.2" x14ac:dyDescent="0.4">
      <c r="B3" s="76"/>
      <c r="F3" s="77"/>
      <c r="G3" s="77"/>
    </row>
    <row r="4" spans="1:34" ht="22.2" x14ac:dyDescent="0.4">
      <c r="F4" s="78" t="s">
        <v>270</v>
      </c>
      <c r="G4" s="79">
        <v>49</v>
      </c>
    </row>
    <row r="5" spans="1:34" ht="22.2" x14ac:dyDescent="0.4">
      <c r="F5" s="80" t="s">
        <v>271</v>
      </c>
      <c r="G5" s="81" t="s">
        <v>120</v>
      </c>
    </row>
    <row r="6" spans="1:34" ht="22.2" x14ac:dyDescent="0.4">
      <c r="D6" s="72" t="s">
        <v>105</v>
      </c>
      <c r="F6" s="80" t="s">
        <v>272</v>
      </c>
      <c r="G6" s="82" t="s">
        <v>121</v>
      </c>
    </row>
    <row r="7" spans="1:34" ht="21.75" customHeight="1" x14ac:dyDescent="0.4">
      <c r="F7" s="80" t="s">
        <v>273</v>
      </c>
      <c r="G7" s="82" t="s">
        <v>122</v>
      </c>
      <c r="J7" s="72" t="s">
        <v>117</v>
      </c>
    </row>
    <row r="8" spans="1:34" ht="22.2" x14ac:dyDescent="0.4">
      <c r="F8" s="80" t="s">
        <v>274</v>
      </c>
      <c r="G8" s="83" t="s">
        <v>123</v>
      </c>
    </row>
    <row r="9" spans="1:34" ht="22.2" x14ac:dyDescent="0.4">
      <c r="F9" s="80" t="s">
        <v>275</v>
      </c>
      <c r="G9" s="82" t="s">
        <v>222</v>
      </c>
      <c r="J9" s="72" t="s">
        <v>105</v>
      </c>
    </row>
    <row r="10" spans="1:34" ht="27" customHeight="1" x14ac:dyDescent="0.4">
      <c r="F10" s="80" t="s">
        <v>276</v>
      </c>
      <c r="G10" s="82" t="s">
        <v>124</v>
      </c>
    </row>
    <row r="11" spans="1:34" ht="22.2" x14ac:dyDescent="0.4">
      <c r="F11" s="84" t="s">
        <v>277</v>
      </c>
      <c r="G11" s="85" t="s">
        <v>119</v>
      </c>
    </row>
    <row r="12" spans="1:34" ht="45" hidden="1" thickBot="1" x14ac:dyDescent="0.45">
      <c r="B12" s="86"/>
      <c r="M12" s="87"/>
      <c r="Q12" s="214" t="s">
        <v>1</v>
      </c>
      <c r="R12" s="215"/>
      <c r="S12" s="215"/>
      <c r="T12" s="248"/>
      <c r="U12" s="217" t="s">
        <v>2</v>
      </c>
      <c r="V12" s="218"/>
      <c r="W12" s="218"/>
      <c r="X12" s="249"/>
      <c r="Y12" s="88" t="s">
        <v>56</v>
      </c>
      <c r="Z12" s="189">
        <f>(1/(1-M14))-1</f>
        <v>0.20962864400629</v>
      </c>
      <c r="AC12" s="220" t="s">
        <v>3</v>
      </c>
      <c r="AD12" s="221"/>
      <c r="AE12" s="250"/>
      <c r="AG12" s="210" t="s">
        <v>58</v>
      </c>
      <c r="AH12" s="211"/>
    </row>
    <row r="13" spans="1:34" ht="22.8" thickBot="1" x14ac:dyDescent="0.45">
      <c r="A13" s="92" t="s">
        <v>4</v>
      </c>
      <c r="B13" s="93" t="s">
        <v>5</v>
      </c>
      <c r="C13" s="92" t="s">
        <v>6</v>
      </c>
      <c r="D13" s="92" t="s">
        <v>7</v>
      </c>
      <c r="E13" s="92" t="s">
        <v>8</v>
      </c>
      <c r="M13" s="94">
        <v>0.81</v>
      </c>
    </row>
    <row r="14" spans="1:34" ht="67.2" thickBot="1" x14ac:dyDescent="0.45">
      <c r="A14" s="95">
        <v>0</v>
      </c>
      <c r="B14" s="96"/>
      <c r="C14" s="97"/>
      <c r="D14" s="98"/>
      <c r="E14" s="98"/>
      <c r="F14" s="99" t="s">
        <v>83</v>
      </c>
      <c r="G14" s="100" t="s">
        <v>84</v>
      </c>
      <c r="H14" s="101" t="s">
        <v>85</v>
      </c>
      <c r="I14" s="101" t="s">
        <v>86</v>
      </c>
      <c r="J14" s="102" t="s">
        <v>87</v>
      </c>
      <c r="K14" s="103" t="s">
        <v>9</v>
      </c>
      <c r="L14" s="104">
        <v>0.08</v>
      </c>
      <c r="M14" s="105">
        <v>0.17330000000000001</v>
      </c>
      <c r="N14" s="106" t="s">
        <v>81</v>
      </c>
      <c r="Q14" s="107" t="s">
        <v>88</v>
      </c>
      <c r="R14" s="108" t="s">
        <v>89</v>
      </c>
      <c r="S14" s="109" t="s">
        <v>90</v>
      </c>
      <c r="T14" s="110" t="s">
        <v>91</v>
      </c>
      <c r="U14" s="111" t="s">
        <v>92</v>
      </c>
      <c r="V14" s="112" t="s">
        <v>93</v>
      </c>
      <c r="W14" s="113" t="s">
        <v>94</v>
      </c>
      <c r="X14" s="113" t="s">
        <v>95</v>
      </c>
      <c r="Y14" s="114" t="s">
        <v>96</v>
      </c>
      <c r="Z14" s="115" t="s">
        <v>97</v>
      </c>
      <c r="AA14" s="116" t="s">
        <v>82</v>
      </c>
      <c r="AC14" s="117" t="s">
        <v>98</v>
      </c>
      <c r="AD14" s="118" t="s">
        <v>99</v>
      </c>
      <c r="AE14" s="118" t="s">
        <v>33</v>
      </c>
      <c r="AG14" s="119" t="s">
        <v>101</v>
      </c>
      <c r="AH14" s="120" t="s">
        <v>102</v>
      </c>
    </row>
    <row r="15" spans="1:34" ht="30" customHeight="1" thickBot="1" x14ac:dyDescent="0.5">
      <c r="A15" s="98">
        <v>1</v>
      </c>
      <c r="B15" s="122">
        <v>1</v>
      </c>
      <c r="C15" s="123" t="s">
        <v>125</v>
      </c>
      <c r="D15" s="98"/>
      <c r="E15" s="98"/>
      <c r="F15" s="231" t="s">
        <v>162</v>
      </c>
      <c r="G15" s="232"/>
      <c r="H15" s="232"/>
      <c r="I15" s="232"/>
      <c r="J15" s="232"/>
      <c r="K15" s="232"/>
      <c r="L15" s="232"/>
      <c r="M15" s="232"/>
      <c r="N15" s="251"/>
      <c r="Q15" s="234" t="str">
        <f>IF(F15&lt;&gt;"",F15,"")</f>
        <v>BRINDES</v>
      </c>
      <c r="R15" s="235"/>
      <c r="S15" s="235"/>
      <c r="T15" s="235"/>
      <c r="U15" s="235"/>
      <c r="V15" s="235"/>
      <c r="W15" s="235"/>
      <c r="X15" s="235"/>
      <c r="Y15" s="236"/>
    </row>
    <row r="16" spans="1:34" ht="30" customHeight="1" x14ac:dyDescent="0.45">
      <c r="A16" s="98">
        <v>2</v>
      </c>
      <c r="B16" s="122" t="s">
        <v>128</v>
      </c>
      <c r="C16" s="123" t="s">
        <v>127</v>
      </c>
      <c r="D16" s="98"/>
      <c r="E16" s="98"/>
      <c r="F16" s="227" t="s">
        <v>162</v>
      </c>
      <c r="G16" s="228"/>
      <c r="H16" s="228"/>
      <c r="I16" s="228"/>
      <c r="J16" s="228"/>
      <c r="K16" s="229"/>
      <c r="L16" s="124" t="s">
        <v>129</v>
      </c>
      <c r="M16" s="125" t="s">
        <v>130</v>
      </c>
      <c r="N16" s="190" t="s">
        <v>81</v>
      </c>
      <c r="Q16" s="225" t="str">
        <f>IF(F16&lt;&gt;"",F16,"")</f>
        <v>BRINDES</v>
      </c>
      <c r="R16" s="226"/>
      <c r="S16" s="226"/>
      <c r="T16" s="226"/>
      <c r="U16" s="226"/>
      <c r="V16" s="226"/>
      <c r="W16" s="226"/>
      <c r="X16" s="226"/>
      <c r="Y16" s="230"/>
      <c r="Z16" s="127" t="s">
        <v>131</v>
      </c>
      <c r="AA16" s="128" t="s">
        <v>82</v>
      </c>
    </row>
    <row r="17" spans="1:35" ht="99.9" customHeight="1" x14ac:dyDescent="0.4">
      <c r="A17" s="98">
        <v>3</v>
      </c>
      <c r="B17" s="122" t="s">
        <v>134</v>
      </c>
      <c r="C17" s="123" t="s">
        <v>133</v>
      </c>
      <c r="D17" s="98" t="s">
        <v>224</v>
      </c>
      <c r="E17" s="98" t="s">
        <v>223</v>
      </c>
      <c r="F17" s="160" t="s">
        <v>251</v>
      </c>
      <c r="G17" s="191" t="s">
        <v>251</v>
      </c>
      <c r="H17" s="132">
        <v>1</v>
      </c>
      <c r="I17" s="132">
        <v>1</v>
      </c>
      <c r="J17" s="171">
        <f>[1]Principal!$K$27</f>
        <v>15951.5</v>
      </c>
      <c r="K17" s="133">
        <f t="shared" ref="K17" si="0">IF(F17&lt;&gt;"",H17*I17*J17,"")</f>
        <v>15951.5</v>
      </c>
      <c r="L17" s="133">
        <f t="shared" ref="L17" si="1">IF(K17&lt;&gt;"",IF(D17="INTERNO",0,K17*$L$14),"")</f>
        <v>1276.1200000000001</v>
      </c>
      <c r="M17" s="133">
        <f t="shared" ref="M17" si="2">IF(K17&lt;&gt;"",IF(E17="FAT.OGGI",SUM(K17:L17)*(1/(1-$M$14)-1),L17*(1/(1-$M$14)-1)),0)</f>
        <v>3611.4026200556414</v>
      </c>
      <c r="N17" s="134">
        <f t="shared" ref="N17" si="3">SUM(K17:M17)</f>
        <v>20839.022620055639</v>
      </c>
      <c r="Q17" s="135">
        <f t="shared" ref="Q17:R17" si="4">IF(H17&lt;&gt;"",H17,"")</f>
        <v>1</v>
      </c>
      <c r="R17" s="136">
        <f t="shared" si="4"/>
        <v>1</v>
      </c>
      <c r="S17" s="137">
        <f>[1]Principal!$T$27 + 150</f>
        <v>13530.8</v>
      </c>
      <c r="T17" s="137">
        <v>6279.4</v>
      </c>
      <c r="U17" s="138">
        <f t="shared" ref="U17" si="5">IF(Q17&lt;&gt;"",K17-T17,"")</f>
        <v>9672.1</v>
      </c>
      <c r="V17" s="139">
        <f t="shared" ref="V17" si="6">IF(Q17&lt;&gt;"",0%,"")</f>
        <v>0</v>
      </c>
      <c r="W17" s="140">
        <f t="shared" ref="W17" si="7">IF(Q17&lt;&gt;"",V17*U17,"")</f>
        <v>0</v>
      </c>
      <c r="X17" s="140">
        <f t="shared" ref="X17" si="8">IF(Q17&lt;&gt;"",W17+T17,"")</f>
        <v>6279.4</v>
      </c>
      <c r="Y17" s="141">
        <f>X17</f>
        <v>6279.4</v>
      </c>
      <c r="Z17" s="142">
        <f t="shared" ref="Z17" si="9">IF(Q17&lt;&gt;"", IFERROR(U17/K17, 0), 0)</f>
        <v>0.6063442309500674</v>
      </c>
      <c r="AA17" s="143">
        <f>IFERROR(T17/$T$18, "")</f>
        <v>1</v>
      </c>
      <c r="AG17" s="182">
        <f>Y17-AH17</f>
        <v>0</v>
      </c>
      <c r="AH17" s="184">
        <f>2097.5+2097.5+280+1237.5+566.9</f>
        <v>6279.4</v>
      </c>
      <c r="AI17" s="204" t="s">
        <v>350</v>
      </c>
    </row>
    <row r="18" spans="1:35" ht="30" customHeight="1" thickBot="1" x14ac:dyDescent="0.5">
      <c r="A18" s="98">
        <v>4</v>
      </c>
      <c r="B18" s="122"/>
      <c r="C18" s="123" t="s">
        <v>145</v>
      </c>
      <c r="D18" s="98"/>
      <c r="E18" s="98"/>
      <c r="F18" s="223" t="s">
        <v>167</v>
      </c>
      <c r="G18" s="224"/>
      <c r="H18" s="224"/>
      <c r="I18" s="224"/>
      <c r="J18" s="224"/>
      <c r="K18" s="146">
        <f>SUM(K17:K17)</f>
        <v>15951.5</v>
      </c>
      <c r="L18" s="146">
        <f>SUM(L17:L17)</f>
        <v>1276.1200000000001</v>
      </c>
      <c r="M18" s="146">
        <f>SUM(M17:M17)</f>
        <v>3611.4026200556414</v>
      </c>
      <c r="N18" s="192">
        <f>SUM(N17:N17)</f>
        <v>20839.022620055639</v>
      </c>
      <c r="Q18" s="225" t="s">
        <v>160</v>
      </c>
      <c r="R18" s="226"/>
      <c r="S18" s="226"/>
      <c r="T18" s="148">
        <f>SUM(T17:T17)</f>
        <v>6279.4</v>
      </c>
      <c r="U18" s="149">
        <f>SUM(U17:U17)</f>
        <v>9672.1</v>
      </c>
      <c r="V18" s="150"/>
      <c r="W18" s="151"/>
      <c r="X18" s="152">
        <f>SUM(X17:X17)</f>
        <v>6279.4</v>
      </c>
      <c r="Y18" s="153">
        <f t="shared" ref="Y18" si="10">IF(Q18&lt;&gt;"",X18+M18,"")</f>
        <v>9890.8026200556415</v>
      </c>
    </row>
    <row r="19" spans="1:35" ht="30" customHeight="1" x14ac:dyDescent="0.45">
      <c r="A19" s="98">
        <v>5</v>
      </c>
      <c r="B19" s="122">
        <v>2</v>
      </c>
      <c r="C19" s="123" t="s">
        <v>125</v>
      </c>
      <c r="D19" s="98"/>
      <c r="E19" s="98"/>
      <c r="F19" s="231" t="s">
        <v>168</v>
      </c>
      <c r="G19" s="232"/>
      <c r="H19" s="232"/>
      <c r="I19" s="232"/>
      <c r="J19" s="232"/>
      <c r="K19" s="232"/>
      <c r="L19" s="232"/>
      <c r="M19" s="232"/>
      <c r="N19" s="251"/>
      <c r="Q19" s="234" t="str">
        <f>IF(F19&lt;&gt;"",F19,"")</f>
        <v>A&amp;B</v>
      </c>
      <c r="R19" s="235"/>
      <c r="S19" s="235"/>
      <c r="T19" s="235"/>
      <c r="U19" s="235"/>
      <c r="V19" s="235"/>
      <c r="W19" s="235"/>
      <c r="X19" s="235"/>
      <c r="Y19" s="236"/>
    </row>
    <row r="20" spans="1:35" ht="30" customHeight="1" x14ac:dyDescent="0.45">
      <c r="A20" s="98">
        <v>6</v>
      </c>
      <c r="B20" s="122" t="s">
        <v>151</v>
      </c>
      <c r="C20" s="123" t="s">
        <v>127</v>
      </c>
      <c r="D20" s="98"/>
      <c r="E20" s="98"/>
      <c r="F20" s="243" t="s">
        <v>168</v>
      </c>
      <c r="G20" s="244"/>
      <c r="H20" s="244"/>
      <c r="I20" s="244"/>
      <c r="J20" s="244"/>
      <c r="K20" s="245"/>
      <c r="L20" s="173" t="s">
        <v>129</v>
      </c>
      <c r="M20" s="174" t="s">
        <v>130</v>
      </c>
      <c r="N20" s="193" t="s">
        <v>81</v>
      </c>
      <c r="Q20" s="225" t="str">
        <f>IF(F20&lt;&gt;"",F20,"")</f>
        <v>A&amp;B</v>
      </c>
      <c r="R20" s="226"/>
      <c r="S20" s="226"/>
      <c r="T20" s="226"/>
      <c r="U20" s="226"/>
      <c r="V20" s="226"/>
      <c r="W20" s="226"/>
      <c r="X20" s="226"/>
      <c r="Y20" s="230"/>
      <c r="Z20" s="127" t="s">
        <v>131</v>
      </c>
      <c r="AA20" s="128" t="s">
        <v>82</v>
      </c>
    </row>
    <row r="21" spans="1:35" ht="99.9" customHeight="1" x14ac:dyDescent="0.4">
      <c r="A21" s="98">
        <v>7</v>
      </c>
      <c r="B21" s="122" t="s">
        <v>152</v>
      </c>
      <c r="C21" s="123" t="s">
        <v>133</v>
      </c>
      <c r="D21" s="98" t="s">
        <v>224</v>
      </c>
      <c r="E21" s="98" t="s">
        <v>223</v>
      </c>
      <c r="F21" s="160" t="s">
        <v>252</v>
      </c>
      <c r="G21" s="145" t="s">
        <v>316</v>
      </c>
      <c r="H21" s="132">
        <v>1</v>
      </c>
      <c r="I21" s="132">
        <v>1</v>
      </c>
      <c r="J21" s="171">
        <v>481.25</v>
      </c>
      <c r="K21" s="133">
        <f>IF(F21&lt;&gt;"",H21*I21*J21,"")</f>
        <v>481.25</v>
      </c>
      <c r="L21" s="133">
        <f>IF(K21&lt;&gt;"",IF(D21="INTERNO",0,K21*$L$14),"")</f>
        <v>38.5</v>
      </c>
      <c r="M21" s="133">
        <f>IF(K21&lt;&gt;"",IF(E21="FAT.OGGI",SUM(K21:L21)*(1/(1-$M$14)-1),L21*(1/(1-$M$14)-1)),0)</f>
        <v>108.95448772226922</v>
      </c>
      <c r="N21" s="134">
        <f>SUM(K21:M21)</f>
        <v>628.70448772226928</v>
      </c>
      <c r="Q21" s="135">
        <f t="shared" ref="Q21:R21" si="11">IF(H21&lt;&gt;"",H21,"")</f>
        <v>1</v>
      </c>
      <c r="R21" s="136">
        <f t="shared" si="11"/>
        <v>1</v>
      </c>
      <c r="S21" s="137">
        <v>385</v>
      </c>
      <c r="T21" s="137">
        <v>0</v>
      </c>
      <c r="U21" s="138">
        <f>IF(Q21&lt;&gt;"",K21-T21,"")</f>
        <v>481.25</v>
      </c>
      <c r="V21" s="139">
        <f>IF(Q21&lt;&gt;"",0%,"")</f>
        <v>0</v>
      </c>
      <c r="W21" s="140">
        <f>IF(Q21&lt;&gt;"",V21*U21,"")</f>
        <v>0</v>
      </c>
      <c r="X21" s="140">
        <f>IF(Q21&lt;&gt;"",W21+T21,"")</f>
        <v>0</v>
      </c>
      <c r="Y21" s="141">
        <v>0</v>
      </c>
      <c r="Z21" s="142">
        <f>IF(Q21&lt;&gt;"", IFERROR(U21/K21, 0), 0)</f>
        <v>1</v>
      </c>
      <c r="AG21" s="182">
        <f>Y21-AH21</f>
        <v>0</v>
      </c>
      <c r="AH21" s="144"/>
    </row>
    <row r="22" spans="1:35" ht="30" customHeight="1" thickBot="1" x14ac:dyDescent="0.5">
      <c r="A22" s="98">
        <v>8</v>
      </c>
      <c r="B22" s="122"/>
      <c r="C22" s="123" t="s">
        <v>145</v>
      </c>
      <c r="D22" s="98"/>
      <c r="E22" s="98"/>
      <c r="F22" s="246" t="s">
        <v>172</v>
      </c>
      <c r="G22" s="247"/>
      <c r="H22" s="247"/>
      <c r="I22" s="247"/>
      <c r="J22" s="247"/>
      <c r="K22" s="161">
        <f>SUM(K21:K21)</f>
        <v>481.25</v>
      </c>
      <c r="L22" s="161">
        <f>SUM(L21:L21)</f>
        <v>38.5</v>
      </c>
      <c r="M22" s="161">
        <f>SUM(M21:M21)</f>
        <v>108.95448772226922</v>
      </c>
      <c r="N22" s="162">
        <f>SUM(N21:N21)</f>
        <v>628.70448772226928</v>
      </c>
      <c r="Q22" s="225" t="s">
        <v>171</v>
      </c>
      <c r="R22" s="226"/>
      <c r="S22" s="226"/>
      <c r="T22" s="148">
        <f>SUM(T21:T21)</f>
        <v>0</v>
      </c>
      <c r="U22" s="149">
        <f>SUM(U21:U21)</f>
        <v>481.25</v>
      </c>
      <c r="V22" s="150"/>
      <c r="W22" s="151"/>
      <c r="X22" s="152">
        <f>SUM(X21:X21)</f>
        <v>0</v>
      </c>
      <c r="Y22" s="153">
        <f t="shared" ref="Y22:Y23" si="12">IF(Q22&lt;&gt;"",X22+M22,"")</f>
        <v>108.95448772226922</v>
      </c>
    </row>
    <row r="23" spans="1:35" ht="30" customHeight="1" thickBot="1" x14ac:dyDescent="0.5">
      <c r="A23" s="98">
        <v>9</v>
      </c>
      <c r="B23" s="122"/>
      <c r="C23" s="123" t="s">
        <v>148</v>
      </c>
      <c r="D23" s="98"/>
      <c r="E23" s="98"/>
      <c r="F23" s="239" t="s">
        <v>172</v>
      </c>
      <c r="G23" s="240"/>
      <c r="H23" s="240"/>
      <c r="I23" s="240"/>
      <c r="J23" s="240"/>
      <c r="K23" s="163">
        <f>SUM(K21:K21)</f>
        <v>481.25</v>
      </c>
      <c r="L23" s="163">
        <f>SUM(L21:L21)</f>
        <v>38.5</v>
      </c>
      <c r="M23" s="163">
        <f>SUM(M21:M21)</f>
        <v>108.95448772226922</v>
      </c>
      <c r="N23" s="194">
        <f>SUM(N21:N21)</f>
        <v>628.70448772226928</v>
      </c>
      <c r="Q23" s="241" t="s">
        <v>172</v>
      </c>
      <c r="R23" s="242"/>
      <c r="S23" s="242"/>
      <c r="T23" s="165">
        <f>SUM(T21:T21)</f>
        <v>0</v>
      </c>
      <c r="U23" s="166">
        <f>SUM(U21:U21)</f>
        <v>481.25</v>
      </c>
      <c r="V23" s="167"/>
      <c r="W23" s="168"/>
      <c r="X23" s="169">
        <f>SUM(X21:X21)</f>
        <v>0</v>
      </c>
      <c r="Y23" s="170">
        <f t="shared" si="12"/>
        <v>108.95448772226922</v>
      </c>
    </row>
    <row r="24" spans="1:35" ht="30" customHeight="1" thickBot="1" x14ac:dyDescent="0.45">
      <c r="A24" s="98">
        <v>10</v>
      </c>
      <c r="B24" s="180"/>
      <c r="C24" s="123" t="s">
        <v>189</v>
      </c>
      <c r="D24" s="98"/>
      <c r="E24" s="98"/>
      <c r="F24" s="32" t="s">
        <v>190</v>
      </c>
      <c r="G24" s="33"/>
      <c r="H24" s="38"/>
      <c r="I24" s="38"/>
      <c r="J24" s="33"/>
      <c r="K24" s="34">
        <f>SUM(K17:K17)+SUM(K21:K21)</f>
        <v>16432.75</v>
      </c>
      <c r="L24" s="31">
        <f>SUM(L17:L17)+SUM(L21:L21)</f>
        <v>1314.6200000000001</v>
      </c>
      <c r="M24" s="31">
        <f>SUM(M17:M17)+SUM(M21:M21)</f>
        <v>3720.3571077779106</v>
      </c>
      <c r="N24" s="35">
        <f>SUM(N17:N17)+SUM(N21:N21)</f>
        <v>21467.727107777908</v>
      </c>
      <c r="Q24" s="39" t="s">
        <v>43</v>
      </c>
      <c r="R24" s="38"/>
      <c r="S24" s="33"/>
      <c r="T24" s="34">
        <f>SUM(T17:T17)+SUM(T21:T21)</f>
        <v>6279.4</v>
      </c>
      <c r="U24" s="34">
        <f>SUM(U17:U17)+SUM(U21:U21)</f>
        <v>10153.35</v>
      </c>
      <c r="V24" s="38"/>
      <c r="W24" s="33"/>
      <c r="X24" s="34">
        <f>SUM(X17:X17)+SUM(X21:X21)</f>
        <v>6279.4</v>
      </c>
      <c r="Y24" s="35">
        <f>SUM(Y17:Y17)+SUM(Y21:Y21)</f>
        <v>6279.4</v>
      </c>
      <c r="Z24" s="36">
        <f>IF(Q24&lt;&gt;"",(N24-Y24)/N24,"")</f>
        <v>0.70749581599977907</v>
      </c>
      <c r="AA24" s="37">
        <f>IF(Z24&lt;&gt;"",(N24-Y24),"")</f>
        <v>15188.327107777908</v>
      </c>
      <c r="AG24" s="182">
        <f>SUM(AG17:AG23)</f>
        <v>0</v>
      </c>
      <c r="AH24" s="184">
        <f>SUM(AH17:AH23)</f>
        <v>6279.4</v>
      </c>
    </row>
    <row r="25" spans="1:35" x14ac:dyDescent="0.4">
      <c r="Z25" s="181"/>
    </row>
  </sheetData>
  <autoFilter ref="A1:AH14" xr:uid="{107B9E09-8154-459A-AE62-6A4242823A27}">
    <filterColumn colId="5" showButton="0"/>
  </autoFilter>
  <mergeCells count="20">
    <mergeCell ref="F23:J23"/>
    <mergeCell ref="Q23:S23"/>
    <mergeCell ref="F19:N19"/>
    <mergeCell ref="Q19:Y19"/>
    <mergeCell ref="F20:K20"/>
    <mergeCell ref="Q20:Y20"/>
    <mergeCell ref="F22:J22"/>
    <mergeCell ref="Q22:S22"/>
    <mergeCell ref="F15:N15"/>
    <mergeCell ref="Q15:Y15"/>
    <mergeCell ref="F16:K16"/>
    <mergeCell ref="Q16:Y16"/>
    <mergeCell ref="F18:J18"/>
    <mergeCell ref="Q18:S18"/>
    <mergeCell ref="AG12:AH12"/>
    <mergeCell ref="F1:G1"/>
    <mergeCell ref="F2:G2"/>
    <mergeCell ref="Q12:T12"/>
    <mergeCell ref="U12:X12"/>
    <mergeCell ref="AC12:AE12"/>
  </mergeCells>
  <dataValidations count="3">
    <dataValidation type="list" allowBlank="1" showInputMessage="1" showErrorMessage="1" sqref="D24 D17 D21" xr:uid="{7405B09F-5EE0-4750-A354-4D428B56747F}">
      <formula1>"INTERNO,OPERACIONAL"</formula1>
    </dataValidation>
    <dataValidation type="list" allowBlank="1" showInputMessage="1" showErrorMessage="1" sqref="E17 E21" xr:uid="{2ED713EF-F16D-4F31-B3C4-89F73B2A4471}">
      <formula1>"FAT.OGGI,FAT.CLIENTE"</formula1>
    </dataValidation>
    <dataValidation type="list" allowBlank="1" showInputMessage="1" showErrorMessage="1" sqref="E24" xr:uid="{0A41503C-A7A5-43E6-B44A-F91A262DC3A0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D6A5C-5E8A-4CBD-98DA-61A778970FF5}">
  <dimension ref="H3:I24"/>
  <sheetViews>
    <sheetView workbookViewId="0">
      <selection activeCell="I25" sqref="I25"/>
    </sheetView>
  </sheetViews>
  <sheetFormatPr defaultRowHeight="14.4" x14ac:dyDescent="0.3"/>
  <cols>
    <col min="8" max="8" width="16.44140625" bestFit="1" customWidth="1"/>
    <col min="9" max="9" width="13.33203125" style="71" bestFit="1" customWidth="1"/>
  </cols>
  <sheetData>
    <row r="3" spans="8:9" x14ac:dyDescent="0.3">
      <c r="H3" s="69" t="s">
        <v>265</v>
      </c>
      <c r="I3" s="70" t="s">
        <v>9</v>
      </c>
    </row>
    <row r="4" spans="8:9" x14ac:dyDescent="0.3">
      <c r="H4" t="s">
        <v>267</v>
      </c>
      <c r="I4" s="71">
        <v>115.1</v>
      </c>
    </row>
    <row r="5" spans="8:9" x14ac:dyDescent="0.3">
      <c r="H5" t="s">
        <v>266</v>
      </c>
      <c r="I5" s="71">
        <v>158.68</v>
      </c>
    </row>
    <row r="6" spans="8:9" x14ac:dyDescent="0.3">
      <c r="H6" t="s">
        <v>266</v>
      </c>
      <c r="I6" s="71">
        <v>348.89</v>
      </c>
    </row>
    <row r="7" spans="8:9" x14ac:dyDescent="0.3">
      <c r="H7" t="s">
        <v>269</v>
      </c>
      <c r="I7" s="71">
        <v>470.09</v>
      </c>
    </row>
    <row r="8" spans="8:9" x14ac:dyDescent="0.3">
      <c r="H8" t="s">
        <v>268</v>
      </c>
      <c r="I8" s="71">
        <v>538.45000000000005</v>
      </c>
    </row>
    <row r="9" spans="8:9" x14ac:dyDescent="0.3">
      <c r="H9" t="s">
        <v>269</v>
      </c>
      <c r="I9" s="71">
        <v>689.57</v>
      </c>
    </row>
    <row r="10" spans="8:9" x14ac:dyDescent="0.3">
      <c r="H10" t="s">
        <v>266</v>
      </c>
      <c r="I10" s="71">
        <v>1038.7</v>
      </c>
    </row>
    <row r="11" spans="8:9" x14ac:dyDescent="0.3">
      <c r="H11" t="s">
        <v>267</v>
      </c>
      <c r="I11" s="71">
        <v>3723.14</v>
      </c>
    </row>
    <row r="12" spans="8:9" x14ac:dyDescent="0.3">
      <c r="H12" t="s">
        <v>267</v>
      </c>
      <c r="I12" s="71">
        <v>5000</v>
      </c>
    </row>
    <row r="13" spans="8:9" x14ac:dyDescent="0.3">
      <c r="H13" t="s">
        <v>267</v>
      </c>
      <c r="I13" s="71">
        <v>2649.95</v>
      </c>
    </row>
    <row r="14" spans="8:9" x14ac:dyDescent="0.3">
      <c r="H14" t="s">
        <v>321</v>
      </c>
      <c r="I14" s="71">
        <v>656.25</v>
      </c>
    </row>
    <row r="15" spans="8:9" x14ac:dyDescent="0.3">
      <c r="H15" t="s">
        <v>336</v>
      </c>
      <c r="I15" s="71">
        <v>998.42</v>
      </c>
    </row>
    <row r="16" spans="8:9" x14ac:dyDescent="0.3">
      <c r="H16" t="s">
        <v>327</v>
      </c>
      <c r="I16" s="71">
        <v>11503</v>
      </c>
    </row>
    <row r="17" spans="8:9" x14ac:dyDescent="0.3">
      <c r="H17" t="s">
        <v>346</v>
      </c>
      <c r="I17" s="71">
        <v>150</v>
      </c>
    </row>
    <row r="18" spans="8:9" x14ac:dyDescent="0.3">
      <c r="H18" t="s">
        <v>347</v>
      </c>
      <c r="I18" s="71">
        <v>291.8</v>
      </c>
    </row>
    <row r="19" spans="8:9" x14ac:dyDescent="0.3">
      <c r="H19" t="s">
        <v>348</v>
      </c>
      <c r="I19" s="71">
        <v>918</v>
      </c>
    </row>
    <row r="20" spans="8:9" x14ac:dyDescent="0.3">
      <c r="H20" t="s">
        <v>349</v>
      </c>
      <c r="I20" s="71">
        <v>1000.33</v>
      </c>
    </row>
    <row r="21" spans="8:9" x14ac:dyDescent="0.3">
      <c r="H21" t="s">
        <v>321</v>
      </c>
      <c r="I21" s="71">
        <v>400</v>
      </c>
    </row>
    <row r="24" spans="8:9" x14ac:dyDescent="0.3">
      <c r="I24" s="203">
        <f>SUM(I4:I23)</f>
        <v>30650.37</v>
      </c>
    </row>
  </sheetData>
  <autoFilter ref="H3:I3" xr:uid="{CCED6A5C-5E8A-4CBD-98DA-61A778970FF5}">
    <sortState xmlns:xlrd2="http://schemas.microsoft.com/office/spreadsheetml/2017/richdata2" ref="H4:I11">
      <sortCondition ref="I3"/>
    </sortState>
  </autoFilter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8"/>
  <sheetViews>
    <sheetView zoomScale="70" zoomScaleNormal="70" workbookViewId="0">
      <selection activeCell="E18" sqref="E18"/>
    </sheetView>
  </sheetViews>
  <sheetFormatPr defaultColWidth="46.10937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7" width="20.88671875" bestFit="1" customWidth="1"/>
    <col min="8" max="8" width="11.88671875" bestFit="1" customWidth="1"/>
    <col min="9" max="9" width="13.109375" customWidth="1"/>
  </cols>
  <sheetData>
    <row r="8" spans="1:12" ht="16.2" x14ac:dyDescent="0.35">
      <c r="A8" s="24" t="s">
        <v>48</v>
      </c>
      <c r="B8" s="24" t="s">
        <v>49</v>
      </c>
      <c r="C8" s="24" t="s">
        <v>50</v>
      </c>
      <c r="D8" s="24" t="s">
        <v>51</v>
      </c>
      <c r="E8" s="24" t="s">
        <v>52</v>
      </c>
      <c r="F8" s="24" t="s">
        <v>53</v>
      </c>
      <c r="G8" s="25" t="s">
        <v>46</v>
      </c>
      <c r="H8" s="25" t="s">
        <v>47</v>
      </c>
      <c r="I8" s="25" t="s">
        <v>9</v>
      </c>
      <c r="J8" s="25" t="s">
        <v>10</v>
      </c>
      <c r="K8" s="25" t="s">
        <v>54</v>
      </c>
      <c r="L8" s="25" t="s">
        <v>55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109375" customWidth="1"/>
    <col min="2" max="3" width="20.109375" customWidth="1"/>
    <col min="4" max="4" width="40.44140625" customWidth="1"/>
    <col min="5" max="5" width="17.88671875" customWidth="1"/>
    <col min="6" max="7" width="15.109375" customWidth="1"/>
    <col min="8" max="8" width="25.109375" customWidth="1"/>
    <col min="9" max="10" width="15.109375" customWidth="1"/>
    <col min="11" max="11" width="10.109375" customWidth="1"/>
    <col min="12" max="12" width="15.109375" customWidth="1"/>
    <col min="13" max="13" width="12.88671875" customWidth="1"/>
    <col min="14" max="14" width="15.109375" customWidth="1"/>
    <col min="15" max="15" width="40.44140625" customWidth="1"/>
  </cols>
  <sheetData>
    <row r="1" spans="1:15" ht="15" x14ac:dyDescent="0.3">
      <c r="A1" s="253" t="s">
        <v>11</v>
      </c>
      <c r="B1" s="253"/>
      <c r="C1" s="253"/>
      <c r="D1" s="255" t="s">
        <v>60</v>
      </c>
      <c r="E1" s="255"/>
      <c r="F1" s="255"/>
      <c r="G1" s="255"/>
      <c r="H1" s="255"/>
      <c r="I1" s="255"/>
      <c r="J1" s="26" t="s">
        <v>11</v>
      </c>
      <c r="K1" s="26" t="s">
        <v>11</v>
      </c>
      <c r="L1" s="26" t="s">
        <v>11</v>
      </c>
      <c r="M1" s="26" t="s">
        <v>11</v>
      </c>
      <c r="N1" s="26" t="s">
        <v>11</v>
      </c>
      <c r="O1" s="27" t="s">
        <v>11</v>
      </c>
    </row>
    <row r="2" spans="1:15" x14ac:dyDescent="0.3">
      <c r="A2" s="254"/>
      <c r="B2" s="254"/>
      <c r="C2" s="254"/>
      <c r="D2" s="253" t="s">
        <v>61</v>
      </c>
      <c r="E2" s="253"/>
      <c r="F2" s="253"/>
      <c r="G2" s="253"/>
      <c r="H2" s="253"/>
      <c r="I2" s="253"/>
      <c r="J2" s="26"/>
      <c r="K2" s="26"/>
      <c r="L2" s="26"/>
      <c r="M2" s="26"/>
      <c r="N2" s="26"/>
      <c r="O2" s="256" t="s">
        <v>62</v>
      </c>
    </row>
    <row r="3" spans="1:15" x14ac:dyDescent="0.3">
      <c r="A3" s="254"/>
      <c r="B3" s="254"/>
      <c r="C3" s="254"/>
      <c r="D3" s="253" t="s">
        <v>63</v>
      </c>
      <c r="E3" s="253"/>
      <c r="F3" s="253"/>
      <c r="G3" s="253"/>
      <c r="H3" s="253"/>
      <c r="I3" s="253"/>
      <c r="J3" s="26"/>
      <c r="K3" s="26"/>
      <c r="L3" s="26"/>
      <c r="M3" s="26"/>
      <c r="N3" s="26"/>
      <c r="O3" s="257"/>
    </row>
    <row r="4" spans="1:15" x14ac:dyDescent="0.3">
      <c r="A4" s="254"/>
      <c r="B4" s="254"/>
      <c r="C4" s="254"/>
      <c r="D4" s="253" t="s">
        <v>64</v>
      </c>
      <c r="E4" s="253"/>
      <c r="F4" s="253"/>
      <c r="G4" s="253"/>
      <c r="H4" s="253"/>
      <c r="I4" s="253"/>
      <c r="J4" s="26"/>
      <c r="K4" s="26"/>
      <c r="L4" s="26"/>
      <c r="M4" s="26"/>
      <c r="N4" s="26"/>
      <c r="O4" s="257"/>
    </row>
    <row r="5" spans="1:15" x14ac:dyDescent="0.3">
      <c r="A5" s="254"/>
      <c r="B5" s="254"/>
      <c r="C5" s="254"/>
      <c r="D5" s="253" t="s">
        <v>65</v>
      </c>
      <c r="E5" s="253"/>
      <c r="F5" s="253"/>
      <c r="G5" s="253"/>
      <c r="H5" s="253"/>
      <c r="I5" s="253"/>
      <c r="J5" s="26"/>
      <c r="K5" s="26"/>
      <c r="L5" s="26"/>
      <c r="M5" s="26"/>
      <c r="N5" s="26"/>
      <c r="O5" s="257"/>
    </row>
    <row r="6" spans="1:15" x14ac:dyDescent="0.3">
      <c r="A6" s="254"/>
      <c r="B6" s="254"/>
      <c r="C6" s="254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57"/>
    </row>
    <row r="7" spans="1:15" x14ac:dyDescent="0.3">
      <c r="A7" s="254"/>
      <c r="B7" s="254"/>
      <c r="C7" s="254"/>
      <c r="D7" s="253" t="s">
        <v>66</v>
      </c>
      <c r="E7" s="253"/>
      <c r="F7" s="253"/>
      <c r="G7" s="253"/>
      <c r="H7" s="253"/>
      <c r="I7" s="253"/>
      <c r="J7" s="26"/>
      <c r="K7" s="26"/>
      <c r="L7" s="26"/>
      <c r="M7" s="26"/>
      <c r="N7" s="26"/>
      <c r="O7" s="28">
        <v>45264.482613275461</v>
      </c>
    </row>
    <row r="8" spans="1:15" x14ac:dyDescent="0.3">
      <c r="A8" s="252" t="s">
        <v>67</v>
      </c>
      <c r="B8" s="252"/>
      <c r="C8" s="252"/>
      <c r="D8" s="252"/>
      <c r="E8" s="252"/>
      <c r="F8" s="252"/>
      <c r="G8" s="252"/>
      <c r="H8" s="252"/>
      <c r="I8" s="252"/>
      <c r="J8" s="252"/>
      <c r="K8" s="252"/>
      <c r="L8" s="252"/>
      <c r="M8" s="252"/>
      <c r="N8" s="252"/>
      <c r="O8" s="252"/>
    </row>
    <row r="9" spans="1:15" ht="27.6" x14ac:dyDescent="0.3">
      <c r="A9" s="29" t="s">
        <v>68</v>
      </c>
      <c r="B9" s="29" t="s">
        <v>69</v>
      </c>
      <c r="C9" s="29" t="s">
        <v>70</v>
      </c>
      <c r="D9" s="29" t="s">
        <v>52</v>
      </c>
      <c r="E9" s="29" t="s">
        <v>71</v>
      </c>
      <c r="F9" s="29" t="s">
        <v>72</v>
      </c>
      <c r="G9" s="29" t="s">
        <v>34</v>
      </c>
      <c r="H9" s="29" t="s">
        <v>73</v>
      </c>
      <c r="I9" s="29" t="s">
        <v>74</v>
      </c>
      <c r="J9" s="29" t="s">
        <v>72</v>
      </c>
      <c r="K9" s="29" t="s">
        <v>75</v>
      </c>
      <c r="L9" s="29" t="s">
        <v>76</v>
      </c>
      <c r="M9" s="29" t="s">
        <v>77</v>
      </c>
      <c r="N9" s="29" t="s">
        <v>78</v>
      </c>
      <c r="O9" s="30" t="s">
        <v>79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88671875" defaultRowHeight="14.4" x14ac:dyDescent="0.3"/>
  <cols>
    <col min="1" max="2" width="1.88671875" customWidth="1"/>
    <col min="3" max="3" width="12.44140625" customWidth="1"/>
    <col min="4" max="4" width="4.88671875" customWidth="1"/>
    <col min="5" max="5" width="10.88671875" customWidth="1"/>
    <col min="6" max="6" width="7.88671875" bestFit="1" customWidth="1"/>
    <col min="7" max="7" width="11" customWidth="1"/>
    <col min="8" max="8" width="11.109375" customWidth="1"/>
    <col min="9" max="9" width="11.88671875" customWidth="1"/>
    <col min="10" max="10" width="4.88671875" customWidth="1"/>
    <col min="11" max="11" width="14.44140625" customWidth="1"/>
    <col min="12" max="12" width="1.88671875" customWidth="1"/>
  </cols>
  <sheetData>
    <row r="1" spans="2:12" ht="8.4" customHeight="1" thickBot="1" x14ac:dyDescent="0.35"/>
    <row r="2" spans="2:12" ht="38.4" customHeight="1" x14ac:dyDescent="0.4">
      <c r="B2" s="261" t="s">
        <v>3</v>
      </c>
      <c r="C2" s="262"/>
      <c r="D2" s="262"/>
      <c r="E2" s="262"/>
      <c r="F2" s="262"/>
      <c r="G2" s="262"/>
      <c r="H2" s="262"/>
      <c r="I2" s="262"/>
      <c r="J2" s="262"/>
      <c r="K2" s="262"/>
      <c r="L2" s="263"/>
    </row>
    <row r="3" spans="2:12" ht="47.4" customHeight="1" thickBot="1" x14ac:dyDescent="0.35">
      <c r="B3" s="264" t="s">
        <v>12</v>
      </c>
      <c r="C3" s="265"/>
      <c r="D3" s="265"/>
      <c r="E3" s="265"/>
      <c r="F3" s="265"/>
      <c r="G3" s="265"/>
      <c r="H3" s="265"/>
      <c r="I3" s="265"/>
      <c r="J3" s="265"/>
      <c r="K3" s="265"/>
      <c r="L3" s="266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267" t="s">
        <v>13</v>
      </c>
      <c r="D6" s="267"/>
      <c r="E6" s="267"/>
      <c r="F6" s="267"/>
      <c r="G6" s="267"/>
      <c r="H6" s="267"/>
      <c r="I6" s="267"/>
      <c r="J6" s="267"/>
      <c r="K6" s="267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14</v>
      </c>
      <c r="D8" s="268" t="s">
        <v>104</v>
      </c>
      <c r="E8" s="269"/>
      <c r="F8" s="269"/>
      <c r="G8" s="269"/>
      <c r="H8" s="269"/>
      <c r="I8" s="269"/>
      <c r="J8" s="269"/>
      <c r="K8" s="270"/>
      <c r="L8" s="5"/>
    </row>
    <row r="9" spans="2:12" x14ac:dyDescent="0.3">
      <c r="B9" s="4"/>
      <c r="C9" s="7" t="s">
        <v>15</v>
      </c>
      <c r="D9" s="258" t="s">
        <v>16</v>
      </c>
      <c r="E9" s="259"/>
      <c r="F9" s="259"/>
      <c r="G9" s="259"/>
      <c r="H9" s="259"/>
      <c r="I9" s="259"/>
      <c r="J9" s="259"/>
      <c r="K9" s="260"/>
      <c r="L9" s="5"/>
    </row>
    <row r="10" spans="2:12" x14ac:dyDescent="0.3">
      <c r="B10" s="4"/>
      <c r="C10" s="7" t="s">
        <v>17</v>
      </c>
      <c r="D10" s="258" t="s">
        <v>11</v>
      </c>
      <c r="E10" s="259"/>
      <c r="F10" s="259"/>
      <c r="G10" s="259"/>
      <c r="H10" s="259"/>
      <c r="I10" s="259"/>
      <c r="J10" s="259"/>
      <c r="K10" s="260"/>
      <c r="L10" s="5"/>
    </row>
    <row r="11" spans="2:12" x14ac:dyDescent="0.3">
      <c r="B11" s="4"/>
      <c r="C11" s="7" t="s">
        <v>18</v>
      </c>
      <c r="D11" s="258" t="s">
        <v>105</v>
      </c>
      <c r="E11" s="259"/>
      <c r="F11" s="259"/>
      <c r="G11" s="259"/>
      <c r="H11" s="259"/>
      <c r="I11" s="259"/>
      <c r="J11" s="259"/>
      <c r="K11" s="260"/>
      <c r="L11" s="5"/>
    </row>
    <row r="12" spans="2:12" x14ac:dyDescent="0.3">
      <c r="B12" s="4"/>
      <c r="C12" s="10" t="s">
        <v>19</v>
      </c>
      <c r="D12" s="271" t="s">
        <v>106</v>
      </c>
      <c r="E12" s="272"/>
      <c r="F12" s="272"/>
      <c r="G12" s="272"/>
      <c r="H12" s="273"/>
      <c r="I12" s="11" t="s">
        <v>20</v>
      </c>
      <c r="J12" s="271" t="s">
        <v>103</v>
      </c>
      <c r="K12" s="273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267" t="s">
        <v>21</v>
      </c>
      <c r="D16" s="267"/>
      <c r="E16" s="267"/>
      <c r="F16" s="267"/>
      <c r="G16" s="267"/>
      <c r="H16" s="267"/>
      <c r="I16" s="267"/>
      <c r="J16" s="267"/>
      <c r="K16" s="267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274" t="s">
        <v>80</v>
      </c>
      <c r="E18" s="274"/>
      <c r="F18" s="274"/>
      <c r="G18" s="275"/>
      <c r="H18" s="274" t="s">
        <v>22</v>
      </c>
      <c r="I18" s="274"/>
      <c r="J18" s="274"/>
      <c r="K18" s="275"/>
      <c r="L18" s="5"/>
    </row>
    <row r="19" spans="2:12" x14ac:dyDescent="0.3">
      <c r="B19" s="4"/>
      <c r="C19" s="15" t="s">
        <v>23</v>
      </c>
      <c r="D19" s="276" t="s">
        <v>108</v>
      </c>
      <c r="E19" s="277"/>
      <c r="F19" s="277"/>
      <c r="G19" s="277"/>
      <c r="H19" s="277"/>
      <c r="I19" s="277"/>
      <c r="J19" s="277"/>
      <c r="K19" s="278"/>
      <c r="L19" s="5"/>
    </row>
    <row r="20" spans="2:12" x14ac:dyDescent="0.3">
      <c r="B20" s="4"/>
      <c r="C20" s="7" t="s">
        <v>24</v>
      </c>
      <c r="D20" s="258"/>
      <c r="E20" s="259"/>
      <c r="F20" s="259"/>
      <c r="G20" s="259"/>
      <c r="H20" s="259"/>
      <c r="I20" s="259"/>
      <c r="J20" s="259"/>
      <c r="K20" s="260"/>
      <c r="L20" s="5"/>
    </row>
    <row r="21" spans="2:12" x14ac:dyDescent="0.3">
      <c r="B21" s="4"/>
      <c r="C21" s="7" t="s">
        <v>25</v>
      </c>
      <c r="D21" s="258" t="s">
        <v>112</v>
      </c>
      <c r="E21" s="260"/>
      <c r="F21" s="7" t="s">
        <v>57</v>
      </c>
      <c r="G21" s="16" t="s">
        <v>113</v>
      </c>
      <c r="H21" s="7" t="s">
        <v>26</v>
      </c>
      <c r="I21" s="8" t="s">
        <v>114</v>
      </c>
      <c r="J21" s="7" t="s">
        <v>27</v>
      </c>
      <c r="K21" s="9" t="s">
        <v>11</v>
      </c>
      <c r="L21" s="5"/>
    </row>
    <row r="22" spans="2:12" x14ac:dyDescent="0.3">
      <c r="B22" s="4"/>
      <c r="C22" s="7" t="s">
        <v>28</v>
      </c>
      <c r="D22" s="258" t="s">
        <v>107</v>
      </c>
      <c r="E22" s="259"/>
      <c r="F22" s="259"/>
      <c r="G22" s="260"/>
      <c r="H22" s="7" t="s">
        <v>29</v>
      </c>
      <c r="I22" s="258"/>
      <c r="J22" s="259"/>
      <c r="K22" s="260"/>
      <c r="L22" s="5"/>
    </row>
    <row r="23" spans="2:12" x14ac:dyDescent="0.3">
      <c r="B23" s="4"/>
      <c r="C23" s="10" t="s">
        <v>30</v>
      </c>
      <c r="D23" s="271" t="s">
        <v>109</v>
      </c>
      <c r="E23" s="272"/>
      <c r="F23" s="272"/>
      <c r="G23" s="273"/>
      <c r="H23" s="10" t="s">
        <v>31</v>
      </c>
      <c r="I23" s="271" t="s">
        <v>11</v>
      </c>
      <c r="J23" s="272"/>
      <c r="K23" s="273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267" t="s">
        <v>21</v>
      </c>
      <c r="D27" s="267"/>
      <c r="E27" s="267"/>
      <c r="F27" s="267"/>
      <c r="G27" s="267"/>
      <c r="H27" s="267"/>
      <c r="I27" s="267"/>
      <c r="J27" s="267"/>
      <c r="K27" s="267"/>
      <c r="L27" s="5"/>
    </row>
    <row r="28" spans="2:12" x14ac:dyDescent="0.3">
      <c r="B28" s="4"/>
      <c r="L28" s="5"/>
    </row>
    <row r="29" spans="2:12" x14ac:dyDescent="0.3">
      <c r="B29" s="4"/>
      <c r="C29" s="6" t="s">
        <v>32</v>
      </c>
      <c r="D29" s="279" t="s">
        <v>33</v>
      </c>
      <c r="E29" s="275"/>
      <c r="F29" s="279" t="s">
        <v>34</v>
      </c>
      <c r="G29" s="275"/>
      <c r="H29" s="280" t="s">
        <v>35</v>
      </c>
      <c r="I29" s="280"/>
      <c r="J29" s="280"/>
      <c r="K29" s="281"/>
      <c r="L29" s="5"/>
    </row>
    <row r="30" spans="2:12" x14ac:dyDescent="0.3">
      <c r="B30" s="4"/>
      <c r="C30" s="17" t="s">
        <v>36</v>
      </c>
      <c r="D30" s="282" t="s">
        <v>110</v>
      </c>
      <c r="E30" s="283"/>
      <c r="F30" s="284" t="s">
        <v>115</v>
      </c>
      <c r="G30" s="285"/>
      <c r="H30" s="18" t="s">
        <v>111</v>
      </c>
      <c r="I30" s="279" t="s">
        <v>40</v>
      </c>
      <c r="J30" s="275"/>
      <c r="K30" s="6" t="s">
        <v>38</v>
      </c>
      <c r="L30" s="5"/>
    </row>
    <row r="31" spans="2:12" x14ac:dyDescent="0.3">
      <c r="B31" s="4"/>
      <c r="C31" s="17" t="s">
        <v>39</v>
      </c>
      <c r="D31" s="282" t="s">
        <v>11</v>
      </c>
      <c r="E31" s="283"/>
      <c r="F31" s="284" t="s">
        <v>11</v>
      </c>
      <c r="G31" s="285"/>
      <c r="H31" s="17" t="s">
        <v>37</v>
      </c>
      <c r="I31" s="288" t="s">
        <v>40</v>
      </c>
      <c r="J31" s="289"/>
      <c r="K31" s="7" t="s">
        <v>38</v>
      </c>
      <c r="L31" s="5"/>
    </row>
    <row r="32" spans="2:12" x14ac:dyDescent="0.3">
      <c r="B32" s="4"/>
      <c r="C32" s="17" t="s">
        <v>41</v>
      </c>
      <c r="D32" s="282" t="s">
        <v>11</v>
      </c>
      <c r="E32" s="283"/>
      <c r="F32" s="284" t="s">
        <v>11</v>
      </c>
      <c r="G32" s="285"/>
      <c r="H32" s="17" t="s">
        <v>37</v>
      </c>
      <c r="I32" s="288" t="s">
        <v>40</v>
      </c>
      <c r="J32" s="289"/>
      <c r="K32" s="7" t="s">
        <v>38</v>
      </c>
      <c r="L32" s="5"/>
    </row>
    <row r="33" spans="2:12" x14ac:dyDescent="0.3">
      <c r="B33" s="4"/>
      <c r="C33" s="19" t="s">
        <v>42</v>
      </c>
      <c r="D33" s="282" t="s">
        <v>11</v>
      </c>
      <c r="E33" s="283"/>
      <c r="F33" s="286" t="s">
        <v>11</v>
      </c>
      <c r="G33" s="287"/>
      <c r="H33" s="17" t="s">
        <v>37</v>
      </c>
      <c r="I33" s="288" t="s">
        <v>40</v>
      </c>
      <c r="J33" s="289"/>
      <c r="K33" s="7" t="s">
        <v>38</v>
      </c>
      <c r="L33" s="5"/>
    </row>
    <row r="34" spans="2:12" x14ac:dyDescent="0.3">
      <c r="B34" s="4"/>
      <c r="C34" s="290" t="s">
        <v>43</v>
      </c>
      <c r="D34" s="291"/>
      <c r="E34" s="292"/>
      <c r="F34" s="293" t="s">
        <v>115</v>
      </c>
      <c r="G34" s="294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267" t="s">
        <v>44</v>
      </c>
      <c r="D38" s="267"/>
      <c r="E38" s="267"/>
      <c r="F38" s="267"/>
      <c r="G38" s="267"/>
      <c r="H38" s="267"/>
      <c r="I38" s="267"/>
      <c r="J38" s="267"/>
      <c r="K38" s="267"/>
      <c r="L38" s="5"/>
    </row>
    <row r="39" spans="2:12" x14ac:dyDescent="0.3">
      <c r="B39" s="4"/>
      <c r="C39" s="298" t="s">
        <v>116</v>
      </c>
      <c r="D39" s="298"/>
      <c r="E39" s="298"/>
      <c r="F39" s="298"/>
      <c r="G39" s="298"/>
      <c r="H39" s="298"/>
      <c r="I39" s="298"/>
      <c r="J39" s="298"/>
      <c r="K39" s="298"/>
      <c r="L39" s="5"/>
    </row>
    <row r="40" spans="2:12" x14ac:dyDescent="0.3">
      <c r="B40" s="4"/>
      <c r="C40" s="298"/>
      <c r="D40" s="298"/>
      <c r="E40" s="298"/>
      <c r="F40" s="298"/>
      <c r="G40" s="298"/>
      <c r="H40" s="298"/>
      <c r="I40" s="298"/>
      <c r="J40" s="298"/>
      <c r="K40" s="298"/>
      <c r="L40" s="5"/>
    </row>
    <row r="41" spans="2:12" x14ac:dyDescent="0.3">
      <c r="B41" s="4"/>
      <c r="C41" s="298"/>
      <c r="D41" s="298"/>
      <c r="E41" s="298"/>
      <c r="F41" s="298"/>
      <c r="G41" s="298"/>
      <c r="H41" s="298"/>
      <c r="I41" s="298"/>
      <c r="J41" s="298"/>
      <c r="K41" s="298"/>
      <c r="L41" s="5"/>
    </row>
    <row r="42" spans="2:12" x14ac:dyDescent="0.3">
      <c r="B42" s="4"/>
      <c r="C42" s="298"/>
      <c r="D42" s="298"/>
      <c r="E42" s="298"/>
      <c r="F42" s="298"/>
      <c r="G42" s="298"/>
      <c r="H42" s="298"/>
      <c r="I42" s="298"/>
      <c r="J42" s="298"/>
      <c r="K42" s="298"/>
      <c r="L42" s="5"/>
    </row>
    <row r="43" spans="2:12" x14ac:dyDescent="0.3">
      <c r="B43" s="4"/>
      <c r="C43" s="298"/>
      <c r="D43" s="298"/>
      <c r="E43" s="298"/>
      <c r="F43" s="298"/>
      <c r="G43" s="298"/>
      <c r="H43" s="298"/>
      <c r="I43" s="298"/>
      <c r="J43" s="298"/>
      <c r="K43" s="298"/>
      <c r="L43" s="5"/>
    </row>
    <row r="44" spans="2:12" x14ac:dyDescent="0.3">
      <c r="B44" s="4"/>
      <c r="C44" s="298"/>
      <c r="D44" s="298"/>
      <c r="E44" s="298"/>
      <c r="F44" s="298"/>
      <c r="G44" s="298"/>
      <c r="H44" s="298"/>
      <c r="I44" s="298"/>
      <c r="J44" s="298"/>
      <c r="K44" s="298"/>
      <c r="L44" s="5"/>
    </row>
    <row r="45" spans="2:12" x14ac:dyDescent="0.3">
      <c r="B45" s="4"/>
      <c r="C45" s="299"/>
      <c r="D45" s="299"/>
      <c r="E45" s="299"/>
      <c r="F45" s="299"/>
      <c r="G45" s="299"/>
      <c r="H45" s="299"/>
      <c r="I45" s="299"/>
      <c r="J45" s="299"/>
      <c r="K45" s="299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295" t="s">
        <v>45</v>
      </c>
      <c r="C48" s="296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297" t="s">
        <v>46</v>
      </c>
      <c r="D51" s="297"/>
      <c r="E51" s="297"/>
      <c r="F51" s="297"/>
      <c r="H51" s="297" t="s">
        <v>47</v>
      </c>
      <c r="I51" s="297"/>
      <c r="J51" s="297"/>
      <c r="K51" s="297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a79990-ee87-4241-abc6-9e01ab9b2464">
      <Terms xmlns="http://schemas.microsoft.com/office/infopath/2007/PartnerControls"/>
    </lcf76f155ced4ddcb4097134ff3c332f>
    <TaxCatchAll xmlns="8f4bf414-7d56-47ef-876f-a064b6139123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  <ds:schemaRef ds:uri="29a79990-ee87-4241-abc6-9e01ab9b2464"/>
    <ds:schemaRef ds:uri="8f4bf414-7d56-47ef-876f-a064b6139123"/>
  </ds:schemaRefs>
</ds:datastoreItem>
</file>

<file path=customXml/itemProps3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E32ACD2A-C8B3-421D-B8E7-5B79E5C484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16</vt:i4>
      </vt:variant>
    </vt:vector>
  </HeadingPairs>
  <TitlesOfParts>
    <vt:vector size="23" baseType="lpstr">
      <vt:lpstr>RESUMO</vt:lpstr>
      <vt:lpstr>PRINCIPAL</vt:lpstr>
      <vt:lpstr>Brindes</vt:lpstr>
      <vt:lpstr>CUSTOS OP.</vt:lpstr>
      <vt:lpstr>Solicitações de Pagamento</vt:lpstr>
      <vt:lpstr>ItensOrc</vt:lpstr>
      <vt:lpstr>Template SP</vt:lpstr>
      <vt:lpstr>Brindes!_FiltrarBancodeDados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2026-05-19T21:44:35Z</cp:lastPrinted>
  <dcterms:created xsi:type="dcterms:W3CDTF">2023-09-21T21:02:20Z</dcterms:created>
  <dcterms:modified xsi:type="dcterms:W3CDTF">2026-05-27T15:24:41Z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  <property fmtid="{D5CDD505-2E9C-101B-9397-08002B2CF9AE}" pid="3" name="MediaServiceImageTags">
    <vt:lpwstr/>
  </property>
</Properties>
</file>