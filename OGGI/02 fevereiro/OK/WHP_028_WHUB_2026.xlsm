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hidePivotFieldList="1"/>
  <mc:AlternateContent xmlns:mc="http://schemas.openxmlformats.org/markup-compatibility/2006">
    <mc:Choice Requires="x15">
      <x15ac:absPath xmlns:x15ac="http://schemas.microsoft.com/office/spreadsheetml/2010/11/ac" url="D:\OGGI LIVE\Fechamentos\2026\JOBS\OGGI\02 fevereiro\"/>
    </mc:Choice>
  </mc:AlternateContent>
  <xr:revisionPtr revIDLastSave="0" documentId="13_ncr:1_{C9DCD5F9-E285-4090-808B-15C96D0B549F}" xr6:coauthVersionLast="47" xr6:coauthVersionMax="47" xr10:uidLastSave="{00000000-0000-0000-0000-000000000000}"/>
  <bookViews>
    <workbookView xWindow="-108" yWindow="-108" windowWidth="23256" windowHeight="12456" tabRatio="822" xr2:uid="{83D4A4F0-59AC-45D6-BDA2-9A1B100CD857}"/>
  </bookViews>
  <sheets>
    <sheet name="RESUMO" sheetId="109" r:id="rId1"/>
    <sheet name="CUSTOS OP." sheetId="108" r:id="rId2"/>
    <sheet name="Convenção de Vendas" sheetId="88" r:id="rId3"/>
    <sheet name="TOP CLUB + TOP TRADE" sheetId="107" r:id="rId4"/>
    <sheet name="Convenção de Vendas_ EXTRAS PRÉ" sheetId="96" r:id="rId5"/>
    <sheet name="Convenção de Vendas_ EXTRAS 2" sheetId="106" r:id="rId6"/>
    <sheet name="Hotel -" sheetId="102" state="hidden" r:id="rId7"/>
    <sheet name="Coletiva de Imprensa" sheetId="97" r:id="rId8"/>
    <sheet name="Coletiva de Imprensa - EXTRAS" sheetId="104" r:id="rId9"/>
    <sheet name="Lançamento de Produtos" sheetId="91" r:id="rId10"/>
    <sheet name="Lançamento de Produtos - EXTRAS" sheetId="105" r:id="rId11"/>
    <sheet name="COMPILADO" sheetId="92" state="hidden" r:id="rId12"/>
    <sheet name="Solicitações de Pagamento" sheetId="4" state="hidden" r:id="rId13"/>
    <sheet name="RELATÓRIO FULL" sheetId="98" state="hidden" r:id="rId14"/>
    <sheet name=" CUSTOS OPERACIONAIS" sheetId="103" state="hidden" r:id="rId15"/>
    <sheet name="FORNECEDORES" sheetId="101" state="hidden" r:id="rId16"/>
    <sheet name="EXTRAS PARA INCLUIR " sheetId="100" state="hidden" r:id="rId17"/>
    <sheet name="ItensOrc" sheetId="76" state="hidden" r:id="rId18"/>
    <sheet name="Template SP" sheetId="3" state="hidden" r:id="rId19"/>
  </sheets>
  <definedNames>
    <definedName name="_xlnm._FilterDatabase" localSheetId="7" hidden="1">'Coletiva de Imprensa'!$A$1:$AP$85</definedName>
    <definedName name="_xlnm._FilterDatabase" localSheetId="8" hidden="1">'Coletiva de Imprensa - EXTRAS'!$A$1:$AP$27</definedName>
    <definedName name="_xlnm._FilterDatabase" localSheetId="2" hidden="1">'Convenção de Vendas'!$A$1:$AN$205</definedName>
    <definedName name="_xlnm._FilterDatabase" localSheetId="5" hidden="1">'Convenção de Vendas_ EXTRAS 2'!$A$1:$AN$44</definedName>
    <definedName name="_xlnm._FilterDatabase" localSheetId="4" hidden="1">'Convenção de Vendas_ EXTRAS PRÉ'!$A$1:$AN$105</definedName>
    <definedName name="_xlnm._FilterDatabase" localSheetId="1" hidden="1">'CUSTOS OP.'!$D$3:$E$59</definedName>
    <definedName name="_xlnm._FilterDatabase" localSheetId="9" hidden="1">'Lançamento de Produtos'!$A$1:$AN$109</definedName>
    <definedName name="_xlnm._FilterDatabase" localSheetId="10" hidden="1">'Lançamento de Produtos - EXTRAS'!$A$1:$AN$26</definedName>
    <definedName name="_xleta.N" hidden="1" xlm="1">#NAME?</definedName>
    <definedName name="_xleta.SUM" hidden="1" xlm="1">#NAME?</definedName>
    <definedName name="itensorc_desconto" localSheetId="17">ItensOrc!$M:$M</definedName>
    <definedName name="itensorc_desconto">#REF!</definedName>
    <definedName name="itensorc_descricao" localSheetId="17">ItensOrc!$D:$D</definedName>
    <definedName name="itensorc_descricao">#REF!</definedName>
    <definedName name="itensorc_encargos" localSheetId="17">ItensOrc!$N:$N</definedName>
    <definedName name="itensorc_encargos">#REF!</definedName>
    <definedName name="itensorc_especifica" localSheetId="17">ItensOrc!$O:$O</definedName>
    <definedName name="itensorc_especifica">#REF!</definedName>
    <definedName name="itensorc_item" localSheetId="17">ItensOrc!$C:$C</definedName>
    <definedName name="itensorc_item">#REF!</definedName>
    <definedName name="itensorc_lancamento" localSheetId="17">ItensOrc!$B:$B</definedName>
    <definedName name="itensorc_lancamento">#REF!</definedName>
    <definedName name="itensorc_percentualhonorarios" localSheetId="17">ItensOrc!$L:$L</definedName>
    <definedName name="itensorc_percentualhonorarios">#REF!</definedName>
    <definedName name="itensorc_quantidade" localSheetId="17">ItensOrc!$E:$E</definedName>
    <definedName name="itensorc_quantidade">#REF!</definedName>
    <definedName name="itensorc_situacao" localSheetId="17">ItensOrc!$H:$H</definedName>
    <definedName name="itensorc_situacao">#REF!</definedName>
    <definedName name="itensorc_subtipo" localSheetId="17">ItensOrc!$K:$K</definedName>
    <definedName name="itensorc_subtipo">#REF!</definedName>
    <definedName name="itensorc_tiporeceita" localSheetId="17">ItensOrc!$A:$A</definedName>
    <definedName name="itensorc_tiporeceita">#REF!</definedName>
    <definedName name="itensorc_valor" localSheetId="17">ItensOrc!$G:$G</definedName>
    <definedName name="itensorc_valor">#REF!</definedName>
    <definedName name="itensorc_valorfornecedor" localSheetId="17">ItensOrc!$I:$I</definedName>
    <definedName name="itensorc_valorfornecedor">#REF!</definedName>
    <definedName name="itensorc_valorfornecedorunitario" localSheetId="17">ItensOrc!$J:$J</definedName>
    <definedName name="itensorc_valorfornecedorunitario">#REF!</definedName>
    <definedName name="itensorc_valorunitario" localSheetId="17">ItensOrc!$F:$F</definedName>
    <definedName name="itensorc_valorunitari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8" i="109" l="1"/>
  <c r="D37" i="109"/>
  <c r="B35" i="109" l="1"/>
  <c r="C44" i="109"/>
  <c r="E38" i="109"/>
  <c r="F38" i="109" s="1"/>
  <c r="AO58" i="97"/>
  <c r="AO57" i="97"/>
  <c r="W58" i="97"/>
  <c r="AN149" i="88"/>
  <c r="AN158" i="88"/>
  <c r="AN173" i="88"/>
  <c r="AN18" i="88"/>
  <c r="AN202" i="88"/>
  <c r="AN155" i="88"/>
  <c r="AN133" i="88"/>
  <c r="AN19" i="88"/>
  <c r="AN134" i="88"/>
  <c r="AN22" i="88"/>
  <c r="AN54" i="91"/>
  <c r="N134" i="97"/>
  <c r="C26" i="109" s="1"/>
  <c r="N131" i="97"/>
  <c r="AN65" i="97"/>
  <c r="AN66" i="97"/>
  <c r="AN68" i="97"/>
  <c r="AO39" i="97"/>
  <c r="D25" i="109"/>
  <c r="AN51" i="96"/>
  <c r="V204" i="88"/>
  <c r="AM26" i="88"/>
  <c r="AM27" i="88"/>
  <c r="AM33" i="88"/>
  <c r="AM47" i="88"/>
  <c r="AM48" i="88"/>
  <c r="AM85" i="88"/>
  <c r="AM93" i="88"/>
  <c r="AM94" i="88"/>
  <c r="AM99" i="88"/>
  <c r="AM110" i="88"/>
  <c r="AM117" i="88"/>
  <c r="AM118" i="88"/>
  <c r="AM122" i="88"/>
  <c r="AM125" i="88"/>
  <c r="AM130" i="88"/>
  <c r="AM131" i="88"/>
  <c r="AM147" i="88"/>
  <c r="AM148" i="88"/>
  <c r="AM153" i="88"/>
  <c r="AM154" i="88"/>
  <c r="AM156" i="88"/>
  <c r="AM168" i="88"/>
  <c r="AM169" i="88"/>
  <c r="AM173" i="88"/>
  <c r="AM177" i="88"/>
  <c r="AM180" i="88"/>
  <c r="AM184" i="88"/>
  <c r="AM190" i="88"/>
  <c r="AM191" i="88"/>
  <c r="AM199" i="88"/>
  <c r="AM200" i="88"/>
  <c r="V46" i="88"/>
  <c r="AN170" i="88"/>
  <c r="AN49" i="88"/>
  <c r="AN44" i="88"/>
  <c r="AN41" i="88"/>
  <c r="AM41" i="88" s="1"/>
  <c r="AN34" i="88"/>
  <c r="AN33" i="88"/>
  <c r="AN21" i="88"/>
  <c r="AN20" i="88"/>
  <c r="AM95" i="107"/>
  <c r="Z18" i="105"/>
  <c r="AM18" i="105" s="1"/>
  <c r="Z19" i="105"/>
  <c r="C28" i="109"/>
  <c r="D27" i="109"/>
  <c r="C27" i="109"/>
  <c r="AO39" i="104"/>
  <c r="AO38" i="104"/>
  <c r="AO37" i="104"/>
  <c r="X18" i="97"/>
  <c r="Y18" i="97"/>
  <c r="X19" i="97"/>
  <c r="Y19" i="97"/>
  <c r="X20" i="97"/>
  <c r="Z20" i="97" s="1"/>
  <c r="AA20" i="97" s="1"/>
  <c r="Y20" i="97"/>
  <c r="X21" i="97"/>
  <c r="Y21" i="97"/>
  <c r="X22" i="97"/>
  <c r="Y22" i="97"/>
  <c r="Z22" i="97" s="1"/>
  <c r="AA22" i="97" s="1"/>
  <c r="X23" i="97"/>
  <c r="Z23" i="97" s="1"/>
  <c r="AA23" i="97" s="1"/>
  <c r="Y23" i="97"/>
  <c r="W24" i="97"/>
  <c r="X24" i="97"/>
  <c r="Y24" i="97"/>
  <c r="Z24" i="97" s="1"/>
  <c r="AA24" i="97" s="1"/>
  <c r="C25" i="109"/>
  <c r="V62" i="106"/>
  <c r="W62" i="106" s="1"/>
  <c r="X62" i="106"/>
  <c r="Y62" i="106" s="1"/>
  <c r="Z62" i="106" s="1"/>
  <c r="AM62" i="106" s="1"/>
  <c r="W63" i="106"/>
  <c r="X63" i="106"/>
  <c r="W64" i="106"/>
  <c r="X64" i="106"/>
  <c r="W65" i="106"/>
  <c r="X65" i="106"/>
  <c r="W66" i="106"/>
  <c r="Y66" i="106" s="1"/>
  <c r="Z66" i="106" s="1"/>
  <c r="X66" i="106"/>
  <c r="W67" i="106"/>
  <c r="Y67" i="106" s="1"/>
  <c r="Z67" i="106" s="1"/>
  <c r="X67" i="106"/>
  <c r="F29" i="109"/>
  <c r="C23" i="109"/>
  <c r="E3" i="109"/>
  <c r="Y18" i="107"/>
  <c r="AN32" i="88"/>
  <c r="AN31" i="88"/>
  <c r="AN30" i="88"/>
  <c r="AN28" i="88"/>
  <c r="AN38" i="88"/>
  <c r="AN23" i="88"/>
  <c r="AN75" i="96"/>
  <c r="E56" i="108"/>
  <c r="V99" i="91"/>
  <c r="E63" i="108"/>
  <c r="AN92" i="96" s="1"/>
  <c r="AN105" i="96" s="1"/>
  <c r="AN45" i="88"/>
  <c r="AN66" i="96"/>
  <c r="AN58" i="96"/>
  <c r="AN150" i="88"/>
  <c r="AN39" i="88"/>
  <c r="AN87" i="88"/>
  <c r="AN197" i="88"/>
  <c r="AN196" i="88"/>
  <c r="AM196" i="88" s="1"/>
  <c r="AN136" i="88"/>
  <c r="AN192" i="88"/>
  <c r="AN33" i="105"/>
  <c r="AM24" i="105"/>
  <c r="AM29" i="105"/>
  <c r="AM30" i="105"/>
  <c r="AM17" i="105"/>
  <c r="AN162" i="91"/>
  <c r="AM20" i="91"/>
  <c r="AM23" i="91"/>
  <c r="AM31" i="91"/>
  <c r="AM36" i="91"/>
  <c r="AM44" i="91"/>
  <c r="AM45" i="91"/>
  <c r="AM90" i="91"/>
  <c r="AM91" i="91"/>
  <c r="AM96" i="91"/>
  <c r="AM97" i="91"/>
  <c r="AM101" i="91"/>
  <c r="AM102" i="91"/>
  <c r="AM103" i="91"/>
  <c r="AM104" i="91"/>
  <c r="AM105" i="91"/>
  <c r="AM106" i="91"/>
  <c r="AM112" i="91"/>
  <c r="AM113" i="91"/>
  <c r="AM119" i="91"/>
  <c r="AM120" i="91"/>
  <c r="AM122" i="91"/>
  <c r="AM128" i="91"/>
  <c r="AM129" i="91"/>
  <c r="AM135" i="91"/>
  <c r="AM138" i="91"/>
  <c r="AM142" i="91"/>
  <c r="AM143" i="91"/>
  <c r="AM150" i="91"/>
  <c r="AM159" i="91"/>
  <c r="AM17" i="91"/>
  <c r="AO34" i="104"/>
  <c r="AN30" i="104"/>
  <c r="AN34" i="97"/>
  <c r="AN40" i="97"/>
  <c r="AN43" i="97"/>
  <c r="AN51" i="97"/>
  <c r="AN52" i="97"/>
  <c r="AN60" i="97"/>
  <c r="AN61" i="97"/>
  <c r="AN62" i="97"/>
  <c r="AN63" i="97"/>
  <c r="AN75" i="97"/>
  <c r="AN77" i="97"/>
  <c r="AN83" i="97"/>
  <c r="AN84" i="97"/>
  <c r="AN85" i="97"/>
  <c r="AN90" i="97"/>
  <c r="AN92" i="97"/>
  <c r="AN97" i="97"/>
  <c r="AN98" i="97"/>
  <c r="AN99" i="97"/>
  <c r="AN100" i="97"/>
  <c r="AN102" i="97"/>
  <c r="AN108" i="97"/>
  <c r="AN109" i="97"/>
  <c r="AN112" i="97"/>
  <c r="AN113" i="97"/>
  <c r="AN114" i="97"/>
  <c r="AN115" i="97"/>
  <c r="AN116" i="97"/>
  <c r="AN117" i="97"/>
  <c r="AN118" i="97"/>
  <c r="AN119" i="97"/>
  <c r="AN125" i="97"/>
  <c r="AN130" i="97"/>
  <c r="AN17" i="97"/>
  <c r="AN84" i="106"/>
  <c r="AM18" i="106"/>
  <c r="AM23" i="106"/>
  <c r="AM24" i="106"/>
  <c r="AM26" i="106"/>
  <c r="AM27" i="106"/>
  <c r="AM28" i="106"/>
  <c r="AM29" i="106"/>
  <c r="AM30" i="106"/>
  <c r="AM35" i="106"/>
  <c r="AM41" i="106"/>
  <c r="AM42" i="106"/>
  <c r="AM54" i="106"/>
  <c r="AM55" i="106"/>
  <c r="AM56" i="106"/>
  <c r="AM61" i="106"/>
  <c r="AM72" i="106"/>
  <c r="AM73" i="106"/>
  <c r="AM17" i="106"/>
  <c r="AM98" i="107"/>
  <c r="AL58" i="107"/>
  <c r="AL59" i="107"/>
  <c r="AL89" i="107"/>
  <c r="AL90" i="107"/>
  <c r="Z98" i="107"/>
  <c r="Z97" i="107"/>
  <c r="Z96" i="107"/>
  <c r="S95" i="107"/>
  <c r="Z95" i="107" s="1"/>
  <c r="R95" i="107"/>
  <c r="W95" i="107" s="1"/>
  <c r="K95" i="107"/>
  <c r="K97" i="107" s="1"/>
  <c r="R94" i="107"/>
  <c r="R93" i="107"/>
  <c r="S90" i="107"/>
  <c r="R90" i="107"/>
  <c r="K90" i="107"/>
  <c r="S89" i="107"/>
  <c r="R89" i="107"/>
  <c r="K89" i="107"/>
  <c r="R88" i="107"/>
  <c r="R87" i="107"/>
  <c r="W84" i="107"/>
  <c r="S84" i="107"/>
  <c r="K84" i="107"/>
  <c r="L84" i="107" s="1"/>
  <c r="M84" i="107" s="1"/>
  <c r="S83" i="107"/>
  <c r="R83" i="107"/>
  <c r="K83" i="107"/>
  <c r="L83" i="107" s="1"/>
  <c r="L85" i="107" s="1"/>
  <c r="R82" i="107"/>
  <c r="S80" i="107"/>
  <c r="R80" i="107"/>
  <c r="K80" i="107"/>
  <c r="S79" i="107"/>
  <c r="R79" i="107"/>
  <c r="K79" i="107"/>
  <c r="S78" i="107"/>
  <c r="R78" i="107"/>
  <c r="K78" i="107"/>
  <c r="S77" i="107"/>
  <c r="R77" i="107"/>
  <c r="K77" i="107"/>
  <c r="S76" i="107"/>
  <c r="R76" i="107"/>
  <c r="W76" i="107" s="1"/>
  <c r="K76" i="107"/>
  <c r="T75" i="107"/>
  <c r="S75" i="107"/>
  <c r="R75" i="107"/>
  <c r="K75" i="107"/>
  <c r="L75" i="107" s="1"/>
  <c r="S74" i="107"/>
  <c r="R74" i="107"/>
  <c r="K74" i="107"/>
  <c r="S73" i="107"/>
  <c r="R73" i="107"/>
  <c r="K73" i="107"/>
  <c r="L73" i="107" s="1"/>
  <c r="S72" i="107"/>
  <c r="R72" i="107"/>
  <c r="K72" i="107"/>
  <c r="R71" i="107"/>
  <c r="R70" i="107"/>
  <c r="S67" i="107"/>
  <c r="R67" i="107"/>
  <c r="K67" i="107"/>
  <c r="K68" i="107" s="1"/>
  <c r="S66" i="107"/>
  <c r="R66" i="107"/>
  <c r="K66" i="107"/>
  <c r="L66" i="107" s="1"/>
  <c r="S65" i="107"/>
  <c r="R65" i="107"/>
  <c r="K65" i="107"/>
  <c r="R64" i="107"/>
  <c r="R63" i="107"/>
  <c r="S60" i="107"/>
  <c r="R60" i="107"/>
  <c r="K60" i="107"/>
  <c r="K62" i="107" s="1"/>
  <c r="R59" i="107"/>
  <c r="R58" i="107"/>
  <c r="S55" i="107"/>
  <c r="R55" i="107"/>
  <c r="K55" i="107"/>
  <c r="S54" i="107"/>
  <c r="R54" i="107"/>
  <c r="W54" i="107" s="1"/>
  <c r="K54" i="107"/>
  <c r="S53" i="107"/>
  <c r="R53" i="107"/>
  <c r="W53" i="107" s="1"/>
  <c r="K53" i="107"/>
  <c r="S52" i="107"/>
  <c r="R52" i="107"/>
  <c r="K52" i="107"/>
  <c r="L52" i="107" s="1"/>
  <c r="R51" i="107"/>
  <c r="S49" i="107"/>
  <c r="R49" i="107"/>
  <c r="K49" i="107"/>
  <c r="S48" i="107"/>
  <c r="R48" i="107"/>
  <c r="K48" i="107"/>
  <c r="R47" i="107"/>
  <c r="K46" i="107"/>
  <c r="S45" i="107"/>
  <c r="R45" i="107"/>
  <c r="K45" i="107"/>
  <c r="R44" i="107"/>
  <c r="R43" i="107"/>
  <c r="S40" i="107"/>
  <c r="R40" i="107"/>
  <c r="K40" i="107"/>
  <c r="S39" i="107"/>
  <c r="R39" i="107"/>
  <c r="K39" i="107"/>
  <c r="L39" i="107" s="1"/>
  <c r="M39" i="107" s="1"/>
  <c r="N39" i="107" s="1"/>
  <c r="T38" i="107"/>
  <c r="S38" i="107"/>
  <c r="R38" i="107"/>
  <c r="K38" i="107"/>
  <c r="T37" i="107"/>
  <c r="S37" i="107"/>
  <c r="R37" i="107"/>
  <c r="W37" i="107" s="1"/>
  <c r="K37" i="107"/>
  <c r="L37" i="107" s="1"/>
  <c r="R36" i="107"/>
  <c r="S33" i="107"/>
  <c r="R33" i="107"/>
  <c r="V33" i="107" s="1"/>
  <c r="K33" i="107"/>
  <c r="S32" i="107"/>
  <c r="R32" i="107"/>
  <c r="W32" i="107" s="1"/>
  <c r="K32" i="107"/>
  <c r="S31" i="107"/>
  <c r="R31" i="107"/>
  <c r="W31" i="107" s="1"/>
  <c r="K31" i="107"/>
  <c r="S30" i="107"/>
  <c r="R30" i="107"/>
  <c r="K30" i="107"/>
  <c r="R29" i="107"/>
  <c r="K29" i="107"/>
  <c r="W28" i="107"/>
  <c r="V28" i="107"/>
  <c r="K28" i="107"/>
  <c r="L28" i="107" s="1"/>
  <c r="R27" i="107"/>
  <c r="R26" i="107"/>
  <c r="S23" i="107"/>
  <c r="R23" i="107"/>
  <c r="K23" i="107"/>
  <c r="S22" i="107"/>
  <c r="R22" i="107"/>
  <c r="K22" i="107"/>
  <c r="S21" i="107"/>
  <c r="R21" i="107"/>
  <c r="K21" i="107"/>
  <c r="S20" i="107"/>
  <c r="R20" i="107"/>
  <c r="K20" i="107"/>
  <c r="S19" i="107"/>
  <c r="R19" i="107"/>
  <c r="W19" i="107" s="1"/>
  <c r="K19" i="107"/>
  <c r="S18" i="107"/>
  <c r="R18" i="107"/>
  <c r="W18" i="107" s="1"/>
  <c r="K18" i="107"/>
  <c r="L18" i="107" s="1"/>
  <c r="S17" i="107"/>
  <c r="R17" i="107"/>
  <c r="W17" i="107" s="1"/>
  <c r="K17" i="107"/>
  <c r="R16" i="107"/>
  <c r="R15" i="107"/>
  <c r="M14" i="107"/>
  <c r="AA12" i="107"/>
  <c r="M10" i="107"/>
  <c r="N65" i="96"/>
  <c r="M65" i="96"/>
  <c r="L65" i="96"/>
  <c r="F65" i="96"/>
  <c r="S22" i="96"/>
  <c r="AO134" i="97" l="1"/>
  <c r="AN205" i="88"/>
  <c r="AM19" i="105"/>
  <c r="Z20" i="105"/>
  <c r="AM33" i="105"/>
  <c r="E27" i="109"/>
  <c r="F27" i="109" s="1"/>
  <c r="Z21" i="97"/>
  <c r="AA21" i="97" s="1"/>
  <c r="Z19" i="97"/>
  <c r="AA19" i="97" s="1"/>
  <c r="Z18" i="97"/>
  <c r="AA18" i="97" s="1"/>
  <c r="Y63" i="106"/>
  <c r="Z63" i="106" s="1"/>
  <c r="Y64" i="106"/>
  <c r="Z64" i="106" s="1"/>
  <c r="Y65" i="106"/>
  <c r="Z65" i="106" s="1"/>
  <c r="E37" i="109"/>
  <c r="F37" i="109" s="1"/>
  <c r="K57" i="107"/>
  <c r="K61" i="107"/>
  <c r="V40" i="107"/>
  <c r="AA40" i="107" s="1"/>
  <c r="K85" i="107"/>
  <c r="K50" i="107"/>
  <c r="V66" i="107"/>
  <c r="AA66" i="107" s="1"/>
  <c r="U89" i="107"/>
  <c r="V89" i="107" s="1"/>
  <c r="AA89" i="107" s="1"/>
  <c r="M89" i="107"/>
  <c r="N89" i="107" s="1"/>
  <c r="V31" i="107"/>
  <c r="V54" i="107"/>
  <c r="M37" i="107"/>
  <c r="W22" i="107"/>
  <c r="V32" i="107"/>
  <c r="K69" i="107"/>
  <c r="U42" i="107"/>
  <c r="L78" i="107"/>
  <c r="V95" i="107"/>
  <c r="L48" i="107"/>
  <c r="M48" i="107" s="1"/>
  <c r="N48" i="107" s="1"/>
  <c r="W55" i="107"/>
  <c r="V17" i="107"/>
  <c r="X17" i="107" s="1"/>
  <c r="Y17" i="107" s="1"/>
  <c r="AL17" i="107" s="1"/>
  <c r="L33" i="107"/>
  <c r="M33" i="107" s="1"/>
  <c r="N33" i="107" s="1"/>
  <c r="W75" i="107"/>
  <c r="L31" i="107"/>
  <c r="M31" i="107" s="1"/>
  <c r="L45" i="107"/>
  <c r="L46" i="107" s="1"/>
  <c r="K91" i="107"/>
  <c r="V19" i="107"/>
  <c r="AA19" i="107" s="1"/>
  <c r="L89" i="107"/>
  <c r="K24" i="107"/>
  <c r="K98" i="107"/>
  <c r="L17" i="107"/>
  <c r="K25" i="107"/>
  <c r="AA28" i="107"/>
  <c r="W39" i="107"/>
  <c r="M54" i="107"/>
  <c r="L38" i="107"/>
  <c r="K41" i="107"/>
  <c r="K42" i="107"/>
  <c r="W67" i="107"/>
  <c r="V67" i="107"/>
  <c r="AA67" i="107" s="1"/>
  <c r="L30" i="107"/>
  <c r="W38" i="107"/>
  <c r="W52" i="107"/>
  <c r="V76" i="107"/>
  <c r="AA76" i="107" s="1"/>
  <c r="V65" i="107"/>
  <c r="K81" i="107"/>
  <c r="K86" i="107"/>
  <c r="L74" i="107"/>
  <c r="N83" i="107"/>
  <c r="M28" i="107"/>
  <c r="N28" i="107" s="1"/>
  <c r="U50" i="107"/>
  <c r="AB48" i="107" s="1"/>
  <c r="W49" i="107"/>
  <c r="V49" i="107"/>
  <c r="AA49" i="107" s="1"/>
  <c r="W83" i="107"/>
  <c r="L80" i="107"/>
  <c r="M80" i="107" s="1"/>
  <c r="N80" i="107" s="1"/>
  <c r="V39" i="107"/>
  <c r="AA39" i="107" s="1"/>
  <c r="W20" i="107"/>
  <c r="M18" i="107"/>
  <c r="N18" i="107" s="1"/>
  <c r="W78" i="107"/>
  <c r="V78" i="107"/>
  <c r="AA78" i="107" s="1"/>
  <c r="V18" i="107"/>
  <c r="AA18" i="107" s="1"/>
  <c r="M83" i="107"/>
  <c r="M85" i="107" s="1"/>
  <c r="L23" i="107"/>
  <c r="M23" i="107" s="1"/>
  <c r="W65" i="107"/>
  <c r="L22" i="107"/>
  <c r="V22" i="107"/>
  <c r="X28" i="107"/>
  <c r="Y28" i="107" s="1"/>
  <c r="AL28" i="107" s="1"/>
  <c r="L55" i="107"/>
  <c r="W74" i="107"/>
  <c r="W23" i="107"/>
  <c r="W72" i="107"/>
  <c r="V30" i="107"/>
  <c r="AA30" i="107" s="1"/>
  <c r="L54" i="107"/>
  <c r="M66" i="107"/>
  <c r="N66" i="107" s="1"/>
  <c r="L90" i="107"/>
  <c r="L91" i="107" s="1"/>
  <c r="M40" i="107"/>
  <c r="W45" i="107"/>
  <c r="L49" i="107"/>
  <c r="M49" i="107" s="1"/>
  <c r="M73" i="107"/>
  <c r="N73" i="107" s="1"/>
  <c r="W77" i="107"/>
  <c r="L19" i="107"/>
  <c r="V21" i="107"/>
  <c r="AA21" i="107" s="1"/>
  <c r="W21" i="107"/>
  <c r="W60" i="107"/>
  <c r="K92" i="107"/>
  <c r="N37" i="107"/>
  <c r="V55" i="107"/>
  <c r="AA55" i="107" s="1"/>
  <c r="V77" i="107"/>
  <c r="AA77" i="107" s="1"/>
  <c r="L79" i="107"/>
  <c r="L21" i="107"/>
  <c r="M21" i="107" s="1"/>
  <c r="N21" i="107" s="1"/>
  <c r="L29" i="107"/>
  <c r="M29" i="107" s="1"/>
  <c r="N29" i="107" s="1"/>
  <c r="W66" i="107"/>
  <c r="L20" i="107"/>
  <c r="M20" i="107" s="1"/>
  <c r="N20" i="107" s="1"/>
  <c r="W30" i="107"/>
  <c r="L32" i="107"/>
  <c r="K35" i="107"/>
  <c r="L53" i="107"/>
  <c r="M53" i="107" s="1"/>
  <c r="N53" i="107" s="1"/>
  <c r="V75" i="107"/>
  <c r="W90" i="107"/>
  <c r="U90" i="107"/>
  <c r="W29" i="107"/>
  <c r="AA33" i="107"/>
  <c r="W33" i="107"/>
  <c r="X33" i="107" s="1"/>
  <c r="Y33" i="107" s="1"/>
  <c r="AL33" i="107" s="1"/>
  <c r="W40" i="107"/>
  <c r="X40" i="107" s="1"/>
  <c r="Y40" i="107" s="1"/>
  <c r="AL40" i="107" s="1"/>
  <c r="K34" i="107"/>
  <c r="W73" i="107"/>
  <c r="V73" i="107"/>
  <c r="AA73" i="107" s="1"/>
  <c r="M75" i="107"/>
  <c r="N75" i="107" s="1"/>
  <c r="K56" i="107"/>
  <c r="W79" i="107"/>
  <c r="L40" i="107"/>
  <c r="W48" i="107"/>
  <c r="V48" i="107"/>
  <c r="L67" i="107"/>
  <c r="W89" i="107"/>
  <c r="M52" i="107"/>
  <c r="L60" i="107"/>
  <c r="V84" i="107"/>
  <c r="N84" i="107"/>
  <c r="L76" i="107"/>
  <c r="M76" i="107"/>
  <c r="N76" i="107" s="1"/>
  <c r="V80" i="107"/>
  <c r="AA80" i="107" s="1"/>
  <c r="L77" i="107"/>
  <c r="L95" i="107"/>
  <c r="L65" i="107"/>
  <c r="L72" i="107"/>
  <c r="M72" i="107" s="1"/>
  <c r="W80" i="107"/>
  <c r="K96" i="107"/>
  <c r="U96" i="107" l="1"/>
  <c r="AB95" i="107" s="1"/>
  <c r="X89" i="107"/>
  <c r="Y89" i="107" s="1"/>
  <c r="U97" i="107"/>
  <c r="U41" i="107"/>
  <c r="AB40" i="107" s="1"/>
  <c r="X66" i="107"/>
  <c r="Y66" i="107" s="1"/>
  <c r="V37" i="107"/>
  <c r="X39" i="107"/>
  <c r="Y39" i="107" s="1"/>
  <c r="M78" i="107"/>
  <c r="N78" i="107" s="1"/>
  <c r="X32" i="107"/>
  <c r="Y32" i="107" s="1"/>
  <c r="AL32" i="107" s="1"/>
  <c r="AA32" i="107"/>
  <c r="X31" i="107"/>
  <c r="Y31" i="107" s="1"/>
  <c r="AA31" i="107"/>
  <c r="X73" i="107"/>
  <c r="Y73" i="107" s="1"/>
  <c r="X49" i="107"/>
  <c r="Y49" i="107" s="1"/>
  <c r="AL49" i="107" s="1"/>
  <c r="V50" i="107"/>
  <c r="N31" i="107"/>
  <c r="X80" i="107"/>
  <c r="Y80" i="107" s="1"/>
  <c r="X30" i="107"/>
  <c r="Y30" i="107" s="1"/>
  <c r="AL30" i="107" s="1"/>
  <c r="N85" i="107"/>
  <c r="X21" i="107"/>
  <c r="Y21" i="107" s="1"/>
  <c r="X76" i="107"/>
  <c r="Y76" i="107" s="1"/>
  <c r="M79" i="107"/>
  <c r="N79" i="107" s="1"/>
  <c r="L57" i="107"/>
  <c r="U25" i="107"/>
  <c r="L35" i="107"/>
  <c r="L34" i="107"/>
  <c r="L50" i="107"/>
  <c r="Z40" i="107"/>
  <c r="N54" i="107"/>
  <c r="M45" i="107"/>
  <c r="X18" i="107"/>
  <c r="Z33" i="107"/>
  <c r="L92" i="107"/>
  <c r="X77" i="107"/>
  <c r="Y77" i="107" s="1"/>
  <c r="AL77" i="107" s="1"/>
  <c r="V68" i="107"/>
  <c r="V69" i="107"/>
  <c r="AA65" i="107"/>
  <c r="X65" i="107"/>
  <c r="Y65" i="107" s="1"/>
  <c r="AL65" i="107" s="1"/>
  <c r="Z49" i="107"/>
  <c r="X78" i="107"/>
  <c r="Y78" i="107" s="1"/>
  <c r="AL78" i="107" s="1"/>
  <c r="X67" i="107"/>
  <c r="Y67" i="107" s="1"/>
  <c r="AL67" i="107" s="1"/>
  <c r="Z89" i="107"/>
  <c r="N19" i="107"/>
  <c r="U61" i="107"/>
  <c r="AB60" i="107" s="1"/>
  <c r="U62" i="107"/>
  <c r="M55" i="107"/>
  <c r="M56" i="107" s="1"/>
  <c r="U85" i="107"/>
  <c r="X55" i="107"/>
  <c r="Y55" i="107" s="1"/>
  <c r="AL55" i="107" s="1"/>
  <c r="V97" i="107"/>
  <c r="V96" i="107"/>
  <c r="M17" i="107"/>
  <c r="L56" i="107"/>
  <c r="M50" i="107"/>
  <c r="N49" i="107"/>
  <c r="N50" i="107" s="1"/>
  <c r="M74" i="107"/>
  <c r="L41" i="107"/>
  <c r="L42" i="107"/>
  <c r="U98" i="107"/>
  <c r="AA48" i="107"/>
  <c r="M19" i="107"/>
  <c r="M38" i="107"/>
  <c r="U92" i="107"/>
  <c r="L62" i="107"/>
  <c r="M60" i="107"/>
  <c r="L61" i="107"/>
  <c r="U68" i="107"/>
  <c r="AB66" i="107" s="1"/>
  <c r="U69" i="107"/>
  <c r="AA17" i="107"/>
  <c r="V53" i="107"/>
  <c r="U35" i="107"/>
  <c r="L69" i="107"/>
  <c r="L68" i="107"/>
  <c r="V90" i="107"/>
  <c r="AA90" i="107" s="1"/>
  <c r="L96" i="107"/>
  <c r="L97" i="107"/>
  <c r="V60" i="107"/>
  <c r="N52" i="107"/>
  <c r="V79" i="107"/>
  <c r="N23" i="107"/>
  <c r="Z28" i="107"/>
  <c r="M30" i="107"/>
  <c r="N30" i="107" s="1"/>
  <c r="U24" i="107"/>
  <c r="AB21" i="107" s="1"/>
  <c r="X22" i="107"/>
  <c r="Y22" i="107" s="1"/>
  <c r="AL22" i="107" s="1"/>
  <c r="AA22" i="107"/>
  <c r="AB39" i="107"/>
  <c r="X95" i="107"/>
  <c r="AL95" i="107" s="1"/>
  <c r="U57" i="107"/>
  <c r="AC45" i="107"/>
  <c r="AC46" i="107" s="1"/>
  <c r="U46" i="107"/>
  <c r="AB45" i="107" s="1"/>
  <c r="V45" i="107"/>
  <c r="M65" i="107"/>
  <c r="X54" i="107"/>
  <c r="Y54" i="107" s="1"/>
  <c r="AA54" i="107"/>
  <c r="AA75" i="107"/>
  <c r="X75" i="107"/>
  <c r="Y75" i="107" s="1"/>
  <c r="AB38" i="107"/>
  <c r="X84" i="107"/>
  <c r="Y84" i="107" s="1"/>
  <c r="AA84" i="107"/>
  <c r="AA95" i="107"/>
  <c r="N40" i="107"/>
  <c r="V29" i="107"/>
  <c r="M22" i="107"/>
  <c r="N22" i="107" s="1"/>
  <c r="V23" i="107"/>
  <c r="AA23" i="107" s="1"/>
  <c r="U81" i="107"/>
  <c r="AB72" i="107" s="1"/>
  <c r="U86" i="107"/>
  <c r="V74" i="107"/>
  <c r="AA74" i="107" s="1"/>
  <c r="X19" i="107"/>
  <c r="Y19" i="107" s="1"/>
  <c r="AL19" i="107" s="1"/>
  <c r="U91" i="107"/>
  <c r="L86" i="107"/>
  <c r="L81" i="107"/>
  <c r="N72" i="107"/>
  <c r="M32" i="107"/>
  <c r="L24" i="107"/>
  <c r="L25" i="107"/>
  <c r="L98" i="107"/>
  <c r="V20" i="107"/>
  <c r="AA20" i="107" s="1"/>
  <c r="V83" i="107"/>
  <c r="X83" i="107" s="1"/>
  <c r="Y83" i="107" s="1"/>
  <c r="AL83" i="107" s="1"/>
  <c r="U56" i="107"/>
  <c r="AB52" i="107"/>
  <c r="V52" i="107"/>
  <c r="AA37" i="107"/>
  <c r="X37" i="107"/>
  <c r="Y37" i="107" s="1"/>
  <c r="AL37" i="107" s="1"/>
  <c r="X48" i="107"/>
  <c r="Y48" i="107" s="1"/>
  <c r="AL48" i="107" s="1"/>
  <c r="M95" i="107"/>
  <c r="M77" i="107"/>
  <c r="N77" i="107" s="1"/>
  <c r="M90" i="107"/>
  <c r="N90" i="107" s="1"/>
  <c r="V72" i="107"/>
  <c r="X72" i="107" s="1"/>
  <c r="Y72" i="107" s="1"/>
  <c r="AL72" i="107" s="1"/>
  <c r="U34" i="107"/>
  <c r="AB30" i="107" s="1"/>
  <c r="M67" i="107"/>
  <c r="N67" i="107" s="1"/>
  <c r="V38" i="107"/>
  <c r="AA38" i="107" s="1"/>
  <c r="AB83" i="107" l="1"/>
  <c r="AB90" i="107"/>
  <c r="Z84" i="107"/>
  <c r="AL84" i="107"/>
  <c r="Z80" i="107"/>
  <c r="AL80" i="107"/>
  <c r="AA79" i="107"/>
  <c r="X79" i="107"/>
  <c r="Y79" i="107" s="1"/>
  <c r="AL79" i="107" s="1"/>
  <c r="Z76" i="107"/>
  <c r="AL76" i="107"/>
  <c r="Z75" i="107"/>
  <c r="AL75" i="107"/>
  <c r="Z66" i="107"/>
  <c r="AL66" i="107"/>
  <c r="Z54" i="107"/>
  <c r="AL54" i="107"/>
  <c r="Z39" i="107"/>
  <c r="AL39" i="107"/>
  <c r="Z31" i="107"/>
  <c r="AL31" i="107"/>
  <c r="Z21" i="107"/>
  <c r="AL21" i="107"/>
  <c r="Z18" i="107"/>
  <c r="AL18" i="107"/>
  <c r="Z73" i="107"/>
  <c r="AL73" i="107"/>
  <c r="AB79" i="107"/>
  <c r="AB78" i="107"/>
  <c r="AB74" i="107"/>
  <c r="Z79" i="107"/>
  <c r="Z78" i="107"/>
  <c r="M86" i="107"/>
  <c r="AB77" i="107"/>
  <c r="Z32" i="107"/>
  <c r="AB37" i="107"/>
  <c r="AB29" i="107"/>
  <c r="V92" i="107"/>
  <c r="V91" i="107"/>
  <c r="V98" i="107"/>
  <c r="V24" i="107"/>
  <c r="N45" i="107"/>
  <c r="M46" i="107"/>
  <c r="N55" i="107"/>
  <c r="X74" i="107"/>
  <c r="Y74" i="107" s="1"/>
  <c r="AB67" i="107"/>
  <c r="X23" i="107"/>
  <c r="Y23" i="107" s="1"/>
  <c r="AB80" i="107"/>
  <c r="Z55" i="107"/>
  <c r="N74" i="107"/>
  <c r="Y85" i="107"/>
  <c r="Z85" i="107" s="1"/>
  <c r="Z83" i="107"/>
  <c r="Z22" i="107"/>
  <c r="AB54" i="107"/>
  <c r="AB55" i="107"/>
  <c r="M69" i="107"/>
  <c r="M68" i="107"/>
  <c r="N91" i="107"/>
  <c r="N92" i="107"/>
  <c r="V25" i="107"/>
  <c r="V57" i="107"/>
  <c r="V46" i="107"/>
  <c r="AA45" i="107"/>
  <c r="AB23" i="107"/>
  <c r="AB65" i="107"/>
  <c r="N32" i="107"/>
  <c r="N34" i="107" s="1"/>
  <c r="AB84" i="107"/>
  <c r="AB89" i="107"/>
  <c r="M81" i="107"/>
  <c r="V41" i="107"/>
  <c r="M62" i="107"/>
  <c r="M61" i="107"/>
  <c r="Y68" i="107"/>
  <c r="Y69" i="107"/>
  <c r="Z65" i="107"/>
  <c r="Y97" i="107"/>
  <c r="Y96" i="107"/>
  <c r="N60" i="107"/>
  <c r="V61" i="107"/>
  <c r="V62" i="107"/>
  <c r="AA60" i="107"/>
  <c r="X60" i="107"/>
  <c r="Y60" i="107" s="1"/>
  <c r="AL60" i="107" s="1"/>
  <c r="M98" i="107"/>
  <c r="M25" i="107"/>
  <c r="M24" i="107"/>
  <c r="N81" i="107"/>
  <c r="N86" i="107"/>
  <c r="V34" i="107"/>
  <c r="V35" i="107"/>
  <c r="AA29" i="107"/>
  <c r="AB18" i="107"/>
  <c r="AB22" i="107"/>
  <c r="AB19" i="107"/>
  <c r="AB17" i="107"/>
  <c r="X38" i="107"/>
  <c r="Y38" i="107" s="1"/>
  <c r="M34" i="107"/>
  <c r="N17" i="107"/>
  <c r="Y50" i="107"/>
  <c r="Z50" i="107" s="1"/>
  <c r="Z48" i="107"/>
  <c r="Z37" i="107"/>
  <c r="N65" i="107"/>
  <c r="X90" i="107"/>
  <c r="Y90" i="107" s="1"/>
  <c r="AB20" i="107"/>
  <c r="V56" i="107"/>
  <c r="AA52" i="107"/>
  <c r="X52" i="107"/>
  <c r="Y52" i="107" s="1"/>
  <c r="AL52" i="107" s="1"/>
  <c r="AA53" i="107"/>
  <c r="X53" i="107"/>
  <c r="Y53" i="107" s="1"/>
  <c r="M57" i="107"/>
  <c r="Z77" i="107"/>
  <c r="Z17" i="107"/>
  <c r="M41" i="107"/>
  <c r="M42" i="107"/>
  <c r="N38" i="107"/>
  <c r="V85" i="107"/>
  <c r="AA83" i="107"/>
  <c r="Z72" i="107"/>
  <c r="Z67" i="107"/>
  <c r="AB32" i="107"/>
  <c r="AB31" i="107"/>
  <c r="AB33" i="107"/>
  <c r="AB28" i="107"/>
  <c r="V81" i="107"/>
  <c r="V86" i="107"/>
  <c r="AA72" i="107"/>
  <c r="M35" i="107"/>
  <c r="Z30" i="107"/>
  <c r="M91" i="107"/>
  <c r="M92" i="107"/>
  <c r="Z19" i="107"/>
  <c r="V42" i="107"/>
  <c r="X45" i="107"/>
  <c r="Y45" i="107" s="1"/>
  <c r="AL45" i="107" s="1"/>
  <c r="X20" i="107"/>
  <c r="Y20" i="107" s="1"/>
  <c r="AL20" i="107" s="1"/>
  <c r="AB73" i="107"/>
  <c r="AB76" i="107"/>
  <c r="AB75" i="107"/>
  <c r="X29" i="107"/>
  <c r="Y29" i="107" s="1"/>
  <c r="AL29" i="107" s="1"/>
  <c r="N56" i="107"/>
  <c r="M97" i="107"/>
  <c r="M96" i="107"/>
  <c r="N95" i="107"/>
  <c r="AB53" i="107"/>
  <c r="Z74" i="107" l="1"/>
  <c r="Y81" i="107"/>
  <c r="Z81" i="107" s="1"/>
  <c r="Y86" i="107"/>
  <c r="Z86" i="107" s="1"/>
  <c r="AL74" i="107"/>
  <c r="Z53" i="107"/>
  <c r="AL53" i="107"/>
  <c r="Z38" i="107"/>
  <c r="AL38" i="107"/>
  <c r="Z23" i="107"/>
  <c r="AL23" i="107"/>
  <c r="AL98" i="107" s="1"/>
  <c r="N46" i="107"/>
  <c r="N57" i="107"/>
  <c r="Y56" i="107"/>
  <c r="Z56" i="107" s="1"/>
  <c r="Z52" i="107"/>
  <c r="Z29" i="107"/>
  <c r="Y34" i="107"/>
  <c r="Z34" i="107" s="1"/>
  <c r="Y35" i="107"/>
  <c r="Z35" i="107" s="1"/>
  <c r="Y61" i="107"/>
  <c r="Z61" i="107" s="1"/>
  <c r="Y62" i="107"/>
  <c r="Z62" i="107" s="1"/>
  <c r="Z60" i="107"/>
  <c r="Z90" i="107"/>
  <c r="Y91" i="107"/>
  <c r="Z91" i="107" s="1"/>
  <c r="Y92" i="107"/>
  <c r="Z92" i="107" s="1"/>
  <c r="Z20" i="107"/>
  <c r="Y98" i="107"/>
  <c r="Y25" i="107"/>
  <c r="Z25" i="107" s="1"/>
  <c r="Y42" i="107"/>
  <c r="Z42" i="107" s="1"/>
  <c r="N35" i="107"/>
  <c r="N68" i="107"/>
  <c r="N69" i="107"/>
  <c r="N61" i="107"/>
  <c r="N62" i="107"/>
  <c r="Y57" i="107"/>
  <c r="Z57" i="107" s="1"/>
  <c r="Y46" i="107"/>
  <c r="Z46" i="107" s="1"/>
  <c r="Z45" i="107"/>
  <c r="Y24" i="107"/>
  <c r="Z24" i="107" s="1"/>
  <c r="N97" i="107"/>
  <c r="N96" i="107"/>
  <c r="Z69" i="107"/>
  <c r="N41" i="107"/>
  <c r="N42" i="107"/>
  <c r="Y41" i="107"/>
  <c r="Z41" i="107" s="1"/>
  <c r="N98" i="107"/>
  <c r="N25" i="107"/>
  <c r="N24" i="107"/>
  <c r="Z68" i="107"/>
  <c r="AM102" i="107" l="1"/>
  <c r="AM103" i="107" s="1"/>
  <c r="AM101" i="107"/>
  <c r="D23" i="109" s="1"/>
  <c r="AA98" i="107"/>
  <c r="AB98" i="107" s="1"/>
  <c r="E23" i="109" l="1"/>
  <c r="F23" i="109" s="1"/>
  <c r="K83" i="96"/>
  <c r="L83" i="96" s="1"/>
  <c r="S83" i="96"/>
  <c r="X83" i="96" s="1"/>
  <c r="T83" i="96"/>
  <c r="K84" i="96"/>
  <c r="W84" i="96" s="1"/>
  <c r="T84" i="96"/>
  <c r="X84" i="96"/>
  <c r="K85" i="96"/>
  <c r="L85" i="96" s="1"/>
  <c r="S85" i="96"/>
  <c r="T85" i="96"/>
  <c r="X85" i="96"/>
  <c r="K86" i="96"/>
  <c r="L86" i="96" s="1"/>
  <c r="S86" i="96"/>
  <c r="T86" i="96"/>
  <c r="V86" i="96" s="1"/>
  <c r="K71" i="96"/>
  <c r="L71" i="96" s="1"/>
  <c r="S71" i="96"/>
  <c r="T71" i="96"/>
  <c r="K72" i="96"/>
  <c r="S72" i="96"/>
  <c r="T72" i="96"/>
  <c r="X72" i="96"/>
  <c r="K73" i="96"/>
  <c r="L73" i="96" s="1"/>
  <c r="S73" i="96"/>
  <c r="T73" i="96"/>
  <c r="K74" i="96"/>
  <c r="L74" i="96" s="1"/>
  <c r="S74" i="96"/>
  <c r="T74" i="96"/>
  <c r="K75" i="96"/>
  <c r="L75" i="96" s="1"/>
  <c r="S75" i="96"/>
  <c r="T75" i="96"/>
  <c r="K76" i="96"/>
  <c r="L76" i="96"/>
  <c r="S76" i="96"/>
  <c r="T76" i="96"/>
  <c r="X76" i="96"/>
  <c r="K77" i="96"/>
  <c r="L77" i="96" s="1"/>
  <c r="S77" i="96"/>
  <c r="T77" i="96"/>
  <c r="K66" i="96"/>
  <c r="L66" i="96" s="1"/>
  <c r="S66" i="96"/>
  <c r="T66" i="96"/>
  <c r="K67" i="96"/>
  <c r="L67" i="96" s="1"/>
  <c r="S67" i="96"/>
  <c r="T67" i="96"/>
  <c r="X67" i="96"/>
  <c r="J68" i="96"/>
  <c r="K68" i="96"/>
  <c r="L68" i="96" s="1"/>
  <c r="S68" i="96"/>
  <c r="T68" i="96"/>
  <c r="U68" i="96"/>
  <c r="K60" i="96"/>
  <c r="L60" i="96" s="1"/>
  <c r="S60" i="96"/>
  <c r="T60" i="96"/>
  <c r="K57" i="96"/>
  <c r="L57" i="96" s="1"/>
  <c r="S57" i="96"/>
  <c r="V57" i="96" s="1"/>
  <c r="K49" i="96"/>
  <c r="S49" i="96"/>
  <c r="T49" i="96"/>
  <c r="K52" i="96"/>
  <c r="L52" i="96" s="1"/>
  <c r="U52" i="96"/>
  <c r="X52" i="96"/>
  <c r="K37" i="96"/>
  <c r="S37" i="96"/>
  <c r="T37" i="96"/>
  <c r="W60" i="96" l="1"/>
  <c r="X60" i="96"/>
  <c r="W85" i="96"/>
  <c r="W71" i="96"/>
  <c r="AB71" i="96" s="1"/>
  <c r="W72" i="96"/>
  <c r="L72" i="96"/>
  <c r="X73" i="96"/>
  <c r="W73" i="96"/>
  <c r="W66" i="96"/>
  <c r="X66" i="96"/>
  <c r="AB84" i="96"/>
  <c r="Y84" i="96"/>
  <c r="Z84" i="96" s="1"/>
  <c r="AM84" i="96" s="1"/>
  <c r="L49" i="96"/>
  <c r="L84" i="96"/>
  <c r="W83" i="96"/>
  <c r="W86" i="96"/>
  <c r="AB86" i="96" s="1"/>
  <c r="X37" i="96"/>
  <c r="L37" i="96"/>
  <c r="X77" i="96"/>
  <c r="X75" i="96"/>
  <c r="X86" i="96"/>
  <c r="W67" i="96"/>
  <c r="Y67" i="96" s="1"/>
  <c r="Z67" i="96" s="1"/>
  <c r="AM67" i="96" s="1"/>
  <c r="W77" i="96"/>
  <c r="AB77" i="96" s="1"/>
  <c r="X71" i="96"/>
  <c r="W75" i="96"/>
  <c r="X74" i="96"/>
  <c r="W74" i="96"/>
  <c r="Y74" i="96" s="1"/>
  <c r="Z74" i="96" s="1"/>
  <c r="AM74" i="96" s="1"/>
  <c r="W68" i="96"/>
  <c r="AB68" i="96" s="1"/>
  <c r="W76" i="96"/>
  <c r="W37" i="96"/>
  <c r="X68" i="96"/>
  <c r="W49" i="96"/>
  <c r="AB49" i="96" s="1"/>
  <c r="X57" i="96"/>
  <c r="X49" i="96"/>
  <c r="W57" i="96"/>
  <c r="AB57" i="96" s="1"/>
  <c r="W52" i="96"/>
  <c r="Y60" i="96" l="1"/>
  <c r="Z60" i="96" s="1"/>
  <c r="AM60" i="96" s="1"/>
  <c r="Y72" i="96"/>
  <c r="Z72" i="96" s="1"/>
  <c r="AM72" i="96" s="1"/>
  <c r="AB72" i="96"/>
  <c r="AB66" i="96"/>
  <c r="Y66" i="96"/>
  <c r="Z66" i="96" s="1"/>
  <c r="AM66" i="96" s="1"/>
  <c r="Y37" i="96"/>
  <c r="Z37" i="96" s="1"/>
  <c r="AM37" i="96" s="1"/>
  <c r="Y85" i="96"/>
  <c r="Z85" i="96" s="1"/>
  <c r="AM85" i="96" s="1"/>
  <c r="AB85" i="96"/>
  <c r="Y73" i="96"/>
  <c r="Z73" i="96" s="1"/>
  <c r="AM73" i="96" s="1"/>
  <c r="AB73" i="96"/>
  <c r="Y71" i="96"/>
  <c r="Z71" i="96" s="1"/>
  <c r="AM71" i="96" s="1"/>
  <c r="Y86" i="96"/>
  <c r="Z86" i="96" s="1"/>
  <c r="AM86" i="96" s="1"/>
  <c r="AB83" i="96"/>
  <c r="Y83" i="96"/>
  <c r="Z83" i="96" s="1"/>
  <c r="AM83" i="96" s="1"/>
  <c r="Y77" i="96"/>
  <c r="Z77" i="96" s="1"/>
  <c r="AM77" i="96" s="1"/>
  <c r="AB67" i="96"/>
  <c r="Y68" i="96"/>
  <c r="Z68" i="96" s="1"/>
  <c r="AM68" i="96" s="1"/>
  <c r="AB74" i="96"/>
  <c r="AB37" i="96"/>
  <c r="Y49" i="96"/>
  <c r="Z49" i="96" s="1"/>
  <c r="AM49" i="96" s="1"/>
  <c r="AB76" i="96"/>
  <c r="Y76" i="96"/>
  <c r="Z76" i="96" s="1"/>
  <c r="AM76" i="96" s="1"/>
  <c r="Y75" i="96"/>
  <c r="AM75" i="96" s="1"/>
  <c r="AB75" i="96"/>
  <c r="AB60" i="96"/>
  <c r="Y57" i="96"/>
  <c r="Z57" i="96" s="1"/>
  <c r="AM57" i="96" s="1"/>
  <c r="AB52" i="96"/>
  <c r="Y52" i="96"/>
  <c r="Z52" i="96" s="1"/>
  <c r="AM52" i="96" s="1"/>
  <c r="AB82" i="106" l="1"/>
  <c r="X81" i="106"/>
  <c r="T81" i="106"/>
  <c r="K81" i="106"/>
  <c r="T80" i="106"/>
  <c r="S80" i="106"/>
  <c r="X80" i="106" s="1"/>
  <c r="K80" i="106"/>
  <c r="T79" i="106"/>
  <c r="S79" i="106"/>
  <c r="K79" i="106"/>
  <c r="X78" i="106"/>
  <c r="K78" i="106"/>
  <c r="S77" i="106"/>
  <c r="S76" i="106"/>
  <c r="T73" i="106"/>
  <c r="S73" i="106"/>
  <c r="X73" i="106" s="1"/>
  <c r="K73" i="106"/>
  <c r="L73" i="106" s="1"/>
  <c r="S72" i="106"/>
  <c r="K72" i="106"/>
  <c r="L72" i="106" s="1"/>
  <c r="S71" i="106"/>
  <c r="S70" i="106"/>
  <c r="T67" i="106"/>
  <c r="S67" i="106"/>
  <c r="K67" i="106"/>
  <c r="T66" i="106"/>
  <c r="K66" i="106"/>
  <c r="L66" i="106" s="1"/>
  <c r="S65" i="106"/>
  <c r="K65" i="106"/>
  <c r="L65" i="106" s="1"/>
  <c r="K64" i="106"/>
  <c r="L64" i="106" s="1"/>
  <c r="T63" i="106"/>
  <c r="S63" i="106"/>
  <c r="K63" i="106"/>
  <c r="L63" i="106" s="1"/>
  <c r="T62" i="106"/>
  <c r="S62" i="106"/>
  <c r="K62" i="106"/>
  <c r="L62" i="106" s="1"/>
  <c r="T61" i="106"/>
  <c r="S61" i="106"/>
  <c r="K61" i="106"/>
  <c r="N60" i="106"/>
  <c r="M60" i="106"/>
  <c r="L60" i="106"/>
  <c r="F60" i="106"/>
  <c r="S59" i="106"/>
  <c r="S60" i="106" s="1"/>
  <c r="S56" i="106"/>
  <c r="X56" i="106" s="1"/>
  <c r="K56" i="106"/>
  <c r="S55" i="106"/>
  <c r="X55" i="106" s="1"/>
  <c r="K55" i="106"/>
  <c r="S54" i="106"/>
  <c r="K54" i="106"/>
  <c r="L54" i="106" s="1"/>
  <c r="S53" i="106"/>
  <c r="X53" i="106" s="1"/>
  <c r="K53" i="106"/>
  <c r="L53" i="106" s="1"/>
  <c r="S52" i="106"/>
  <c r="S51" i="106"/>
  <c r="U48" i="106"/>
  <c r="T48" i="106"/>
  <c r="S48" i="106"/>
  <c r="K48" i="106"/>
  <c r="L48" i="106" s="1"/>
  <c r="T47" i="106"/>
  <c r="S47" i="106"/>
  <c r="K47" i="106"/>
  <c r="S46" i="106"/>
  <c r="S45" i="106"/>
  <c r="S42" i="106"/>
  <c r="K42" i="106"/>
  <c r="S41" i="106"/>
  <c r="K41" i="106"/>
  <c r="S40" i="106"/>
  <c r="T37" i="106"/>
  <c r="S37" i="106"/>
  <c r="X37" i="106" s="1"/>
  <c r="K37" i="106"/>
  <c r="L37" i="106" s="1"/>
  <c r="T36" i="106"/>
  <c r="S36" i="106"/>
  <c r="X36" i="106" s="1"/>
  <c r="K36" i="106"/>
  <c r="L36" i="106" s="1"/>
  <c r="S35" i="106"/>
  <c r="K35" i="106"/>
  <c r="S34" i="106"/>
  <c r="S33" i="106"/>
  <c r="S30" i="106"/>
  <c r="X30" i="106" s="1"/>
  <c r="K30" i="106"/>
  <c r="S29" i="106"/>
  <c r="X29" i="106" s="1"/>
  <c r="K29" i="106"/>
  <c r="S28" i="106"/>
  <c r="X28" i="106" s="1"/>
  <c r="K28" i="106"/>
  <c r="S27" i="106"/>
  <c r="X27" i="106" s="1"/>
  <c r="K27" i="106"/>
  <c r="L27" i="106" s="1"/>
  <c r="S26" i="106"/>
  <c r="K26" i="106"/>
  <c r="T25" i="106"/>
  <c r="S25" i="106"/>
  <c r="X25" i="106" s="1"/>
  <c r="K25" i="106"/>
  <c r="T24" i="106"/>
  <c r="S24" i="106"/>
  <c r="K24" i="106"/>
  <c r="T23" i="106"/>
  <c r="S23" i="106"/>
  <c r="K23" i="106"/>
  <c r="S22" i="106"/>
  <c r="S21" i="106"/>
  <c r="T18" i="106"/>
  <c r="S18" i="106"/>
  <c r="K18" i="106"/>
  <c r="T17" i="106"/>
  <c r="S17" i="106"/>
  <c r="K17" i="106"/>
  <c r="S16" i="106"/>
  <c r="S15" i="106"/>
  <c r="M14" i="106"/>
  <c r="AB12" i="106" s="1"/>
  <c r="M10" i="106"/>
  <c r="K84" i="106" l="1"/>
  <c r="T84" i="106"/>
  <c r="K20" i="106"/>
  <c r="W81" i="106"/>
  <c r="AB81" i="106" s="1"/>
  <c r="M63" i="106"/>
  <c r="N63" i="106" s="1"/>
  <c r="K32" i="106"/>
  <c r="K82" i="106"/>
  <c r="K39" i="106"/>
  <c r="W53" i="106"/>
  <c r="W25" i="106"/>
  <c r="AB25" i="106" s="1"/>
  <c r="W37" i="106"/>
  <c r="AB37" i="106" s="1"/>
  <c r="L35" i="106"/>
  <c r="L39" i="106" s="1"/>
  <c r="L23" i="106"/>
  <c r="M23" i="106" s="1"/>
  <c r="V54" i="106"/>
  <c r="W54" i="106" s="1"/>
  <c r="AB54" i="106" s="1"/>
  <c r="M48" i="106"/>
  <c r="N48" i="106" s="1"/>
  <c r="V56" i="106"/>
  <c r="W56" i="106" s="1"/>
  <c r="AB56" i="106" s="1"/>
  <c r="V26" i="106"/>
  <c r="W26" i="106" s="1"/>
  <c r="AB26" i="106" s="1"/>
  <c r="V29" i="106"/>
  <c r="W29" i="106" s="1"/>
  <c r="V23" i="106"/>
  <c r="W23" i="106" s="1"/>
  <c r="AB23" i="106" s="1"/>
  <c r="W36" i="106"/>
  <c r="M64" i="106"/>
  <c r="N64" i="106" s="1"/>
  <c r="X17" i="106"/>
  <c r="V17" i="106"/>
  <c r="X42" i="106"/>
  <c r="V42" i="106"/>
  <c r="S43" i="106"/>
  <c r="L47" i="106"/>
  <c r="K50" i="106"/>
  <c r="K49" i="106"/>
  <c r="K68" i="106"/>
  <c r="S75" i="106"/>
  <c r="M18" i="106"/>
  <c r="L61" i="106"/>
  <c r="M61" i="106" s="1"/>
  <c r="V72" i="106"/>
  <c r="W72" i="106" s="1"/>
  <c r="X24" i="106"/>
  <c r="V35" i="106"/>
  <c r="W35" i="106" s="1"/>
  <c r="S38" i="106"/>
  <c r="X35" i="106"/>
  <c r="S39" i="106"/>
  <c r="K69" i="106"/>
  <c r="L79" i="106"/>
  <c r="X18" i="106"/>
  <c r="V18" i="106"/>
  <c r="W18" i="106" s="1"/>
  <c r="AB18" i="106" s="1"/>
  <c r="K43" i="106"/>
  <c r="K44" i="106"/>
  <c r="X47" i="106"/>
  <c r="W47" i="106"/>
  <c r="AB47" i="106" s="1"/>
  <c r="X72" i="106"/>
  <c r="S74" i="106"/>
  <c r="X79" i="106"/>
  <c r="S82" i="106"/>
  <c r="V24" i="106"/>
  <c r="W24" i="106" s="1"/>
  <c r="AB24" i="106" s="1"/>
  <c r="L41" i="106"/>
  <c r="M41" i="106" s="1"/>
  <c r="L56" i="106"/>
  <c r="X61" i="106"/>
  <c r="V61" i="106"/>
  <c r="AB66" i="106"/>
  <c r="S83" i="106"/>
  <c r="M36" i="106"/>
  <c r="N36" i="106" s="1"/>
  <c r="AB64" i="106"/>
  <c r="K19" i="106"/>
  <c r="M62" i="106"/>
  <c r="N62" i="106" s="1"/>
  <c r="L17" i="106"/>
  <c r="S19" i="106"/>
  <c r="L42" i="106"/>
  <c r="L67" i="106"/>
  <c r="M67" i="106" s="1"/>
  <c r="S31" i="106"/>
  <c r="S32" i="106"/>
  <c r="X23" i="106"/>
  <c r="X48" i="106"/>
  <c r="W48" i="106"/>
  <c r="AB48" i="106" s="1"/>
  <c r="S50" i="106"/>
  <c r="K57" i="106"/>
  <c r="K75" i="106"/>
  <c r="L74" i="106"/>
  <c r="W78" i="106"/>
  <c r="K83" i="106"/>
  <c r="L78" i="106"/>
  <c r="K58" i="106"/>
  <c r="L55" i="106"/>
  <c r="M66" i="106"/>
  <c r="N66" i="106" s="1"/>
  <c r="L81" i="106"/>
  <c r="M81" i="106" s="1"/>
  <c r="L28" i="106"/>
  <c r="M28" i="106" s="1"/>
  <c r="N28" i="106" s="1"/>
  <c r="L29" i="106"/>
  <c r="M29" i="106" s="1"/>
  <c r="K31" i="106"/>
  <c r="V41" i="106"/>
  <c r="W41" i="106" s="1"/>
  <c r="AB41" i="106" s="1"/>
  <c r="S44" i="106"/>
  <c r="L30" i="106"/>
  <c r="M30" i="106" s="1"/>
  <c r="M65" i="106"/>
  <c r="N65" i="106" s="1"/>
  <c r="L80" i="106"/>
  <c r="M80" i="106" s="1"/>
  <c r="N80" i="106" s="1"/>
  <c r="L25" i="106"/>
  <c r="M25" i="106" s="1"/>
  <c r="L26" i="106"/>
  <c r="M26" i="106" s="1"/>
  <c r="N26" i="106" s="1"/>
  <c r="M27" i="106"/>
  <c r="N27" i="106" s="1"/>
  <c r="X41" i="106"/>
  <c r="S49" i="106"/>
  <c r="M54" i="106"/>
  <c r="N54" i="106" s="1"/>
  <c r="V55" i="106"/>
  <c r="W55" i="106" s="1"/>
  <c r="Y55" i="106" s="1"/>
  <c r="Z55" i="106" s="1"/>
  <c r="M73" i="106"/>
  <c r="N73" i="106" s="1"/>
  <c r="L24" i="106"/>
  <c r="M24" i="106" s="1"/>
  <c r="V28" i="106"/>
  <c r="M53" i="106"/>
  <c r="N53" i="106" s="1"/>
  <c r="X26" i="106"/>
  <c r="V27" i="106"/>
  <c r="K38" i="106"/>
  <c r="M37" i="106"/>
  <c r="N37" i="106" s="1"/>
  <c r="X54" i="106"/>
  <c r="M72" i="106"/>
  <c r="V73" i="106"/>
  <c r="V30" i="106"/>
  <c r="K74" i="106"/>
  <c r="AB53" i="106" l="1"/>
  <c r="V84" i="106"/>
  <c r="M20" i="106"/>
  <c r="L84" i="106"/>
  <c r="Y81" i="106"/>
  <c r="Z81" i="106" s="1"/>
  <c r="X20" i="106"/>
  <c r="V20" i="106"/>
  <c r="N17" i="106"/>
  <c r="L20" i="106"/>
  <c r="L75" i="106"/>
  <c r="L57" i="106"/>
  <c r="X82" i="106"/>
  <c r="Y23" i="106"/>
  <c r="Z23" i="106" s="1"/>
  <c r="AA23" i="106" s="1"/>
  <c r="AB36" i="106"/>
  <c r="Y36" i="106"/>
  <c r="Z36" i="106" s="1"/>
  <c r="AB35" i="106"/>
  <c r="Y35" i="106"/>
  <c r="Z35" i="106" s="1"/>
  <c r="Z38" i="106" s="1"/>
  <c r="L38" i="106"/>
  <c r="M56" i="106"/>
  <c r="Y24" i="106"/>
  <c r="Z24" i="106" s="1"/>
  <c r="AA24" i="106" s="1"/>
  <c r="L50" i="106"/>
  <c r="V32" i="106"/>
  <c r="M35" i="106"/>
  <c r="M39" i="106" s="1"/>
  <c r="N29" i="106"/>
  <c r="N23" i="106"/>
  <c r="Y26" i="106"/>
  <c r="Z26" i="106" s="1"/>
  <c r="AA26" i="106" s="1"/>
  <c r="N25" i="106"/>
  <c r="N30" i="106"/>
  <c r="Y18" i="106"/>
  <c r="Z18" i="106" s="1"/>
  <c r="AA18" i="106" s="1"/>
  <c r="Y47" i="106"/>
  <c r="Z47" i="106" s="1"/>
  <c r="AM47" i="106" s="1"/>
  <c r="M31" i="106"/>
  <c r="Y48" i="106"/>
  <c r="Z48" i="106" s="1"/>
  <c r="W28" i="106"/>
  <c r="X75" i="106"/>
  <c r="X74" i="106"/>
  <c r="W80" i="106"/>
  <c r="W61" i="106"/>
  <c r="AB61" i="106" s="1"/>
  <c r="L69" i="106"/>
  <c r="V19" i="106"/>
  <c r="AC18" i="106" s="1"/>
  <c r="W49" i="106"/>
  <c r="W50" i="106"/>
  <c r="AB67" i="106"/>
  <c r="V49" i="106"/>
  <c r="V50" i="106"/>
  <c r="L49" i="106"/>
  <c r="M47" i="106"/>
  <c r="N47" i="106" s="1"/>
  <c r="W42" i="106"/>
  <c r="AB42" i="106" s="1"/>
  <c r="W17" i="106"/>
  <c r="V31" i="106"/>
  <c r="X43" i="106"/>
  <c r="X44" i="106"/>
  <c r="X19" i="106"/>
  <c r="L31" i="106"/>
  <c r="L32" i="106"/>
  <c r="N24" i="106"/>
  <c r="M19" i="106"/>
  <c r="Y25" i="106"/>
  <c r="Z25" i="106" s="1"/>
  <c r="N18" i="106"/>
  <c r="W27" i="106"/>
  <c r="M55" i="106"/>
  <c r="AA55" i="106" s="1"/>
  <c r="Y41" i="106"/>
  <c r="Z41" i="106" s="1"/>
  <c r="L68" i="106"/>
  <c r="N41" i="106"/>
  <c r="N61" i="106"/>
  <c r="V68" i="106"/>
  <c r="AC63" i="106" s="1"/>
  <c r="V69" i="106"/>
  <c r="L83" i="106"/>
  <c r="L82" i="106"/>
  <c r="W57" i="106"/>
  <c r="W58" i="106" s="1"/>
  <c r="AB29" i="106"/>
  <c r="Y29" i="106"/>
  <c r="Z29" i="106" s="1"/>
  <c r="AA29" i="106" s="1"/>
  <c r="W30" i="106"/>
  <c r="W73" i="106"/>
  <c r="Y56" i="106"/>
  <c r="Z56" i="106" s="1"/>
  <c r="V44" i="106"/>
  <c r="V43" i="106"/>
  <c r="AC42" i="106" s="1"/>
  <c r="W39" i="106"/>
  <c r="W38" i="106"/>
  <c r="M79" i="106"/>
  <c r="N79" i="106" s="1"/>
  <c r="AB72" i="106"/>
  <c r="M75" i="106"/>
  <c r="M74" i="106"/>
  <c r="N72" i="106"/>
  <c r="AB78" i="106"/>
  <c r="Y78" i="106"/>
  <c r="Z78" i="106" s="1"/>
  <c r="AM78" i="106" s="1"/>
  <c r="N67" i="106"/>
  <c r="M42" i="106"/>
  <c r="M43" i="106" s="1"/>
  <c r="V82" i="106"/>
  <c r="V83" i="106"/>
  <c r="X39" i="106"/>
  <c r="X38" i="106"/>
  <c r="AB55" i="106"/>
  <c r="M78" i="106"/>
  <c r="N78" i="106" s="1"/>
  <c r="Y53" i="106"/>
  <c r="Z53" i="106" s="1"/>
  <c r="AM53" i="106" s="1"/>
  <c r="L19" i="106"/>
  <c r="M32" i="106"/>
  <c r="V58" i="106"/>
  <c r="V57" i="106"/>
  <c r="W79" i="106"/>
  <c r="Y72" i="106"/>
  <c r="Z72" i="106" s="1"/>
  <c r="Y54" i="106"/>
  <c r="Z54" i="106" s="1"/>
  <c r="AA54" i="106" s="1"/>
  <c r="X50" i="106"/>
  <c r="X49" i="106"/>
  <c r="N81" i="106"/>
  <c r="Y37" i="106"/>
  <c r="Z37" i="106" s="1"/>
  <c r="X83" i="106"/>
  <c r="V39" i="106"/>
  <c r="V38" i="106"/>
  <c r="AC35" i="106" s="1"/>
  <c r="V75" i="106"/>
  <c r="V74" i="106"/>
  <c r="L58" i="106"/>
  <c r="AB62" i="106"/>
  <c r="X32" i="106"/>
  <c r="X31" i="106"/>
  <c r="L43" i="106"/>
  <c r="L44" i="106"/>
  <c r="AB63" i="106"/>
  <c r="AA81" i="106" l="1"/>
  <c r="AM81" i="106"/>
  <c r="AA64" i="106"/>
  <c r="AM64" i="106"/>
  <c r="AA66" i="106"/>
  <c r="AM66" i="106"/>
  <c r="AA48" i="106"/>
  <c r="AM48" i="106"/>
  <c r="AA36" i="106"/>
  <c r="AM36" i="106"/>
  <c r="AA37" i="106"/>
  <c r="AM37" i="106"/>
  <c r="AA25" i="106"/>
  <c r="AM25" i="106"/>
  <c r="W84" i="106"/>
  <c r="AA53" i="106"/>
  <c r="M84" i="106"/>
  <c r="W20" i="106"/>
  <c r="AC17" i="106"/>
  <c r="AC62" i="106"/>
  <c r="AA56" i="106"/>
  <c r="Z39" i="106"/>
  <c r="N20" i="106"/>
  <c r="AC61" i="106"/>
  <c r="AA35" i="106"/>
  <c r="N32" i="106"/>
  <c r="M50" i="106"/>
  <c r="N35" i="106"/>
  <c r="N38" i="106" s="1"/>
  <c r="M38" i="106"/>
  <c r="AA38" i="106" s="1"/>
  <c r="M57" i="106"/>
  <c r="M49" i="106"/>
  <c r="N56" i="106"/>
  <c r="W43" i="106"/>
  <c r="M68" i="106"/>
  <c r="AC73" i="106"/>
  <c r="AA78" i="106"/>
  <c r="AA39" i="106"/>
  <c r="N42" i="106"/>
  <c r="N44" i="106" s="1"/>
  <c r="AA47" i="106"/>
  <c r="AC65" i="106"/>
  <c r="AC55" i="106"/>
  <c r="N31" i="106"/>
  <c r="Y61" i="106"/>
  <c r="Z61" i="106" s="1"/>
  <c r="AA61" i="106" s="1"/>
  <c r="AB73" i="106"/>
  <c r="Y73" i="106"/>
  <c r="Z73" i="106" s="1"/>
  <c r="AA73" i="106" s="1"/>
  <c r="N49" i="106"/>
  <c r="N50" i="106"/>
  <c r="Y27" i="106"/>
  <c r="Z27" i="106" s="1"/>
  <c r="AA27" i="106" s="1"/>
  <c r="AB27" i="106"/>
  <c r="AB30" i="106"/>
  <c r="Y30" i="106"/>
  <c r="Z30" i="106" s="1"/>
  <c r="AA30" i="106" s="1"/>
  <c r="AC26" i="106"/>
  <c r="AC29" i="106"/>
  <c r="AC23" i="106"/>
  <c r="AC25" i="106"/>
  <c r="N19" i="106"/>
  <c r="AC30" i="106"/>
  <c r="AC27" i="106"/>
  <c r="W19" i="106"/>
  <c r="AB17" i="106"/>
  <c r="Y17" i="106"/>
  <c r="AB65" i="106"/>
  <c r="AA62" i="106"/>
  <c r="AA72" i="106"/>
  <c r="N75" i="106"/>
  <c r="N74" i="106"/>
  <c r="W44" i="106"/>
  <c r="N82" i="106"/>
  <c r="N83" i="106"/>
  <c r="M83" i="106"/>
  <c r="M82" i="106"/>
  <c r="W82" i="106"/>
  <c r="W83" i="106"/>
  <c r="AB79" i="106"/>
  <c r="Y79" i="106"/>
  <c r="Z79" i="106" s="1"/>
  <c r="AM79" i="106" s="1"/>
  <c r="AC78" i="106"/>
  <c r="AC81" i="106"/>
  <c r="AC66" i="106"/>
  <c r="AC64" i="106"/>
  <c r="W31" i="106"/>
  <c r="AB28" i="106"/>
  <c r="Y28" i="106"/>
  <c r="Z28" i="106" s="1"/>
  <c r="AA28" i="106" s="1"/>
  <c r="AC79" i="106"/>
  <c r="AC41" i="106"/>
  <c r="W32" i="106"/>
  <c r="W74" i="106"/>
  <c r="M69" i="106"/>
  <c r="AC28" i="106"/>
  <c r="Z57" i="106"/>
  <c r="AC56" i="106"/>
  <c r="AC54" i="106"/>
  <c r="AC53" i="106"/>
  <c r="W75" i="106"/>
  <c r="Z50" i="106"/>
  <c r="AC72" i="106"/>
  <c r="W69" i="106"/>
  <c r="AA41" i="106"/>
  <c r="M44" i="106"/>
  <c r="AC67" i="106"/>
  <c r="Z49" i="106"/>
  <c r="Y42" i="106"/>
  <c r="Z42" i="106" s="1"/>
  <c r="AA42" i="106" s="1"/>
  <c r="AC36" i="106"/>
  <c r="AC37" i="106"/>
  <c r="W68" i="106"/>
  <c r="N55" i="106"/>
  <c r="M58" i="106"/>
  <c r="AB80" i="106"/>
  <c r="Y80" i="106"/>
  <c r="Z80" i="106" s="1"/>
  <c r="AC80" i="106"/>
  <c r="AA80" i="106" l="1"/>
  <c r="AM80" i="106"/>
  <c r="AA63" i="106"/>
  <c r="AM63" i="106"/>
  <c r="AA65" i="106"/>
  <c r="AM65" i="106"/>
  <c r="AM84" i="106" s="1"/>
  <c r="AA67" i="106"/>
  <c r="AM67" i="106"/>
  <c r="N84" i="106"/>
  <c r="N68" i="106"/>
  <c r="AA50" i="106"/>
  <c r="N39" i="106"/>
  <c r="Z75" i="106"/>
  <c r="AA75" i="106" s="1"/>
  <c r="AA49" i="106"/>
  <c r="Z74" i="106"/>
  <c r="AA74" i="106" s="1"/>
  <c r="N43" i="106"/>
  <c r="Z58" i="106"/>
  <c r="AA58" i="106" s="1"/>
  <c r="AA57" i="106"/>
  <c r="N57" i="106"/>
  <c r="N58" i="106"/>
  <c r="N69" i="106"/>
  <c r="Z68" i="106"/>
  <c r="AA68" i="106" s="1"/>
  <c r="Z32" i="106"/>
  <c r="AA32" i="106" s="1"/>
  <c r="Z69" i="106"/>
  <c r="AA69" i="106" s="1"/>
  <c r="Z44" i="106"/>
  <c r="AA44" i="106" s="1"/>
  <c r="Z17" i="106"/>
  <c r="Z20" i="106" s="1"/>
  <c r="Z43" i="106"/>
  <c r="AA43" i="106" s="1"/>
  <c r="Z31" i="106"/>
  <c r="AA31" i="106" s="1"/>
  <c r="Z82" i="106"/>
  <c r="AA82" i="106" s="1"/>
  <c r="Z83" i="106"/>
  <c r="AA83" i="106" s="1"/>
  <c r="AA79" i="106"/>
  <c r="Z84" i="106" l="1"/>
  <c r="AA20" i="106"/>
  <c r="Z19" i="106"/>
  <c r="AA19" i="106" s="1"/>
  <c r="AA17" i="106"/>
  <c r="AA84" i="106" s="1"/>
  <c r="AB84" i="106" s="1"/>
  <c r="AC84" i="106" s="1"/>
  <c r="AN87" i="106" l="1"/>
  <c r="AN88" i="106"/>
  <c r="AN89" i="106" s="1"/>
  <c r="E25" i="109"/>
  <c r="F25" i="109" s="1"/>
  <c r="T197" i="88"/>
  <c r="S197" i="88"/>
  <c r="S196" i="88"/>
  <c r="T195" i="88"/>
  <c r="S195" i="88"/>
  <c r="T194" i="88"/>
  <c r="S194" i="88"/>
  <c r="S193" i="88"/>
  <c r="T188" i="88"/>
  <c r="S188" i="88"/>
  <c r="T187" i="88"/>
  <c r="S187" i="88"/>
  <c r="S186" i="88"/>
  <c r="S185" i="88"/>
  <c r="T184" i="88"/>
  <c r="T183" i="88"/>
  <c r="S183" i="88"/>
  <c r="T182" i="88"/>
  <c r="S182" i="88"/>
  <c r="T181" i="88"/>
  <c r="S181" i="88"/>
  <c r="T178" i="88"/>
  <c r="S178" i="88"/>
  <c r="W26" i="104"/>
  <c r="W32" i="104"/>
  <c r="V46" i="91"/>
  <c r="V25" i="91"/>
  <c r="AA31" i="105"/>
  <c r="AA25" i="105"/>
  <c r="AA32" i="105"/>
  <c r="AA26" i="105"/>
  <c r="Z31" i="105"/>
  <c r="AA20" i="105"/>
  <c r="W20" i="105"/>
  <c r="W25" i="105"/>
  <c r="W31" i="105"/>
  <c r="V20" i="105"/>
  <c r="V31" i="105"/>
  <c r="S175" i="88"/>
  <c r="T174" i="88"/>
  <c r="S174" i="88"/>
  <c r="T173" i="88"/>
  <c r="S173" i="88"/>
  <c r="U172" i="88"/>
  <c r="T172" i="88"/>
  <c r="S172" i="88"/>
  <c r="T170" i="88"/>
  <c r="S170" i="88"/>
  <c r="C19" i="92"/>
  <c r="S166" i="88"/>
  <c r="T165" i="88"/>
  <c r="S165" i="88"/>
  <c r="S164" i="88"/>
  <c r="S163" i="88"/>
  <c r="S162" i="88"/>
  <c r="S161" i="88"/>
  <c r="S160" i="88"/>
  <c r="S159" i="88"/>
  <c r="T158" i="88"/>
  <c r="S158" i="88"/>
  <c r="S157" i="88"/>
  <c r="S156" i="88"/>
  <c r="T155" i="88"/>
  <c r="S155" i="88"/>
  <c r="S151" i="88"/>
  <c r="T150" i="88"/>
  <c r="S150" i="88"/>
  <c r="T149" i="88"/>
  <c r="S149" i="88"/>
  <c r="Y134" i="97"/>
  <c r="W134" i="97"/>
  <c r="S145" i="88"/>
  <c r="S144" i="88"/>
  <c r="S143" i="88"/>
  <c r="S142" i="88"/>
  <c r="S141" i="88"/>
  <c r="T140" i="88"/>
  <c r="S140" i="88"/>
  <c r="S139" i="88"/>
  <c r="T138" i="88"/>
  <c r="S138" i="88"/>
  <c r="T136" i="88"/>
  <c r="S136" i="88"/>
  <c r="T135" i="88"/>
  <c r="S135" i="88"/>
  <c r="T134" i="88"/>
  <c r="S134" i="88"/>
  <c r="T133" i="88"/>
  <c r="S133" i="88"/>
  <c r="T132" i="88"/>
  <c r="S132" i="88"/>
  <c r="Y34" i="104"/>
  <c r="X162" i="91"/>
  <c r="V162" i="91"/>
  <c r="W33" i="105"/>
  <c r="X33" i="105"/>
  <c r="Y33" i="105"/>
  <c r="Z33" i="105"/>
  <c r="V33" i="105"/>
  <c r="T128" i="88"/>
  <c r="S128" i="88"/>
  <c r="T127" i="88"/>
  <c r="S127" i="88"/>
  <c r="T126" i="88"/>
  <c r="S126" i="88"/>
  <c r="S123" i="88"/>
  <c r="T123" i="88"/>
  <c r="T120" i="88"/>
  <c r="S120" i="88"/>
  <c r="T119" i="88"/>
  <c r="S119" i="88"/>
  <c r="T91" i="88"/>
  <c r="S91" i="88"/>
  <c r="T90" i="88"/>
  <c r="S90" i="88"/>
  <c r="T89" i="88"/>
  <c r="S89" i="88"/>
  <c r="T88" i="88"/>
  <c r="S88" i="88"/>
  <c r="U87" i="88"/>
  <c r="T87" i="88"/>
  <c r="S87" i="88"/>
  <c r="U86" i="88"/>
  <c r="T86" i="88"/>
  <c r="S86" i="88"/>
  <c r="U83" i="88"/>
  <c r="T83" i="88"/>
  <c r="S83" i="88"/>
  <c r="U82" i="88"/>
  <c r="T82" i="88"/>
  <c r="S82" i="88"/>
  <c r="U81" i="88"/>
  <c r="T81" i="88"/>
  <c r="S81" i="88"/>
  <c r="U80" i="88"/>
  <c r="T80" i="88"/>
  <c r="S80" i="88"/>
  <c r="U79" i="88"/>
  <c r="T79" i="88"/>
  <c r="S79" i="88"/>
  <c r="U78" i="88"/>
  <c r="T78" i="88"/>
  <c r="S78" i="88"/>
  <c r="U77" i="88"/>
  <c r="T77" i="88"/>
  <c r="S77" i="88"/>
  <c r="U76" i="88"/>
  <c r="T76" i="88"/>
  <c r="S76" i="88"/>
  <c r="U75" i="88"/>
  <c r="T75" i="88"/>
  <c r="S75" i="88"/>
  <c r="U74" i="88"/>
  <c r="T74" i="88"/>
  <c r="S74" i="88"/>
  <c r="U73" i="88"/>
  <c r="T73" i="88"/>
  <c r="S73" i="88"/>
  <c r="U72" i="88"/>
  <c r="T72" i="88"/>
  <c r="S72" i="88"/>
  <c r="U71" i="88"/>
  <c r="T71" i="88"/>
  <c r="S71" i="88"/>
  <c r="U70" i="88"/>
  <c r="T70" i="88"/>
  <c r="S70" i="88"/>
  <c r="U69" i="88"/>
  <c r="T69" i="88"/>
  <c r="S69" i="88"/>
  <c r="U68" i="88"/>
  <c r="T68" i="88"/>
  <c r="S68" i="88"/>
  <c r="U67" i="88"/>
  <c r="T67" i="88"/>
  <c r="S67" i="88"/>
  <c r="U66" i="88"/>
  <c r="T66" i="88"/>
  <c r="S66" i="88"/>
  <c r="U65" i="88"/>
  <c r="T65" i="88"/>
  <c r="S65" i="88"/>
  <c r="U64" i="88"/>
  <c r="T64" i="88"/>
  <c r="S64" i="88"/>
  <c r="U63" i="88"/>
  <c r="T63" i="88"/>
  <c r="S63" i="88"/>
  <c r="U62" i="88"/>
  <c r="T62" i="88"/>
  <c r="S62" i="88"/>
  <c r="U61" i="88"/>
  <c r="T61" i="88"/>
  <c r="S61" i="88"/>
  <c r="U60" i="88"/>
  <c r="T60" i="88"/>
  <c r="S60" i="88"/>
  <c r="U59" i="88"/>
  <c r="T59" i="88"/>
  <c r="S59" i="88"/>
  <c r="U58" i="88"/>
  <c r="T58" i="88"/>
  <c r="S58" i="88"/>
  <c r="U57" i="88"/>
  <c r="T57" i="88"/>
  <c r="S57" i="88"/>
  <c r="U56" i="88"/>
  <c r="T56" i="88"/>
  <c r="S56" i="88"/>
  <c r="U55" i="88"/>
  <c r="T55" i="88"/>
  <c r="S55" i="88"/>
  <c r="U54" i="88"/>
  <c r="T54" i="88"/>
  <c r="S54" i="88"/>
  <c r="U53" i="88"/>
  <c r="T53" i="88"/>
  <c r="S53" i="88"/>
  <c r="U52" i="88"/>
  <c r="T52" i="88"/>
  <c r="S52" i="88"/>
  <c r="U51" i="88"/>
  <c r="T51" i="88"/>
  <c r="S51" i="88"/>
  <c r="U50" i="88"/>
  <c r="T50" i="88"/>
  <c r="S50" i="88"/>
  <c r="U49" i="88"/>
  <c r="T49" i="88"/>
  <c r="S49" i="88"/>
  <c r="T45" i="88"/>
  <c r="S45" i="88"/>
  <c r="T44" i="88"/>
  <c r="S44" i="88"/>
  <c r="T43" i="88"/>
  <c r="S43" i="88"/>
  <c r="T42" i="88"/>
  <c r="S42" i="88"/>
  <c r="T41" i="88"/>
  <c r="S41" i="88"/>
  <c r="U40" i="88"/>
  <c r="T39" i="88"/>
  <c r="S39" i="88"/>
  <c r="T38" i="88"/>
  <c r="S38" i="88"/>
  <c r="T36" i="88"/>
  <c r="S36" i="88"/>
  <c r="T35" i="88"/>
  <c r="S35" i="88"/>
  <c r="T34" i="88"/>
  <c r="S34" i="88"/>
  <c r="U33" i="88"/>
  <c r="U32" i="88"/>
  <c r="U31" i="88"/>
  <c r="S30" i="88"/>
  <c r="U24" i="88"/>
  <c r="S24" i="88"/>
  <c r="T23" i="88"/>
  <c r="S23" i="88"/>
  <c r="T22" i="88"/>
  <c r="S22" i="88"/>
  <c r="T21" i="88"/>
  <c r="S21" i="88"/>
  <c r="S20" i="88"/>
  <c r="T19" i="88"/>
  <c r="S19" i="88"/>
  <c r="T18" i="88"/>
  <c r="S18" i="88"/>
  <c r="T17" i="88"/>
  <c r="S17" i="88"/>
  <c r="Z32" i="105"/>
  <c r="X158" i="88" l="1"/>
  <c r="X22" i="88"/>
  <c r="X32" i="105"/>
  <c r="S32" i="105"/>
  <c r="N32" i="105"/>
  <c r="M32" i="105"/>
  <c r="L32" i="105"/>
  <c r="K32" i="105"/>
  <c r="X31" i="105"/>
  <c r="S31" i="105"/>
  <c r="N31" i="105"/>
  <c r="M31" i="105"/>
  <c r="L31" i="105"/>
  <c r="K31" i="105"/>
  <c r="X26" i="105"/>
  <c r="S26" i="105"/>
  <c r="N26" i="105"/>
  <c r="M26" i="105"/>
  <c r="L26" i="105"/>
  <c r="K26" i="105"/>
  <c r="X25" i="105"/>
  <c r="S25" i="105"/>
  <c r="N25" i="105"/>
  <c r="M25" i="105"/>
  <c r="L25" i="105"/>
  <c r="K25" i="105"/>
  <c r="S21" i="105"/>
  <c r="S20" i="105"/>
  <c r="X17" i="105"/>
  <c r="X21" i="105" s="1"/>
  <c r="V17" i="105"/>
  <c r="T17" i="105"/>
  <c r="K17" i="105"/>
  <c r="X18" i="105"/>
  <c r="T18" i="105"/>
  <c r="V18" i="105" s="1"/>
  <c r="K18" i="105"/>
  <c r="K33" i="105" s="1"/>
  <c r="T29" i="105"/>
  <c r="S29" i="105"/>
  <c r="V29" i="105" s="1"/>
  <c r="V32" i="105" s="1"/>
  <c r="K29" i="105"/>
  <c r="L29" i="105" s="1"/>
  <c r="K127" i="91"/>
  <c r="K128" i="91"/>
  <c r="K129" i="91"/>
  <c r="K130" i="91"/>
  <c r="M48" i="97"/>
  <c r="K48" i="97"/>
  <c r="N48" i="97" s="1"/>
  <c r="K61" i="97"/>
  <c r="L64" i="97"/>
  <c r="L69" i="97"/>
  <c r="L68" i="97"/>
  <c r="W27" i="104"/>
  <c r="N34" i="104"/>
  <c r="M34" i="104"/>
  <c r="L34" i="104"/>
  <c r="K34" i="104"/>
  <c r="T33" i="104"/>
  <c r="N33" i="104"/>
  <c r="M33" i="104"/>
  <c r="L33" i="104"/>
  <c r="K33" i="104"/>
  <c r="T32" i="104"/>
  <c r="N32" i="104"/>
  <c r="M32" i="104"/>
  <c r="L32" i="104"/>
  <c r="K32" i="104"/>
  <c r="T27" i="104"/>
  <c r="N27" i="104"/>
  <c r="M27" i="104"/>
  <c r="L27" i="104"/>
  <c r="K27" i="104"/>
  <c r="T26" i="104"/>
  <c r="N26" i="104"/>
  <c r="M26" i="104"/>
  <c r="L26" i="104"/>
  <c r="K26" i="104"/>
  <c r="T23" i="104"/>
  <c r="N23" i="104"/>
  <c r="M23" i="104"/>
  <c r="L23" i="104"/>
  <c r="K23" i="104"/>
  <c r="T19" i="104"/>
  <c r="N19" i="104"/>
  <c r="M19" i="104"/>
  <c r="L19" i="104"/>
  <c r="K19" i="104"/>
  <c r="T18" i="104"/>
  <c r="N18" i="104"/>
  <c r="M18" i="104"/>
  <c r="L18" i="104"/>
  <c r="K18" i="104"/>
  <c r="C17" i="92"/>
  <c r="M10" i="105"/>
  <c r="M14" i="105"/>
  <c r="AB12" i="105" s="1"/>
  <c r="S15" i="105"/>
  <c r="S16" i="105"/>
  <c r="K19" i="105"/>
  <c r="L19" i="105" s="1"/>
  <c r="T19" i="105"/>
  <c r="V19" i="105" s="1"/>
  <c r="X19" i="105"/>
  <c r="S22" i="105"/>
  <c r="S23" i="105"/>
  <c r="K24" i="105"/>
  <c r="S24" i="105"/>
  <c r="T24" i="105"/>
  <c r="S27" i="105"/>
  <c r="S28" i="105"/>
  <c r="K30" i="105"/>
  <c r="L30" i="105" s="1"/>
  <c r="S30" i="105"/>
  <c r="T30" i="105"/>
  <c r="M10" i="104"/>
  <c r="M14" i="104"/>
  <c r="AC12" i="104" s="1"/>
  <c r="T15" i="104"/>
  <c r="T16" i="104"/>
  <c r="K17" i="104"/>
  <c r="T17" i="104"/>
  <c r="Y17" i="104" s="1"/>
  <c r="U17" i="104"/>
  <c r="T20" i="104"/>
  <c r="T21" i="104"/>
  <c r="K22" i="104"/>
  <c r="L22" i="104" s="1"/>
  <c r="T22" i="104"/>
  <c r="U22" i="104"/>
  <c r="X22" i="104"/>
  <c r="X23" i="104" s="1"/>
  <c r="T24" i="104"/>
  <c r="K25" i="104"/>
  <c r="L25" i="104" s="1"/>
  <c r="T25" i="104"/>
  <c r="U25" i="104"/>
  <c r="T28" i="104"/>
  <c r="T29" i="104"/>
  <c r="K30" i="104"/>
  <c r="L30" i="104" s="1"/>
  <c r="T30" i="104"/>
  <c r="U30" i="104"/>
  <c r="K31" i="104"/>
  <c r="L31" i="104" s="1"/>
  <c r="T31" i="104"/>
  <c r="Y31" i="104" s="1"/>
  <c r="U31" i="104"/>
  <c r="S152" i="88"/>
  <c r="S146" i="88"/>
  <c r="S124" i="88"/>
  <c r="S121" i="88"/>
  <c r="M116" i="88"/>
  <c r="M109" i="88"/>
  <c r="M98" i="88"/>
  <c r="S92" i="88"/>
  <c r="S84" i="88"/>
  <c r="S46" i="88"/>
  <c r="S25" i="88"/>
  <c r="V34" i="97"/>
  <c r="B21" i="102"/>
  <c r="K21" i="105" l="1"/>
  <c r="K20" i="105"/>
  <c r="X20" i="105"/>
  <c r="V21" i="105"/>
  <c r="W17" i="105"/>
  <c r="AB17" i="105" s="1"/>
  <c r="L17" i="105"/>
  <c r="M17" i="105" s="1"/>
  <c r="L18" i="105"/>
  <c r="W18" i="105"/>
  <c r="K131" i="91"/>
  <c r="W29" i="105"/>
  <c r="X29" i="105"/>
  <c r="M29" i="105"/>
  <c r="N29" i="105" s="1"/>
  <c r="N61" i="97"/>
  <c r="L61" i="97"/>
  <c r="M61" i="97" s="1"/>
  <c r="W19" i="105"/>
  <c r="AB19" i="105" s="1"/>
  <c r="M30" i="105"/>
  <c r="M19" i="105"/>
  <c r="V24" i="105"/>
  <c r="V30" i="105"/>
  <c r="W30" i="105" s="1"/>
  <c r="X30" i="105"/>
  <c r="L24" i="105"/>
  <c r="X24" i="105"/>
  <c r="W30" i="104"/>
  <c r="M22" i="104"/>
  <c r="M17" i="104"/>
  <c r="M31" i="104"/>
  <c r="N31" i="104" s="1"/>
  <c r="M25" i="104"/>
  <c r="N25" i="104" s="1"/>
  <c r="X25" i="104"/>
  <c r="X31" i="104"/>
  <c r="W23" i="104"/>
  <c r="AD22" i="104" s="1"/>
  <c r="M30" i="104"/>
  <c r="N30" i="104" s="1"/>
  <c r="AD25" i="104"/>
  <c r="Y30" i="104"/>
  <c r="Y25" i="104"/>
  <c r="Y22" i="104"/>
  <c r="Z22" i="104" s="1"/>
  <c r="AA22" i="104" s="1"/>
  <c r="AN22" i="104" s="1"/>
  <c r="AC22" i="104"/>
  <c r="L5" i="102"/>
  <c r="E5" i="102"/>
  <c r="D5" i="102"/>
  <c r="J5" i="102"/>
  <c r="K5" i="102" s="1"/>
  <c r="X30" i="104" l="1"/>
  <c r="W34" i="104"/>
  <c r="W33" i="104"/>
  <c r="L20" i="105"/>
  <c r="L21" i="105"/>
  <c r="L33" i="105"/>
  <c r="AB18" i="105"/>
  <c r="W24" i="105"/>
  <c r="Y24" i="105" s="1"/>
  <c r="Z24" i="105" s="1"/>
  <c r="Z26" i="105" s="1"/>
  <c r="V26" i="105"/>
  <c r="Y29" i="105"/>
  <c r="AB29" i="105"/>
  <c r="W32" i="105"/>
  <c r="N17" i="105"/>
  <c r="Y17" i="105"/>
  <c r="AA17" i="105" s="1"/>
  <c r="Y18" i="105"/>
  <c r="M18" i="105"/>
  <c r="AC25" i="104"/>
  <c r="X27" i="104"/>
  <c r="X26" i="104"/>
  <c r="Y19" i="105"/>
  <c r="N19" i="105"/>
  <c r="N30" i="105"/>
  <c r="AB30" i="105"/>
  <c r="Y30" i="105"/>
  <c r="Z30" i="105" s="1"/>
  <c r="AA30" i="105" s="1"/>
  <c r="M24" i="105"/>
  <c r="V25" i="105"/>
  <c r="N22" i="104"/>
  <c r="N17" i="104"/>
  <c r="Z30" i="104"/>
  <c r="Z31" i="104"/>
  <c r="AA31" i="104" s="1"/>
  <c r="AC31" i="104"/>
  <c r="Z25" i="104"/>
  <c r="AA25" i="104" s="1"/>
  <c r="AA23" i="104"/>
  <c r="AB23" i="104" s="1"/>
  <c r="AB22" i="104"/>
  <c r="W18" i="104"/>
  <c r="AD17" i="104" s="1"/>
  <c r="W19" i="104"/>
  <c r="X17" i="104"/>
  <c r="C11" i="102"/>
  <c r="B9" i="102"/>
  <c r="AB31" i="104" l="1"/>
  <c r="AN31" i="104"/>
  <c r="AA32" i="104"/>
  <c r="AN25" i="104"/>
  <c r="AA27" i="104"/>
  <c r="X19" i="104"/>
  <c r="X18" i="104"/>
  <c r="AA30" i="104"/>
  <c r="Z34" i="104"/>
  <c r="AC30" i="104"/>
  <c r="X34" i="104"/>
  <c r="X33" i="104"/>
  <c r="X32" i="104"/>
  <c r="N18" i="105"/>
  <c r="M33" i="105"/>
  <c r="M21" i="105"/>
  <c r="M20" i="105"/>
  <c r="AB24" i="105"/>
  <c r="W26" i="105"/>
  <c r="Z29" i="105"/>
  <c r="AA29" i="105" s="1"/>
  <c r="AC18" i="105"/>
  <c r="AC17" i="105"/>
  <c r="AA18" i="105"/>
  <c r="AC30" i="105"/>
  <c r="AC29" i="105"/>
  <c r="AB27" i="104"/>
  <c r="AA33" i="104"/>
  <c r="AA19" i="105"/>
  <c r="N24" i="105"/>
  <c r="AA24" i="105"/>
  <c r="W21" i="105"/>
  <c r="AC24" i="105"/>
  <c r="AC19" i="105"/>
  <c r="AA26" i="104"/>
  <c r="AB26" i="104" s="1"/>
  <c r="AB25" i="104"/>
  <c r="AD30" i="104"/>
  <c r="AD31" i="104"/>
  <c r="AC17" i="104"/>
  <c r="Z17" i="104"/>
  <c r="AA17" i="104" s="1"/>
  <c r="AN17" i="104" s="1"/>
  <c r="AN34" i="104" s="1"/>
  <c r="T91" i="91"/>
  <c r="S91" i="91"/>
  <c r="K91" i="91"/>
  <c r="AA33" i="105" l="1"/>
  <c r="D19" i="92"/>
  <c r="E19" i="92" s="1"/>
  <c r="F19" i="92" s="1"/>
  <c r="AB33" i="105"/>
  <c r="AC33" i="105" s="1"/>
  <c r="AB30" i="104"/>
  <c r="AB34" i="104" s="1"/>
  <c r="AC34" i="104" s="1"/>
  <c r="AD34" i="104" s="1"/>
  <c r="AA34" i="104"/>
  <c r="N33" i="105"/>
  <c r="N21" i="105"/>
  <c r="N20" i="105"/>
  <c r="Z21" i="105"/>
  <c r="AA21" i="105" s="1"/>
  <c r="Z25" i="105"/>
  <c r="AB32" i="104"/>
  <c r="AB33" i="104"/>
  <c r="AA18" i="104"/>
  <c r="AB18" i="104" s="1"/>
  <c r="AA19" i="104"/>
  <c r="AB19" i="104" s="1"/>
  <c r="AB17" i="104"/>
  <c r="V91" i="91"/>
  <c r="L91" i="91"/>
  <c r="W91" i="91"/>
  <c r="AB91" i="91" s="1"/>
  <c r="X91" i="91"/>
  <c r="Y91" i="91" l="1"/>
  <c r="Z91" i="91" s="1"/>
  <c r="D17" i="92" l="1"/>
  <c r="E17" i="92" s="1"/>
  <c r="F17" i="92" s="1"/>
  <c r="T94" i="96"/>
  <c r="S94" i="96"/>
  <c r="T93" i="96"/>
  <c r="S93" i="96"/>
  <c r="T92" i="96"/>
  <c r="S92" i="96"/>
  <c r="S91" i="96"/>
  <c r="U51" i="96"/>
  <c r="U105" i="96" s="1"/>
  <c r="U203" i="88"/>
  <c r="U205" i="88" s="1"/>
  <c r="S95" i="96" l="1"/>
  <c r="S96" i="96"/>
  <c r="X94" i="96"/>
  <c r="X93" i="96"/>
  <c r="X92" i="96"/>
  <c r="V91" i="96"/>
  <c r="X91" i="96"/>
  <c r="X95" i="96" l="1"/>
  <c r="X96" i="96"/>
  <c r="S58" i="96"/>
  <c r="U40" i="91"/>
  <c r="T102" i="96" l="1"/>
  <c r="T101" i="96"/>
  <c r="S101" i="96"/>
  <c r="T100" i="96"/>
  <c r="S100" i="96"/>
  <c r="K102" i="96"/>
  <c r="K101" i="96"/>
  <c r="K100" i="96"/>
  <c r="L100" i="96" s="1"/>
  <c r="K99" i="96"/>
  <c r="S98" i="96"/>
  <c r="S97" i="96"/>
  <c r="K104" i="96" l="1"/>
  <c r="K103" i="96"/>
  <c r="S103" i="96"/>
  <c r="S104" i="96"/>
  <c r="L102" i="96"/>
  <c r="L101" i="96"/>
  <c r="L99" i="96"/>
  <c r="X102" i="96"/>
  <c r="X101" i="96"/>
  <c r="W101" i="96"/>
  <c r="AB101" i="96" s="1"/>
  <c r="W100" i="96"/>
  <c r="AB100" i="96" s="1"/>
  <c r="X100" i="96"/>
  <c r="AB103" i="96"/>
  <c r="W99" i="96"/>
  <c r="AB99" i="96" s="1"/>
  <c r="X99" i="96"/>
  <c r="K82" i="96"/>
  <c r="T82" i="96"/>
  <c r="S82" i="96"/>
  <c r="X103" i="96" l="1"/>
  <c r="X104" i="96"/>
  <c r="L104" i="96"/>
  <c r="L103" i="96"/>
  <c r="Y100" i="96"/>
  <c r="Z100" i="96" s="1"/>
  <c r="AM100" i="96" s="1"/>
  <c r="W102" i="96"/>
  <c r="Y101" i="96"/>
  <c r="Z101" i="96" s="1"/>
  <c r="AM101" i="96" s="1"/>
  <c r="V104" i="96"/>
  <c r="V103" i="96"/>
  <c r="Y99" i="96"/>
  <c r="Z99" i="96" s="1"/>
  <c r="AM99" i="96" s="1"/>
  <c r="V82" i="96"/>
  <c r="W82" i="96" s="1"/>
  <c r="AB82" i="96" s="1"/>
  <c r="X82" i="96"/>
  <c r="L82" i="96"/>
  <c r="Y102" i="96" l="1"/>
  <c r="Z102" i="96" s="1"/>
  <c r="AB102" i="96"/>
  <c r="W103" i="96"/>
  <c r="W104" i="96"/>
  <c r="Y82" i="96"/>
  <c r="Z82" i="96" s="1"/>
  <c r="AM82" i="96" s="1"/>
  <c r="Z103" i="96" l="1"/>
  <c r="AM102" i="96"/>
  <c r="Z104" i="96"/>
  <c r="K78" i="96"/>
  <c r="F6" i="100"/>
  <c r="S90" i="91" l="1"/>
  <c r="X90" i="91" l="1"/>
  <c r="V90" i="91"/>
  <c r="E5" i="100"/>
  <c r="F5" i="100" s="1"/>
  <c r="F4" i="100"/>
  <c r="F3" i="100"/>
  <c r="F2" i="100"/>
  <c r="T38" i="96"/>
  <c r="S38" i="96"/>
  <c r="K38" i="96"/>
  <c r="X38" i="96" l="1"/>
  <c r="L38" i="96"/>
  <c r="W38" i="96" l="1"/>
  <c r="AB38" i="96" s="1"/>
  <c r="Y38" i="96" l="1"/>
  <c r="Z38" i="96" s="1"/>
  <c r="AM38" i="96" s="1"/>
  <c r="T59" i="96"/>
  <c r="S59" i="96"/>
  <c r="X59" i="96" s="1"/>
  <c r="K59" i="96"/>
  <c r="V59" i="96" l="1"/>
  <c r="W59" i="96" s="1"/>
  <c r="AB59" i="96" s="1"/>
  <c r="L59" i="96"/>
  <c r="K39" i="88"/>
  <c r="Y59" i="96" l="1"/>
  <c r="Z59" i="96" s="1"/>
  <c r="AM59" i="96" s="1"/>
  <c r="T153" i="91"/>
  <c r="T118" i="96"/>
  <c r="S118" i="96"/>
  <c r="Y118" i="96" s="1"/>
  <c r="K118" i="96"/>
  <c r="T81" i="96"/>
  <c r="K81" i="96"/>
  <c r="S80" i="96"/>
  <c r="K80" i="96"/>
  <c r="K79" i="96"/>
  <c r="L79" i="96" s="1"/>
  <c r="T78" i="96"/>
  <c r="S78" i="96"/>
  <c r="L78" i="96"/>
  <c r="T39" i="96"/>
  <c r="S39" i="96"/>
  <c r="K39" i="96"/>
  <c r="T51" i="96"/>
  <c r="S51" i="96"/>
  <c r="X51" i="96" s="1"/>
  <c r="K51" i="96"/>
  <c r="L51" i="96" s="1"/>
  <c r="T50" i="96"/>
  <c r="S50" i="96"/>
  <c r="K50" i="96"/>
  <c r="T119" i="96"/>
  <c r="S119" i="96"/>
  <c r="X119" i="96" s="1"/>
  <c r="K119" i="96"/>
  <c r="L39" i="96" l="1"/>
  <c r="K40" i="96"/>
  <c r="K41" i="96"/>
  <c r="S41" i="96"/>
  <c r="S40" i="96"/>
  <c r="K53" i="96"/>
  <c r="K54" i="96"/>
  <c r="S54" i="96"/>
  <c r="S53" i="96"/>
  <c r="X81" i="96"/>
  <c r="W81" i="96"/>
  <c r="AB81" i="96" s="1"/>
  <c r="X78" i="96"/>
  <c r="M118" i="96"/>
  <c r="L118" i="96"/>
  <c r="W79" i="96"/>
  <c r="X79" i="96"/>
  <c r="X80" i="96"/>
  <c r="L81" i="96"/>
  <c r="W80" i="96"/>
  <c r="L80" i="96"/>
  <c r="V118" i="96"/>
  <c r="Z118" i="96"/>
  <c r="AA118" i="96"/>
  <c r="AB118" i="96"/>
  <c r="W118" i="96"/>
  <c r="X118" i="96"/>
  <c r="X39" i="96"/>
  <c r="W51" i="96"/>
  <c r="AB51" i="96" s="1"/>
  <c r="W50" i="96"/>
  <c r="X50" i="96"/>
  <c r="L50" i="96"/>
  <c r="V119" i="96"/>
  <c r="W119" i="96" s="1"/>
  <c r="L119" i="96"/>
  <c r="K93" i="96"/>
  <c r="W93" i="96" s="1"/>
  <c r="L54" i="96" l="1"/>
  <c r="L53" i="96"/>
  <c r="X54" i="96"/>
  <c r="X53" i="96"/>
  <c r="X41" i="96"/>
  <c r="X40" i="96"/>
  <c r="L40" i="96"/>
  <c r="L41" i="96"/>
  <c r="W39" i="96"/>
  <c r="AB39" i="96" s="1"/>
  <c r="Y93" i="96"/>
  <c r="Z93" i="96" s="1"/>
  <c r="AM93" i="96" s="1"/>
  <c r="AB93" i="96"/>
  <c r="W78" i="96"/>
  <c r="Y78" i="96" s="1"/>
  <c r="Z78" i="96" s="1"/>
  <c r="AM78" i="96" s="1"/>
  <c r="N118" i="96"/>
  <c r="Y81" i="96"/>
  <c r="Z81" i="96" s="1"/>
  <c r="AM81" i="96" s="1"/>
  <c r="Y119" i="96"/>
  <c r="Z119" i="96" s="1"/>
  <c r="AB119" i="96"/>
  <c r="Y80" i="96"/>
  <c r="Z80" i="96" s="1"/>
  <c r="AM80" i="96" s="1"/>
  <c r="AB80" i="96"/>
  <c r="AB79" i="96"/>
  <c r="Y79" i="96"/>
  <c r="Z79" i="96" s="1"/>
  <c r="AM79" i="96" s="1"/>
  <c r="Y51" i="96"/>
  <c r="Z51" i="96" s="1"/>
  <c r="AB50" i="96"/>
  <c r="Y50" i="96"/>
  <c r="Z50" i="96" s="1"/>
  <c r="AM50" i="96" s="1"/>
  <c r="L93" i="96"/>
  <c r="AM51" i="96" l="1"/>
  <c r="AB78" i="96"/>
  <c r="Y39" i="96"/>
  <c r="Z39" i="96" s="1"/>
  <c r="AM39" i="96" s="1"/>
  <c r="T70" i="96"/>
  <c r="S70" i="96"/>
  <c r="K70" i="96"/>
  <c r="L70" i="96" l="1"/>
  <c r="W70" i="96"/>
  <c r="X70" i="96"/>
  <c r="AB70" i="96" l="1"/>
  <c r="Y70" i="96"/>
  <c r="Z70" i="96" s="1"/>
  <c r="AM70" i="96" s="1"/>
  <c r="T121" i="91" l="1"/>
  <c r="S121" i="91"/>
  <c r="K121" i="91"/>
  <c r="K120" i="91"/>
  <c r="L120" i="91" s="1"/>
  <c r="S120" i="91"/>
  <c r="X120" i="91" s="1"/>
  <c r="K119" i="91"/>
  <c r="L119" i="91" s="1"/>
  <c r="S119" i="91"/>
  <c r="X119" i="91" s="1"/>
  <c r="K90" i="91"/>
  <c r="U76" i="97"/>
  <c r="T77" i="97"/>
  <c r="W77" i="97" s="1"/>
  <c r="K77" i="97"/>
  <c r="L77" i="97" s="1"/>
  <c r="T76" i="97"/>
  <c r="K76" i="97"/>
  <c r="L76" i="97" s="1"/>
  <c r="V119" i="91" l="1"/>
  <c r="Y77" i="97"/>
  <c r="L90" i="91"/>
  <c r="W90" i="91"/>
  <c r="L121" i="91"/>
  <c r="W121" i="91"/>
  <c r="AB121" i="91" s="1"/>
  <c r="X121" i="91"/>
  <c r="V120" i="91"/>
  <c r="W120" i="91" s="1"/>
  <c r="AB120" i="91" s="1"/>
  <c r="W119" i="91"/>
  <c r="X77" i="97"/>
  <c r="Y76" i="97"/>
  <c r="X76" i="97"/>
  <c r="AC76" i="97" s="1"/>
  <c r="AB90" i="91" l="1"/>
  <c r="Y90" i="91"/>
  <c r="Z90" i="91" s="1"/>
  <c r="Y121" i="91"/>
  <c r="Z121" i="91" s="1"/>
  <c r="AM121" i="91" s="1"/>
  <c r="AB119" i="91"/>
  <c r="Y119" i="91"/>
  <c r="Z119" i="91" s="1"/>
  <c r="Y120" i="91"/>
  <c r="Z120" i="91" s="1"/>
  <c r="Z77" i="97"/>
  <c r="AA77" i="97" s="1"/>
  <c r="AC77" i="97"/>
  <c r="Z76" i="97"/>
  <c r="AA76" i="97" s="1"/>
  <c r="AN76" i="97" s="1"/>
  <c r="K149" i="88" l="1"/>
  <c r="U134" i="91" l="1"/>
  <c r="T69" i="96"/>
  <c r="S69" i="96"/>
  <c r="K69" i="96"/>
  <c r="K58" i="96"/>
  <c r="T58" i="96"/>
  <c r="L69" i="96" l="1"/>
  <c r="X69" i="96"/>
  <c r="W58" i="96"/>
  <c r="X58" i="96"/>
  <c r="L58" i="96"/>
  <c r="W69" i="96" l="1"/>
  <c r="Y58" i="96"/>
  <c r="Z58" i="96" s="1"/>
  <c r="AM58" i="96" s="1"/>
  <c r="AB58" i="96"/>
  <c r="B62" i="98"/>
  <c r="B59" i="98"/>
  <c r="B58" i="98"/>
  <c r="B57" i="98"/>
  <c r="B56" i="98"/>
  <c r="B55" i="98"/>
  <c r="B54" i="98"/>
  <c r="E48" i="98"/>
  <c r="B49" i="98"/>
  <c r="I24" i="98"/>
  <c r="I25" i="98"/>
  <c r="I26" i="98"/>
  <c r="I27" i="98"/>
  <c r="B34" i="98"/>
  <c r="E34" i="98"/>
  <c r="F34" i="98" s="1"/>
  <c r="F4" i="98"/>
  <c r="F5" i="98"/>
  <c r="F6" i="98"/>
  <c r="F7" i="98"/>
  <c r="E8" i="98"/>
  <c r="F8" i="98"/>
  <c r="F18" i="98" s="1"/>
  <c r="F9" i="98"/>
  <c r="F10" i="98"/>
  <c r="F11" i="98"/>
  <c r="F12" i="98"/>
  <c r="F13" i="98"/>
  <c r="I13" i="98"/>
  <c r="J13" i="98" s="1"/>
  <c r="J14" i="98" s="1"/>
  <c r="B14" i="98"/>
  <c r="E14" i="98"/>
  <c r="F15" i="98"/>
  <c r="F16" i="98"/>
  <c r="B17" i="98"/>
  <c r="E17" i="98"/>
  <c r="E19" i="98"/>
  <c r="K92" i="96"/>
  <c r="W92" i="96" s="1"/>
  <c r="Y92" i="96" l="1"/>
  <c r="Z92" i="96" s="1"/>
  <c r="AM92" i="96" s="1"/>
  <c r="AB92" i="96"/>
  <c r="AB69" i="96"/>
  <c r="Y69" i="96"/>
  <c r="Z69" i="96" s="1"/>
  <c r="AM69" i="96" s="1"/>
  <c r="F17" i="98"/>
  <c r="E18" i="98"/>
  <c r="I34" i="98"/>
  <c r="B18" i="98"/>
  <c r="G19" i="98"/>
  <c r="G20" i="98" s="1"/>
  <c r="E20" i="98"/>
  <c r="L92" i="96"/>
  <c r="J34" i="98" l="1"/>
  <c r="T120" i="96" l="1"/>
  <c r="S120" i="96"/>
  <c r="K120" i="96"/>
  <c r="S48" i="96"/>
  <c r="S47" i="96"/>
  <c r="L120" i="96" l="1"/>
  <c r="V120" i="96"/>
  <c r="W120" i="96" s="1"/>
  <c r="V54" i="96" l="1"/>
  <c r="V53" i="96"/>
  <c r="AC52" i="96" l="1"/>
  <c r="AC49" i="96"/>
  <c r="W54" i="96"/>
  <c r="W53" i="96"/>
  <c r="S61" i="96"/>
  <c r="K61" i="96"/>
  <c r="L61" i="96" s="1"/>
  <c r="Z54" i="96" l="1"/>
  <c r="Z53" i="96"/>
  <c r="X61" i="96"/>
  <c r="W61" i="96" l="1"/>
  <c r="AB61" i="96" s="1"/>
  <c r="M14" i="91"/>
  <c r="S15" i="91"/>
  <c r="S16" i="91"/>
  <c r="K17" i="91"/>
  <c r="S17" i="91"/>
  <c r="T17" i="91"/>
  <c r="K18" i="91"/>
  <c r="L18" i="91" s="1"/>
  <c r="S18" i="91"/>
  <c r="T18" i="91"/>
  <c r="K19" i="91"/>
  <c r="S19" i="91"/>
  <c r="X19" i="91" s="1"/>
  <c r="T19" i="91"/>
  <c r="K20" i="91"/>
  <c r="S20" i="91"/>
  <c r="X20" i="91" s="1"/>
  <c r="T20" i="91"/>
  <c r="K21" i="91"/>
  <c r="L21" i="91" s="1"/>
  <c r="S21" i="91"/>
  <c r="T21" i="91"/>
  <c r="K22" i="91"/>
  <c r="L22" i="91" s="1"/>
  <c r="S22" i="91"/>
  <c r="T22" i="91"/>
  <c r="K23" i="91"/>
  <c r="S23" i="91"/>
  <c r="X23" i="91" s="1"/>
  <c r="T23" i="91"/>
  <c r="K24" i="91"/>
  <c r="S24" i="91"/>
  <c r="T24" i="91"/>
  <c r="S27" i="91"/>
  <c r="S28" i="91"/>
  <c r="K29" i="91"/>
  <c r="X29" i="91"/>
  <c r="K30" i="91"/>
  <c r="L30" i="91" s="1"/>
  <c r="M30" i="91" s="1"/>
  <c r="S30" i="91"/>
  <c r="T30" i="91"/>
  <c r="K31" i="91"/>
  <c r="L31" i="91" s="1"/>
  <c r="S31" i="91"/>
  <c r="T31" i="91"/>
  <c r="K32" i="91"/>
  <c r="L32" i="91" s="1"/>
  <c r="S32" i="91"/>
  <c r="T32" i="91"/>
  <c r="K33" i="91"/>
  <c r="T33" i="91"/>
  <c r="K34" i="91"/>
  <c r="L34" i="91" s="1"/>
  <c r="T34" i="91"/>
  <c r="K35" i="91"/>
  <c r="L35" i="91" s="1"/>
  <c r="S35" i="91"/>
  <c r="T35" i="91"/>
  <c r="K36" i="91"/>
  <c r="L36" i="91" s="1"/>
  <c r="T36" i="91"/>
  <c r="K37" i="91"/>
  <c r="S37" i="91"/>
  <c r="T37" i="91"/>
  <c r="K38" i="91"/>
  <c r="S38" i="91"/>
  <c r="T38" i="91"/>
  <c r="K39" i="91"/>
  <c r="L39" i="91" s="1"/>
  <c r="S39" i="91"/>
  <c r="T39" i="91"/>
  <c r="K40" i="91"/>
  <c r="L40" i="91" s="1"/>
  <c r="K41" i="91"/>
  <c r="S41" i="91"/>
  <c r="X41" i="91" s="1"/>
  <c r="T41" i="91"/>
  <c r="K42" i="91"/>
  <c r="L42" i="91" s="1"/>
  <c r="S42" i="91"/>
  <c r="X42" i="91" s="1"/>
  <c r="T42" i="91"/>
  <c r="K43" i="91"/>
  <c r="L43" i="91" s="1"/>
  <c r="S43" i="91"/>
  <c r="T43" i="91"/>
  <c r="K44" i="91"/>
  <c r="L44" i="91" s="1"/>
  <c r="S44" i="91"/>
  <c r="K45" i="91"/>
  <c r="S48" i="91"/>
  <c r="S49" i="91"/>
  <c r="K50" i="91"/>
  <c r="S50" i="91"/>
  <c r="T50" i="91"/>
  <c r="K51" i="91"/>
  <c r="M51" i="91" s="1"/>
  <c r="S51" i="91"/>
  <c r="X51" i="91" s="1"/>
  <c r="T51" i="91"/>
  <c r="S53" i="91"/>
  <c r="K54" i="91"/>
  <c r="S54" i="91"/>
  <c r="T54" i="91"/>
  <c r="K55" i="91"/>
  <c r="L55" i="91" s="1"/>
  <c r="S55" i="91"/>
  <c r="X55" i="91" s="1"/>
  <c r="T55" i="91"/>
  <c r="K56" i="91"/>
  <c r="S56" i="91"/>
  <c r="X56" i="91" s="1"/>
  <c r="T56" i="91"/>
  <c r="K57" i="91"/>
  <c r="L57" i="91" s="1"/>
  <c r="M57" i="91" s="1"/>
  <c r="S57" i="91"/>
  <c r="T57" i="91"/>
  <c r="K58" i="91"/>
  <c r="L58" i="91" s="1"/>
  <c r="M58" i="91" s="1"/>
  <c r="S58" i="91"/>
  <c r="T58" i="91"/>
  <c r="K59" i="91"/>
  <c r="L59" i="91" s="1"/>
  <c r="S59" i="91"/>
  <c r="X59" i="91" s="1"/>
  <c r="T59" i="91"/>
  <c r="S62" i="91"/>
  <c r="S63" i="91"/>
  <c r="K64" i="91"/>
  <c r="S64" i="91"/>
  <c r="T64" i="91"/>
  <c r="K65" i="91"/>
  <c r="L65" i="91" s="1"/>
  <c r="S65" i="91"/>
  <c r="T65" i="91"/>
  <c r="K66" i="91"/>
  <c r="L66" i="91" s="1"/>
  <c r="S66" i="91"/>
  <c r="T66" i="91"/>
  <c r="K67" i="91"/>
  <c r="S67" i="91"/>
  <c r="T67" i="91"/>
  <c r="K68" i="91"/>
  <c r="L68" i="91" s="1"/>
  <c r="S70" i="91"/>
  <c r="K71" i="91"/>
  <c r="K73" i="91" s="1"/>
  <c r="S71" i="91"/>
  <c r="S73" i="91" s="1"/>
  <c r="T71" i="91"/>
  <c r="K72" i="91"/>
  <c r="S72" i="91"/>
  <c r="T72" i="91"/>
  <c r="S74" i="91"/>
  <c r="K75" i="91"/>
  <c r="K76" i="91" s="1"/>
  <c r="S75" i="91"/>
  <c r="S76" i="91" s="1"/>
  <c r="T75" i="91"/>
  <c r="S77" i="91"/>
  <c r="K78" i="91"/>
  <c r="S78" i="91"/>
  <c r="T78" i="91"/>
  <c r="K79" i="91"/>
  <c r="S79" i="91"/>
  <c r="T79" i="91"/>
  <c r="K80" i="91"/>
  <c r="L80" i="91" s="1"/>
  <c r="M80" i="91" s="1"/>
  <c r="S80" i="91"/>
  <c r="T80" i="91"/>
  <c r="K81" i="91"/>
  <c r="S81" i="91"/>
  <c r="X81" i="91" s="1"/>
  <c r="T81" i="91"/>
  <c r="K82" i="91"/>
  <c r="L82" i="91" s="1"/>
  <c r="S82" i="91"/>
  <c r="T82" i="91"/>
  <c r="K83" i="91"/>
  <c r="S83" i="91"/>
  <c r="T83" i="91"/>
  <c r="S86" i="91"/>
  <c r="S87" i="91"/>
  <c r="K88" i="91"/>
  <c r="S88" i="91"/>
  <c r="T88" i="91"/>
  <c r="K89" i="91"/>
  <c r="S89" i="91"/>
  <c r="T89" i="91"/>
  <c r="S94" i="91"/>
  <c r="S95" i="91"/>
  <c r="K96" i="91"/>
  <c r="S96" i="91"/>
  <c r="K97" i="91"/>
  <c r="S97" i="91"/>
  <c r="X97" i="91" s="1"/>
  <c r="K98" i="91"/>
  <c r="S98" i="91"/>
  <c r="K99" i="91"/>
  <c r="L99" i="91" s="1"/>
  <c r="S99" i="91"/>
  <c r="T99" i="91"/>
  <c r="K100" i="91"/>
  <c r="S100" i="91"/>
  <c r="X100" i="91" s="1"/>
  <c r="K101" i="91"/>
  <c r="S101" i="91"/>
  <c r="K102" i="91"/>
  <c r="L102" i="91" s="1"/>
  <c r="M102" i="91" s="1"/>
  <c r="N102" i="91" s="1"/>
  <c r="S102" i="91"/>
  <c r="K103" i="91"/>
  <c r="S103" i="91"/>
  <c r="X103" i="91" s="1"/>
  <c r="K104" i="91"/>
  <c r="L104" i="91" s="1"/>
  <c r="S104" i="91"/>
  <c r="K105" i="91"/>
  <c r="S105" i="91"/>
  <c r="K106" i="91"/>
  <c r="L106" i="91" s="1"/>
  <c r="S106" i="91"/>
  <c r="X106" i="91" s="1"/>
  <c r="S109" i="91"/>
  <c r="S110" i="91"/>
  <c r="K111" i="91"/>
  <c r="S111" i="91"/>
  <c r="T111" i="91"/>
  <c r="K112" i="91"/>
  <c r="L112" i="91" s="1"/>
  <c r="S112" i="91"/>
  <c r="K113" i="91"/>
  <c r="L113" i="91" s="1"/>
  <c r="S113" i="91"/>
  <c r="S116" i="91"/>
  <c r="S117" i="91"/>
  <c r="K118" i="91"/>
  <c r="S118" i="91"/>
  <c r="T118" i="91"/>
  <c r="K122" i="91"/>
  <c r="L122" i="91" s="1"/>
  <c r="S122" i="91"/>
  <c r="V122" i="91" s="1"/>
  <c r="S125" i="91"/>
  <c r="S126" i="91"/>
  <c r="S127" i="91"/>
  <c r="T127" i="91"/>
  <c r="L128" i="91"/>
  <c r="S128" i="91"/>
  <c r="T128" i="91"/>
  <c r="L129" i="91"/>
  <c r="S129" i="91"/>
  <c r="L130" i="91"/>
  <c r="M130" i="91" s="1"/>
  <c r="S130" i="91"/>
  <c r="X130" i="91" s="1"/>
  <c r="T130" i="91"/>
  <c r="S132" i="91"/>
  <c r="K133" i="91"/>
  <c r="S133" i="91"/>
  <c r="T133" i="91"/>
  <c r="K134" i="91"/>
  <c r="S134" i="91"/>
  <c r="X134" i="91" s="1"/>
  <c r="T134" i="91"/>
  <c r="K135" i="91"/>
  <c r="L135" i="91" s="1"/>
  <c r="S135" i="91"/>
  <c r="X135" i="91" s="1"/>
  <c r="T135" i="91"/>
  <c r="S137" i="91"/>
  <c r="K138" i="91"/>
  <c r="S138" i="91"/>
  <c r="T138" i="91"/>
  <c r="K139" i="91"/>
  <c r="L139" i="91" s="1"/>
  <c r="T139" i="91"/>
  <c r="K140" i="91"/>
  <c r="T140" i="91"/>
  <c r="K141" i="91"/>
  <c r="L141" i="91" s="1"/>
  <c r="X141" i="91"/>
  <c r="T141" i="91"/>
  <c r="K142" i="91"/>
  <c r="L142" i="91" s="1"/>
  <c r="S142" i="91"/>
  <c r="T142" i="91"/>
  <c r="K143" i="91"/>
  <c r="L143" i="91" s="1"/>
  <c r="S143" i="91"/>
  <c r="S146" i="91"/>
  <c r="S147" i="91"/>
  <c r="K148" i="91"/>
  <c r="S148" i="91"/>
  <c r="T148" i="91"/>
  <c r="K149" i="91"/>
  <c r="S149" i="91"/>
  <c r="T149" i="91"/>
  <c r="K150" i="91"/>
  <c r="L150" i="91" s="1"/>
  <c r="S150" i="91"/>
  <c r="K151" i="91"/>
  <c r="L151" i="91" s="1"/>
  <c r="S151" i="91"/>
  <c r="X151" i="91" s="1"/>
  <c r="T151" i="91"/>
  <c r="K152" i="91"/>
  <c r="L152" i="91" s="1"/>
  <c r="S152" i="91"/>
  <c r="T152" i="91"/>
  <c r="K153" i="91"/>
  <c r="S153" i="91"/>
  <c r="X153" i="91" s="1"/>
  <c r="S156" i="91"/>
  <c r="S157" i="91"/>
  <c r="K158" i="91"/>
  <c r="S158" i="91"/>
  <c r="T158" i="91"/>
  <c r="K159" i="91"/>
  <c r="S159" i="91"/>
  <c r="AB12" i="91"/>
  <c r="M10" i="91"/>
  <c r="M14" i="97"/>
  <c r="T15" i="97"/>
  <c r="T16" i="97"/>
  <c r="K17" i="97"/>
  <c r="T17" i="97"/>
  <c r="U17" i="97"/>
  <c r="K18" i="97"/>
  <c r="L18" i="97" s="1"/>
  <c r="T18" i="97"/>
  <c r="U18" i="97"/>
  <c r="K19" i="97"/>
  <c r="L19" i="97" s="1"/>
  <c r="T19" i="97"/>
  <c r="U19" i="97"/>
  <c r="K20" i="97"/>
  <c r="L20" i="97" s="1"/>
  <c r="T20" i="97"/>
  <c r="U20" i="97"/>
  <c r="AC20" i="97" s="1"/>
  <c r="K21" i="97"/>
  <c r="T21" i="97"/>
  <c r="U21" i="97"/>
  <c r="K22" i="97"/>
  <c r="T22" i="97"/>
  <c r="U22" i="97"/>
  <c r="K23" i="97"/>
  <c r="T23" i="97"/>
  <c r="U23" i="97"/>
  <c r="K24" i="97"/>
  <c r="L24" i="97" s="1"/>
  <c r="T24" i="97"/>
  <c r="U24" i="97"/>
  <c r="T27" i="97"/>
  <c r="T28" i="97"/>
  <c r="K29" i="97"/>
  <c r="U29" i="97"/>
  <c r="Y29" i="97"/>
  <c r="K30" i="97"/>
  <c r="L30" i="97" s="1"/>
  <c r="T30" i="97"/>
  <c r="U30" i="97"/>
  <c r="K31" i="97"/>
  <c r="T31" i="97"/>
  <c r="U31" i="97"/>
  <c r="K32" i="97"/>
  <c r="L32" i="97" s="1"/>
  <c r="T32" i="97"/>
  <c r="U32" i="97"/>
  <c r="K33" i="97"/>
  <c r="L33" i="97" s="1"/>
  <c r="T33" i="97"/>
  <c r="Y33" i="97" s="1"/>
  <c r="U33" i="97"/>
  <c r="K34" i="97"/>
  <c r="U34" i="97"/>
  <c r="K35" i="97"/>
  <c r="L35" i="97" s="1"/>
  <c r="Y35" i="97"/>
  <c r="U35" i="97"/>
  <c r="K36" i="97"/>
  <c r="L36" i="97" s="1"/>
  <c r="T36" i="97"/>
  <c r="U36" i="97"/>
  <c r="K37" i="97"/>
  <c r="T37" i="97"/>
  <c r="U37" i="97"/>
  <c r="K38" i="97"/>
  <c r="L38" i="97" s="1"/>
  <c r="M38" i="97" s="1"/>
  <c r="T38" i="97"/>
  <c r="Y38" i="97" s="1"/>
  <c r="U38" i="97"/>
  <c r="K39" i="97"/>
  <c r="T39" i="97"/>
  <c r="U39" i="97"/>
  <c r="K40" i="97"/>
  <c r="L40" i="97" s="1"/>
  <c r="T40" i="97"/>
  <c r="Y40" i="97" s="1"/>
  <c r="K41" i="97"/>
  <c r="L41" i="97" s="1"/>
  <c r="T41" i="97"/>
  <c r="U41" i="97"/>
  <c r="K42" i="97"/>
  <c r="L42" i="97" s="1"/>
  <c r="T42" i="97"/>
  <c r="Y42" i="97" s="1"/>
  <c r="U42" i="97"/>
  <c r="K43" i="97"/>
  <c r="L43" i="97" s="1"/>
  <c r="T43" i="97"/>
  <c r="T46" i="97"/>
  <c r="T47" i="97"/>
  <c r="T48" i="97"/>
  <c r="Y48" i="97" s="1"/>
  <c r="U48" i="97"/>
  <c r="K49" i="97"/>
  <c r="L49" i="97" s="1"/>
  <c r="T49" i="97"/>
  <c r="Y49" i="97" s="1"/>
  <c r="U49" i="97"/>
  <c r="K50" i="97"/>
  <c r="L50" i="97" s="1"/>
  <c r="T50" i="97"/>
  <c r="U50" i="97"/>
  <c r="K51" i="97"/>
  <c r="L51" i="97" s="1"/>
  <c r="T51" i="97"/>
  <c r="U51" i="97"/>
  <c r="K52" i="97"/>
  <c r="L52" i="97" s="1"/>
  <c r="T52" i="97"/>
  <c r="T55" i="97"/>
  <c r="T56" i="97"/>
  <c r="K57" i="97"/>
  <c r="T57" i="97"/>
  <c r="U57" i="97"/>
  <c r="K58" i="97"/>
  <c r="L58" i="97" s="1"/>
  <c r="T58" i="97"/>
  <c r="Y58" i="97" s="1"/>
  <c r="U58" i="97"/>
  <c r="T60" i="97"/>
  <c r="T61" i="97"/>
  <c r="T62" i="97" s="1"/>
  <c r="U61" i="97"/>
  <c r="T63" i="97"/>
  <c r="K64" i="97"/>
  <c r="K65" i="97" s="1"/>
  <c r="T64" i="97"/>
  <c r="U64" i="97"/>
  <c r="T66" i="97"/>
  <c r="K67" i="97"/>
  <c r="T67" i="97"/>
  <c r="U67" i="97"/>
  <c r="K68" i="97"/>
  <c r="T68" i="97"/>
  <c r="U68" i="97"/>
  <c r="K69" i="97"/>
  <c r="T69" i="97"/>
  <c r="Y69" i="97" s="1"/>
  <c r="U69" i="97"/>
  <c r="K70" i="97"/>
  <c r="L70" i="97" s="1"/>
  <c r="T70" i="97"/>
  <c r="Y70" i="97" s="1"/>
  <c r="U70" i="97"/>
  <c r="T73" i="97"/>
  <c r="T74" i="97"/>
  <c r="K75" i="97"/>
  <c r="T75" i="97"/>
  <c r="T80" i="97"/>
  <c r="T81" i="97"/>
  <c r="K82" i="97"/>
  <c r="L82" i="97" s="1"/>
  <c r="T82" i="97"/>
  <c r="Y82" i="97" s="1"/>
  <c r="U82" i="97"/>
  <c r="K83" i="97"/>
  <c r="T83" i="97"/>
  <c r="Y83" i="97" s="1"/>
  <c r="K84" i="97"/>
  <c r="L84" i="97" s="1"/>
  <c r="T84" i="97"/>
  <c r="Y84" i="97" s="1"/>
  <c r="K85" i="97"/>
  <c r="L85" i="97" s="1"/>
  <c r="T85" i="97"/>
  <c r="U85" i="97"/>
  <c r="T88" i="97"/>
  <c r="T89" i="97"/>
  <c r="K90" i="97"/>
  <c r="L90" i="97" s="1"/>
  <c r="T90" i="97"/>
  <c r="U90" i="97"/>
  <c r="K91" i="97"/>
  <c r="T91" i="97"/>
  <c r="U91" i="97"/>
  <c r="K92" i="97"/>
  <c r="L92" i="97"/>
  <c r="M92" i="97" s="1"/>
  <c r="T92" i="97"/>
  <c r="T95" i="97"/>
  <c r="T96" i="97"/>
  <c r="K97" i="97"/>
  <c r="T97" i="97"/>
  <c r="U97" i="97"/>
  <c r="K98" i="97"/>
  <c r="T98" i="97"/>
  <c r="Y98" i="97" s="1"/>
  <c r="K99" i="97"/>
  <c r="L99" i="97" s="1"/>
  <c r="T99" i="97"/>
  <c r="K100" i="97"/>
  <c r="L100" i="97" s="1"/>
  <c r="T100" i="97"/>
  <c r="Y100" i="97" s="1"/>
  <c r="K101" i="97"/>
  <c r="L101" i="97" s="1"/>
  <c r="T101" i="97"/>
  <c r="U101" i="97"/>
  <c r="K102" i="97"/>
  <c r="L102" i="97" s="1"/>
  <c r="T102" i="97"/>
  <c r="T105" i="97"/>
  <c r="T106" i="97"/>
  <c r="K107" i="97"/>
  <c r="T107" i="97"/>
  <c r="U107" i="97"/>
  <c r="K108" i="97"/>
  <c r="L108" i="97" s="1"/>
  <c r="T108" i="97"/>
  <c r="Y108" i="97" s="1"/>
  <c r="K109" i="97"/>
  <c r="T109" i="97"/>
  <c r="Y109" i="97" s="1"/>
  <c r="U109" i="97"/>
  <c r="T111" i="97"/>
  <c r="K112" i="97"/>
  <c r="T112" i="97"/>
  <c r="U112" i="97"/>
  <c r="K113" i="97"/>
  <c r="L113" i="97" s="1"/>
  <c r="T113" i="97"/>
  <c r="U113" i="97"/>
  <c r="K114" i="97"/>
  <c r="L114" i="97" s="1"/>
  <c r="T114" i="97"/>
  <c r="U114" i="97"/>
  <c r="K115" i="97"/>
  <c r="L115" i="97" s="1"/>
  <c r="T115" i="97"/>
  <c r="Y115" i="97" s="1"/>
  <c r="U115" i="97"/>
  <c r="K116" i="97"/>
  <c r="L116" i="97" s="1"/>
  <c r="T116" i="97"/>
  <c r="U116" i="97"/>
  <c r="K117" i="97"/>
  <c r="L117" i="97" s="1"/>
  <c r="T117" i="97"/>
  <c r="U117" i="97"/>
  <c r="K118" i="97"/>
  <c r="T118" i="97"/>
  <c r="Y118" i="97" s="1"/>
  <c r="U118" i="97"/>
  <c r="W118" i="97" s="1"/>
  <c r="K119" i="97"/>
  <c r="L119" i="97" s="1"/>
  <c r="T119" i="97"/>
  <c r="U119" i="97"/>
  <c r="T121" i="97"/>
  <c r="K122" i="97"/>
  <c r="L122" i="97" s="1"/>
  <c r="T122" i="97"/>
  <c r="U122" i="97"/>
  <c r="K123" i="97"/>
  <c r="T123" i="97"/>
  <c r="K124" i="97"/>
  <c r="L124" i="97" s="1"/>
  <c r="T124" i="97"/>
  <c r="U124" i="97"/>
  <c r="K125" i="97"/>
  <c r="L125" i="97" s="1"/>
  <c r="T125" i="97"/>
  <c r="U125" i="97"/>
  <c r="T128" i="97"/>
  <c r="T129" i="97"/>
  <c r="K130" i="97"/>
  <c r="T130" i="97"/>
  <c r="U130" i="97"/>
  <c r="K131" i="97"/>
  <c r="L131" i="97" s="1"/>
  <c r="T131" i="97"/>
  <c r="Y131" i="97" s="1"/>
  <c r="U131" i="97"/>
  <c r="M10" i="97"/>
  <c r="K94" i="96"/>
  <c r="W94" i="96" s="1"/>
  <c r="K91" i="96"/>
  <c r="S90" i="96"/>
  <c r="S89" i="96"/>
  <c r="S55" i="96"/>
  <c r="S44" i="96"/>
  <c r="X44" i="96" s="1"/>
  <c r="K44" i="96"/>
  <c r="S43" i="96"/>
  <c r="K43" i="96"/>
  <c r="S42" i="96"/>
  <c r="S36" i="96"/>
  <c r="S35" i="96"/>
  <c r="T32" i="96"/>
  <c r="S32" i="96"/>
  <c r="K32" i="96"/>
  <c r="L32" i="96" s="1"/>
  <c r="T31" i="96"/>
  <c r="S31" i="96"/>
  <c r="K31" i="96"/>
  <c r="L31" i="96" s="1"/>
  <c r="T30" i="96"/>
  <c r="S30" i="96"/>
  <c r="K30" i="96"/>
  <c r="L30" i="96" s="1"/>
  <c r="T29" i="96"/>
  <c r="S29" i="96"/>
  <c r="K29" i="96"/>
  <c r="L29" i="96" s="1"/>
  <c r="T28" i="96"/>
  <c r="S28" i="96"/>
  <c r="K28" i="96"/>
  <c r="L28" i="96" s="1"/>
  <c r="T27" i="96"/>
  <c r="S27" i="96"/>
  <c r="K27" i="96"/>
  <c r="T18" i="96"/>
  <c r="S18" i="96"/>
  <c r="K18" i="96"/>
  <c r="K95" i="96" l="1"/>
  <c r="K96" i="96"/>
  <c r="S45" i="96"/>
  <c r="S46" i="96"/>
  <c r="K45" i="96"/>
  <c r="K46" i="96"/>
  <c r="W91" i="96"/>
  <c r="K87" i="96"/>
  <c r="K88" i="96"/>
  <c r="L43" i="96"/>
  <c r="Y61" i="96"/>
  <c r="Z61" i="96" s="1"/>
  <c r="AM61" i="96" s="1"/>
  <c r="AB94" i="96"/>
  <c r="Y94" i="96"/>
  <c r="Z94" i="96" s="1"/>
  <c r="AM94" i="96" s="1"/>
  <c r="X27" i="96"/>
  <c r="S136" i="91"/>
  <c r="V135" i="91"/>
  <c r="K85" i="91"/>
  <c r="K69" i="91"/>
  <c r="S26" i="91"/>
  <c r="S25" i="91"/>
  <c r="S155" i="91"/>
  <c r="S154" i="91"/>
  <c r="K107" i="91"/>
  <c r="K108" i="91"/>
  <c r="K92" i="91"/>
  <c r="K93" i="91"/>
  <c r="S52" i="91"/>
  <c r="S61" i="91"/>
  <c r="M34" i="91"/>
  <c r="K25" i="91"/>
  <c r="K26" i="91"/>
  <c r="S114" i="91"/>
  <c r="S115" i="91"/>
  <c r="M52" i="91"/>
  <c r="K47" i="91"/>
  <c r="K46" i="91"/>
  <c r="K154" i="91"/>
  <c r="K155" i="91"/>
  <c r="S144" i="91"/>
  <c r="S60" i="91"/>
  <c r="K61" i="91"/>
  <c r="K52" i="91"/>
  <c r="M65" i="91"/>
  <c r="K60" i="91"/>
  <c r="S46" i="91"/>
  <c r="S47" i="91"/>
  <c r="V96" i="91"/>
  <c r="W96" i="91" s="1"/>
  <c r="S107" i="91"/>
  <c r="S108" i="91"/>
  <c r="S84" i="91"/>
  <c r="K123" i="91"/>
  <c r="K124" i="91"/>
  <c r="K114" i="91"/>
  <c r="K115" i="91"/>
  <c r="K136" i="91"/>
  <c r="K84" i="91"/>
  <c r="K161" i="91"/>
  <c r="K160" i="91"/>
  <c r="S92" i="91"/>
  <c r="S93" i="91"/>
  <c r="S160" i="91"/>
  <c r="S161" i="91"/>
  <c r="S123" i="91"/>
  <c r="S124" i="91"/>
  <c r="S85" i="91"/>
  <c r="S69" i="91"/>
  <c r="S145" i="91"/>
  <c r="S131" i="91"/>
  <c r="L140" i="91"/>
  <c r="M140" i="91" s="1"/>
  <c r="K145" i="91"/>
  <c r="K144" i="91"/>
  <c r="K162" i="91"/>
  <c r="W18" i="91"/>
  <c r="M40" i="91"/>
  <c r="V20" i="91"/>
  <c r="W20" i="91" s="1"/>
  <c r="W151" i="91"/>
  <c r="Y151" i="91" s="1"/>
  <c r="Z151" i="91" s="1"/>
  <c r="AM151" i="91" s="1"/>
  <c r="L27" i="96"/>
  <c r="L109" i="97"/>
  <c r="M109" i="97" s="1"/>
  <c r="K134" i="97"/>
  <c r="W58" i="91"/>
  <c r="AB58" i="91" s="1"/>
  <c r="W54" i="91"/>
  <c r="AB54" i="91" s="1"/>
  <c r="W24" i="91"/>
  <c r="AB24" i="91" s="1"/>
  <c r="M142" i="91"/>
  <c r="N142" i="91" s="1"/>
  <c r="M91" i="91"/>
  <c r="M121" i="91"/>
  <c r="AC12" i="97"/>
  <c r="M122" i="97"/>
  <c r="N122" i="97" s="1"/>
  <c r="W98" i="97"/>
  <c r="X82" i="97"/>
  <c r="Z82" i="97" s="1"/>
  <c r="AA82" i="97" s="1"/>
  <c r="AN82" i="97" s="1"/>
  <c r="M69" i="97"/>
  <c r="N69" i="97" s="1"/>
  <c r="T110" i="97"/>
  <c r="M35" i="97"/>
  <c r="AC21" i="97"/>
  <c r="W116" i="97"/>
  <c r="X116" i="97" s="1"/>
  <c r="AC116" i="97" s="1"/>
  <c r="M100" i="97"/>
  <c r="M20" i="97"/>
  <c r="K71" i="97"/>
  <c r="M90" i="97"/>
  <c r="T78" i="97"/>
  <c r="T79" i="97"/>
  <c r="L54" i="97"/>
  <c r="L53" i="97"/>
  <c r="T45" i="97"/>
  <c r="T44" i="97"/>
  <c r="K78" i="97"/>
  <c r="K79" i="97"/>
  <c r="X67" i="97"/>
  <c r="T71" i="97"/>
  <c r="T72" i="97"/>
  <c r="T59" i="97"/>
  <c r="X124" i="97"/>
  <c r="T94" i="97"/>
  <c r="T93" i="97"/>
  <c r="L57" i="97"/>
  <c r="L59" i="97" s="1"/>
  <c r="K59" i="97"/>
  <c r="X37" i="97"/>
  <c r="AC37" i="97" s="1"/>
  <c r="K133" i="97"/>
  <c r="K132" i="97"/>
  <c r="T86" i="97"/>
  <c r="T87" i="97"/>
  <c r="W34" i="97"/>
  <c r="X34" i="97" s="1"/>
  <c r="AC34" i="97" s="1"/>
  <c r="W119" i="97"/>
  <c r="X119" i="97" s="1"/>
  <c r="AC119" i="97" s="1"/>
  <c r="K44" i="97"/>
  <c r="K45" i="97"/>
  <c r="W130" i="97"/>
  <c r="T132" i="97"/>
  <c r="T133" i="97"/>
  <c r="T104" i="97"/>
  <c r="T103" i="97"/>
  <c r="K94" i="97"/>
  <c r="K93" i="97"/>
  <c r="M82" i="97"/>
  <c r="N82" i="97" s="1"/>
  <c r="K86" i="97"/>
  <c r="K87" i="97"/>
  <c r="W65" i="97"/>
  <c r="T65" i="97"/>
  <c r="M119" i="97"/>
  <c r="N119" i="97" s="1"/>
  <c r="Y116" i="97"/>
  <c r="Z116" i="97" s="1"/>
  <c r="AA116" i="97" s="1"/>
  <c r="T120" i="97"/>
  <c r="L65" i="97"/>
  <c r="T25" i="97"/>
  <c r="T26" i="97"/>
  <c r="K120" i="97"/>
  <c r="Y67" i="97"/>
  <c r="W40" i="97"/>
  <c r="X40" i="97" s="1"/>
  <c r="AC40" i="97" s="1"/>
  <c r="L17" i="97"/>
  <c r="K26" i="97"/>
  <c r="K25" i="97"/>
  <c r="Y122" i="97"/>
  <c r="T127" i="97"/>
  <c r="T126" i="97"/>
  <c r="W61" i="97"/>
  <c r="W62" i="97" s="1"/>
  <c r="AD61" i="97" s="1"/>
  <c r="K72" i="97"/>
  <c r="K62" i="97"/>
  <c r="L123" i="97"/>
  <c r="L126" i="97" s="1"/>
  <c r="K126" i="97"/>
  <c r="K53" i="97"/>
  <c r="K54" i="97"/>
  <c r="X48" i="97"/>
  <c r="T53" i="97"/>
  <c r="T54" i="97"/>
  <c r="M106" i="91"/>
  <c r="N106" i="91" s="1"/>
  <c r="W81" i="91"/>
  <c r="W32" i="91"/>
  <c r="AB32" i="91" s="1"/>
  <c r="W133" i="91"/>
  <c r="X98" i="91"/>
  <c r="M66" i="91"/>
  <c r="N66" i="91" s="1"/>
  <c r="M22" i="91"/>
  <c r="N22" i="91" s="1"/>
  <c r="W55" i="91"/>
  <c r="AB55" i="91" s="1"/>
  <c r="K104" i="97"/>
  <c r="K103" i="97"/>
  <c r="L107" i="97"/>
  <c r="M107" i="97" s="1"/>
  <c r="K127" i="97"/>
  <c r="K110" i="97"/>
  <c r="W153" i="91"/>
  <c r="AB153" i="91" s="1"/>
  <c r="L75" i="91"/>
  <c r="L76" i="91" s="1"/>
  <c r="L64" i="91"/>
  <c r="M44" i="91"/>
  <c r="N44" i="91" s="1"/>
  <c r="W34" i="91"/>
  <c r="AB34" i="91" s="1"/>
  <c r="L127" i="91"/>
  <c r="AD68" i="91"/>
  <c r="V128" i="91"/>
  <c r="W128" i="91" s="1"/>
  <c r="AB128" i="91" s="1"/>
  <c r="X88" i="91"/>
  <c r="W38" i="91"/>
  <c r="W30" i="91"/>
  <c r="M119" i="91"/>
  <c r="M120" i="91"/>
  <c r="W149" i="91"/>
  <c r="W42" i="91"/>
  <c r="AB42" i="91" s="1"/>
  <c r="L29" i="91"/>
  <c r="V23" i="91"/>
  <c r="W23" i="91" s="1"/>
  <c r="AB23" i="91" s="1"/>
  <c r="L111" i="91"/>
  <c r="M21" i="91"/>
  <c r="N21" i="91" s="1"/>
  <c r="L17" i="91"/>
  <c r="W139" i="91"/>
  <c r="AB139" i="91" s="1"/>
  <c r="X133" i="91"/>
  <c r="X136" i="91" s="1"/>
  <c r="V129" i="91"/>
  <c r="W129" i="91" s="1"/>
  <c r="AB129" i="91" s="1"/>
  <c r="M43" i="91"/>
  <c r="N43" i="91" s="1"/>
  <c r="W37" i="91"/>
  <c r="AB37" i="91" s="1"/>
  <c r="V113" i="91"/>
  <c r="W113" i="91" s="1"/>
  <c r="W19" i="91"/>
  <c r="W141" i="91"/>
  <c r="L133" i="91"/>
  <c r="L96" i="91"/>
  <c r="L54" i="91"/>
  <c r="W148" i="91"/>
  <c r="AB148" i="91" s="1"/>
  <c r="L158" i="91"/>
  <c r="M99" i="91"/>
  <c r="W33" i="91"/>
  <c r="AB33" i="91" s="1"/>
  <c r="X38" i="91"/>
  <c r="V36" i="91"/>
  <c r="W36" i="91" s="1"/>
  <c r="AB36" i="91" s="1"/>
  <c r="M90" i="91"/>
  <c r="AA90" i="91" s="1"/>
  <c r="W89" i="91"/>
  <c r="L148" i="91"/>
  <c r="V112" i="91"/>
  <c r="W112" i="91" s="1"/>
  <c r="AB112" i="91" s="1"/>
  <c r="L88" i="91"/>
  <c r="W51" i="91"/>
  <c r="AB51" i="91" s="1"/>
  <c r="L50" i="91"/>
  <c r="L20" i="91"/>
  <c r="M20" i="91" s="1"/>
  <c r="N20" i="91" s="1"/>
  <c r="W112" i="97"/>
  <c r="W102" i="97"/>
  <c r="X102" i="97" s="1"/>
  <c r="AC102" i="97" s="1"/>
  <c r="M51" i="97"/>
  <c r="M76" i="97"/>
  <c r="N76" i="97" s="1"/>
  <c r="M77" i="97"/>
  <c r="M131" i="97"/>
  <c r="W125" i="97"/>
  <c r="Y119" i="97"/>
  <c r="W97" i="97"/>
  <c r="X97" i="97" s="1"/>
  <c r="N92" i="97"/>
  <c r="X30" i="97"/>
  <c r="AC30" i="97" s="1"/>
  <c r="Y75" i="97"/>
  <c r="M70" i="97"/>
  <c r="N70" i="97" s="1"/>
  <c r="M52" i="97"/>
  <c r="N52" i="97" s="1"/>
  <c r="X50" i="97"/>
  <c r="AC50" i="97" s="1"/>
  <c r="X38" i="97"/>
  <c r="Y124" i="97"/>
  <c r="M116" i="97"/>
  <c r="N116" i="97" s="1"/>
  <c r="M50" i="97"/>
  <c r="N50" i="97" s="1"/>
  <c r="M30" i="97"/>
  <c r="W109" i="97"/>
  <c r="X109" i="97" s="1"/>
  <c r="L91" i="97"/>
  <c r="L93" i="97" s="1"/>
  <c r="M84" i="97"/>
  <c r="X49" i="97"/>
  <c r="Y37" i="97"/>
  <c r="W115" i="97"/>
  <c r="X115" i="97" s="1"/>
  <c r="W92" i="97"/>
  <c r="X92" i="97" s="1"/>
  <c r="AC92" i="97" s="1"/>
  <c r="W51" i="97"/>
  <c r="X51" i="97" s="1"/>
  <c r="M42" i="97"/>
  <c r="N42" i="97" s="1"/>
  <c r="L31" i="97"/>
  <c r="M31" i="97" s="1"/>
  <c r="N31" i="97" s="1"/>
  <c r="M17" i="97"/>
  <c r="M40" i="97"/>
  <c r="N40" i="97" s="1"/>
  <c r="M58" i="97"/>
  <c r="N58" i="97" s="1"/>
  <c r="Y34" i="97"/>
  <c r="X70" i="97"/>
  <c r="Z70" i="97" s="1"/>
  <c r="AA70" i="97" s="1"/>
  <c r="AN70" i="97" s="1"/>
  <c r="M19" i="97"/>
  <c r="N19" i="97" s="1"/>
  <c r="Y112" i="97"/>
  <c r="M114" i="97"/>
  <c r="N114" i="97" s="1"/>
  <c r="X112" i="97"/>
  <c r="M99" i="97"/>
  <c r="N99" i="97" s="1"/>
  <c r="X42" i="97"/>
  <c r="AC42" i="97" s="1"/>
  <c r="N38" i="97"/>
  <c r="Y30" i="97"/>
  <c r="M24" i="97"/>
  <c r="N24" i="97" s="1"/>
  <c r="Y102" i="97"/>
  <c r="Y61" i="97"/>
  <c r="Y130" i="97"/>
  <c r="M124" i="97"/>
  <c r="N124" i="97" s="1"/>
  <c r="W100" i="97"/>
  <c r="X100" i="97" s="1"/>
  <c r="Z100" i="97" s="1"/>
  <c r="AA100" i="97" s="1"/>
  <c r="AB100" i="97" s="1"/>
  <c r="Y92" i="97"/>
  <c r="Y68" i="97"/>
  <c r="Y51" i="97"/>
  <c r="N35" i="97"/>
  <c r="M18" i="97"/>
  <c r="N18" i="97" s="1"/>
  <c r="X101" i="97"/>
  <c r="AC101" i="97" s="1"/>
  <c r="W117" i="97"/>
  <c r="W84" i="97"/>
  <c r="X84" i="97" s="1"/>
  <c r="M57" i="97"/>
  <c r="X36" i="97"/>
  <c r="M117" i="97"/>
  <c r="N117" i="97" s="1"/>
  <c r="X118" i="97"/>
  <c r="AC118" i="97" s="1"/>
  <c r="M31" i="91"/>
  <c r="N31" i="91" s="1"/>
  <c r="M35" i="91"/>
  <c r="N35" i="91" s="1"/>
  <c r="M150" i="91"/>
  <c r="N150" i="91" s="1"/>
  <c r="W118" i="91"/>
  <c r="W130" i="91"/>
  <c r="M128" i="91"/>
  <c r="V106" i="91"/>
  <c r="W106" i="91" s="1"/>
  <c r="AD67" i="91"/>
  <c r="W100" i="91"/>
  <c r="X89" i="91"/>
  <c r="X79" i="91"/>
  <c r="X68" i="91"/>
  <c r="M18" i="91"/>
  <c r="N18" i="91" s="1"/>
  <c r="X129" i="91"/>
  <c r="X113" i="91"/>
  <c r="N58" i="91"/>
  <c r="M39" i="91"/>
  <c r="N39" i="91" s="1"/>
  <c r="X37" i="91"/>
  <c r="X33" i="91"/>
  <c r="X24" i="91"/>
  <c r="X149" i="91"/>
  <c r="X139" i="91"/>
  <c r="V103" i="91"/>
  <c r="M82" i="91"/>
  <c r="N82" i="91" s="1"/>
  <c r="W80" i="91"/>
  <c r="AB80" i="91" s="1"/>
  <c r="W59" i="91"/>
  <c r="W56" i="91"/>
  <c r="M36" i="91"/>
  <c r="N36" i="91" s="1"/>
  <c r="X34" i="91"/>
  <c r="M32" i="91"/>
  <c r="N32" i="91" s="1"/>
  <c r="X30" i="91"/>
  <c r="X118" i="91"/>
  <c r="N40" i="91"/>
  <c r="W88" i="91"/>
  <c r="AB88" i="91" s="1"/>
  <c r="M101" i="97"/>
  <c r="N101" i="97" s="1"/>
  <c r="K62" i="96"/>
  <c r="K63" i="96"/>
  <c r="W62" i="96"/>
  <c r="W63" i="96" s="1"/>
  <c r="L89" i="91"/>
  <c r="M89" i="91" s="1"/>
  <c r="N89" i="91" s="1"/>
  <c r="AD65" i="91"/>
  <c r="V45" i="91"/>
  <c r="W45" i="91" s="1"/>
  <c r="AB45" i="91" s="1"/>
  <c r="X45" i="91"/>
  <c r="X150" i="91"/>
  <c r="L138" i="91"/>
  <c r="L101" i="91"/>
  <c r="M101" i="91" s="1"/>
  <c r="M143" i="91"/>
  <c r="N143" i="91" s="1"/>
  <c r="L105" i="91"/>
  <c r="M105" i="91" s="1"/>
  <c r="M151" i="91"/>
  <c r="N151" i="91" s="1"/>
  <c r="W111" i="91"/>
  <c r="X111" i="91"/>
  <c r="X159" i="91"/>
  <c r="X148" i="91"/>
  <c r="X75" i="91"/>
  <c r="X76" i="91" s="1"/>
  <c r="W72" i="91"/>
  <c r="AB72" i="91" s="1"/>
  <c r="X72" i="91"/>
  <c r="W50" i="91"/>
  <c r="X50" i="91"/>
  <c r="X71" i="91"/>
  <c r="W71" i="91"/>
  <c r="X40" i="91"/>
  <c r="W40" i="91"/>
  <c r="AB40" i="91" s="1"/>
  <c r="V31" i="91"/>
  <c r="W31" i="91" s="1"/>
  <c r="X31" i="91"/>
  <c r="V17" i="91"/>
  <c r="X17" i="91"/>
  <c r="X158" i="91"/>
  <c r="X143" i="91"/>
  <c r="X105" i="91"/>
  <c r="V105" i="91"/>
  <c r="W105" i="91" s="1"/>
  <c r="AB105" i="91" s="1"/>
  <c r="L45" i="91"/>
  <c r="M45" i="91" s="1"/>
  <c r="X82" i="91"/>
  <c r="L153" i="91"/>
  <c r="M153" i="91" s="1"/>
  <c r="L71" i="91"/>
  <c r="M152" i="91"/>
  <c r="N152" i="91" s="1"/>
  <c r="N130" i="91"/>
  <c r="L103" i="91"/>
  <c r="M103" i="91" s="1"/>
  <c r="N103" i="91" s="1"/>
  <c r="W103" i="91"/>
  <c r="AB103" i="91" s="1"/>
  <c r="N99" i="91"/>
  <c r="L41" i="91"/>
  <c r="M41" i="91" s="1"/>
  <c r="L38" i="91"/>
  <c r="M38" i="91" s="1"/>
  <c r="X142" i="91"/>
  <c r="V142" i="91"/>
  <c r="W142" i="91" s="1"/>
  <c r="AB142" i="91" s="1"/>
  <c r="V101" i="91"/>
  <c r="W101" i="91"/>
  <c r="AB101" i="91" s="1"/>
  <c r="X101" i="91"/>
  <c r="W43" i="91"/>
  <c r="X43" i="91"/>
  <c r="W152" i="91"/>
  <c r="AB152" i="91" s="1"/>
  <c r="X152" i="91"/>
  <c r="L79" i="91"/>
  <c r="M79" i="91" s="1"/>
  <c r="N79" i="91" s="1"/>
  <c r="W79" i="91"/>
  <c r="AB79" i="91" s="1"/>
  <c r="L159" i="91"/>
  <c r="M159" i="91" s="1"/>
  <c r="L81" i="91"/>
  <c r="M81" i="91" s="1"/>
  <c r="N81" i="91" s="1"/>
  <c r="M139" i="91"/>
  <c r="N139" i="91" s="1"/>
  <c r="L97" i="91"/>
  <c r="X44" i="91"/>
  <c r="L134" i="91"/>
  <c r="L98" i="91"/>
  <c r="M98" i="91" s="1"/>
  <c r="W98" i="91"/>
  <c r="AB98" i="91" s="1"/>
  <c r="X66" i="91"/>
  <c r="W66" i="91"/>
  <c r="AB66" i="91" s="1"/>
  <c r="V159" i="91"/>
  <c r="W159" i="91" s="1"/>
  <c r="AB159" i="91" s="1"/>
  <c r="V150" i="91"/>
  <c r="W150" i="91" s="1"/>
  <c r="L149" i="91"/>
  <c r="M149" i="91" s="1"/>
  <c r="V143" i="91"/>
  <c r="W143" i="91" s="1"/>
  <c r="X140" i="91"/>
  <c r="W138" i="91"/>
  <c r="X138" i="91"/>
  <c r="M122" i="91"/>
  <c r="N122" i="91" s="1"/>
  <c r="L118" i="91"/>
  <c r="M113" i="91"/>
  <c r="N113" i="91" s="1"/>
  <c r="M104" i="91"/>
  <c r="N104" i="91" s="1"/>
  <c r="L100" i="91"/>
  <c r="M100" i="91" s="1"/>
  <c r="X83" i="91"/>
  <c r="L78" i="91"/>
  <c r="L56" i="91"/>
  <c r="W29" i="91"/>
  <c r="W134" i="91"/>
  <c r="Y134" i="91" s="1"/>
  <c r="Z134" i="91" s="1"/>
  <c r="AM134" i="91" s="1"/>
  <c r="M135" i="91"/>
  <c r="N135" i="91" s="1"/>
  <c r="X128" i="91"/>
  <c r="X67" i="91"/>
  <c r="M129" i="91"/>
  <c r="N129" i="91" s="1"/>
  <c r="X96" i="91"/>
  <c r="L83" i="91"/>
  <c r="M83" i="91" s="1"/>
  <c r="W78" i="91"/>
  <c r="X78" i="91"/>
  <c r="L72" i="91"/>
  <c r="M72" i="91" s="1"/>
  <c r="L24" i="91"/>
  <c r="M24" i="91" s="1"/>
  <c r="L23" i="91"/>
  <c r="M23" i="91" s="1"/>
  <c r="M141" i="91"/>
  <c r="N141" i="91" s="1"/>
  <c r="W127" i="91"/>
  <c r="X127" i="91"/>
  <c r="W122" i="91"/>
  <c r="AB122" i="91" s="1"/>
  <c r="X122" i="91"/>
  <c r="X99" i="91"/>
  <c r="W99" i="91"/>
  <c r="V97" i="91"/>
  <c r="X58" i="91"/>
  <c r="L37" i="91"/>
  <c r="M37" i="91" s="1"/>
  <c r="N37" i="91" s="1"/>
  <c r="W135" i="91"/>
  <c r="X112" i="91"/>
  <c r="V104" i="91"/>
  <c r="W104" i="91" s="1"/>
  <c r="AB104" i="91" s="1"/>
  <c r="X104" i="91"/>
  <c r="X102" i="91"/>
  <c r="V102" i="91"/>
  <c r="W41" i="91"/>
  <c r="AB41" i="91" s="1"/>
  <c r="W39" i="91"/>
  <c r="AB39" i="91" s="1"/>
  <c r="X39" i="91"/>
  <c r="W35" i="91"/>
  <c r="AB35" i="91" s="1"/>
  <c r="X35" i="91"/>
  <c r="M112" i="91"/>
  <c r="N112" i="91" s="1"/>
  <c r="L67" i="91"/>
  <c r="M67" i="91" s="1"/>
  <c r="N67" i="91" s="1"/>
  <c r="W64" i="91"/>
  <c r="X64" i="91"/>
  <c r="X80" i="91"/>
  <c r="M68" i="91"/>
  <c r="N68" i="91" s="1"/>
  <c r="M59" i="91"/>
  <c r="N59" i="91" s="1"/>
  <c r="M42" i="91"/>
  <c r="N42" i="91" s="1"/>
  <c r="W21" i="91"/>
  <c r="X21" i="91"/>
  <c r="N65" i="91"/>
  <c r="N57" i="91"/>
  <c r="X54" i="91"/>
  <c r="N80" i="91"/>
  <c r="W65" i="91"/>
  <c r="AB65" i="91" s="1"/>
  <c r="X65" i="91"/>
  <c r="W57" i="91"/>
  <c r="AB57" i="91" s="1"/>
  <c r="X57" i="91"/>
  <c r="M55" i="91"/>
  <c r="N55" i="91" s="1"/>
  <c r="X32" i="91"/>
  <c r="N30" i="91"/>
  <c r="X18" i="91"/>
  <c r="X36" i="91"/>
  <c r="N34" i="91"/>
  <c r="L33" i="91"/>
  <c r="M33" i="91" s="1"/>
  <c r="W22" i="91"/>
  <c r="AB22" i="91" s="1"/>
  <c r="X22" i="91"/>
  <c r="L19" i="91"/>
  <c r="M19" i="91" s="1"/>
  <c r="N19" i="91" s="1"/>
  <c r="N51" i="91"/>
  <c r="X31" i="97"/>
  <c r="Y31" i="97"/>
  <c r="M108" i="97"/>
  <c r="N108" i="97" s="1"/>
  <c r="Y90" i="97"/>
  <c r="L34" i="97"/>
  <c r="M34" i="97" s="1"/>
  <c r="M123" i="97"/>
  <c r="X98" i="97"/>
  <c r="L98" i="97"/>
  <c r="M98" i="97" s="1"/>
  <c r="AE58" i="97"/>
  <c r="Y52" i="97"/>
  <c r="W52" i="97"/>
  <c r="Y41" i="97"/>
  <c r="M36" i="97"/>
  <c r="N36" i="97" s="1"/>
  <c r="M33" i="97"/>
  <c r="N33" i="97" s="1"/>
  <c r="L23" i="97"/>
  <c r="M23" i="97" s="1"/>
  <c r="N100" i="97"/>
  <c r="W17" i="97"/>
  <c r="Y17" i="97"/>
  <c r="Y32" i="97"/>
  <c r="X32" i="97"/>
  <c r="AC32" i="97" s="1"/>
  <c r="AC18" i="97"/>
  <c r="X122" i="97"/>
  <c r="W113" i="97"/>
  <c r="X113" i="97" s="1"/>
  <c r="AC113" i="97" s="1"/>
  <c r="Y113" i="97"/>
  <c r="Y91" i="97"/>
  <c r="N84" i="97"/>
  <c r="L83" i="97"/>
  <c r="M83" i="97" s="1"/>
  <c r="L67" i="97"/>
  <c r="M32" i="97"/>
  <c r="N32" i="97" s="1"/>
  <c r="L112" i="97"/>
  <c r="X68" i="97"/>
  <c r="M68" i="97"/>
  <c r="Y57" i="97"/>
  <c r="Y123" i="97"/>
  <c r="W99" i="97"/>
  <c r="X99" i="97" s="1"/>
  <c r="Y99" i="97"/>
  <c r="M91" i="97"/>
  <c r="N91" i="97" s="1"/>
  <c r="L75" i="97"/>
  <c r="Y50" i="97"/>
  <c r="M43" i="97"/>
  <c r="N43" i="97" s="1"/>
  <c r="L21" i="97"/>
  <c r="X130" i="97"/>
  <c r="AC130" i="97" s="1"/>
  <c r="M125" i="97"/>
  <c r="N125" i="97" s="1"/>
  <c r="M113" i="97"/>
  <c r="N113" i="97" s="1"/>
  <c r="W90" i="97"/>
  <c r="X58" i="97"/>
  <c r="X57" i="97"/>
  <c r="X29" i="97"/>
  <c r="Z29" i="97" s="1"/>
  <c r="AA29" i="97" s="1"/>
  <c r="AN29" i="97" s="1"/>
  <c r="L22" i="97"/>
  <c r="M22" i="97" s="1"/>
  <c r="N22" i="97" s="1"/>
  <c r="Y97" i="97"/>
  <c r="Y64" i="97"/>
  <c r="N51" i="97"/>
  <c r="Y39" i="97"/>
  <c r="AC22" i="97"/>
  <c r="L97" i="97"/>
  <c r="Y85" i="97"/>
  <c r="W85" i="97"/>
  <c r="N30" i="97"/>
  <c r="L130" i="97"/>
  <c r="Y125" i="97"/>
  <c r="W114" i="97"/>
  <c r="W108" i="97"/>
  <c r="X108" i="97" s="1"/>
  <c r="Y107" i="97"/>
  <c r="M49" i="97"/>
  <c r="N49" i="97" s="1"/>
  <c r="L39" i="97"/>
  <c r="M39" i="97" s="1"/>
  <c r="L37" i="97"/>
  <c r="AC23" i="97"/>
  <c r="L118" i="97"/>
  <c r="M118" i="97" s="1"/>
  <c r="X117" i="97"/>
  <c r="AC117" i="97" s="1"/>
  <c r="Y117" i="97"/>
  <c r="M115" i="97"/>
  <c r="Y114" i="97"/>
  <c r="M102" i="97"/>
  <c r="N102" i="97" s="1"/>
  <c r="Y101" i="97"/>
  <c r="W83" i="97"/>
  <c r="X83" i="97" s="1"/>
  <c r="M64" i="97"/>
  <c r="M65" i="97" s="1"/>
  <c r="W43" i="97"/>
  <c r="X43" i="97" s="1"/>
  <c r="AC43" i="97" s="1"/>
  <c r="Y43" i="97"/>
  <c r="Y36" i="97"/>
  <c r="X33" i="97"/>
  <c r="AC19" i="97"/>
  <c r="M85" i="97"/>
  <c r="N85" i="97" s="1"/>
  <c r="N20" i="97"/>
  <c r="M41" i="97"/>
  <c r="N41" i="97" s="1"/>
  <c r="L29" i="97"/>
  <c r="AC100" i="97"/>
  <c r="W75" i="97"/>
  <c r="L91" i="96"/>
  <c r="L94" i="96"/>
  <c r="L44" i="96"/>
  <c r="X43" i="96"/>
  <c r="V44" i="96"/>
  <c r="X32" i="96"/>
  <c r="X28" i="96"/>
  <c r="W28" i="96"/>
  <c r="AB28" i="96" s="1"/>
  <c r="W31" i="96"/>
  <c r="X31" i="96"/>
  <c r="X30" i="96"/>
  <c r="X29" i="96"/>
  <c r="W18" i="96"/>
  <c r="AB18" i="96" s="1"/>
  <c r="X18" i="96"/>
  <c r="AB20" i="97" l="1"/>
  <c r="AN20" i="97"/>
  <c r="AB18" i="91"/>
  <c r="W25" i="91"/>
  <c r="AC68" i="97"/>
  <c r="L46" i="96"/>
  <c r="L45" i="96"/>
  <c r="X45" i="96"/>
  <c r="X46" i="96"/>
  <c r="L96" i="96"/>
  <c r="L95" i="96"/>
  <c r="L87" i="96"/>
  <c r="L88" i="96"/>
  <c r="AB91" i="96"/>
  <c r="Y91" i="96"/>
  <c r="Z91" i="96" s="1"/>
  <c r="AM91" i="96" s="1"/>
  <c r="AB20" i="91"/>
  <c r="Y20" i="91"/>
  <c r="Z20" i="91" s="1"/>
  <c r="X60" i="91"/>
  <c r="V92" i="91"/>
  <c r="M88" i="91"/>
  <c r="L93" i="91"/>
  <c r="L92" i="91"/>
  <c r="L25" i="91"/>
  <c r="L26" i="91"/>
  <c r="X108" i="91"/>
  <c r="X107" i="91"/>
  <c r="L84" i="91"/>
  <c r="X123" i="91"/>
  <c r="X124" i="91"/>
  <c r="L154" i="91"/>
  <c r="L155" i="91"/>
  <c r="M158" i="91"/>
  <c r="N158" i="91" s="1"/>
  <c r="L160" i="91"/>
  <c r="L161" i="91"/>
  <c r="L114" i="91"/>
  <c r="L115" i="91"/>
  <c r="M64" i="91"/>
  <c r="L85" i="91"/>
  <c r="L69" i="91"/>
  <c r="L73" i="91"/>
  <c r="X154" i="91"/>
  <c r="X155" i="91"/>
  <c r="L123" i="91"/>
  <c r="L124" i="91"/>
  <c r="X160" i="91"/>
  <c r="X161" i="91"/>
  <c r="X73" i="91"/>
  <c r="M54" i="91"/>
  <c r="L60" i="91"/>
  <c r="L47" i="91"/>
  <c r="L46" i="91"/>
  <c r="X92" i="91"/>
  <c r="X93" i="91"/>
  <c r="X69" i="91"/>
  <c r="X85" i="91"/>
  <c r="X26" i="91"/>
  <c r="X25" i="91"/>
  <c r="X52" i="91"/>
  <c r="X61" i="91"/>
  <c r="X114" i="91"/>
  <c r="X115" i="91"/>
  <c r="M96" i="91"/>
  <c r="N96" i="91" s="1"/>
  <c r="L107" i="91"/>
  <c r="L108" i="91"/>
  <c r="X84" i="91"/>
  <c r="L61" i="91"/>
  <c r="L52" i="91"/>
  <c r="L136" i="91"/>
  <c r="X131" i="91"/>
  <c r="M127" i="91"/>
  <c r="M131" i="91" s="1"/>
  <c r="L131" i="91"/>
  <c r="N140" i="91"/>
  <c r="L145" i="91"/>
  <c r="L162" i="91"/>
  <c r="L144" i="91"/>
  <c r="X64" i="97"/>
  <c r="X65" i="97" s="1"/>
  <c r="W120" i="97"/>
  <c r="AD119" i="97" s="1"/>
  <c r="L134" i="97"/>
  <c r="X144" i="91"/>
  <c r="X145" i="91"/>
  <c r="X47" i="91"/>
  <c r="X46" i="91"/>
  <c r="Y58" i="91"/>
  <c r="Z58" i="91" s="1"/>
  <c r="N109" i="97"/>
  <c r="X125" i="97"/>
  <c r="AA121" i="91"/>
  <c r="N121" i="91"/>
  <c r="AA91" i="91"/>
  <c r="N91" i="91"/>
  <c r="V93" i="91"/>
  <c r="W17" i="91"/>
  <c r="Y17" i="91" s="1"/>
  <c r="V88" i="96"/>
  <c r="V87" i="96"/>
  <c r="Z67" i="97"/>
  <c r="AA67" i="97" s="1"/>
  <c r="W126" i="97"/>
  <c r="X61" i="97"/>
  <c r="Z61" i="97" s="1"/>
  <c r="AA61" i="97" s="1"/>
  <c r="AB61" i="97" s="1"/>
  <c r="Z92" i="97"/>
  <c r="AA92" i="97" s="1"/>
  <c r="AB92" i="97" s="1"/>
  <c r="Z40" i="97"/>
  <c r="AA40" i="97" s="1"/>
  <c r="N57" i="97"/>
  <c r="M126" i="97"/>
  <c r="X59" i="97"/>
  <c r="L71" i="97"/>
  <c r="AD64" i="97"/>
  <c r="L86" i="97"/>
  <c r="Z117" i="97"/>
  <c r="AA117" i="97" s="1"/>
  <c r="AB116" i="97"/>
  <c r="L87" i="97"/>
  <c r="AC67" i="97"/>
  <c r="L79" i="97"/>
  <c r="L78" i="97"/>
  <c r="M59" i="97"/>
  <c r="N90" i="97"/>
  <c r="M93" i="97"/>
  <c r="M94" i="97"/>
  <c r="AN21" i="97"/>
  <c r="M87" i="97"/>
  <c r="M86" i="97"/>
  <c r="L94" i="97"/>
  <c r="L44" i="97"/>
  <c r="L45" i="97"/>
  <c r="N59" i="97"/>
  <c r="L132" i="97"/>
  <c r="L133" i="97"/>
  <c r="Z113" i="97"/>
  <c r="AA113" i="97" s="1"/>
  <c r="N17" i="97"/>
  <c r="L26" i="97"/>
  <c r="L25" i="97"/>
  <c r="N62" i="97"/>
  <c r="AC61" i="97"/>
  <c r="X62" i="97"/>
  <c r="M62" i="97"/>
  <c r="L62" i="97"/>
  <c r="L72" i="97"/>
  <c r="W68" i="91"/>
  <c r="X123" i="97"/>
  <c r="Z123" i="97" s="1"/>
  <c r="AA123" i="97" s="1"/>
  <c r="Y51" i="91"/>
  <c r="Z51" i="91" s="1"/>
  <c r="Z48" i="97"/>
  <c r="AA48" i="97" s="1"/>
  <c r="M54" i="97"/>
  <c r="M53" i="97"/>
  <c r="AC122" i="97"/>
  <c r="AC36" i="97"/>
  <c r="Z36" i="97"/>
  <c r="AA36" i="97" s="1"/>
  <c r="V46" i="96"/>
  <c r="V45" i="96"/>
  <c r="V96" i="96"/>
  <c r="V95" i="96"/>
  <c r="V41" i="96"/>
  <c r="V40" i="96"/>
  <c r="AC37" i="96" s="1"/>
  <c r="AC112" i="97"/>
  <c r="M112" i="97"/>
  <c r="M120" i="97" s="1"/>
  <c r="L120" i="97"/>
  <c r="M75" i="91"/>
  <c r="M76" i="91" s="1"/>
  <c r="Y66" i="91"/>
  <c r="Z66" i="91" s="1"/>
  <c r="Y42" i="91"/>
  <c r="Z42" i="91" s="1"/>
  <c r="Y80" i="91"/>
  <c r="Z80" i="91" s="1"/>
  <c r="AC97" i="97"/>
  <c r="X104" i="97"/>
  <c r="X103" i="97"/>
  <c r="L104" i="97"/>
  <c r="L103" i="97"/>
  <c r="Y139" i="91"/>
  <c r="Z139" i="91" s="1"/>
  <c r="Y30" i="91"/>
  <c r="Z30" i="91" s="1"/>
  <c r="AB30" i="91"/>
  <c r="M78" i="91"/>
  <c r="M84" i="91" s="1"/>
  <c r="N54" i="91"/>
  <c r="N107" i="97"/>
  <c r="M110" i="97"/>
  <c r="Y36" i="91"/>
  <c r="Z36" i="91" s="1"/>
  <c r="AA36" i="91" s="1"/>
  <c r="Y34" i="91"/>
  <c r="AA20" i="91"/>
  <c r="N50" i="91"/>
  <c r="Y54" i="91"/>
  <c r="Z54" i="91" s="1"/>
  <c r="AM54" i="91" s="1"/>
  <c r="Y101" i="91"/>
  <c r="Z101" i="91" s="1"/>
  <c r="AA101" i="91" s="1"/>
  <c r="W92" i="91"/>
  <c r="N120" i="91"/>
  <c r="AA120" i="91"/>
  <c r="Y35" i="91"/>
  <c r="Z35" i="91" s="1"/>
  <c r="Y143" i="91"/>
  <c r="Z143" i="91" s="1"/>
  <c r="AA143" i="91" s="1"/>
  <c r="N41" i="91"/>
  <c r="N119" i="91"/>
  <c r="AA119" i="91"/>
  <c r="L127" i="97"/>
  <c r="L110" i="97"/>
  <c r="AB21" i="91"/>
  <c r="Y21" i="91"/>
  <c r="Z21" i="91" s="1"/>
  <c r="AB141" i="91"/>
  <c r="Y141" i="91"/>
  <c r="Z141" i="91" s="1"/>
  <c r="AB19" i="91"/>
  <c r="Y19" i="91"/>
  <c r="Z19" i="91" s="1"/>
  <c r="Y37" i="91"/>
  <c r="Z37" i="91" s="1"/>
  <c r="N90" i="91"/>
  <c r="N72" i="91"/>
  <c r="Y45" i="91"/>
  <c r="Z45" i="91" s="1"/>
  <c r="AA45" i="91" s="1"/>
  <c r="M133" i="91"/>
  <c r="M111" i="91"/>
  <c r="Y31" i="91"/>
  <c r="Z31" i="91" s="1"/>
  <c r="AA31" i="91" s="1"/>
  <c r="Y23" i="91"/>
  <c r="Z23" i="91" s="1"/>
  <c r="AA23" i="91" s="1"/>
  <c r="W67" i="91"/>
  <c r="AB67" i="91" s="1"/>
  <c r="Y105" i="91"/>
  <c r="Z105" i="91" s="1"/>
  <c r="AA105" i="91" s="1"/>
  <c r="Y50" i="91"/>
  <c r="Z50" i="91" s="1"/>
  <c r="AM50" i="91" s="1"/>
  <c r="Y88" i="91"/>
  <c r="Z88" i="91" s="1"/>
  <c r="N153" i="91"/>
  <c r="M118" i="91"/>
  <c r="AA151" i="91"/>
  <c r="N64" i="91"/>
  <c r="Y55" i="91"/>
  <c r="Z55" i="91" s="1"/>
  <c r="Y129" i="91"/>
  <c r="Z129" i="91" s="1"/>
  <c r="AA129" i="91" s="1"/>
  <c r="N23" i="91"/>
  <c r="Y152" i="91"/>
  <c r="Z152" i="91" s="1"/>
  <c r="Y142" i="91"/>
  <c r="Z142" i="91" s="1"/>
  <c r="AA142" i="91" s="1"/>
  <c r="M148" i="91"/>
  <c r="M29" i="91"/>
  <c r="M17" i="91"/>
  <c r="Y22" i="91"/>
  <c r="Z22" i="91" s="1"/>
  <c r="AC115" i="97"/>
  <c r="Z115" i="97"/>
  <c r="AA115" i="97" s="1"/>
  <c r="AB115" i="97" s="1"/>
  <c r="Z97" i="97"/>
  <c r="AA97" i="97" s="1"/>
  <c r="Z30" i="97"/>
  <c r="AA30" i="97" s="1"/>
  <c r="Z101" i="97"/>
  <c r="AA101" i="97" s="1"/>
  <c r="Z112" i="97"/>
  <c r="AA112" i="97" s="1"/>
  <c r="AB76" i="97"/>
  <c r="N34" i="97"/>
  <c r="Z119" i="97"/>
  <c r="AA119" i="97" s="1"/>
  <c r="AB119" i="97" s="1"/>
  <c r="Z102" i="97"/>
  <c r="AA102" i="97" s="1"/>
  <c r="AB102" i="97" s="1"/>
  <c r="Z99" i="97"/>
  <c r="AA99" i="97" s="1"/>
  <c r="AB99" i="97" s="1"/>
  <c r="N68" i="97"/>
  <c r="AB70" i="97"/>
  <c r="Z37" i="97"/>
  <c r="AA37" i="97" s="1"/>
  <c r="AN37" i="97" s="1"/>
  <c r="N77" i="97"/>
  <c r="AB77" i="97"/>
  <c r="AC84" i="97"/>
  <c r="Z84" i="97"/>
  <c r="AA84" i="97" s="1"/>
  <c r="AB84" i="97" s="1"/>
  <c r="AC64" i="97"/>
  <c r="AB40" i="97"/>
  <c r="Z32" i="97"/>
  <c r="AA32" i="97" s="1"/>
  <c r="W87" i="97"/>
  <c r="W86" i="97"/>
  <c r="AD82" i="97" s="1"/>
  <c r="N115" i="97"/>
  <c r="Z50" i="97"/>
  <c r="AA50" i="97" s="1"/>
  <c r="Z57" i="97"/>
  <c r="AA57" i="97" s="1"/>
  <c r="N23" i="97"/>
  <c r="M21" i="97"/>
  <c r="M25" i="97" s="1"/>
  <c r="AC109" i="97"/>
  <c r="Z109" i="97"/>
  <c r="AA109" i="97" s="1"/>
  <c r="AB109" i="97" s="1"/>
  <c r="Y128" i="91"/>
  <c r="Z128" i="91" s="1"/>
  <c r="AA128" i="91" s="1"/>
  <c r="N128" i="91"/>
  <c r="AB117" i="97"/>
  <c r="Z118" i="97"/>
  <c r="AA118" i="97" s="1"/>
  <c r="AB118" i="97" s="1"/>
  <c r="AB130" i="91"/>
  <c r="Y130" i="91"/>
  <c r="Z130" i="91" s="1"/>
  <c r="Y150" i="91"/>
  <c r="Z150" i="91" s="1"/>
  <c r="AA150" i="91" s="1"/>
  <c r="Y103" i="91"/>
  <c r="Z103" i="91" s="1"/>
  <c r="AA103" i="91" s="1"/>
  <c r="Y112" i="91"/>
  <c r="Z112" i="91" s="1"/>
  <c r="AA112" i="91" s="1"/>
  <c r="V60" i="91"/>
  <c r="AC56" i="91" s="1"/>
  <c r="Y41" i="91"/>
  <c r="Z41" i="91" s="1"/>
  <c r="Y40" i="91"/>
  <c r="Z40" i="91" s="1"/>
  <c r="V123" i="91"/>
  <c r="AC121" i="91" s="1"/>
  <c r="V107" i="91"/>
  <c r="AC96" i="91" s="1"/>
  <c r="Y65" i="91"/>
  <c r="Z65" i="91" s="1"/>
  <c r="V124" i="91"/>
  <c r="Y24" i="91"/>
  <c r="Z24" i="91" s="1"/>
  <c r="N38" i="91"/>
  <c r="V47" i="91"/>
  <c r="Y111" i="91"/>
  <c r="Z111" i="91" s="1"/>
  <c r="AM111" i="91" s="1"/>
  <c r="N100" i="91"/>
  <c r="V155" i="91"/>
  <c r="W154" i="91"/>
  <c r="V154" i="91"/>
  <c r="AC148" i="91" s="1"/>
  <c r="Y72" i="91"/>
  <c r="Z72" i="91" s="1"/>
  <c r="Y33" i="91"/>
  <c r="Z33" i="91" s="1"/>
  <c r="Y39" i="91"/>
  <c r="Z39" i="91" s="1"/>
  <c r="Y122" i="91"/>
  <c r="Z122" i="91" s="1"/>
  <c r="AA122" i="91" s="1"/>
  <c r="N24" i="91"/>
  <c r="N159" i="91"/>
  <c r="V136" i="91"/>
  <c r="AC133" i="91" s="1"/>
  <c r="M134" i="91"/>
  <c r="AB134" i="91"/>
  <c r="AB43" i="91"/>
  <c r="Y43" i="91"/>
  <c r="Z43" i="91" s="1"/>
  <c r="Z62" i="96"/>
  <c r="V63" i="96"/>
  <c r="V62" i="96"/>
  <c r="L62" i="96"/>
  <c r="L63" i="96"/>
  <c r="N105" i="91"/>
  <c r="N101" i="91"/>
  <c r="N98" i="91"/>
  <c r="N98" i="97"/>
  <c r="W73" i="91"/>
  <c r="AB71" i="91"/>
  <c r="AB99" i="91"/>
  <c r="Y99" i="91"/>
  <c r="Z99" i="91" s="1"/>
  <c r="AB78" i="91"/>
  <c r="AB64" i="91"/>
  <c r="AB143" i="91"/>
  <c r="AB56" i="91"/>
  <c r="Y56" i="91"/>
  <c r="Z56" i="91" s="1"/>
  <c r="AM56" i="91" s="1"/>
  <c r="AB135" i="91"/>
  <c r="Y135" i="91"/>
  <c r="W60" i="91"/>
  <c r="V160" i="91"/>
  <c r="AC158" i="91" s="1"/>
  <c r="V161" i="91"/>
  <c r="W158" i="91"/>
  <c r="AB133" i="91"/>
  <c r="W136" i="91"/>
  <c r="Y133" i="91"/>
  <c r="Z133" i="91" s="1"/>
  <c r="AM133" i="91" s="1"/>
  <c r="V115" i="91"/>
  <c r="V114" i="91"/>
  <c r="AB151" i="91"/>
  <c r="W155" i="91"/>
  <c r="W52" i="91"/>
  <c r="W61" i="91"/>
  <c r="AB50" i="91"/>
  <c r="Y159" i="91"/>
  <c r="Z159" i="91" s="1"/>
  <c r="AA159" i="91" s="1"/>
  <c r="N149" i="91"/>
  <c r="AB106" i="91"/>
  <c r="Y106" i="91"/>
  <c r="Z106" i="91" s="1"/>
  <c r="AA106" i="91" s="1"/>
  <c r="W131" i="91"/>
  <c r="AB127" i="91"/>
  <c r="W44" i="91"/>
  <c r="AB31" i="91"/>
  <c r="V52" i="91"/>
  <c r="AC51" i="91" s="1"/>
  <c r="V61" i="91"/>
  <c r="Y148" i="91"/>
  <c r="Z148" i="91" s="1"/>
  <c r="AM148" i="91" s="1"/>
  <c r="M138" i="91"/>
  <c r="M144" i="91" s="1"/>
  <c r="AB89" i="91"/>
  <c r="Y89" i="91"/>
  <c r="Z89" i="91" s="1"/>
  <c r="AM89" i="91" s="1"/>
  <c r="M56" i="91"/>
  <c r="AB96" i="91"/>
  <c r="V73" i="91"/>
  <c r="AC71" i="91" s="1"/>
  <c r="W26" i="91"/>
  <c r="AB138" i="91"/>
  <c r="Y127" i="91"/>
  <c r="Z127" i="91" s="1"/>
  <c r="AM127" i="91" s="1"/>
  <c r="Y78" i="91"/>
  <c r="Z78" i="91" s="1"/>
  <c r="AM78" i="91" s="1"/>
  <c r="V144" i="91"/>
  <c r="AC138" i="91" s="1"/>
  <c r="V26" i="91"/>
  <c r="Y71" i="91"/>
  <c r="Z71" i="91" s="1"/>
  <c r="AM71" i="91" s="1"/>
  <c r="V145" i="91"/>
  <c r="V131" i="91"/>
  <c r="AC127" i="91" s="1"/>
  <c r="W83" i="91"/>
  <c r="Y138" i="91"/>
  <c r="Y153" i="91"/>
  <c r="Z153" i="91" s="1"/>
  <c r="M71" i="91"/>
  <c r="M73" i="91" s="1"/>
  <c r="W82" i="91"/>
  <c r="AB82" i="91" s="1"/>
  <c r="N45" i="91"/>
  <c r="Y100" i="91"/>
  <c r="Z100" i="91" s="1"/>
  <c r="AB100" i="91"/>
  <c r="AB150" i="91"/>
  <c r="Y98" i="91"/>
  <c r="Z98" i="91" s="1"/>
  <c r="V76" i="91"/>
  <c r="AC75" i="91" s="1"/>
  <c r="Y96" i="91"/>
  <c r="Z96" i="91" s="1"/>
  <c r="AB59" i="91"/>
  <c r="Y59" i="91"/>
  <c r="W123" i="91"/>
  <c r="Y118" i="91"/>
  <c r="Z118" i="91" s="1"/>
  <c r="AM118" i="91" s="1"/>
  <c r="AB118" i="91"/>
  <c r="W124" i="91"/>
  <c r="AD64" i="91"/>
  <c r="V69" i="91"/>
  <c r="AC64" i="91" s="1"/>
  <c r="V85" i="91"/>
  <c r="V84" i="91"/>
  <c r="AC78" i="91" s="1"/>
  <c r="V108" i="91"/>
  <c r="W115" i="91"/>
  <c r="W114" i="91"/>
  <c r="AB111" i="91"/>
  <c r="AB113" i="91"/>
  <c r="Y113" i="91"/>
  <c r="Z113" i="91" s="1"/>
  <c r="AA113" i="91" s="1"/>
  <c r="AB29" i="91"/>
  <c r="W140" i="91"/>
  <c r="W144" i="91" s="1"/>
  <c r="Y29" i="91"/>
  <c r="Z29" i="91" s="1"/>
  <c r="AM29" i="91" s="1"/>
  <c r="N127" i="91"/>
  <c r="N131" i="91" s="1"/>
  <c r="M97" i="91"/>
  <c r="N97" i="91" s="1"/>
  <c r="AB81" i="91"/>
  <c r="Y81" i="91"/>
  <c r="Z81" i="91" s="1"/>
  <c r="Y18" i="91"/>
  <c r="Z18" i="91" s="1"/>
  <c r="Y32" i="91"/>
  <c r="Z32" i="91" s="1"/>
  <c r="Y79" i="91"/>
  <c r="Z79" i="91" s="1"/>
  <c r="W102" i="91"/>
  <c r="N33" i="91"/>
  <c r="Y57" i="91"/>
  <c r="Z57" i="91" s="1"/>
  <c r="Y64" i="91"/>
  <c r="Z64" i="91" s="1"/>
  <c r="AM64" i="91" s="1"/>
  <c r="Y104" i="91"/>
  <c r="Z104" i="91" s="1"/>
  <c r="AA104" i="91" s="1"/>
  <c r="W97" i="91"/>
  <c r="N83" i="91"/>
  <c r="AD66" i="91"/>
  <c r="Y149" i="91"/>
  <c r="Z149" i="91" s="1"/>
  <c r="AB149" i="91"/>
  <c r="AB38" i="91"/>
  <c r="Y38" i="91"/>
  <c r="Z38" i="91" s="1"/>
  <c r="W93" i="91"/>
  <c r="W75" i="91"/>
  <c r="AC44" i="91"/>
  <c r="AB113" i="97"/>
  <c r="Z108" i="97"/>
  <c r="AA108" i="97" s="1"/>
  <c r="AB108" i="97" s="1"/>
  <c r="AC108" i="97"/>
  <c r="Z33" i="97"/>
  <c r="AA33" i="97" s="1"/>
  <c r="AC33" i="97"/>
  <c r="AC99" i="97"/>
  <c r="AC31" i="97"/>
  <c r="Z31" i="97"/>
  <c r="AA31" i="97" s="1"/>
  <c r="M29" i="97"/>
  <c r="Z124" i="97"/>
  <c r="AA124" i="97" s="1"/>
  <c r="AC124" i="97"/>
  <c r="M130" i="97"/>
  <c r="W94" i="97"/>
  <c r="W93" i="97"/>
  <c r="AD92" i="97" s="1"/>
  <c r="AD115" i="97"/>
  <c r="W104" i="97"/>
  <c r="X69" i="97"/>
  <c r="W71" i="97"/>
  <c r="AD117" i="97"/>
  <c r="X35" i="97"/>
  <c r="M37" i="97"/>
  <c r="N37" i="97" s="1"/>
  <c r="Z42" i="97"/>
  <c r="AA42" i="97" s="1"/>
  <c r="AB82" i="97"/>
  <c r="X39" i="97"/>
  <c r="AC39" i="97" s="1"/>
  <c r="AD118" i="97"/>
  <c r="M67" i="97"/>
  <c r="M71" i="97" s="1"/>
  <c r="X91" i="97"/>
  <c r="Z83" i="97"/>
  <c r="AA83" i="97" s="1"/>
  <c r="AB83" i="97" s="1"/>
  <c r="AC83" i="97"/>
  <c r="W78" i="97"/>
  <c r="AD77" i="97" s="1"/>
  <c r="X75" i="97"/>
  <c r="W79" i="97"/>
  <c r="Z43" i="97"/>
  <c r="AA43" i="97" s="1"/>
  <c r="AB43" i="97" s="1"/>
  <c r="M97" i="97"/>
  <c r="Z64" i="97"/>
  <c r="AA64" i="97" s="1"/>
  <c r="AN64" i="97" s="1"/>
  <c r="W44" i="97"/>
  <c r="AD31" i="97" s="1"/>
  <c r="M75" i="97"/>
  <c r="W45" i="97"/>
  <c r="AC82" i="97"/>
  <c r="AD113" i="97"/>
  <c r="AC57" i="97"/>
  <c r="AC29" i="97"/>
  <c r="W25" i="97"/>
  <c r="W26" i="97"/>
  <c r="X17" i="97"/>
  <c r="W53" i="97"/>
  <c r="W54" i="97"/>
  <c r="Z51" i="97"/>
  <c r="AA51" i="97" s="1"/>
  <c r="AB51" i="97" s="1"/>
  <c r="AC51" i="97"/>
  <c r="W132" i="97"/>
  <c r="AD130" i="97" s="1"/>
  <c r="AC98" i="97"/>
  <c r="Z98" i="97"/>
  <c r="AA98" i="97" s="1"/>
  <c r="AB98" i="97" s="1"/>
  <c r="AC38" i="97"/>
  <c r="Z38" i="97"/>
  <c r="AA38" i="97" s="1"/>
  <c r="X114" i="97"/>
  <c r="X120" i="97" s="1"/>
  <c r="AD114" i="97"/>
  <c r="N64" i="97"/>
  <c r="N65" i="97" s="1"/>
  <c r="X52" i="97"/>
  <c r="AC52" i="97" s="1"/>
  <c r="AC70" i="97"/>
  <c r="AC49" i="97"/>
  <c r="Z49" i="97"/>
  <c r="AA49" i="97" s="1"/>
  <c r="N118" i="97"/>
  <c r="N39" i="97"/>
  <c r="AD85" i="97"/>
  <c r="X85" i="97"/>
  <c r="AC85" i="97" s="1"/>
  <c r="AC48" i="97"/>
  <c r="W59" i="97"/>
  <c r="AD58" i="97" s="1"/>
  <c r="AE57" i="97"/>
  <c r="AE59" i="97" s="1"/>
  <c r="W72" i="97"/>
  <c r="Z122" i="97"/>
  <c r="AA122" i="97" s="1"/>
  <c r="AN122" i="97" s="1"/>
  <c r="X41" i="97"/>
  <c r="Z68" i="97"/>
  <c r="AD112" i="97"/>
  <c r="X107" i="97"/>
  <c r="W110" i="97"/>
  <c r="W127" i="97"/>
  <c r="Z34" i="97"/>
  <c r="AA34" i="97" s="1"/>
  <c r="AB34" i="97" s="1"/>
  <c r="AC58" i="97"/>
  <c r="Z58" i="97"/>
  <c r="AA58" i="97" s="1"/>
  <c r="Z130" i="97"/>
  <c r="AA130" i="97" s="1"/>
  <c r="X131" i="97"/>
  <c r="X132" i="97" s="1"/>
  <c r="W133" i="97"/>
  <c r="N83" i="97"/>
  <c r="N87" i="97" s="1"/>
  <c r="W103" i="97"/>
  <c r="AD99" i="97" s="1"/>
  <c r="N123" i="97"/>
  <c r="N126" i="97" s="1"/>
  <c r="X90" i="97"/>
  <c r="W44" i="96"/>
  <c r="W43" i="96"/>
  <c r="W30" i="96"/>
  <c r="AB30" i="96" s="1"/>
  <c r="W27" i="96"/>
  <c r="Y31" i="96"/>
  <c r="Z31" i="96" s="1"/>
  <c r="AM31" i="96" s="1"/>
  <c r="W29" i="96"/>
  <c r="AB29" i="96" s="1"/>
  <c r="W32" i="96"/>
  <c r="AB32" i="96" s="1"/>
  <c r="AB31" i="96"/>
  <c r="Y28" i="96"/>
  <c r="Z28" i="96" s="1"/>
  <c r="AM28" i="96" s="1"/>
  <c r="Y18" i="96"/>
  <c r="Z18" i="96" s="1"/>
  <c r="AM18" i="96" s="1"/>
  <c r="AA59" i="97" l="1"/>
  <c r="AN58" i="97"/>
  <c r="W47" i="91"/>
  <c r="W46" i="91"/>
  <c r="AN67" i="97"/>
  <c r="AA134" i="97"/>
  <c r="AO137" i="97" s="1"/>
  <c r="AB124" i="97"/>
  <c r="AN124" i="97"/>
  <c r="AB123" i="97"/>
  <c r="AN123" i="97"/>
  <c r="AD124" i="97"/>
  <c r="AD123" i="97"/>
  <c r="AB101" i="97"/>
  <c r="AN101" i="97"/>
  <c r="AB50" i="97"/>
  <c r="AN50" i="97"/>
  <c r="AB49" i="97"/>
  <c r="AN49" i="97"/>
  <c r="AB48" i="97"/>
  <c r="AN48" i="97"/>
  <c r="AB42" i="97"/>
  <c r="AN42" i="97"/>
  <c r="AB38" i="97"/>
  <c r="AN38" i="97"/>
  <c r="AB36" i="97"/>
  <c r="AN36" i="97"/>
  <c r="AB33" i="97"/>
  <c r="AN33" i="97"/>
  <c r="AB32" i="97"/>
  <c r="AN32" i="97"/>
  <c r="AB31" i="97"/>
  <c r="AN31" i="97"/>
  <c r="AB30" i="97"/>
  <c r="AN30" i="97"/>
  <c r="AB18" i="97"/>
  <c r="AN18" i="97"/>
  <c r="AB22" i="97"/>
  <c r="AN22" i="97"/>
  <c r="AB23" i="97"/>
  <c r="AN23" i="97"/>
  <c r="AB19" i="97"/>
  <c r="AN19" i="97"/>
  <c r="AA152" i="91"/>
  <c r="AM152" i="91"/>
  <c r="AA153" i="91"/>
  <c r="AM153" i="91"/>
  <c r="AA149" i="91"/>
  <c r="AM149" i="91"/>
  <c r="AA141" i="91"/>
  <c r="AM141" i="91"/>
  <c r="AA139" i="91"/>
  <c r="AM139" i="91"/>
  <c r="AA130" i="91"/>
  <c r="AM130" i="91"/>
  <c r="AC88" i="91"/>
  <c r="AC91" i="91"/>
  <c r="AC90" i="91"/>
  <c r="AC89" i="91"/>
  <c r="AA88" i="91"/>
  <c r="AM88" i="91"/>
  <c r="AA80" i="91"/>
  <c r="AM80" i="91"/>
  <c r="AA81" i="91"/>
  <c r="AM81" i="91"/>
  <c r="AA79" i="91"/>
  <c r="AM79" i="91"/>
  <c r="AA72" i="91"/>
  <c r="AM72" i="91"/>
  <c r="AB68" i="91"/>
  <c r="Y68" i="91"/>
  <c r="Z68" i="91" s="1"/>
  <c r="W162" i="91"/>
  <c r="AA66" i="91"/>
  <c r="AM66" i="91"/>
  <c r="AA65" i="91"/>
  <c r="AM65" i="91"/>
  <c r="AA58" i="91"/>
  <c r="AM58" i="91"/>
  <c r="AA55" i="91"/>
  <c r="AA57" i="91"/>
  <c r="AM57" i="91"/>
  <c r="AA51" i="91"/>
  <c r="AM51" i="91"/>
  <c r="AA42" i="91"/>
  <c r="AM42" i="91"/>
  <c r="AA41" i="91"/>
  <c r="AM41" i="91"/>
  <c r="AA43" i="91"/>
  <c r="AM43" i="91"/>
  <c r="AA37" i="91"/>
  <c r="AM37" i="91"/>
  <c r="AA40" i="91"/>
  <c r="AM40" i="91"/>
  <c r="AA39" i="91"/>
  <c r="AM39" i="91"/>
  <c r="AA38" i="91"/>
  <c r="AM38" i="91"/>
  <c r="AA35" i="91"/>
  <c r="AM35" i="91"/>
  <c r="AA33" i="91"/>
  <c r="AM33" i="91"/>
  <c r="AA32" i="91"/>
  <c r="AM32" i="91"/>
  <c r="AA24" i="91"/>
  <c r="AM24" i="91"/>
  <c r="AA30" i="91"/>
  <c r="AM30" i="91"/>
  <c r="AA22" i="91"/>
  <c r="AM22" i="91"/>
  <c r="AA21" i="91"/>
  <c r="AM21" i="91"/>
  <c r="AA19" i="91"/>
  <c r="AM19" i="91"/>
  <c r="AA18" i="91"/>
  <c r="AM18" i="91"/>
  <c r="Z25" i="91"/>
  <c r="AA25" i="91" s="1"/>
  <c r="AB58" i="97"/>
  <c r="AB57" i="97"/>
  <c r="AN57" i="97"/>
  <c r="AN134" i="97" s="1"/>
  <c r="AA100" i="91"/>
  <c r="AM100" i="91"/>
  <c r="AA99" i="91"/>
  <c r="AM99" i="91"/>
  <c r="AA98" i="91"/>
  <c r="AM98" i="91"/>
  <c r="Z59" i="91"/>
  <c r="X71" i="97"/>
  <c r="X134" i="97"/>
  <c r="AA68" i="97"/>
  <c r="Z134" i="97"/>
  <c r="AC77" i="96"/>
  <c r="AC85" i="96"/>
  <c r="AC83" i="96"/>
  <c r="AC86" i="96"/>
  <c r="AC84" i="96"/>
  <c r="AC76" i="96"/>
  <c r="AC74" i="96"/>
  <c r="AC73" i="96"/>
  <c r="AC71" i="96"/>
  <c r="AC75" i="96"/>
  <c r="AC72" i="96"/>
  <c r="AC68" i="96"/>
  <c r="AC66" i="96"/>
  <c r="AC67" i="96"/>
  <c r="AC57" i="96"/>
  <c r="AC60" i="96"/>
  <c r="AC38" i="96"/>
  <c r="AC39" i="96"/>
  <c r="N160" i="91"/>
  <c r="N161" i="91"/>
  <c r="M25" i="91"/>
  <c r="M26" i="91"/>
  <c r="N69" i="91"/>
  <c r="N108" i="91"/>
  <c r="N107" i="91"/>
  <c r="M47" i="91"/>
  <c r="M46" i="91"/>
  <c r="M145" i="91"/>
  <c r="M154" i="91"/>
  <c r="M155" i="91"/>
  <c r="M114" i="91"/>
  <c r="M115" i="91"/>
  <c r="AA54" i="91"/>
  <c r="M136" i="91"/>
  <c r="N52" i="91"/>
  <c r="M108" i="91"/>
  <c r="M107" i="91"/>
  <c r="M60" i="91"/>
  <c r="M61" i="91"/>
  <c r="M85" i="91"/>
  <c r="M69" i="91"/>
  <c r="M124" i="91"/>
  <c r="M123" i="91"/>
  <c r="M161" i="91"/>
  <c r="M160" i="91"/>
  <c r="N88" i="91"/>
  <c r="M92" i="91"/>
  <c r="M93" i="91"/>
  <c r="M162" i="91"/>
  <c r="AD83" i="97"/>
  <c r="AD84" i="97"/>
  <c r="M134" i="97"/>
  <c r="AD122" i="97"/>
  <c r="Z34" i="91"/>
  <c r="AB17" i="91"/>
  <c r="N75" i="91"/>
  <c r="N76" i="91" s="1"/>
  <c r="AC82" i="91"/>
  <c r="AB27" i="96"/>
  <c r="AD125" i="97"/>
  <c r="AC125" i="97"/>
  <c r="Z125" i="97"/>
  <c r="AA125" i="97" s="1"/>
  <c r="AA126" i="97" s="1"/>
  <c r="AB126" i="97" s="1"/>
  <c r="AC58" i="96"/>
  <c r="AC59" i="96"/>
  <c r="AC61" i="96"/>
  <c r="Z63" i="96"/>
  <c r="AC70" i="96"/>
  <c r="AC100" i="96"/>
  <c r="AC80" i="96"/>
  <c r="AC99" i="96"/>
  <c r="AC81" i="96"/>
  <c r="AC102" i="96"/>
  <c r="AC79" i="96"/>
  <c r="AC101" i="96"/>
  <c r="AC82" i="96"/>
  <c r="AC91" i="96"/>
  <c r="AC92" i="96"/>
  <c r="AC94" i="96"/>
  <c r="AC93" i="96"/>
  <c r="AC78" i="96"/>
  <c r="W88" i="96"/>
  <c r="W87" i="96"/>
  <c r="AB43" i="96"/>
  <c r="AA89" i="91"/>
  <c r="Z93" i="91"/>
  <c r="Z92" i="91"/>
  <c r="AD109" i="97"/>
  <c r="AB112" i="97"/>
  <c r="X45" i="97"/>
  <c r="AB37" i="97"/>
  <c r="M132" i="97"/>
  <c r="M133" i="97"/>
  <c r="X53" i="97"/>
  <c r="X26" i="97"/>
  <c r="X25" i="97"/>
  <c r="X87" i="97"/>
  <c r="M72" i="97"/>
  <c r="M26" i="97"/>
  <c r="X79" i="97"/>
  <c r="X78" i="97"/>
  <c r="N21" i="97"/>
  <c r="N25" i="97" s="1"/>
  <c r="X86" i="97"/>
  <c r="N93" i="97"/>
  <c r="N94" i="97"/>
  <c r="N86" i="97"/>
  <c r="M78" i="97"/>
  <c r="M79" i="97"/>
  <c r="AB29" i="97"/>
  <c r="M44" i="97"/>
  <c r="M45" i="97"/>
  <c r="X72" i="97"/>
  <c r="X93" i="97"/>
  <c r="X94" i="97"/>
  <c r="AD57" i="97"/>
  <c r="X44" i="97"/>
  <c r="X133" i="97"/>
  <c r="X54" i="97"/>
  <c r="X126" i="97"/>
  <c r="AC123" i="97"/>
  <c r="AA62" i="97"/>
  <c r="AB62" i="97" s="1"/>
  <c r="Z52" i="91"/>
  <c r="AA52" i="91" s="1"/>
  <c r="N54" i="97"/>
  <c r="N53" i="97"/>
  <c r="AD33" i="97"/>
  <c r="AD39" i="97"/>
  <c r="W41" i="96"/>
  <c r="W40" i="96"/>
  <c r="Y44" i="96"/>
  <c r="Z44" i="96" s="1"/>
  <c r="AM44" i="96" s="1"/>
  <c r="W46" i="96"/>
  <c r="W45" i="96"/>
  <c r="W96" i="96"/>
  <c r="W95" i="96"/>
  <c r="M127" i="97"/>
  <c r="N112" i="97"/>
  <c r="N120" i="97" s="1"/>
  <c r="AC105" i="91"/>
  <c r="AC101" i="91"/>
  <c r="N78" i="91"/>
  <c r="N84" i="91" s="1"/>
  <c r="M104" i="97"/>
  <c r="M103" i="97"/>
  <c r="Z17" i="91"/>
  <c r="N110" i="97"/>
  <c r="AC66" i="91"/>
  <c r="AC58" i="91"/>
  <c r="AC119" i="91"/>
  <c r="AC120" i="91"/>
  <c r="N133" i="91"/>
  <c r="X127" i="97"/>
  <c r="X110" i="97"/>
  <c r="AC103" i="91"/>
  <c r="N29" i="91"/>
  <c r="AA50" i="91"/>
  <c r="AC104" i="91"/>
  <c r="AA111" i="91"/>
  <c r="N111" i="91"/>
  <c r="Y67" i="91"/>
  <c r="Z67" i="91" s="1"/>
  <c r="N118" i="91"/>
  <c r="W69" i="91"/>
  <c r="N148" i="91"/>
  <c r="AC153" i="91"/>
  <c r="N17" i="91"/>
  <c r="AC54" i="91"/>
  <c r="AD32" i="97"/>
  <c r="AD41" i="97"/>
  <c r="N29" i="97"/>
  <c r="AD91" i="97"/>
  <c r="AA103" i="97"/>
  <c r="AA104" i="97"/>
  <c r="AD75" i="97"/>
  <c r="AD76" i="97"/>
  <c r="AB21" i="97"/>
  <c r="Z85" i="97"/>
  <c r="AA85" i="97" s="1"/>
  <c r="AB85" i="97" s="1"/>
  <c r="AD90" i="97"/>
  <c r="AC69" i="96"/>
  <c r="AC134" i="91"/>
  <c r="Z135" i="91"/>
  <c r="AA135" i="91" s="1"/>
  <c r="AC143" i="91"/>
  <c r="AC102" i="91"/>
  <c r="AC57" i="91"/>
  <c r="W85" i="91"/>
  <c r="AC97" i="91"/>
  <c r="AC106" i="91"/>
  <c r="AC151" i="91"/>
  <c r="AC118" i="91"/>
  <c r="AC122" i="91"/>
  <c r="AC149" i="91"/>
  <c r="AC142" i="91"/>
  <c r="AC59" i="91"/>
  <c r="AC55" i="91"/>
  <c r="AC152" i="91"/>
  <c r="AD69" i="91"/>
  <c r="AC135" i="91"/>
  <c r="Z60" i="91"/>
  <c r="AA60" i="91" s="1"/>
  <c r="N134" i="91"/>
  <c r="AA134" i="91"/>
  <c r="AC50" i="91"/>
  <c r="AC159" i="91"/>
  <c r="AC43" i="96"/>
  <c r="AC44" i="96"/>
  <c r="AC31" i="91"/>
  <c r="AA29" i="91"/>
  <c r="AC40" i="91"/>
  <c r="AC18" i="91"/>
  <c r="AC19" i="91"/>
  <c r="AC22" i="91"/>
  <c r="AC23" i="91"/>
  <c r="AC24" i="91"/>
  <c r="AC20" i="91"/>
  <c r="AC113" i="91"/>
  <c r="AC112" i="91"/>
  <c r="Z114" i="91"/>
  <c r="N56" i="91"/>
  <c r="N60" i="91" s="1"/>
  <c r="AB102" i="91"/>
  <c r="Y102" i="91"/>
  <c r="Z102" i="91" s="1"/>
  <c r="AA102" i="91" s="1"/>
  <c r="AB140" i="91"/>
  <c r="Y140" i="91"/>
  <c r="Z140" i="91" s="1"/>
  <c r="AC128" i="91"/>
  <c r="AC130" i="91"/>
  <c r="AC129" i="91"/>
  <c r="AC17" i="91"/>
  <c r="AC39" i="91"/>
  <c r="W84" i="91"/>
  <c r="W76" i="91"/>
  <c r="AB75" i="91"/>
  <c r="Y97" i="91"/>
  <c r="Z97" i="91" s="1"/>
  <c r="AA97" i="91" s="1"/>
  <c r="AB97" i="91"/>
  <c r="AC68" i="91"/>
  <c r="AC65" i="91"/>
  <c r="AC67" i="91"/>
  <c r="Z131" i="91"/>
  <c r="AA131" i="91" s="1"/>
  <c r="AA127" i="91"/>
  <c r="Z136" i="91"/>
  <c r="AA133" i="91"/>
  <c r="AC140" i="91"/>
  <c r="Y75" i="91"/>
  <c r="Z75" i="91" s="1"/>
  <c r="AM75" i="91" s="1"/>
  <c r="N138" i="91"/>
  <c r="N144" i="91" s="1"/>
  <c r="N71" i="91"/>
  <c r="N73" i="91" s="1"/>
  <c r="AA138" i="91"/>
  <c r="W107" i="91"/>
  <c r="Y82" i="91"/>
  <c r="AC36" i="91"/>
  <c r="AC37" i="91"/>
  <c r="AC33" i="91"/>
  <c r="AC38" i="91"/>
  <c r="AC34" i="91"/>
  <c r="AC29" i="91"/>
  <c r="AC32" i="91"/>
  <c r="AC42" i="91"/>
  <c r="AC30" i="91"/>
  <c r="AC45" i="91"/>
  <c r="AA78" i="91"/>
  <c r="AC21" i="91"/>
  <c r="W145" i="91"/>
  <c r="AA56" i="91"/>
  <c r="AA64" i="91"/>
  <c r="AA96" i="91"/>
  <c r="Z73" i="91"/>
  <c r="AA73" i="91" s="1"/>
  <c r="AA71" i="91"/>
  <c r="W108" i="91"/>
  <c r="AC41" i="91"/>
  <c r="AC72" i="91"/>
  <c r="AC139" i="91"/>
  <c r="AC141" i="91"/>
  <c r="Z155" i="91"/>
  <c r="Z154" i="91"/>
  <c r="AA148" i="91"/>
  <c r="AC43" i="91"/>
  <c r="AC35" i="91"/>
  <c r="Z61" i="91"/>
  <c r="AC80" i="91"/>
  <c r="AC79" i="91"/>
  <c r="AC81" i="91"/>
  <c r="Z124" i="91"/>
  <c r="Z123" i="91"/>
  <c r="AA118" i="91"/>
  <c r="AB83" i="91"/>
  <c r="Y83" i="91"/>
  <c r="Z83" i="91" s="1"/>
  <c r="AC83" i="91"/>
  <c r="AB44" i="91"/>
  <c r="Y44" i="91"/>
  <c r="AA44" i="91" s="1"/>
  <c r="AC111" i="91"/>
  <c r="W160" i="91"/>
  <c r="W161" i="91"/>
  <c r="AB158" i="91"/>
  <c r="Y158" i="91"/>
  <c r="Z158" i="91" s="1"/>
  <c r="AM158" i="91" s="1"/>
  <c r="Z115" i="91"/>
  <c r="AD20" i="97"/>
  <c r="AD23" i="97"/>
  <c r="AD19" i="97"/>
  <c r="AD21" i="97"/>
  <c r="AD22" i="97"/>
  <c r="AC75" i="97"/>
  <c r="Z75" i="97"/>
  <c r="AA75" i="97" s="1"/>
  <c r="AD18" i="97"/>
  <c r="AC107" i="97"/>
  <c r="Z107" i="97"/>
  <c r="AA107" i="97" s="1"/>
  <c r="AN107" i="97" s="1"/>
  <c r="AC114" i="97"/>
  <c r="Z114" i="97"/>
  <c r="AA114" i="97" s="1"/>
  <c r="AD17" i="97"/>
  <c r="N97" i="97"/>
  <c r="AB97" i="97"/>
  <c r="AC91" i="97"/>
  <c r="Z91" i="97"/>
  <c r="AA91" i="97" s="1"/>
  <c r="AC24" i="97"/>
  <c r="AC41" i="97"/>
  <c r="Z41" i="97"/>
  <c r="AA41" i="97" s="1"/>
  <c r="N75" i="97"/>
  <c r="AD131" i="97"/>
  <c r="AD50" i="97"/>
  <c r="AD51" i="97"/>
  <c r="AD49" i="97"/>
  <c r="AD48" i="97"/>
  <c r="N67" i="97"/>
  <c r="N71" i="97" s="1"/>
  <c r="AC90" i="97"/>
  <c r="AB67" i="97"/>
  <c r="AD108" i="97"/>
  <c r="AD52" i="97"/>
  <c r="AC35" i="97"/>
  <c r="Z35" i="97"/>
  <c r="AA35" i="97" s="1"/>
  <c r="AC131" i="97"/>
  <c r="Z131" i="97"/>
  <c r="AA131" i="97" s="1"/>
  <c r="AC17" i="97"/>
  <c r="AD34" i="97"/>
  <c r="AD36" i="97"/>
  <c r="AD38" i="97"/>
  <c r="AD29" i="97"/>
  <c r="AD37" i="97"/>
  <c r="AD42" i="97"/>
  <c r="AD40" i="97"/>
  <c r="AD30" i="97"/>
  <c r="AD35" i="97"/>
  <c r="AD68" i="97"/>
  <c r="AD67" i="97"/>
  <c r="AD70" i="97"/>
  <c r="Z39" i="97"/>
  <c r="AA39" i="97" s="1"/>
  <c r="Z17" i="97"/>
  <c r="AA17" i="97" s="1"/>
  <c r="Z90" i="97"/>
  <c r="AA90" i="97" s="1"/>
  <c r="AD107" i="97"/>
  <c r="AD43" i="97"/>
  <c r="AB122" i="97"/>
  <c r="AA65" i="97"/>
  <c r="AB65" i="97" s="1"/>
  <c r="AB64" i="97"/>
  <c r="AC69" i="97"/>
  <c r="Z69" i="97"/>
  <c r="AA69" i="97" s="1"/>
  <c r="AN69" i="97" s="1"/>
  <c r="N130" i="97"/>
  <c r="Z52" i="97"/>
  <c r="AA52" i="97" s="1"/>
  <c r="AB52" i="97" s="1"/>
  <c r="AD98" i="97"/>
  <c r="AD102" i="97"/>
  <c r="AD97" i="97"/>
  <c r="AD101" i="97"/>
  <c r="AB130" i="97"/>
  <c r="AD24" i="97"/>
  <c r="AD69" i="97"/>
  <c r="Y43" i="96"/>
  <c r="Z43" i="96" s="1"/>
  <c r="AM43" i="96" s="1"/>
  <c r="AB44" i="96"/>
  <c r="Y27" i="96"/>
  <c r="Z27" i="96" s="1"/>
  <c r="AM27" i="96" s="1"/>
  <c r="Y30" i="96"/>
  <c r="Z30" i="96" s="1"/>
  <c r="AM30" i="96" s="1"/>
  <c r="Y32" i="96"/>
  <c r="Z32" i="96" s="1"/>
  <c r="AM32" i="96" s="1"/>
  <c r="Y29" i="96"/>
  <c r="Z29" i="96" s="1"/>
  <c r="AM29" i="96" s="1"/>
  <c r="AO138" i="97" l="1"/>
  <c r="AO139" i="97" s="1"/>
  <c r="AA34" i="91"/>
  <c r="AM34" i="91"/>
  <c r="AB131" i="97"/>
  <c r="AN131" i="97"/>
  <c r="AB91" i="97"/>
  <c r="AN91" i="97"/>
  <c r="AB41" i="97"/>
  <c r="AN41" i="97"/>
  <c r="AB39" i="97"/>
  <c r="AN39" i="97"/>
  <c r="AB35" i="97"/>
  <c r="AN35" i="97"/>
  <c r="AB24" i="97"/>
  <c r="AN24" i="97"/>
  <c r="AA140" i="91"/>
  <c r="AM140" i="91"/>
  <c r="Z82" i="91"/>
  <c r="Y162" i="91"/>
  <c r="AA83" i="91"/>
  <c r="AM83" i="91"/>
  <c r="AM68" i="91"/>
  <c r="AA68" i="91"/>
  <c r="AA67" i="91"/>
  <c r="AM67" i="91"/>
  <c r="AB59" i="97"/>
  <c r="Z162" i="91"/>
  <c r="AM59" i="91"/>
  <c r="AA59" i="91"/>
  <c r="AB68" i="97"/>
  <c r="AB134" i="97" s="1"/>
  <c r="AC134" i="97" s="1"/>
  <c r="AD134" i="97" s="1"/>
  <c r="AA92" i="91"/>
  <c r="N155" i="91"/>
  <c r="N154" i="91"/>
  <c r="AA93" i="91"/>
  <c r="N124" i="91"/>
  <c r="N123" i="91"/>
  <c r="N92" i="91"/>
  <c r="N93" i="91"/>
  <c r="AA61" i="91"/>
  <c r="N114" i="91"/>
  <c r="N115" i="91"/>
  <c r="N136" i="91"/>
  <c r="N85" i="91"/>
  <c r="N61" i="91"/>
  <c r="N46" i="91"/>
  <c r="N47" i="91"/>
  <c r="N25" i="91"/>
  <c r="N26" i="91"/>
  <c r="N145" i="91"/>
  <c r="N162" i="91"/>
  <c r="C16" i="92"/>
  <c r="AB125" i="97"/>
  <c r="AA17" i="91"/>
  <c r="AA136" i="91"/>
  <c r="AA155" i="91"/>
  <c r="Z88" i="96"/>
  <c r="Z87" i="96"/>
  <c r="N26" i="97"/>
  <c r="N127" i="97"/>
  <c r="N132" i="97"/>
  <c r="N133" i="97"/>
  <c r="B72" i="98"/>
  <c r="N72" i="97"/>
  <c r="AB103" i="97"/>
  <c r="N78" i="97"/>
  <c r="N79" i="97"/>
  <c r="N44" i="97"/>
  <c r="N45" i="97"/>
  <c r="Z40" i="96"/>
  <c r="Z41" i="96"/>
  <c r="Z46" i="96"/>
  <c r="Z45" i="96"/>
  <c r="Z96" i="96"/>
  <c r="Z95" i="96"/>
  <c r="AA115" i="91"/>
  <c r="AA124" i="91"/>
  <c r="N104" i="97"/>
  <c r="N103" i="97"/>
  <c r="Z145" i="91"/>
  <c r="AA145" i="91" s="1"/>
  <c r="Z26" i="91"/>
  <c r="AA26" i="91" s="1"/>
  <c r="Z69" i="91"/>
  <c r="AA69" i="91" s="1"/>
  <c r="AA114" i="91"/>
  <c r="AA123" i="91"/>
  <c r="AA154" i="91"/>
  <c r="AA87" i="97"/>
  <c r="AB87" i="97" s="1"/>
  <c r="AA86" i="97"/>
  <c r="AB86" i="97" s="1"/>
  <c r="AA45" i="97"/>
  <c r="AB45" i="97" s="1"/>
  <c r="AB104" i="97"/>
  <c r="Z46" i="91"/>
  <c r="AA46" i="91" s="1"/>
  <c r="Z47" i="91"/>
  <c r="AA47" i="91" s="1"/>
  <c r="Z161" i="91"/>
  <c r="AA161" i="91" s="1"/>
  <c r="Z160" i="91"/>
  <c r="AA160" i="91" s="1"/>
  <c r="AA158" i="91"/>
  <c r="Z76" i="91"/>
  <c r="AA76" i="91" s="1"/>
  <c r="AA75" i="91"/>
  <c r="AA162" i="91" s="1"/>
  <c r="Z108" i="91"/>
  <c r="AA108" i="91" s="1"/>
  <c r="Z144" i="91"/>
  <c r="AA144" i="91" s="1"/>
  <c r="Z84" i="91"/>
  <c r="AA84" i="91" s="1"/>
  <c r="Z107" i="91"/>
  <c r="AA107" i="91" s="1"/>
  <c r="Z85" i="91"/>
  <c r="AA85" i="91" s="1"/>
  <c r="AA93" i="97"/>
  <c r="AB93" i="97" s="1"/>
  <c r="AA94" i="97"/>
  <c r="AB94" i="97" s="1"/>
  <c r="AB90" i="97"/>
  <c r="AB114" i="97"/>
  <c r="AA120" i="97"/>
  <c r="AB120" i="97" s="1"/>
  <c r="AA53" i="97"/>
  <c r="AB53" i="97" s="1"/>
  <c r="AA79" i="97"/>
  <c r="AB79" i="97" s="1"/>
  <c r="AA78" i="97"/>
  <c r="AB78" i="97" s="1"/>
  <c r="AB75" i="97"/>
  <c r="AA132" i="97"/>
  <c r="AB132" i="97" s="1"/>
  <c r="AA110" i="97"/>
  <c r="AB110" i="97" s="1"/>
  <c r="AA127" i="97"/>
  <c r="AB127" i="97" s="1"/>
  <c r="AB107" i="97"/>
  <c r="AB69" i="97"/>
  <c r="AA71" i="97"/>
  <c r="AB71" i="97" s="1"/>
  <c r="AA26" i="97"/>
  <c r="AB26" i="97" s="1"/>
  <c r="AA25" i="97"/>
  <c r="AB25" i="97" s="1"/>
  <c r="AB17" i="97"/>
  <c r="AA72" i="97"/>
  <c r="AB72" i="97" s="1"/>
  <c r="AA44" i="97"/>
  <c r="AB44" i="97" s="1"/>
  <c r="AA133" i="97"/>
  <c r="AB133" i="97" s="1"/>
  <c r="AA54" i="97"/>
  <c r="AB54" i="97" s="1"/>
  <c r="D26" i="109" l="1"/>
  <c r="D28" i="109"/>
  <c r="E28" i="109" s="1"/>
  <c r="F28" i="109" s="1"/>
  <c r="AN166" i="91"/>
  <c r="AN167" i="91" s="1"/>
  <c r="AN165" i="91"/>
  <c r="AM82" i="91"/>
  <c r="AM162" i="91" s="1"/>
  <c r="AA82" i="91"/>
  <c r="AB162" i="91"/>
  <c r="AC162" i="91" s="1"/>
  <c r="D16" i="92"/>
  <c r="E16" i="92" s="1"/>
  <c r="F16" i="92" s="1"/>
  <c r="D18" i="92"/>
  <c r="B73" i="98"/>
  <c r="C18" i="92"/>
  <c r="E26" i="109" l="1"/>
  <c r="E18" i="92"/>
  <c r="F18" i="92" s="1"/>
  <c r="D72" i="98"/>
  <c r="E72" i="98" s="1"/>
  <c r="F72" i="98" s="1"/>
  <c r="D73" i="98"/>
  <c r="E73" i="98" s="1"/>
  <c r="F73" i="98" s="1"/>
  <c r="F26" i="109" l="1"/>
  <c r="X120" i="88"/>
  <c r="K120" i="88"/>
  <c r="T108" i="88"/>
  <c r="S108" i="88"/>
  <c r="K108" i="88"/>
  <c r="K143" i="88"/>
  <c r="L143" i="88" s="1"/>
  <c r="S64" i="96"/>
  <c r="S65" i="96" s="1"/>
  <c r="S56" i="96"/>
  <c r="T26" i="96"/>
  <c r="S26" i="96"/>
  <c r="K26" i="96"/>
  <c r="S25" i="96"/>
  <c r="S24" i="96"/>
  <c r="T21" i="96"/>
  <c r="K21" i="96"/>
  <c r="K22" i="96" s="1"/>
  <c r="S20" i="96"/>
  <c r="T17" i="96"/>
  <c r="S17" i="96"/>
  <c r="K17" i="96"/>
  <c r="S16" i="96"/>
  <c r="S15" i="96"/>
  <c r="M14" i="96"/>
  <c r="M10" i="96"/>
  <c r="K158" i="88"/>
  <c r="W158" i="88" s="1"/>
  <c r="Y158" i="88" s="1"/>
  <c r="Z158" i="88" s="1"/>
  <c r="AM158" i="88" s="1"/>
  <c r="X140" i="88"/>
  <c r="K140" i="88"/>
  <c r="K100" i="88"/>
  <c r="K101" i="88"/>
  <c r="K102" i="88"/>
  <c r="K103" i="88"/>
  <c r="K104" i="88"/>
  <c r="K105" i="88"/>
  <c r="K106" i="88"/>
  <c r="K107" i="88"/>
  <c r="K33" i="96" l="1"/>
  <c r="K34" i="96"/>
  <c r="T105" i="96"/>
  <c r="S33" i="96"/>
  <c r="S34" i="96"/>
  <c r="K23" i="96"/>
  <c r="K19" i="96"/>
  <c r="K105" i="96"/>
  <c r="S19" i="96"/>
  <c r="S23" i="96"/>
  <c r="M83" i="96"/>
  <c r="M84" i="96"/>
  <c r="M85" i="96"/>
  <c r="M86" i="96"/>
  <c r="M72" i="96"/>
  <c r="M73" i="96"/>
  <c r="M75" i="96"/>
  <c r="M74" i="96"/>
  <c r="M71" i="96"/>
  <c r="M76" i="96"/>
  <c r="M77" i="96"/>
  <c r="M60" i="96"/>
  <c r="AA60" i="96" s="1"/>
  <c r="M67" i="96"/>
  <c r="M68" i="96"/>
  <c r="M66" i="96"/>
  <c r="M49" i="96"/>
  <c r="N49" i="96" s="1"/>
  <c r="M57" i="96"/>
  <c r="M37" i="96"/>
  <c r="M52" i="96"/>
  <c r="AA37" i="96"/>
  <c r="M102" i="96"/>
  <c r="AA102" i="96" s="1"/>
  <c r="X26" i="96"/>
  <c r="K109" i="88"/>
  <c r="M100" i="96"/>
  <c r="AA100" i="96" s="1"/>
  <c r="M99" i="96"/>
  <c r="M101" i="96"/>
  <c r="AA101" i="96" s="1"/>
  <c r="M38" i="96"/>
  <c r="N38" i="96" s="1"/>
  <c r="M82" i="96"/>
  <c r="M81" i="96"/>
  <c r="M59" i="96"/>
  <c r="M79" i="96"/>
  <c r="M80" i="96"/>
  <c r="M39" i="96"/>
  <c r="N39" i="96" s="1"/>
  <c r="M78" i="96"/>
  <c r="M50" i="96"/>
  <c r="N50" i="96" s="1"/>
  <c r="M51" i="96"/>
  <c r="M93" i="96"/>
  <c r="M119" i="96"/>
  <c r="M70" i="96"/>
  <c r="M69" i="96"/>
  <c r="M58" i="96"/>
  <c r="AA58" i="96" s="1"/>
  <c r="M92" i="96"/>
  <c r="M120" i="96"/>
  <c r="N120" i="96" s="1"/>
  <c r="M61" i="96"/>
  <c r="N61" i="96" s="1"/>
  <c r="M91" i="96"/>
  <c r="M94" i="96"/>
  <c r="AA94" i="96" s="1"/>
  <c r="M43" i="96"/>
  <c r="M44" i="96"/>
  <c r="L26" i="96"/>
  <c r="M28" i="96"/>
  <c r="M31" i="96"/>
  <c r="M32" i="96"/>
  <c r="M30" i="96"/>
  <c r="M29" i="96"/>
  <c r="M18" i="96"/>
  <c r="M27" i="96"/>
  <c r="L17" i="96"/>
  <c r="L120" i="88"/>
  <c r="V143" i="88"/>
  <c r="W143" i="88" s="1"/>
  <c r="L108" i="88"/>
  <c r="W108" i="88"/>
  <c r="AB108" i="88" s="1"/>
  <c r="X108" i="88"/>
  <c r="X143" i="88"/>
  <c r="V21" i="96"/>
  <c r="X21" i="96"/>
  <c r="X22" i="96" s="1"/>
  <c r="L21" i="96"/>
  <c r="L22" i="96" s="1"/>
  <c r="AB12" i="96"/>
  <c r="X17" i="96"/>
  <c r="L158" i="88"/>
  <c r="AB158" i="88"/>
  <c r="W140" i="88"/>
  <c r="AB140" i="88" s="1"/>
  <c r="L140" i="88"/>
  <c r="X97" i="88"/>
  <c r="K97" i="88"/>
  <c r="K126" i="88"/>
  <c r="K136" i="88"/>
  <c r="L136" i="88" s="1"/>
  <c r="L34" i="96" l="1"/>
  <c r="L33" i="96"/>
  <c r="M103" i="96"/>
  <c r="M104" i="96"/>
  <c r="L105" i="96"/>
  <c r="L23" i="96"/>
  <c r="L19" i="96"/>
  <c r="X105" i="96"/>
  <c r="X23" i="96"/>
  <c r="X19" i="96"/>
  <c r="M45" i="96"/>
  <c r="AA45" i="96" s="1"/>
  <c r="M46" i="96"/>
  <c r="AA46" i="96" s="1"/>
  <c r="X34" i="96"/>
  <c r="X33" i="96"/>
  <c r="M95" i="96"/>
  <c r="AA95" i="96" s="1"/>
  <c r="M96" i="96"/>
  <c r="AA96" i="96" s="1"/>
  <c r="M19" i="96"/>
  <c r="N37" i="96"/>
  <c r="M41" i="96"/>
  <c r="AA41" i="96" s="1"/>
  <c r="M40" i="96"/>
  <c r="AA40" i="96" s="1"/>
  <c r="AA49" i="96"/>
  <c r="M54" i="96"/>
  <c r="AA54" i="96" s="1"/>
  <c r="M53" i="96"/>
  <c r="AA53" i="96" s="1"/>
  <c r="N86" i="96"/>
  <c r="AA86" i="96"/>
  <c r="N84" i="96"/>
  <c r="AA84" i="96"/>
  <c r="N60" i="96"/>
  <c r="N85" i="96"/>
  <c r="AA85" i="96"/>
  <c r="N83" i="96"/>
  <c r="AA83" i="96"/>
  <c r="N75" i="96"/>
  <c r="AA75" i="96"/>
  <c r="N76" i="96"/>
  <c r="AA76" i="96"/>
  <c r="N74" i="96"/>
  <c r="AA74" i="96"/>
  <c r="N73" i="96"/>
  <c r="AA73" i="96"/>
  <c r="AA77" i="96"/>
  <c r="N77" i="96"/>
  <c r="AA71" i="96"/>
  <c r="N71" i="96"/>
  <c r="N72" i="96"/>
  <c r="AA72" i="96"/>
  <c r="N68" i="96"/>
  <c r="AA68" i="96"/>
  <c r="AA66" i="96"/>
  <c r="N66" i="96"/>
  <c r="N67" i="96"/>
  <c r="AA67" i="96"/>
  <c r="N57" i="96"/>
  <c r="AA57" i="96"/>
  <c r="N52" i="96"/>
  <c r="AA52" i="96"/>
  <c r="N102" i="96"/>
  <c r="M87" i="96"/>
  <c r="M88" i="96"/>
  <c r="N92" i="96"/>
  <c r="AA92" i="96"/>
  <c r="AA103" i="96"/>
  <c r="AA104" i="96"/>
  <c r="AA99" i="96"/>
  <c r="N93" i="96"/>
  <c r="AA93" i="96"/>
  <c r="AA91" i="96"/>
  <c r="V22" i="96"/>
  <c r="AC21" i="96" s="1"/>
  <c r="V105" i="96"/>
  <c r="N101" i="96"/>
  <c r="N99" i="96"/>
  <c r="N100" i="96"/>
  <c r="AA38" i="96"/>
  <c r="N82" i="96"/>
  <c r="AA82" i="96"/>
  <c r="N78" i="96"/>
  <c r="AA78" i="96"/>
  <c r="N81" i="96"/>
  <c r="AA81" i="96"/>
  <c r="N80" i="96"/>
  <c r="AA80" i="96"/>
  <c r="N79" i="96"/>
  <c r="AA79" i="96"/>
  <c r="AA39" i="96"/>
  <c r="AA50" i="96"/>
  <c r="AA59" i="96"/>
  <c r="N59" i="96"/>
  <c r="N51" i="96"/>
  <c r="AA51" i="96"/>
  <c r="N119" i="96"/>
  <c r="AA119" i="96"/>
  <c r="V34" i="96"/>
  <c r="V33" i="96"/>
  <c r="AC26" i="96" s="1"/>
  <c r="V23" i="96"/>
  <c r="V19" i="96"/>
  <c r="AC17" i="96" s="1"/>
  <c r="N70" i="96"/>
  <c r="AA70" i="96"/>
  <c r="N69" i="96"/>
  <c r="AA69" i="96"/>
  <c r="N58" i="96"/>
  <c r="AA61" i="96"/>
  <c r="M62" i="96"/>
  <c r="AA62" i="96" s="1"/>
  <c r="M63" i="96"/>
  <c r="N94" i="96"/>
  <c r="N91" i="96"/>
  <c r="N44" i="96"/>
  <c r="AA44" i="96"/>
  <c r="N43" i="96"/>
  <c r="AA43" i="96"/>
  <c r="AA18" i="96"/>
  <c r="N29" i="96"/>
  <c r="AA29" i="96"/>
  <c r="N30" i="96"/>
  <c r="AA30" i="96"/>
  <c r="N32" i="96"/>
  <c r="AA32" i="96"/>
  <c r="N31" i="96"/>
  <c r="AA31" i="96"/>
  <c r="N28" i="96"/>
  <c r="AA28" i="96"/>
  <c r="N18" i="96"/>
  <c r="N27" i="96"/>
  <c r="AA27" i="96"/>
  <c r="N17" i="96"/>
  <c r="W120" i="88"/>
  <c r="Y108" i="88"/>
  <c r="Z108" i="88" s="1"/>
  <c r="AM108" i="88" s="1"/>
  <c r="Y143" i="88"/>
  <c r="Z143" i="88" s="1"/>
  <c r="AM143" i="88" s="1"/>
  <c r="AB143" i="88"/>
  <c r="W21" i="96"/>
  <c r="W17" i="96"/>
  <c r="W26" i="96"/>
  <c r="M21" i="96"/>
  <c r="M22" i="96" s="1"/>
  <c r="M26" i="96"/>
  <c r="Y140" i="88"/>
  <c r="Z140" i="88" s="1"/>
  <c r="AM140" i="88" s="1"/>
  <c r="L97" i="88"/>
  <c r="W136" i="88"/>
  <c r="X136" i="88"/>
  <c r="N54" i="96" l="1"/>
  <c r="M105" i="96"/>
  <c r="M23" i="96"/>
  <c r="N19" i="96"/>
  <c r="N45" i="96"/>
  <c r="N46" i="96"/>
  <c r="N103" i="96"/>
  <c r="N104" i="96"/>
  <c r="N41" i="96"/>
  <c r="N40" i="96"/>
  <c r="N96" i="96"/>
  <c r="N95" i="96"/>
  <c r="N53" i="96"/>
  <c r="M34" i="96"/>
  <c r="M33" i="96"/>
  <c r="N88" i="96"/>
  <c r="W22" i="96"/>
  <c r="W105" i="96"/>
  <c r="N87" i="96"/>
  <c r="W19" i="96"/>
  <c r="W23" i="96"/>
  <c r="W34" i="96"/>
  <c r="W33" i="96"/>
  <c r="N62" i="96"/>
  <c r="AB21" i="96"/>
  <c r="N63" i="96"/>
  <c r="AC18" i="96"/>
  <c r="Y21" i="96"/>
  <c r="AC31" i="96"/>
  <c r="AC32" i="96"/>
  <c r="AC28" i="96"/>
  <c r="AC29" i="96"/>
  <c r="AC30" i="96"/>
  <c r="AC27" i="96"/>
  <c r="AB120" i="88"/>
  <c r="Y120" i="88"/>
  <c r="Z120" i="88" s="1"/>
  <c r="AM120" i="88" s="1"/>
  <c r="N21" i="96"/>
  <c r="Y17" i="96"/>
  <c r="AB17" i="96"/>
  <c r="Y26" i="96"/>
  <c r="Z26" i="96" s="1"/>
  <c r="AM26" i="96" s="1"/>
  <c r="AB26" i="96"/>
  <c r="N26" i="96"/>
  <c r="W97" i="88"/>
  <c r="AB97" i="88" s="1"/>
  <c r="AD97" i="88"/>
  <c r="AB136" i="88"/>
  <c r="Y136" i="88"/>
  <c r="Z136" i="88" s="1"/>
  <c r="AM136" i="88" s="1"/>
  <c r="N22" i="96" l="1"/>
  <c r="N23" i="96"/>
  <c r="N34" i="96"/>
  <c r="N33" i="96"/>
  <c r="N105" i="96"/>
  <c r="Y105" i="96"/>
  <c r="Z21" i="96"/>
  <c r="Z17" i="96"/>
  <c r="Z33" i="96"/>
  <c r="Z34" i="96"/>
  <c r="Z23" i="96"/>
  <c r="AA26" i="96"/>
  <c r="AA63" i="96"/>
  <c r="Y97" i="88"/>
  <c r="Z97" i="88" s="1"/>
  <c r="AM97" i="88" s="1"/>
  <c r="X194" i="88"/>
  <c r="K194" i="88"/>
  <c r="L194" i="88" s="1"/>
  <c r="T203" i="88"/>
  <c r="S203" i="88"/>
  <c r="K203" i="88"/>
  <c r="T202" i="88"/>
  <c r="S202" i="88"/>
  <c r="K202" i="88"/>
  <c r="L202" i="88" s="1"/>
  <c r="T201" i="88"/>
  <c r="S201" i="88"/>
  <c r="K201" i="88"/>
  <c r="S200" i="88"/>
  <c r="S199" i="88"/>
  <c r="K197" i="88"/>
  <c r="K196" i="88"/>
  <c r="K195" i="88"/>
  <c r="X193" i="88"/>
  <c r="K193" i="88"/>
  <c r="X192" i="88"/>
  <c r="K192" i="88"/>
  <c r="S191" i="88"/>
  <c r="S190" i="88"/>
  <c r="X188" i="88"/>
  <c r="K188" i="88"/>
  <c r="X187" i="88"/>
  <c r="K187" i="88"/>
  <c r="K186" i="88"/>
  <c r="L186" i="88" s="1"/>
  <c r="X185" i="88"/>
  <c r="K185" i="88"/>
  <c r="K184" i="88"/>
  <c r="L184" i="88" s="1"/>
  <c r="K183" i="88"/>
  <c r="L183" i="88" s="1"/>
  <c r="X182" i="88"/>
  <c r="K182" i="88"/>
  <c r="L182" i="88" s="1"/>
  <c r="K181" i="88"/>
  <c r="S180" i="88"/>
  <c r="X178" i="88"/>
  <c r="X179" i="88" s="1"/>
  <c r="K178" i="88"/>
  <c r="K179" i="88" s="1"/>
  <c r="S177" i="88"/>
  <c r="K175" i="88"/>
  <c r="K174" i="88"/>
  <c r="X173" i="88"/>
  <c r="K173" i="88"/>
  <c r="L173" i="88" s="1"/>
  <c r="K172" i="88"/>
  <c r="X171" i="88"/>
  <c r="K171" i="88"/>
  <c r="L171" i="88" s="1"/>
  <c r="K170" i="88"/>
  <c r="S169" i="88"/>
  <c r="S168" i="88"/>
  <c r="K166" i="88"/>
  <c r="L166" i="88" s="1"/>
  <c r="K165" i="88"/>
  <c r="K164" i="88"/>
  <c r="K163" i="88"/>
  <c r="K162" i="88"/>
  <c r="K161" i="88"/>
  <c r="L161" i="88" s="1"/>
  <c r="K160" i="88"/>
  <c r="L160" i="88" s="1"/>
  <c r="K159" i="88"/>
  <c r="K157" i="88"/>
  <c r="X156" i="88"/>
  <c r="K156" i="88"/>
  <c r="K155" i="88"/>
  <c r="S154" i="88"/>
  <c r="S153" i="88"/>
  <c r="X151" i="88"/>
  <c r="K151" i="88"/>
  <c r="X150" i="88"/>
  <c r="K150" i="88"/>
  <c r="K152" i="88" s="1"/>
  <c r="S148" i="88"/>
  <c r="S147" i="88"/>
  <c r="K141" i="88"/>
  <c r="K139" i="88"/>
  <c r="K128" i="88"/>
  <c r="L128" i="88" s="1"/>
  <c r="K127" i="88"/>
  <c r="T107" i="88"/>
  <c r="S107" i="88"/>
  <c r="T106" i="88"/>
  <c r="S106" i="88"/>
  <c r="X106" i="88" s="1"/>
  <c r="L106" i="88"/>
  <c r="T105" i="88"/>
  <c r="S105" i="88"/>
  <c r="L105" i="88"/>
  <c r="T96" i="88"/>
  <c r="S96" i="88"/>
  <c r="X96" i="88" s="1"/>
  <c r="K96" i="88"/>
  <c r="L96" i="88" s="1"/>
  <c r="K129" i="88" l="1"/>
  <c r="K167" i="88"/>
  <c r="K204" i="88"/>
  <c r="Z19" i="96"/>
  <c r="Z105" i="96"/>
  <c r="C15" i="92"/>
  <c r="C24" i="109"/>
  <c r="AA21" i="96"/>
  <c r="AM21" i="96"/>
  <c r="AA17" i="96"/>
  <c r="AA105" i="96" s="1"/>
  <c r="D15" i="92" s="1"/>
  <c r="E15" i="92" s="1"/>
  <c r="F15" i="92" s="1"/>
  <c r="AM17" i="96"/>
  <c r="AA33" i="96"/>
  <c r="AA34" i="96"/>
  <c r="AA19" i="96"/>
  <c r="AA23" i="96"/>
  <c r="K198" i="88"/>
  <c r="L185" i="88"/>
  <c r="K189" i="88"/>
  <c r="K176" i="88"/>
  <c r="Z22" i="96"/>
  <c r="L127" i="88"/>
  <c r="X201" i="88"/>
  <c r="L151" i="88"/>
  <c r="L162" i="88"/>
  <c r="L181" i="88"/>
  <c r="L149" i="88"/>
  <c r="W195" i="88"/>
  <c r="AB195" i="88" s="1"/>
  <c r="V194" i="88"/>
  <c r="L201" i="88"/>
  <c r="X202" i="88"/>
  <c r="L203" i="88"/>
  <c r="X203" i="88"/>
  <c r="L192" i="88"/>
  <c r="X195" i="88"/>
  <c r="L196" i="88"/>
  <c r="X197" i="88"/>
  <c r="L193" i="88"/>
  <c r="L195" i="88"/>
  <c r="L197" i="88"/>
  <c r="X196" i="88"/>
  <c r="W165" i="88"/>
  <c r="X184" i="88"/>
  <c r="V185" i="88"/>
  <c r="L187" i="88"/>
  <c r="X186" i="88"/>
  <c r="L188" i="88"/>
  <c r="V188" i="88"/>
  <c r="V186" i="88"/>
  <c r="X183" i="88"/>
  <c r="V181" i="88"/>
  <c r="X181" i="88"/>
  <c r="X165" i="88"/>
  <c r="V160" i="88"/>
  <c r="W160" i="88" s="1"/>
  <c r="AB160" i="88" s="1"/>
  <c r="L178" i="88"/>
  <c r="L179" i="88" s="1"/>
  <c r="V151" i="88"/>
  <c r="L174" i="88"/>
  <c r="L175" i="88"/>
  <c r="X175" i="88"/>
  <c r="V175" i="88"/>
  <c r="W175" i="88" s="1"/>
  <c r="V174" i="88"/>
  <c r="V176" i="88" s="1"/>
  <c r="X174" i="88"/>
  <c r="L170" i="88"/>
  <c r="L172" i="88"/>
  <c r="X172" i="88"/>
  <c r="X170" i="88"/>
  <c r="W166" i="88"/>
  <c r="AB166" i="88" s="1"/>
  <c r="L165" i="88"/>
  <c r="X166" i="88"/>
  <c r="V163" i="88"/>
  <c r="X163" i="88"/>
  <c r="L155" i="88"/>
  <c r="L157" i="88"/>
  <c r="X162" i="88"/>
  <c r="L159" i="88"/>
  <c r="X160" i="88"/>
  <c r="L164" i="88"/>
  <c r="L156" i="88"/>
  <c r="V162" i="88"/>
  <c r="W150" i="88"/>
  <c r="AB150" i="88" s="1"/>
  <c r="L163" i="88"/>
  <c r="X155" i="88"/>
  <c r="V157" i="88"/>
  <c r="X157" i="88"/>
  <c r="X164" i="88"/>
  <c r="V164" i="88"/>
  <c r="W164" i="88" s="1"/>
  <c r="AB164" i="88" s="1"/>
  <c r="V161" i="88"/>
  <c r="X161" i="88"/>
  <c r="V159" i="88"/>
  <c r="X159" i="88"/>
  <c r="W127" i="88"/>
  <c r="AB127" i="88" s="1"/>
  <c r="L150" i="88"/>
  <c r="X149" i="88"/>
  <c r="X152" i="88" s="1"/>
  <c r="L141" i="88"/>
  <c r="V141" i="88"/>
  <c r="X141" i="88"/>
  <c r="L139" i="88"/>
  <c r="V139" i="88"/>
  <c r="X139" i="88"/>
  <c r="X127" i="88"/>
  <c r="V128" i="88"/>
  <c r="X128" i="88"/>
  <c r="W105" i="88"/>
  <c r="AB105" i="88" s="1"/>
  <c r="L107" i="88"/>
  <c r="X107" i="88"/>
  <c r="X105" i="88"/>
  <c r="W96" i="88"/>
  <c r="K83" i="88"/>
  <c r="L83" i="88" s="1"/>
  <c r="K82" i="88"/>
  <c r="L82" i="88" s="1"/>
  <c r="K81" i="88"/>
  <c r="L81" i="88" s="1"/>
  <c r="K80" i="88"/>
  <c r="L80" i="88" s="1"/>
  <c r="K79" i="88"/>
  <c r="L79" i="88" s="1"/>
  <c r="K78" i="88"/>
  <c r="L78" i="88" s="1"/>
  <c r="K77" i="88"/>
  <c r="L77" i="88" s="1"/>
  <c r="X76" i="88"/>
  <c r="K76" i="88"/>
  <c r="L76" i="88" s="1"/>
  <c r="K75" i="88"/>
  <c r="L75" i="88" s="1"/>
  <c r="K74" i="88"/>
  <c r="L74" i="88" s="1"/>
  <c r="K73" i="88"/>
  <c r="L73" i="88" s="1"/>
  <c r="K72" i="88"/>
  <c r="L72" i="88" s="1"/>
  <c r="X71" i="88"/>
  <c r="K71" i="88"/>
  <c r="L71" i="88" s="1"/>
  <c r="K70" i="88"/>
  <c r="L70" i="88" s="1"/>
  <c r="K69" i="88"/>
  <c r="L69" i="88" s="1"/>
  <c r="K68" i="88"/>
  <c r="L68" i="88" s="1"/>
  <c r="K67" i="88"/>
  <c r="L67" i="88" s="1"/>
  <c r="K66" i="88"/>
  <c r="L66" i="88" s="1"/>
  <c r="K65" i="88"/>
  <c r="L65" i="88" s="1"/>
  <c r="K64" i="88"/>
  <c r="L64" i="88" s="1"/>
  <c r="K63" i="88"/>
  <c r="L63" i="88" s="1"/>
  <c r="K62" i="88"/>
  <c r="L62" i="88" s="1"/>
  <c r="K61" i="88"/>
  <c r="L61" i="88" s="1"/>
  <c r="K60" i="88"/>
  <c r="L60" i="88" s="1"/>
  <c r="K59" i="88"/>
  <c r="L59" i="88" s="1"/>
  <c r="K58" i="88"/>
  <c r="L58" i="88" s="1"/>
  <c r="K57" i="88"/>
  <c r="L57" i="88" s="1"/>
  <c r="K56" i="88"/>
  <c r="L56" i="88" s="1"/>
  <c r="K55" i="88"/>
  <c r="L55" i="88" s="1"/>
  <c r="K54" i="88"/>
  <c r="L54" i="88" s="1"/>
  <c r="K53" i="88"/>
  <c r="L53" i="88" s="1"/>
  <c r="X52" i="88"/>
  <c r="K52" i="88"/>
  <c r="L52" i="88" s="1"/>
  <c r="K51" i="88"/>
  <c r="L51" i="88" s="1"/>
  <c r="X50" i="88"/>
  <c r="K50" i="88"/>
  <c r="L50" i="88" s="1"/>
  <c r="K45" i="88"/>
  <c r="L45" i="88" s="1"/>
  <c r="K44" i="88"/>
  <c r="K43" i="88"/>
  <c r="K42" i="88"/>
  <c r="L42" i="88" s="1"/>
  <c r="K41" i="88"/>
  <c r="L41" i="88" s="1"/>
  <c r="K40" i="88"/>
  <c r="L40" i="88" s="1"/>
  <c r="L39" i="88"/>
  <c r="K38" i="88"/>
  <c r="K37" i="88"/>
  <c r="L37" i="88" s="1"/>
  <c r="K36" i="88"/>
  <c r="L36" i="88" s="1"/>
  <c r="X35" i="88"/>
  <c r="K35" i="88"/>
  <c r="X34" i="88"/>
  <c r="K34" i="88"/>
  <c r="L34" i="88" s="1"/>
  <c r="K33" i="88"/>
  <c r="K32" i="88"/>
  <c r="K31" i="88"/>
  <c r="L31" i="88" s="1"/>
  <c r="K30" i="88"/>
  <c r="L30" i="88" s="1"/>
  <c r="K29" i="88"/>
  <c r="X21" i="88"/>
  <c r="K21" i="88"/>
  <c r="K20" i="88"/>
  <c r="D24" i="109" l="1"/>
  <c r="E24" i="109" s="1"/>
  <c r="F24" i="109" s="1"/>
  <c r="AN109" i="96"/>
  <c r="AN110" i="96" s="1"/>
  <c r="AN108" i="96"/>
  <c r="V167" i="88"/>
  <c r="AM105" i="96"/>
  <c r="AA22" i="96"/>
  <c r="L198" i="88"/>
  <c r="AB105" i="96"/>
  <c r="AC105" i="96" s="1"/>
  <c r="X204" i="88"/>
  <c r="AC174" i="88"/>
  <c r="L204" i="88"/>
  <c r="W194" i="88"/>
  <c r="AB194" i="88" s="1"/>
  <c r="X189" i="88"/>
  <c r="L152" i="88"/>
  <c r="L167" i="88"/>
  <c r="V189" i="88"/>
  <c r="AC188" i="88" s="1"/>
  <c r="X198" i="88"/>
  <c r="L189" i="88"/>
  <c r="L176" i="88"/>
  <c r="X176" i="88"/>
  <c r="X167" i="88"/>
  <c r="AC203" i="88"/>
  <c r="W202" i="88"/>
  <c r="AB202" i="88" s="1"/>
  <c r="W163" i="88"/>
  <c r="AB163" i="88" s="1"/>
  <c r="V198" i="88"/>
  <c r="AC195" i="88" s="1"/>
  <c r="V152" i="88"/>
  <c r="AC151" i="88" s="1"/>
  <c r="L20" i="88"/>
  <c r="V179" i="88"/>
  <c r="W201" i="88"/>
  <c r="W151" i="88"/>
  <c r="Y151" i="88" s="1"/>
  <c r="Z151" i="88" s="1"/>
  <c r="AM151" i="88" s="1"/>
  <c r="Y195" i="88"/>
  <c r="Z195" i="88" s="1"/>
  <c r="AM195" i="88" s="1"/>
  <c r="W203" i="88"/>
  <c r="AB203" i="88" s="1"/>
  <c r="W193" i="88"/>
  <c r="AB193" i="88" s="1"/>
  <c r="W192" i="88"/>
  <c r="W197" i="88"/>
  <c r="Y197" i="88" s="1"/>
  <c r="Z197" i="88" s="1"/>
  <c r="AM197" i="88" s="1"/>
  <c r="W196" i="88"/>
  <c r="AB196" i="88" s="1"/>
  <c r="W184" i="88"/>
  <c r="AB184" i="88" s="1"/>
  <c r="W185" i="88"/>
  <c r="AB185" i="88" s="1"/>
  <c r="W186" i="88"/>
  <c r="Y186" i="88" s="1"/>
  <c r="Z186" i="88" s="1"/>
  <c r="AM186" i="88" s="1"/>
  <c r="W182" i="88"/>
  <c r="Y182" i="88" s="1"/>
  <c r="Z182" i="88" s="1"/>
  <c r="AM182" i="88" s="1"/>
  <c r="W181" i="88"/>
  <c r="W187" i="88"/>
  <c r="W188" i="88"/>
  <c r="Y188" i="88" s="1"/>
  <c r="Z188" i="88" s="1"/>
  <c r="AM188" i="88" s="1"/>
  <c r="W183" i="88"/>
  <c r="AB183" i="88" s="1"/>
  <c r="W178" i="88"/>
  <c r="W179" i="88" s="1"/>
  <c r="W170" i="88"/>
  <c r="W174" i="88"/>
  <c r="Y174" i="88" s="1"/>
  <c r="Z174" i="88" s="1"/>
  <c r="AM174" i="88" s="1"/>
  <c r="AB175" i="88"/>
  <c r="W171" i="88"/>
  <c r="Y171" i="88" s="1"/>
  <c r="Z171" i="88" s="1"/>
  <c r="AM171" i="88" s="1"/>
  <c r="W172" i="88"/>
  <c r="AB172" i="88" s="1"/>
  <c r="W173" i="88"/>
  <c r="Y173" i="88" s="1"/>
  <c r="Y165" i="88"/>
  <c r="Z165" i="88" s="1"/>
  <c r="AM165" i="88" s="1"/>
  <c r="AB165" i="88"/>
  <c r="W155" i="88"/>
  <c r="W161" i="88"/>
  <c r="AB161" i="88" s="1"/>
  <c r="W162" i="88"/>
  <c r="AB162" i="88" s="1"/>
  <c r="Y166" i="88"/>
  <c r="Z166" i="88" s="1"/>
  <c r="AM166" i="88" s="1"/>
  <c r="W159" i="88"/>
  <c r="Y164" i="88"/>
  <c r="Z164" i="88" s="1"/>
  <c r="AM164" i="88" s="1"/>
  <c r="W157" i="88"/>
  <c r="W156" i="88"/>
  <c r="AB156" i="88" s="1"/>
  <c r="Y160" i="88"/>
  <c r="Z160" i="88" s="1"/>
  <c r="AM160" i="88" s="1"/>
  <c r="W149" i="88"/>
  <c r="Y150" i="88"/>
  <c r="Z150" i="88" s="1"/>
  <c r="AM150" i="88" s="1"/>
  <c r="W141" i="88"/>
  <c r="AB141" i="88" s="1"/>
  <c r="W139" i="88"/>
  <c r="AB139" i="88" s="1"/>
  <c r="Y127" i="88"/>
  <c r="Z127" i="88" s="1"/>
  <c r="AM127" i="88" s="1"/>
  <c r="W128" i="88"/>
  <c r="AB128" i="88" s="1"/>
  <c r="Y105" i="88"/>
  <c r="Z105" i="88" s="1"/>
  <c r="AM105" i="88" s="1"/>
  <c r="W106" i="88"/>
  <c r="W107" i="88"/>
  <c r="AB107" i="88" s="1"/>
  <c r="Y96" i="88"/>
  <c r="Z96" i="88" s="1"/>
  <c r="AM96" i="88" s="1"/>
  <c r="AB96" i="88"/>
  <c r="AD96" i="88"/>
  <c r="X83" i="88"/>
  <c r="X56" i="88"/>
  <c r="X55" i="88"/>
  <c r="X81" i="88"/>
  <c r="X82" i="88"/>
  <c r="X67" i="88"/>
  <c r="X54" i="88"/>
  <c r="X53" i="88"/>
  <c r="X62" i="88"/>
  <c r="X63" i="88"/>
  <c r="X70" i="88"/>
  <c r="X72" i="88"/>
  <c r="X74" i="88"/>
  <c r="X79" i="88"/>
  <c r="X57" i="88"/>
  <c r="X73" i="88"/>
  <c r="X68" i="88"/>
  <c r="X59" i="88"/>
  <c r="X80" i="88"/>
  <c r="X78" i="88"/>
  <c r="X51" i="88"/>
  <c r="X77" i="88"/>
  <c r="X75" i="88"/>
  <c r="X69" i="88"/>
  <c r="X66" i="88"/>
  <c r="X65" i="88"/>
  <c r="X64" i="88"/>
  <c r="X61" i="88"/>
  <c r="X60" i="88"/>
  <c r="X58" i="88"/>
  <c r="W37" i="88"/>
  <c r="AB37" i="88" s="1"/>
  <c r="W38" i="88"/>
  <c r="AB38" i="88" s="1"/>
  <c r="X43" i="88"/>
  <c r="X37" i="88"/>
  <c r="X38" i="88"/>
  <c r="X36" i="88"/>
  <c r="W45" i="88"/>
  <c r="X41" i="88"/>
  <c r="W31" i="88"/>
  <c r="AB31" i="88" s="1"/>
  <c r="X40" i="88"/>
  <c r="X42" i="88"/>
  <c r="L43" i="88"/>
  <c r="X45" i="88"/>
  <c r="X31" i="88"/>
  <c r="X32" i="88"/>
  <c r="L32" i="88"/>
  <c r="L38" i="88"/>
  <c r="L44" i="88"/>
  <c r="L29" i="88"/>
  <c r="L33" i="88"/>
  <c r="L35" i="88"/>
  <c r="X44" i="88"/>
  <c r="X39" i="88"/>
  <c r="X33" i="88"/>
  <c r="X30" i="88"/>
  <c r="X29" i="88"/>
  <c r="L21" i="88"/>
  <c r="X20" i="88"/>
  <c r="W176" i="88" l="1"/>
  <c r="AC155" i="88"/>
  <c r="AC158" i="88"/>
  <c r="Y194" i="88"/>
  <c r="Z194" i="88" s="1"/>
  <c r="AM194" i="88" s="1"/>
  <c r="AC194" i="88"/>
  <c r="W204" i="88"/>
  <c r="Y202" i="88"/>
  <c r="Z202" i="88" s="1"/>
  <c r="AM202" i="88" s="1"/>
  <c r="AC202" i="88"/>
  <c r="AC201" i="88"/>
  <c r="Y149" i="88"/>
  <c r="Z149" i="88" s="1"/>
  <c r="AM149" i="88" s="1"/>
  <c r="W152" i="88"/>
  <c r="W167" i="88"/>
  <c r="Y163" i="88"/>
  <c r="Z163" i="88" s="1"/>
  <c r="AM163" i="88" s="1"/>
  <c r="W198" i="88"/>
  <c r="AB201" i="88"/>
  <c r="W189" i="88"/>
  <c r="Y155" i="88"/>
  <c r="Z155" i="88" s="1"/>
  <c r="AM155" i="88" s="1"/>
  <c r="Y187" i="88"/>
  <c r="Z187" i="88" s="1"/>
  <c r="AM187" i="88" s="1"/>
  <c r="Y201" i="88"/>
  <c r="Z201" i="88" s="1"/>
  <c r="AM201" i="88" s="1"/>
  <c r="Y192" i="88"/>
  <c r="Z192" i="88" s="1"/>
  <c r="AM192" i="88" s="1"/>
  <c r="AB151" i="88"/>
  <c r="Y181" i="88"/>
  <c r="Z181" i="88" s="1"/>
  <c r="AM181" i="88" s="1"/>
  <c r="AB157" i="88"/>
  <c r="AC181" i="88"/>
  <c r="AB182" i="88"/>
  <c r="W74" i="88"/>
  <c r="AB74" i="88" s="1"/>
  <c r="W81" i="88"/>
  <c r="AB81" i="88" s="1"/>
  <c r="W60" i="88"/>
  <c r="AB60" i="88" s="1"/>
  <c r="W70" i="88"/>
  <c r="AB70" i="88" s="1"/>
  <c r="W52" i="88"/>
  <c r="AB52" i="88" s="1"/>
  <c r="Y184" i="88"/>
  <c r="W58" i="88"/>
  <c r="AB58" i="88" s="1"/>
  <c r="W57" i="88"/>
  <c r="AB57" i="88" s="1"/>
  <c r="W75" i="88"/>
  <c r="AB75" i="88" s="1"/>
  <c r="AC75" i="88"/>
  <c r="W68" i="88"/>
  <c r="AB68" i="88" s="1"/>
  <c r="W55" i="88"/>
  <c r="AB55" i="88" s="1"/>
  <c r="W69" i="88"/>
  <c r="Y69" i="88" s="1"/>
  <c r="Z69" i="88" s="1"/>
  <c r="AM69" i="88" s="1"/>
  <c r="W62" i="88"/>
  <c r="AB62" i="88" s="1"/>
  <c r="W79" i="88"/>
  <c r="AB79" i="88" s="1"/>
  <c r="W50" i="88"/>
  <c r="AB50" i="88" s="1"/>
  <c r="W72" i="88"/>
  <c r="AB72" i="88" s="1"/>
  <c r="W56" i="88"/>
  <c r="AB56" i="88" s="1"/>
  <c r="W64" i="88"/>
  <c r="AB64" i="88" s="1"/>
  <c r="W54" i="88"/>
  <c r="AB54" i="88" s="1"/>
  <c r="W53" i="88"/>
  <c r="AB53" i="88" s="1"/>
  <c r="W71" i="88"/>
  <c r="Y71" i="88" s="1"/>
  <c r="Z71" i="88" s="1"/>
  <c r="AM71" i="88" s="1"/>
  <c r="W82" i="88"/>
  <c r="AB82" i="88" s="1"/>
  <c r="W61" i="88"/>
  <c r="AB61" i="88" s="1"/>
  <c r="W78" i="88"/>
  <c r="Y78" i="88" s="1"/>
  <c r="Z78" i="88" s="1"/>
  <c r="AM78" i="88" s="1"/>
  <c r="W77" i="88"/>
  <c r="AB77" i="88" s="1"/>
  <c r="W63" i="88"/>
  <c r="AB63" i="88" s="1"/>
  <c r="W76" i="88"/>
  <c r="Y76" i="88" s="1"/>
  <c r="Z76" i="88" s="1"/>
  <c r="AM76" i="88" s="1"/>
  <c r="Y203" i="88"/>
  <c r="Z203" i="88" s="1"/>
  <c r="AM203" i="88" s="1"/>
  <c r="W67" i="88"/>
  <c r="Y67" i="88" s="1"/>
  <c r="Z67" i="88" s="1"/>
  <c r="AM67" i="88" s="1"/>
  <c r="W83" i="88"/>
  <c r="AB83" i="88" s="1"/>
  <c r="W73" i="88"/>
  <c r="Y73" i="88" s="1"/>
  <c r="Z73" i="88" s="1"/>
  <c r="AM73" i="88" s="1"/>
  <c r="W80" i="88"/>
  <c r="AB80" i="88" s="1"/>
  <c r="W59" i="88"/>
  <c r="Y59" i="88" s="1"/>
  <c r="Z59" i="88" s="1"/>
  <c r="AM59" i="88" s="1"/>
  <c r="W66" i="88"/>
  <c r="Y66" i="88" s="1"/>
  <c r="Z66" i="88" s="1"/>
  <c r="AM66" i="88" s="1"/>
  <c r="W51" i="88"/>
  <c r="AB51" i="88" s="1"/>
  <c r="W65" i="88"/>
  <c r="AB65" i="88" s="1"/>
  <c r="AC197" i="88"/>
  <c r="AC196" i="88"/>
  <c r="Y193" i="88"/>
  <c r="Z193" i="88" s="1"/>
  <c r="AM193" i="88" s="1"/>
  <c r="AB155" i="88"/>
  <c r="AB173" i="88"/>
  <c r="Y185" i="88"/>
  <c r="Z185" i="88" s="1"/>
  <c r="AM185" i="88" s="1"/>
  <c r="AB192" i="88"/>
  <c r="AC192" i="88"/>
  <c r="AB188" i="88"/>
  <c r="Y183" i="88"/>
  <c r="Z183" i="88" s="1"/>
  <c r="AM183" i="88" s="1"/>
  <c r="Y196" i="88"/>
  <c r="AB197" i="88"/>
  <c r="AC193" i="88"/>
  <c r="AC187" i="88"/>
  <c r="AC182" i="88"/>
  <c r="AB186" i="88"/>
  <c r="AC186" i="88"/>
  <c r="AB181" i="88"/>
  <c r="Y170" i="88"/>
  <c r="Z170" i="88" s="1"/>
  <c r="AC183" i="88"/>
  <c r="AB187" i="88"/>
  <c r="AC184" i="88"/>
  <c r="AC185" i="88"/>
  <c r="Y172" i="88"/>
  <c r="Z172" i="88" s="1"/>
  <c r="AM172" i="88" s="1"/>
  <c r="AB178" i="88"/>
  <c r="AC178" i="88"/>
  <c r="Y178" i="88"/>
  <c r="Z178" i="88" s="1"/>
  <c r="AM178" i="88" s="1"/>
  <c r="Y175" i="88"/>
  <c r="Z175" i="88" s="1"/>
  <c r="AM175" i="88" s="1"/>
  <c r="AC171" i="88"/>
  <c r="AC172" i="88"/>
  <c r="AC170" i="88"/>
  <c r="AB170" i="88"/>
  <c r="AB174" i="88"/>
  <c r="AB171" i="88"/>
  <c r="AC173" i="88"/>
  <c r="AC175" i="88"/>
  <c r="AC164" i="88"/>
  <c r="AC162" i="88"/>
  <c r="AC157" i="88"/>
  <c r="AC159" i="88"/>
  <c r="AC149" i="88"/>
  <c r="AC161" i="88"/>
  <c r="AC163" i="88"/>
  <c r="Y156" i="88"/>
  <c r="Y161" i="88"/>
  <c r="Z161" i="88" s="1"/>
  <c r="AM161" i="88" s="1"/>
  <c r="Y162" i="88"/>
  <c r="Z162" i="88" s="1"/>
  <c r="AM162" i="88" s="1"/>
  <c r="AB159" i="88"/>
  <c r="Y159" i="88"/>
  <c r="Z159" i="88" s="1"/>
  <c r="AM159" i="88" s="1"/>
  <c r="AC160" i="88"/>
  <c r="AC165" i="88"/>
  <c r="Y157" i="88"/>
  <c r="Z157" i="88" s="1"/>
  <c r="AM157" i="88" s="1"/>
  <c r="AC166" i="88"/>
  <c r="AC156" i="88"/>
  <c r="AC150" i="88"/>
  <c r="Y141" i="88"/>
  <c r="Z141" i="88" s="1"/>
  <c r="AM141" i="88" s="1"/>
  <c r="AB149" i="88"/>
  <c r="Y139" i="88"/>
  <c r="Z139" i="88" s="1"/>
  <c r="AM139" i="88" s="1"/>
  <c r="Y128" i="88"/>
  <c r="Z128" i="88" s="1"/>
  <c r="AM128" i="88" s="1"/>
  <c r="Y107" i="88"/>
  <c r="Z107" i="88" s="1"/>
  <c r="AM107" i="88" s="1"/>
  <c r="AB106" i="88"/>
  <c r="Y106" i="88"/>
  <c r="Z106" i="88" s="1"/>
  <c r="AM106" i="88" s="1"/>
  <c r="AB45" i="88"/>
  <c r="Y45" i="88"/>
  <c r="Z45" i="88" s="1"/>
  <c r="AM45" i="88" s="1"/>
  <c r="Y37" i="88"/>
  <c r="Z37" i="88" s="1"/>
  <c r="AM37" i="88" s="1"/>
  <c r="W40" i="88"/>
  <c r="AB40" i="88" s="1"/>
  <c r="W33" i="88"/>
  <c r="AB33" i="88" s="1"/>
  <c r="W41" i="88"/>
  <c r="AB41" i="88" s="1"/>
  <c r="W43" i="88"/>
  <c r="AB43" i="88" s="1"/>
  <c r="W42" i="88"/>
  <c r="AB42" i="88" s="1"/>
  <c r="W39" i="88"/>
  <c r="Y39" i="88" s="1"/>
  <c r="Z39" i="88" s="1"/>
  <c r="AM39" i="88" s="1"/>
  <c r="W35" i="88"/>
  <c r="AB35" i="88" s="1"/>
  <c r="W32" i="88"/>
  <c r="AB32" i="88" s="1"/>
  <c r="W29" i="88"/>
  <c r="AB29" i="88" s="1"/>
  <c r="W30" i="88"/>
  <c r="AB30" i="88" s="1"/>
  <c r="W44" i="88"/>
  <c r="AB44" i="88" s="1"/>
  <c r="W34" i="88"/>
  <c r="Y34" i="88" s="1"/>
  <c r="Z34" i="88" s="1"/>
  <c r="AM34" i="88" s="1"/>
  <c r="W36" i="88"/>
  <c r="AB36" i="88" s="1"/>
  <c r="Y38" i="88"/>
  <c r="Z38" i="88" s="1"/>
  <c r="AM38" i="88" s="1"/>
  <c r="Y31" i="88"/>
  <c r="Z31" i="88" s="1"/>
  <c r="AM31" i="88" s="1"/>
  <c r="W21" i="88"/>
  <c r="Y21" i="88" s="1"/>
  <c r="Z21" i="88" s="1"/>
  <c r="AM21" i="88" s="1"/>
  <c r="W20" i="88"/>
  <c r="AB20" i="88" s="1"/>
  <c r="AM170" i="88" l="1"/>
  <c r="Z176" i="88"/>
  <c r="Z179" i="88"/>
  <c r="Z204" i="88"/>
  <c r="Z152" i="88"/>
  <c r="Z189" i="88"/>
  <c r="Z198" i="88"/>
  <c r="Z167" i="88"/>
  <c r="Y77" i="88"/>
  <c r="Z77" i="88" s="1"/>
  <c r="AM77" i="88" s="1"/>
  <c r="Y53" i="88"/>
  <c r="Z53" i="88" s="1"/>
  <c r="AM53" i="88" s="1"/>
  <c r="Y57" i="88"/>
  <c r="Z57" i="88" s="1"/>
  <c r="AM57" i="88" s="1"/>
  <c r="Y58" i="88"/>
  <c r="Z58" i="88" s="1"/>
  <c r="AM58" i="88" s="1"/>
  <c r="Y60" i="88"/>
  <c r="Z60" i="88" s="1"/>
  <c r="AM60" i="88" s="1"/>
  <c r="AB76" i="88"/>
  <c r="Y64" i="88"/>
  <c r="Z64" i="88" s="1"/>
  <c r="AM64" i="88" s="1"/>
  <c r="Y81" i="88"/>
  <c r="Z81" i="88" s="1"/>
  <c r="AM81" i="88" s="1"/>
  <c r="Y82" i="88"/>
  <c r="Z82" i="88" s="1"/>
  <c r="AM82" i="88" s="1"/>
  <c r="AB71" i="88"/>
  <c r="Y75" i="88"/>
  <c r="Z75" i="88" s="1"/>
  <c r="AM75" i="88" s="1"/>
  <c r="Y79" i="88"/>
  <c r="Z79" i="88" s="1"/>
  <c r="AM79" i="88" s="1"/>
  <c r="Y68" i="88"/>
  <c r="Z68" i="88" s="1"/>
  <c r="AM68" i="88" s="1"/>
  <c r="AB73" i="88"/>
  <c r="Y55" i="88"/>
  <c r="Z55" i="88" s="1"/>
  <c r="AM55" i="88" s="1"/>
  <c r="Y70" i="88"/>
  <c r="Z70" i="88" s="1"/>
  <c r="AM70" i="88" s="1"/>
  <c r="Y51" i="88"/>
  <c r="Z51" i="88" s="1"/>
  <c r="AM51" i="88" s="1"/>
  <c r="Y61" i="88"/>
  <c r="Z61" i="88" s="1"/>
  <c r="AM61" i="88" s="1"/>
  <c r="AB59" i="88"/>
  <c r="Y50" i="88"/>
  <c r="Z50" i="88" s="1"/>
  <c r="AM50" i="88" s="1"/>
  <c r="Y54" i="88"/>
  <c r="Z54" i="88" s="1"/>
  <c r="AM54" i="88" s="1"/>
  <c r="Y63" i="88"/>
  <c r="Z63" i="88" s="1"/>
  <c r="AM63" i="88" s="1"/>
  <c r="Y65" i="88"/>
  <c r="Z65" i="88" s="1"/>
  <c r="AM65" i="88" s="1"/>
  <c r="AB67" i="88"/>
  <c r="Y52" i="88"/>
  <c r="Z52" i="88" s="1"/>
  <c r="AM52" i="88" s="1"/>
  <c r="AB66" i="88"/>
  <c r="Y72" i="88"/>
  <c r="Z72" i="88" s="1"/>
  <c r="AM72" i="88" s="1"/>
  <c r="Y56" i="88"/>
  <c r="Z56" i="88" s="1"/>
  <c r="AM56" i="88" s="1"/>
  <c r="Y74" i="88"/>
  <c r="Z74" i="88" s="1"/>
  <c r="AM74" i="88" s="1"/>
  <c r="Y83" i="88"/>
  <c r="Z83" i="88" s="1"/>
  <c r="AM83" i="88" s="1"/>
  <c r="AB69" i="88"/>
  <c r="Y62" i="88"/>
  <c r="Z62" i="88" s="1"/>
  <c r="AM62" i="88" s="1"/>
  <c r="AB78" i="88"/>
  <c r="Y80" i="88"/>
  <c r="Z80" i="88" s="1"/>
  <c r="AM80" i="88" s="1"/>
  <c r="Y41" i="88"/>
  <c r="Y44" i="88"/>
  <c r="Z44" i="88" s="1"/>
  <c r="AM44" i="88" s="1"/>
  <c r="Y29" i="88"/>
  <c r="Z29" i="88" s="1"/>
  <c r="AM29" i="88" s="1"/>
  <c r="Y43" i="88"/>
  <c r="Z43" i="88" s="1"/>
  <c r="AM43" i="88" s="1"/>
  <c r="Y32" i="88"/>
  <c r="Z32" i="88" s="1"/>
  <c r="AM32" i="88" s="1"/>
  <c r="Y42" i="88"/>
  <c r="Z42" i="88" s="1"/>
  <c r="AM42" i="88" s="1"/>
  <c r="Y33" i="88"/>
  <c r="Y30" i="88"/>
  <c r="Z30" i="88" s="1"/>
  <c r="AM30" i="88" s="1"/>
  <c r="AB39" i="88"/>
  <c r="Y35" i="88"/>
  <c r="Z35" i="88" s="1"/>
  <c r="AM35" i="88" s="1"/>
  <c r="AB34" i="88"/>
  <c r="Y36" i="88"/>
  <c r="Y40" i="88"/>
  <c r="Z40" i="88" s="1"/>
  <c r="AM40" i="88" s="1"/>
  <c r="Y20" i="88"/>
  <c r="Z20" i="88" s="1"/>
  <c r="AM20" i="88" s="1"/>
  <c r="AB21" i="88"/>
  <c r="Z36" i="88" l="1"/>
  <c r="AM36" i="88" s="1"/>
  <c r="K144" i="88"/>
  <c r="L144" i="88" s="1"/>
  <c r="V144" i="88" l="1"/>
  <c r="W144" i="88" s="1"/>
  <c r="X144" i="88"/>
  <c r="AB144" i="88" l="1"/>
  <c r="Y144" i="88"/>
  <c r="Z144" i="88" s="1"/>
  <c r="AM144" i="88" s="1"/>
  <c r="T114" i="88"/>
  <c r="S114" i="88"/>
  <c r="K114" i="88"/>
  <c r="L114" i="88" s="1"/>
  <c r="T112" i="88"/>
  <c r="S112" i="88"/>
  <c r="X112" i="88" s="1"/>
  <c r="K112" i="88"/>
  <c r="L112" i="88" s="1"/>
  <c r="K135" i="88"/>
  <c r="K134" i="88"/>
  <c r="L134" i="88" s="1"/>
  <c r="X133" i="88"/>
  <c r="K133" i="88"/>
  <c r="L135" i="88" l="1"/>
  <c r="X114" i="88"/>
  <c r="X135" i="88"/>
  <c r="V135" i="88"/>
  <c r="L133" i="88"/>
  <c r="X134" i="88"/>
  <c r="X142" i="88"/>
  <c r="K142" i="88"/>
  <c r="K22" i="88"/>
  <c r="W22" i="88" s="1"/>
  <c r="Y22" i="88" s="1"/>
  <c r="Z22" i="88" s="1"/>
  <c r="AM22" i="88" s="1"/>
  <c r="L22" i="88" l="1"/>
  <c r="W133" i="88"/>
  <c r="W134" i="88"/>
  <c r="AB134" i="88" s="1"/>
  <c r="W112" i="88"/>
  <c r="AB112" i="88" s="1"/>
  <c r="W135" i="88"/>
  <c r="W114" i="88"/>
  <c r="AB114" i="88" s="1"/>
  <c r="AB22" i="88"/>
  <c r="V142" i="88"/>
  <c r="L142" i="88"/>
  <c r="Y133" i="88" l="1"/>
  <c r="Z133" i="88" s="1"/>
  <c r="AM133" i="88" s="1"/>
  <c r="AB135" i="88"/>
  <c r="Y135" i="88"/>
  <c r="Y134" i="88"/>
  <c r="Z134" i="88" s="1"/>
  <c r="AM134" i="88" s="1"/>
  <c r="AB133" i="88"/>
  <c r="Y114" i="88"/>
  <c r="Z114" i="88" s="1"/>
  <c r="AM114" i="88" s="1"/>
  <c r="Y112" i="88"/>
  <c r="Z112" i="88" s="1"/>
  <c r="AM112" i="88" s="1"/>
  <c r="W142" i="88"/>
  <c r="Z135" i="88" l="1"/>
  <c r="AM135" i="88" s="1"/>
  <c r="AB142" i="88"/>
  <c r="Y142" i="88"/>
  <c r="Z142" i="88" s="1"/>
  <c r="AM142" i="88" s="1"/>
  <c r="K145" i="88"/>
  <c r="K138" i="88"/>
  <c r="K137" i="88"/>
  <c r="X137" i="88" l="1"/>
  <c r="X145" i="88"/>
  <c r="L145" i="88"/>
  <c r="V145" i="88"/>
  <c r="V138" i="88"/>
  <c r="X138" i="88"/>
  <c r="L138" i="88"/>
  <c r="V137" i="88"/>
  <c r="L137" i="88"/>
  <c r="W145" i="88" l="1"/>
  <c r="W137" i="88"/>
  <c r="AB137" i="88" s="1"/>
  <c r="W138" i="88"/>
  <c r="AB145" i="88" l="1"/>
  <c r="AB138" i="88"/>
  <c r="Y145" i="88"/>
  <c r="Z145" i="88" s="1"/>
  <c r="AM145" i="88" s="1"/>
  <c r="Y137" i="88"/>
  <c r="Z137" i="88" s="1"/>
  <c r="AM137" i="88" s="1"/>
  <c r="Y138" i="88"/>
  <c r="Z138" i="88" s="1"/>
  <c r="AM138" i="88" s="1"/>
  <c r="K132" i="88"/>
  <c r="K146" i="88" s="1"/>
  <c r="S131" i="88"/>
  <c r="S130" i="88"/>
  <c r="L132" i="88" l="1"/>
  <c r="L146" i="88" s="1"/>
  <c r="X132" i="88"/>
  <c r="X146" i="88" s="1"/>
  <c r="V132" i="88"/>
  <c r="V146" i="88" l="1"/>
  <c r="W132" i="88"/>
  <c r="W146" i="88" s="1"/>
  <c r="AC143" i="88" l="1"/>
  <c r="AC136" i="88"/>
  <c r="AC140" i="88"/>
  <c r="AC144" i="88"/>
  <c r="AC139" i="88"/>
  <c r="AC141" i="88"/>
  <c r="AC134" i="88"/>
  <c r="AC133" i="88"/>
  <c r="AC135" i="88"/>
  <c r="AC142" i="88"/>
  <c r="AC145" i="88"/>
  <c r="AC138" i="88"/>
  <c r="AC137" i="88"/>
  <c r="AC132" i="88"/>
  <c r="AB132" i="88"/>
  <c r="Y132" i="88"/>
  <c r="Z132" i="88" s="1"/>
  <c r="AM132" i="88" s="1"/>
  <c r="Z146" i="88" l="1"/>
  <c r="T102" i="88"/>
  <c r="S102" i="88"/>
  <c r="K88" i="88"/>
  <c r="L102" i="88" l="1"/>
  <c r="L88" i="88"/>
  <c r="X102" i="88"/>
  <c r="X88" i="88"/>
  <c r="W102" i="88" l="1"/>
  <c r="Y102" i="88" s="1"/>
  <c r="Z102" i="88" s="1"/>
  <c r="AM102" i="88" s="1"/>
  <c r="W88" i="88"/>
  <c r="AB88" i="88" l="1"/>
  <c r="AB102" i="88"/>
  <c r="Y88" i="88"/>
  <c r="Z88" i="88" s="1"/>
  <c r="AM88" i="88" s="1"/>
  <c r="K123" i="88"/>
  <c r="K124" i="88" s="1"/>
  <c r="K119" i="88"/>
  <c r="K121" i="88" s="1"/>
  <c r="S125" i="88"/>
  <c r="S122" i="88"/>
  <c r="S118" i="88"/>
  <c r="S117" i="88"/>
  <c r="K115" i="88"/>
  <c r="L115" i="88" s="1"/>
  <c r="K113" i="88"/>
  <c r="L113" i="88" s="1"/>
  <c r="K111" i="88"/>
  <c r="K116" i="88" s="1"/>
  <c r="T115" i="88"/>
  <c r="S115" i="88"/>
  <c r="T113" i="88"/>
  <c r="S113" i="88"/>
  <c r="T111" i="88"/>
  <c r="S111" i="88"/>
  <c r="S116" i="88" s="1"/>
  <c r="S110" i="88"/>
  <c r="T104" i="88"/>
  <c r="S104" i="88"/>
  <c r="K95" i="88"/>
  <c r="K98" i="88" s="1"/>
  <c r="T103" i="88"/>
  <c r="S103" i="88"/>
  <c r="T101" i="88"/>
  <c r="S101" i="88"/>
  <c r="T100" i="88"/>
  <c r="S100" i="88"/>
  <c r="S99" i="88"/>
  <c r="T95" i="88"/>
  <c r="S95" i="88"/>
  <c r="S98" i="88" s="1"/>
  <c r="S94" i="88"/>
  <c r="S93" i="88"/>
  <c r="K91" i="88"/>
  <c r="K90" i="88"/>
  <c r="K89" i="88"/>
  <c r="K87" i="88"/>
  <c r="K86" i="88"/>
  <c r="S85" i="88"/>
  <c r="K49" i="88"/>
  <c r="K84" i="88" s="1"/>
  <c r="S48" i="88"/>
  <c r="S47" i="88"/>
  <c r="T205" i="88" l="1"/>
  <c r="S109" i="88"/>
  <c r="K92" i="88"/>
  <c r="L119" i="88"/>
  <c r="L121" i="88" s="1"/>
  <c r="L123" i="88"/>
  <c r="L124" i="88" s="1"/>
  <c r="L111" i="88"/>
  <c r="L116" i="88" s="1"/>
  <c r="L95" i="88"/>
  <c r="L98" i="88" s="1"/>
  <c r="L104" i="88"/>
  <c r="L101" i="88"/>
  <c r="L103" i="88"/>
  <c r="L49" i="88"/>
  <c r="L84" i="88" s="1"/>
  <c r="L90" i="88"/>
  <c r="L86" i="88"/>
  <c r="L91" i="88"/>
  <c r="L87" i="88"/>
  <c r="L89" i="88"/>
  <c r="L100" i="88"/>
  <c r="X101" i="88"/>
  <c r="X115" i="88"/>
  <c r="X111" i="88"/>
  <c r="X104" i="88"/>
  <c r="X86" i="88"/>
  <c r="X91" i="88"/>
  <c r="V126" i="88"/>
  <c r="X126" i="88"/>
  <c r="X129" i="88" s="1"/>
  <c r="L126" i="88"/>
  <c r="L129" i="88" s="1"/>
  <c r="X123" i="88"/>
  <c r="X124" i="88" s="1"/>
  <c r="X119" i="88"/>
  <c r="X121" i="88" s="1"/>
  <c r="X113" i="88"/>
  <c r="X100" i="88"/>
  <c r="X103" i="88"/>
  <c r="X95" i="88"/>
  <c r="X98" i="88" s="1"/>
  <c r="X87" i="88"/>
  <c r="X89" i="88"/>
  <c r="X90" i="88"/>
  <c r="X49" i="88"/>
  <c r="X84" i="88" s="1"/>
  <c r="X109" i="88" l="1"/>
  <c r="V129" i="88"/>
  <c r="V92" i="88"/>
  <c r="X116" i="88"/>
  <c r="L109" i="88"/>
  <c r="L92" i="88"/>
  <c r="X92" i="88"/>
  <c r="V124" i="88"/>
  <c r="V109" i="88"/>
  <c r="AC108" i="88" s="1"/>
  <c r="V116" i="88"/>
  <c r="AC113" i="88" s="1"/>
  <c r="V121" i="88"/>
  <c r="AC120" i="88" s="1"/>
  <c r="V84" i="88"/>
  <c r="V98" i="88"/>
  <c r="AC97" i="88" s="1"/>
  <c r="AD95" i="88"/>
  <c r="AD98" i="88" s="1"/>
  <c r="W101" i="88"/>
  <c r="AB101" i="88" s="1"/>
  <c r="W126" i="88"/>
  <c r="W129" i="88" s="1"/>
  <c r="W95" i="88"/>
  <c r="W98" i="88" s="1"/>
  <c r="W123" i="88"/>
  <c r="W124" i="88" s="1"/>
  <c r="W119" i="88"/>
  <c r="W121" i="88" s="1"/>
  <c r="W113" i="88"/>
  <c r="AB113" i="88" s="1"/>
  <c r="W111" i="88"/>
  <c r="W115" i="88"/>
  <c r="AB115" i="88" s="1"/>
  <c r="W100" i="88"/>
  <c r="W103" i="88"/>
  <c r="AB103" i="88" s="1"/>
  <c r="W104" i="88"/>
  <c r="AB104" i="88" s="1"/>
  <c r="W86" i="88"/>
  <c r="W89" i="88"/>
  <c r="W87" i="88"/>
  <c r="AB87" i="88" s="1"/>
  <c r="W49" i="88"/>
  <c r="W84" i="88" s="1"/>
  <c r="W90" i="88"/>
  <c r="W91" i="88"/>
  <c r="AB91" i="88" s="1"/>
  <c r="W109" i="88" l="1"/>
  <c r="W116" i="88"/>
  <c r="W92" i="88"/>
  <c r="AC60" i="88"/>
  <c r="AC61" i="88"/>
  <c r="AC54" i="88"/>
  <c r="AC55" i="88"/>
  <c r="AC58" i="88"/>
  <c r="AC62" i="88"/>
  <c r="AC59" i="88"/>
  <c r="AC50" i="88"/>
  <c r="AC63" i="88"/>
  <c r="AC65" i="88"/>
  <c r="AC66" i="88"/>
  <c r="AC56" i="88"/>
  <c r="AC51" i="88"/>
  <c r="AC53" i="88"/>
  <c r="AC57" i="88"/>
  <c r="AC52" i="88"/>
  <c r="AC64" i="88"/>
  <c r="AC49" i="88"/>
  <c r="AC88" i="88"/>
  <c r="AC91" i="88"/>
  <c r="AB89" i="88"/>
  <c r="AC127" i="88"/>
  <c r="AC128" i="88"/>
  <c r="AC103" i="88"/>
  <c r="AC105" i="88"/>
  <c r="AC106" i="88"/>
  <c r="AC107" i="88"/>
  <c r="AC95" i="88"/>
  <c r="AC96" i="88"/>
  <c r="AC114" i="88"/>
  <c r="AC112" i="88"/>
  <c r="AB90" i="88"/>
  <c r="Y123" i="88"/>
  <c r="Z123" i="88" s="1"/>
  <c r="AM123" i="88" s="1"/>
  <c r="Y95" i="88"/>
  <c r="Z95" i="88" s="1"/>
  <c r="AM95" i="88" s="1"/>
  <c r="AC86" i="88"/>
  <c r="AC119" i="88"/>
  <c r="AC115" i="88"/>
  <c r="AC101" i="88"/>
  <c r="AC111" i="88"/>
  <c r="AC123" i="88"/>
  <c r="AC104" i="88"/>
  <c r="AC102" i="88"/>
  <c r="AC87" i="88"/>
  <c r="Y101" i="88"/>
  <c r="Z101" i="88" s="1"/>
  <c r="AM101" i="88" s="1"/>
  <c r="AC90" i="88"/>
  <c r="AC100" i="88"/>
  <c r="AC126" i="88"/>
  <c r="AB119" i="88"/>
  <c r="AB123" i="88"/>
  <c r="AB111" i="88"/>
  <c r="AB126" i="88"/>
  <c r="AB86" i="88"/>
  <c r="Y126" i="88"/>
  <c r="Z126" i="88" s="1"/>
  <c r="Y49" i="88"/>
  <c r="Z49" i="88" s="1"/>
  <c r="AM49" i="88" s="1"/>
  <c r="AB49" i="88"/>
  <c r="AB95" i="88"/>
  <c r="Y100" i="88"/>
  <c r="Z100" i="88" s="1"/>
  <c r="AM100" i="88" s="1"/>
  <c r="AB100" i="88"/>
  <c r="Y113" i="88"/>
  <c r="Z113" i="88" s="1"/>
  <c r="AM113" i="88" s="1"/>
  <c r="Y119" i="88"/>
  <c r="Z119" i="88" s="1"/>
  <c r="AM119" i="88" s="1"/>
  <c r="Y115" i="88"/>
  <c r="Z115" i="88" s="1"/>
  <c r="AM115" i="88" s="1"/>
  <c r="Y111" i="88"/>
  <c r="Z111" i="88" s="1"/>
  <c r="AM111" i="88" s="1"/>
  <c r="AC89" i="88"/>
  <c r="Y103" i="88"/>
  <c r="Z103" i="88" s="1"/>
  <c r="AM103" i="88" s="1"/>
  <c r="Y104" i="88"/>
  <c r="Z104" i="88" s="1"/>
  <c r="AM104" i="88" s="1"/>
  <c r="Y90" i="88"/>
  <c r="Z90" i="88" s="1"/>
  <c r="AM90" i="88" s="1"/>
  <c r="Y87" i="88"/>
  <c r="Z87" i="88" s="1"/>
  <c r="AM87" i="88" s="1"/>
  <c r="Y91" i="88"/>
  <c r="Z91" i="88" s="1"/>
  <c r="AM91" i="88" s="1"/>
  <c r="Y89" i="88"/>
  <c r="Z89" i="88" s="1"/>
  <c r="AM89" i="88" s="1"/>
  <c r="Y86" i="88"/>
  <c r="Z86" i="88" s="1"/>
  <c r="AM86" i="88" s="1"/>
  <c r="Z129" i="88" l="1"/>
  <c r="AM126" i="88"/>
  <c r="Z84" i="88"/>
  <c r="Z121" i="88"/>
  <c r="Z109" i="88"/>
  <c r="AM109" i="88" s="1"/>
  <c r="Z116" i="88"/>
  <c r="AM116" i="88" s="1"/>
  <c r="Z124" i="88"/>
  <c r="Z98" i="88"/>
  <c r="AM98" i="88" s="1"/>
  <c r="Z92" i="88"/>
  <c r="K28" i="88"/>
  <c r="K46" i="88" s="1"/>
  <c r="S27" i="88"/>
  <c r="S26" i="88"/>
  <c r="K24" i="88"/>
  <c r="K23" i="88"/>
  <c r="K19" i="88"/>
  <c r="K18" i="88"/>
  <c r="K17" i="88"/>
  <c r="S16" i="88"/>
  <c r="S15" i="88"/>
  <c r="M14" i="88"/>
  <c r="M123" i="88" s="1"/>
  <c r="M124" i="88" s="1"/>
  <c r="K25" i="88" l="1"/>
  <c r="K205" i="88"/>
  <c r="M120" i="88"/>
  <c r="M21" i="88"/>
  <c r="M20" i="88"/>
  <c r="M22" i="88"/>
  <c r="AA22" i="88" s="1"/>
  <c r="L18" i="88"/>
  <c r="M18" i="88" s="1"/>
  <c r="M143" i="88"/>
  <c r="N143" i="88" s="1"/>
  <c r="M158" i="88"/>
  <c r="M140" i="88"/>
  <c r="M194" i="88"/>
  <c r="N194" i="88" s="1"/>
  <c r="M136" i="88"/>
  <c r="M202" i="88"/>
  <c r="AA202" i="88" s="1"/>
  <c r="M201" i="88"/>
  <c r="M203" i="88"/>
  <c r="AA203" i="88" s="1"/>
  <c r="M196" i="88"/>
  <c r="M192" i="88"/>
  <c r="M193" i="88"/>
  <c r="M195" i="88"/>
  <c r="M197" i="88"/>
  <c r="M181" i="88"/>
  <c r="M183" i="88"/>
  <c r="M184" i="88"/>
  <c r="M186" i="88"/>
  <c r="M182" i="88"/>
  <c r="M185" i="88"/>
  <c r="M188" i="88"/>
  <c r="M187" i="88"/>
  <c r="M178" i="88"/>
  <c r="M179" i="88" s="1"/>
  <c r="M173" i="88"/>
  <c r="M171" i="88"/>
  <c r="M174" i="88"/>
  <c r="M175" i="88"/>
  <c r="M172" i="88"/>
  <c r="M170" i="88"/>
  <c r="M160" i="88"/>
  <c r="M166" i="88"/>
  <c r="M161" i="88"/>
  <c r="M162" i="88"/>
  <c r="M155" i="88"/>
  <c r="M164" i="88"/>
  <c r="M157" i="88"/>
  <c r="M159" i="88"/>
  <c r="M165" i="88"/>
  <c r="M156" i="88"/>
  <c r="M163" i="88"/>
  <c r="M119" i="88"/>
  <c r="M149" i="88"/>
  <c r="M151" i="88"/>
  <c r="N151" i="88" s="1"/>
  <c r="M141" i="88"/>
  <c r="M139" i="88"/>
  <c r="M150" i="88"/>
  <c r="M128" i="88"/>
  <c r="M127" i="88"/>
  <c r="M88" i="88"/>
  <c r="N88" i="88" s="1"/>
  <c r="M90" i="88"/>
  <c r="M89" i="88"/>
  <c r="M91" i="88"/>
  <c r="M87" i="88"/>
  <c r="M86" i="88"/>
  <c r="M92" i="88" s="1"/>
  <c r="M83" i="88"/>
  <c r="M76" i="88"/>
  <c r="M58" i="88"/>
  <c r="M64" i="88"/>
  <c r="M78" i="88"/>
  <c r="M81" i="88"/>
  <c r="M61" i="88"/>
  <c r="M79" i="88"/>
  <c r="M53" i="88"/>
  <c r="M52" i="88"/>
  <c r="M60" i="88"/>
  <c r="M82" i="88"/>
  <c r="M54" i="88"/>
  <c r="M55" i="88"/>
  <c r="M71" i="88"/>
  <c r="M59" i="88"/>
  <c r="M80" i="88"/>
  <c r="M72" i="88"/>
  <c r="M66" i="88"/>
  <c r="M69" i="88"/>
  <c r="M62" i="88"/>
  <c r="M51" i="88"/>
  <c r="M50" i="88"/>
  <c r="M68" i="88"/>
  <c r="M63" i="88"/>
  <c r="M56" i="88"/>
  <c r="M77" i="88"/>
  <c r="M57" i="88"/>
  <c r="M75" i="88"/>
  <c r="M73" i="88"/>
  <c r="M70" i="88"/>
  <c r="M65" i="88"/>
  <c r="M74" i="88"/>
  <c r="M67" i="88"/>
  <c r="M39" i="88"/>
  <c r="M34" i="88"/>
  <c r="M30" i="88"/>
  <c r="M41" i="88"/>
  <c r="M37" i="88"/>
  <c r="M42" i="88"/>
  <c r="M45" i="88"/>
  <c r="M31" i="88"/>
  <c r="M33" i="88"/>
  <c r="M36" i="88"/>
  <c r="M40" i="88"/>
  <c r="M43" i="88"/>
  <c r="M38" i="88"/>
  <c r="M44" i="88"/>
  <c r="M29" i="88"/>
  <c r="M32" i="88"/>
  <c r="M35" i="88"/>
  <c r="M144" i="88"/>
  <c r="AA144" i="88" s="1"/>
  <c r="M135" i="88"/>
  <c r="M134" i="88"/>
  <c r="M133" i="88"/>
  <c r="M142" i="88"/>
  <c r="X23" i="88"/>
  <c r="X18" i="88"/>
  <c r="X28" i="88"/>
  <c r="X46" i="88" s="1"/>
  <c r="AB12" i="88"/>
  <c r="M145" i="88"/>
  <c r="L17" i="88"/>
  <c r="M137" i="88"/>
  <c r="M138" i="88"/>
  <c r="M132" i="88"/>
  <c r="M126" i="88"/>
  <c r="L28" i="88"/>
  <c r="L46" i="88" s="1"/>
  <c r="V23" i="88"/>
  <c r="L23" i="88"/>
  <c r="M23" i="88" s="1"/>
  <c r="X24" i="88"/>
  <c r="L24" i="88"/>
  <c r="M24" i="88" s="1"/>
  <c r="X19" i="88"/>
  <c r="L19" i="88"/>
  <c r="M19" i="88" s="1"/>
  <c r="V17" i="88"/>
  <c r="X17" i="88"/>
  <c r="M10" i="88"/>
  <c r="V205" i="88" l="1"/>
  <c r="M121" i="88"/>
  <c r="M152" i="88"/>
  <c r="M129" i="88"/>
  <c r="M84" i="88"/>
  <c r="M146" i="88"/>
  <c r="M198" i="88"/>
  <c r="M167" i="88"/>
  <c r="L25" i="88"/>
  <c r="L205" i="88"/>
  <c r="M189" i="88"/>
  <c r="M204" i="88"/>
  <c r="AA204" i="88" s="1"/>
  <c r="M176" i="88"/>
  <c r="X25" i="88"/>
  <c r="X205" i="88"/>
  <c r="AA201" i="88"/>
  <c r="N120" i="88"/>
  <c r="AA120" i="88"/>
  <c r="M17" i="88"/>
  <c r="AA143" i="88"/>
  <c r="N108" i="88"/>
  <c r="AA108" i="88"/>
  <c r="N158" i="88"/>
  <c r="AA158" i="88"/>
  <c r="AA140" i="88"/>
  <c r="N140" i="88"/>
  <c r="N97" i="88"/>
  <c r="AA97" i="88"/>
  <c r="N181" i="88"/>
  <c r="V25" i="88"/>
  <c r="AA194" i="88"/>
  <c r="N136" i="88"/>
  <c r="AA136" i="88"/>
  <c r="N203" i="88"/>
  <c r="N201" i="88"/>
  <c r="N202" i="88"/>
  <c r="N197" i="88"/>
  <c r="AA197" i="88"/>
  <c r="N195" i="88"/>
  <c r="AA195" i="88"/>
  <c r="N193" i="88"/>
  <c r="AA193" i="88"/>
  <c r="N192" i="88"/>
  <c r="AA192" i="88"/>
  <c r="AA181" i="88"/>
  <c r="N196" i="88"/>
  <c r="AA196" i="88"/>
  <c r="N182" i="88"/>
  <c r="AA182" i="88"/>
  <c r="N185" i="88"/>
  <c r="AA185" i="88"/>
  <c r="N186" i="88"/>
  <c r="AA186" i="88"/>
  <c r="N184" i="88"/>
  <c r="AA184" i="88"/>
  <c r="AA187" i="88"/>
  <c r="N187" i="88"/>
  <c r="N188" i="88"/>
  <c r="AA188" i="88"/>
  <c r="N183" i="88"/>
  <c r="AA183" i="88"/>
  <c r="N178" i="88"/>
  <c r="N179" i="88" s="1"/>
  <c r="AA178" i="88"/>
  <c r="AA179" i="88" s="1"/>
  <c r="AA170" i="88"/>
  <c r="N170" i="88"/>
  <c r="AA172" i="88"/>
  <c r="N172" i="88"/>
  <c r="N175" i="88"/>
  <c r="AA175" i="88"/>
  <c r="N171" i="88"/>
  <c r="AA171" i="88"/>
  <c r="N174" i="88"/>
  <c r="AA174" i="88"/>
  <c r="N173" i="88"/>
  <c r="AA173" i="88"/>
  <c r="N157" i="88"/>
  <c r="AA157" i="88"/>
  <c r="N164" i="88"/>
  <c r="AA164" i="88"/>
  <c r="N163" i="88"/>
  <c r="AA163" i="88"/>
  <c r="N155" i="88"/>
  <c r="AA155" i="88"/>
  <c r="N156" i="88"/>
  <c r="AA156" i="88"/>
  <c r="N162" i="88"/>
  <c r="AA162" i="88"/>
  <c r="N165" i="88"/>
  <c r="AA165" i="88"/>
  <c r="N161" i="88"/>
  <c r="AA161" i="88"/>
  <c r="N159" i="88"/>
  <c r="AA159" i="88"/>
  <c r="N166" i="88"/>
  <c r="AA166" i="88"/>
  <c r="N160" i="88"/>
  <c r="AA160" i="88"/>
  <c r="N139" i="88"/>
  <c r="AA139" i="88"/>
  <c r="N141" i="88"/>
  <c r="AA141" i="88"/>
  <c r="AA150" i="88"/>
  <c r="N150" i="88"/>
  <c r="AA151" i="88"/>
  <c r="N149" i="88"/>
  <c r="AA149" i="88"/>
  <c r="N127" i="88"/>
  <c r="AA127" i="88"/>
  <c r="N128" i="88"/>
  <c r="AA128" i="88"/>
  <c r="N114" i="88"/>
  <c r="AA114" i="88"/>
  <c r="M28" i="88"/>
  <c r="M46" i="88" s="1"/>
  <c r="AA107" i="88"/>
  <c r="N107" i="88"/>
  <c r="N106" i="88"/>
  <c r="AA106" i="88"/>
  <c r="N105" i="88"/>
  <c r="AA105" i="88"/>
  <c r="N96" i="88"/>
  <c r="AA96" i="88"/>
  <c r="N50" i="88"/>
  <c r="AA50" i="88"/>
  <c r="N71" i="88"/>
  <c r="AA71" i="88"/>
  <c r="N61" i="88"/>
  <c r="AA61" i="88"/>
  <c r="N73" i="88"/>
  <c r="AA73" i="88"/>
  <c r="N55" i="88"/>
  <c r="AA55" i="88"/>
  <c r="N81" i="88"/>
  <c r="AA81" i="88"/>
  <c r="N65" i="88"/>
  <c r="AA65" i="88"/>
  <c r="AA75" i="88"/>
  <c r="N75" i="88"/>
  <c r="N62" i="88"/>
  <c r="AA62" i="88"/>
  <c r="N54" i="88"/>
  <c r="AA54" i="88"/>
  <c r="N78" i="88"/>
  <c r="AA78" i="88"/>
  <c r="N79" i="88"/>
  <c r="AA79" i="88"/>
  <c r="N57" i="88"/>
  <c r="AA57" i="88"/>
  <c r="N69" i="88"/>
  <c r="AA69" i="88"/>
  <c r="N82" i="88"/>
  <c r="AA82" i="88"/>
  <c r="N64" i="88"/>
  <c r="AA64" i="88"/>
  <c r="N68" i="88"/>
  <c r="AA68" i="88"/>
  <c r="N51" i="88"/>
  <c r="AA51" i="88"/>
  <c r="N77" i="88"/>
  <c r="AA77" i="88"/>
  <c r="N66" i="88"/>
  <c r="AA66" i="88"/>
  <c r="N60" i="88"/>
  <c r="AA60" i="88"/>
  <c r="N58" i="88"/>
  <c r="AA58" i="88"/>
  <c r="N59" i="88"/>
  <c r="AA59" i="88"/>
  <c r="N70" i="88"/>
  <c r="AA70" i="88"/>
  <c r="N67" i="88"/>
  <c r="AA67" i="88"/>
  <c r="AA56" i="88"/>
  <c r="N56" i="88"/>
  <c r="N72" i="88"/>
  <c r="AA72" i="88"/>
  <c r="N52" i="88"/>
  <c r="AA52" i="88"/>
  <c r="N76" i="88"/>
  <c r="AA76" i="88"/>
  <c r="N74" i="88"/>
  <c r="AA74" i="88"/>
  <c r="N63" i="88"/>
  <c r="AA63" i="88"/>
  <c r="N80" i="88"/>
  <c r="AA80" i="88"/>
  <c r="N53" i="88"/>
  <c r="AA53" i="88"/>
  <c r="N83" i="88"/>
  <c r="AA83" i="88"/>
  <c r="N29" i="88"/>
  <c r="AA29" i="88"/>
  <c r="N45" i="88"/>
  <c r="AA45" i="88"/>
  <c r="N32" i="88"/>
  <c r="AA32" i="88"/>
  <c r="N38" i="88"/>
  <c r="AA38" i="88"/>
  <c r="N43" i="88"/>
  <c r="AA43" i="88"/>
  <c r="N41" i="88"/>
  <c r="AA41" i="88"/>
  <c r="N42" i="88"/>
  <c r="AA42" i="88"/>
  <c r="N37" i="88"/>
  <c r="AA37" i="88"/>
  <c r="N40" i="88"/>
  <c r="AA40" i="88"/>
  <c r="N30" i="88"/>
  <c r="AA30" i="88"/>
  <c r="N44" i="88"/>
  <c r="AA44" i="88"/>
  <c r="N36" i="88"/>
  <c r="AA36" i="88"/>
  <c r="N34" i="88"/>
  <c r="AA34" i="88"/>
  <c r="N31" i="88"/>
  <c r="AA31" i="88"/>
  <c r="N35" i="88"/>
  <c r="AA35" i="88"/>
  <c r="N33" i="88"/>
  <c r="AA33" i="88"/>
  <c r="N39" i="88"/>
  <c r="AA39" i="88"/>
  <c r="N21" i="88"/>
  <c r="AA21" i="88"/>
  <c r="N20" i="88"/>
  <c r="AA20" i="88"/>
  <c r="N144" i="88"/>
  <c r="N135" i="88"/>
  <c r="N112" i="88"/>
  <c r="N19" i="88"/>
  <c r="AA112" i="88"/>
  <c r="AA135" i="88"/>
  <c r="N134" i="88"/>
  <c r="AA134" i="88"/>
  <c r="N133" i="88"/>
  <c r="AA133" i="88"/>
  <c r="N22" i="88"/>
  <c r="W19" i="88"/>
  <c r="W23" i="88"/>
  <c r="AB23" i="88" s="1"/>
  <c r="N142" i="88"/>
  <c r="AA142" i="88"/>
  <c r="W18" i="88"/>
  <c r="Y18" i="88" s="1"/>
  <c r="Z18" i="88" s="1"/>
  <c r="AM18" i="88" s="1"/>
  <c r="AA126" i="88"/>
  <c r="N145" i="88"/>
  <c r="AA145" i="88"/>
  <c r="N138" i="88"/>
  <c r="AA138" i="88"/>
  <c r="N137" i="88"/>
  <c r="AA137" i="88"/>
  <c r="AA88" i="88"/>
  <c r="W24" i="88"/>
  <c r="AB24" i="88" s="1"/>
  <c r="N132" i="88"/>
  <c r="AA132" i="88"/>
  <c r="N102" i="88"/>
  <c r="AA102" i="88"/>
  <c r="N123" i="88"/>
  <c r="N124" i="88" s="1"/>
  <c r="AA123" i="88"/>
  <c r="AA124" i="88" s="1"/>
  <c r="N126" i="88"/>
  <c r="N119" i="88"/>
  <c r="AA119" i="88"/>
  <c r="N115" i="88"/>
  <c r="AA115" i="88"/>
  <c r="N113" i="88"/>
  <c r="AA113" i="88"/>
  <c r="N111" i="88"/>
  <c r="AA111" i="88"/>
  <c r="AA101" i="88"/>
  <c r="N101" i="88"/>
  <c r="N103" i="88"/>
  <c r="AA103" i="88"/>
  <c r="N95" i="88"/>
  <c r="AA95" i="88"/>
  <c r="N100" i="88"/>
  <c r="AA100" i="88"/>
  <c r="N104" i="88"/>
  <c r="AA104" i="88"/>
  <c r="N90" i="88"/>
  <c r="AA90" i="88"/>
  <c r="N91" i="88"/>
  <c r="AA91" i="88"/>
  <c r="N87" i="88"/>
  <c r="AA87" i="88"/>
  <c r="N86" i="88"/>
  <c r="AA86" i="88"/>
  <c r="N89" i="88"/>
  <c r="AA89" i="88"/>
  <c r="N49" i="88"/>
  <c r="AA49" i="88"/>
  <c r="W17" i="88"/>
  <c r="W28" i="88"/>
  <c r="W46" i="88" s="1"/>
  <c r="N23" i="88"/>
  <c r="N18" i="88"/>
  <c r="N152" i="88" l="1"/>
  <c r="N121" i="88"/>
  <c r="AA121" i="88"/>
  <c r="N98" i="88"/>
  <c r="N109" i="88"/>
  <c r="N204" i="88"/>
  <c r="M25" i="88"/>
  <c r="M205" i="88"/>
  <c r="AC23" i="88"/>
  <c r="AC21" i="88"/>
  <c r="AC20" i="88"/>
  <c r="AC18" i="88"/>
  <c r="AC24" i="88"/>
  <c r="AC19" i="88"/>
  <c r="AC17" i="88"/>
  <c r="AC22" i="88"/>
  <c r="AA167" i="88"/>
  <c r="N167" i="88"/>
  <c r="N92" i="88"/>
  <c r="N129" i="88"/>
  <c r="N198" i="88"/>
  <c r="W205" i="88"/>
  <c r="N116" i="88"/>
  <c r="N189" i="88"/>
  <c r="N146" i="88"/>
  <c r="N84" i="88"/>
  <c r="N176" i="88"/>
  <c r="AA198" i="88"/>
  <c r="AA176" i="88"/>
  <c r="AA129" i="88"/>
  <c r="AA92" i="88"/>
  <c r="AA189" i="88"/>
  <c r="W25" i="88"/>
  <c r="AA109" i="88"/>
  <c r="AA116" i="88"/>
  <c r="AA146" i="88"/>
  <c r="AA98" i="88"/>
  <c r="AA84" i="88"/>
  <c r="AA152" i="88"/>
  <c r="AC37" i="88"/>
  <c r="AC32" i="88"/>
  <c r="AC34" i="88"/>
  <c r="AC29" i="88"/>
  <c r="AC36" i="88"/>
  <c r="AC41" i="88"/>
  <c r="AC33" i="88"/>
  <c r="AC43" i="88"/>
  <c r="AC31" i="88"/>
  <c r="AC38" i="88"/>
  <c r="AC39" i="88"/>
  <c r="AC40" i="88"/>
  <c r="AC45" i="88"/>
  <c r="AC42" i="88"/>
  <c r="AC30" i="88"/>
  <c r="AC35" i="88"/>
  <c r="AC44" i="88"/>
  <c r="AC28" i="88"/>
  <c r="AB28" i="88"/>
  <c r="AB19" i="88"/>
  <c r="Y19" i="88"/>
  <c r="Z19" i="88" s="1"/>
  <c r="AM19" i="88" s="1"/>
  <c r="Y23" i="88"/>
  <c r="Z23" i="88" s="1"/>
  <c r="AA18" i="88"/>
  <c r="AB18" i="88"/>
  <c r="Y24" i="88"/>
  <c r="Z24" i="88" s="1"/>
  <c r="AM24" i="88" s="1"/>
  <c r="AB17" i="88"/>
  <c r="N28" i="88"/>
  <c r="N46" i="88" s="1"/>
  <c r="Y17" i="88"/>
  <c r="Z17" i="88" s="1"/>
  <c r="N17" i="88"/>
  <c r="Y28" i="88"/>
  <c r="Z28" i="88" s="1"/>
  <c r="AM28" i="88" s="1"/>
  <c r="N24" i="88"/>
  <c r="N25" i="88" l="1"/>
  <c r="AA23" i="88"/>
  <c r="AM23" i="88"/>
  <c r="AA24" i="88"/>
  <c r="N205" i="88"/>
  <c r="C22" i="109" s="1"/>
  <c r="C30" i="109" s="1"/>
  <c r="Y205" i="88"/>
  <c r="Z46" i="88"/>
  <c r="AA19" i="88"/>
  <c r="AA28" i="88"/>
  <c r="AA46" i="88" s="1"/>
  <c r="Z205" i="88" l="1"/>
  <c r="AN209" i="88" s="1"/>
  <c r="AM17" i="88"/>
  <c r="AM205" i="88" s="1"/>
  <c r="C14" i="92"/>
  <c r="C22" i="92" s="1"/>
  <c r="Z25" i="88"/>
  <c r="AA17" i="88"/>
  <c r="AA205" i="88" s="1"/>
  <c r="B69" i="98"/>
  <c r="D22" i="109" l="1"/>
  <c r="D30" i="109" s="1"/>
  <c r="AN210" i="88"/>
  <c r="AN211" i="88" s="1"/>
  <c r="V210" i="88"/>
  <c r="D14" i="92"/>
  <c r="D22" i="92" s="1"/>
  <c r="AB205" i="88"/>
  <c r="AC205" i="88" s="1"/>
  <c r="AA25" i="88"/>
  <c r="D69" i="98"/>
  <c r="D39" i="109" l="1"/>
  <c r="E22" i="109"/>
  <c r="E14" i="92"/>
  <c r="E22" i="92" s="1"/>
  <c r="F22" i="92" s="1"/>
  <c r="E69" i="98"/>
  <c r="D44" i="109" l="1"/>
  <c r="E39" i="109"/>
  <c r="E44" i="109" s="1"/>
  <c r="F44" i="109" s="1"/>
  <c r="F22" i="109"/>
  <c r="E30" i="109"/>
  <c r="F30" i="109" s="1"/>
  <c r="F14" i="92"/>
  <c r="F69" i="98"/>
  <c r="F39" i="109" l="1"/>
  <c r="B70" i="98"/>
  <c r="B71" i="98" s="1"/>
  <c r="B74" i="98" s="1"/>
  <c r="B77" i="98" l="1"/>
  <c r="D70" i="98"/>
  <c r="D71" i="98" s="1"/>
  <c r="D74" i="98" s="1"/>
  <c r="E74" i="98" s="1"/>
  <c r="F74" i="98" s="1"/>
  <c r="E70" i="98" l="1"/>
  <c r="E71" i="98" l="1"/>
  <c r="F71" i="98" s="1"/>
  <c r="F70" i="98"/>
  <c r="AA87" i="96"/>
  <c r="AA88" i="9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tc={1D61442E-4EEC-4053-9BB1-43342BED2003}</author>
    <author>tc={C5BB972D-FA84-44FF-B871-67EE0459927D}</author>
    <author>tc={868C0E16-BF92-4039-844A-AC6982F61FBE}</author>
    <author>tc={5DD93A97-1C66-401C-BA2F-EE05CE4ED9DB}</author>
  </authors>
  <commentList>
    <comment ref="R39" authorId="0" shapeId="0" xr:uid="{1D61442E-4EEC-4053-9BB1-43342BED2003}">
      <text>
        <t>[Comentário encadeado]
Sua versão do Excel permite que você leia este comentário encadeado, no entanto, as edições serão removidas se o arquivo for aberto em uma versão mais recente do Excel. Saiba mais: https://go.microsoft.com/fwlink/?linkid=870924
Comentário:
    Considerar 9 diárias de segurança. 6 para consul e 3 para Brastemp</t>
      </text>
    </comment>
    <comment ref="U138" authorId="1" shapeId="0" xr:uid="{C5BB972D-FA84-44FF-B871-67EE0459927D}">
      <text>
        <t>[Comentário encadeado]
Sua versão do Excel permite que você leia este comentário encadeado, no entanto, as edições serão removidas se o arquivo for aberto em uma versão mais recente do Excel. Saiba mais: https://go.microsoft.com/fwlink/?linkid=870924
Comentário:
    Valor Total dos 3 Eventos.</t>
      </text>
    </comment>
    <comment ref="U139" authorId="2" shapeId="0" xr:uid="{868C0E16-BF92-4039-844A-AC6982F61FBE}">
      <text>
        <t>[Comentário encadeado]
Sua versão do Excel permite que você leia este comentário encadeado, no entanto, as edições serão removidas se o arquivo for aberto em uma versão mais recente do Excel. Saiba mais: https://go.microsoft.com/fwlink/?linkid=870924
Comentário:
    Lançado no total de 234.000,00</t>
      </text>
    </comment>
    <comment ref="U170" authorId="3" shapeId="0" xr:uid="{5DD93A97-1C66-401C-BA2F-EE05CE4ED9DB}">
      <text>
        <t>[Comentário encadeado]
Sua versão do Excel permite que você leia este comentário encadeado, no entanto, as edições serão removidas se o arquivo for aberto em uma versão mais recente do Excel. Saiba mais: https://go.microsoft.com/fwlink/?linkid=870924
Comentário:
    18.000,00 Do App + 7.000,00 Cidinha.</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tc={554F6E31-AAB6-4D42-84EC-9AE645B8EDEB}</author>
  </authors>
  <commentList>
    <comment ref="H5" authorId="0" shapeId="0" xr:uid="{554F6E31-AAB6-4D42-84EC-9AE645B8EDEB}">
      <text>
        <t>[Comentário encadeado]
Sua versão do Excel permite que você leia este comentário encadeado, no entanto, as edições serão removidas se o arquivo for aberto em uma versão mais recente do Excel. Saiba mais: https://go.microsoft.com/fwlink/?linkid=870924
Comentário:
    Convidados + staff WHP somente de 26-27</t>
      </text>
    </comment>
  </commentList>
</comments>
</file>

<file path=xl/sharedStrings.xml><?xml version="1.0" encoding="utf-8"?>
<sst xmlns="http://schemas.openxmlformats.org/spreadsheetml/2006/main" count="6096" uniqueCount="1663">
  <si>
    <t>Oggi Comunicação e Eventos</t>
  </si>
  <si>
    <t>CUSTOS (valor de custo c/ NF ou recibo)</t>
  </si>
  <si>
    <t>DIFERENÇA NF (Lucro)</t>
  </si>
  <si>
    <t>SOLICITAÇÃO DE PAGAMENTO</t>
  </si>
  <si>
    <t>ÍNDICE</t>
  </si>
  <si>
    <t>ÍNDICE PUBLI</t>
  </si>
  <si>
    <t>CATEGORIA</t>
  </si>
  <si>
    <t>TIPO DE CUSTOS</t>
  </si>
  <si>
    <t>TIPO DE FATURAMENTO</t>
  </si>
  <si>
    <t>VALOR</t>
  </si>
  <si>
    <t>CNPJ</t>
  </si>
  <si>
    <t/>
  </si>
  <si>
    <t>PREENCHER OS CAMPOS CORRETAMENTE</t>
  </si>
  <si>
    <t>DADOS DO JOB</t>
  </si>
  <si>
    <t>Data:</t>
  </si>
  <si>
    <t>Contratante:</t>
  </si>
  <si>
    <t>Oggi Eventos</t>
  </si>
  <si>
    <t>Cliente:</t>
  </si>
  <si>
    <t>Job:</t>
  </si>
  <si>
    <t>Planilha:</t>
  </si>
  <si>
    <t>Item:</t>
  </si>
  <si>
    <t>DADOS PARA PAGAMENTO</t>
  </si>
  <si>
    <t>() Pessoa Jurídica</t>
  </si>
  <si>
    <t>Razão Social</t>
  </si>
  <si>
    <t>Fantasia:</t>
  </si>
  <si>
    <t>Banco:</t>
  </si>
  <si>
    <t>Conta:</t>
  </si>
  <si>
    <t>Pix:</t>
  </si>
  <si>
    <t>CNPJ:</t>
  </si>
  <si>
    <t>CPF:</t>
  </si>
  <si>
    <t>Contato:</t>
  </si>
  <si>
    <t>Celular:</t>
  </si>
  <si>
    <t>Parcela</t>
  </si>
  <si>
    <t>Data</t>
  </si>
  <si>
    <t>Valor</t>
  </si>
  <si>
    <t>Forma de Pagamento</t>
  </si>
  <si>
    <t>1ª</t>
  </si>
  <si>
    <t>(   ) Boleto</t>
  </si>
  <si>
    <t>(   ) Pix</t>
  </si>
  <si>
    <t>2ª</t>
  </si>
  <si>
    <t>(   ) Depósito</t>
  </si>
  <si>
    <t>3ª</t>
  </si>
  <si>
    <t>4ª</t>
  </si>
  <si>
    <t>TOTAL</t>
  </si>
  <si>
    <t>OBSERVAÇÕES</t>
  </si>
  <si>
    <t>APROVAÇÕES</t>
  </si>
  <si>
    <t>Solicitante</t>
  </si>
  <si>
    <t>Aprovação</t>
  </si>
  <si>
    <t>Índice</t>
  </si>
  <si>
    <t>Grupo</t>
  </si>
  <si>
    <t>Subgrupo</t>
  </si>
  <si>
    <t>Resumo</t>
  </si>
  <si>
    <t>Descrição</t>
  </si>
  <si>
    <t>Data da Solicitação</t>
  </si>
  <si>
    <t>RAZÃO SOCIAL</t>
  </si>
  <si>
    <t>CONTATO</t>
  </si>
  <si>
    <t>ENCARGOS PUBLI</t>
  </si>
  <si>
    <t>Agência</t>
  </si>
  <si>
    <t>FORNECEDOR</t>
  </si>
  <si>
    <t>DIREÇÃO DE PRODUÇÃO</t>
  </si>
  <si>
    <t>HEAD DE ATENDIMENTO</t>
  </si>
  <si>
    <t>Resp. pela gestão executiva operacional da ação. Pré Produção, implementação do projeto e pós produção.</t>
  </si>
  <si>
    <t xml:space="preserve">Resp. pela interface de atendimento junto ao cliente, elaboração de plano estratégico para briefing interno da agencia após reunião de Brainstorming,  alinhamentos gerais, fluxo interno, alterações e condução de pauta. </t>
  </si>
  <si>
    <t>CUSTOS INTERNOS</t>
  </si>
  <si>
    <t>BUFFET</t>
  </si>
  <si>
    <t>Coffee Break - 20pax
Coffee Break Chegada - 350 pax
Coffee Break tarde - 350 pax 
Coquetel Happy Hour - 350 pax
Estação Permanente - Café e agua plenária</t>
  </si>
  <si>
    <t>BAR</t>
  </si>
  <si>
    <t>Serviço de cerveja, prosecco
contratado para 300 pax</t>
  </si>
  <si>
    <t>ARTISTICO</t>
  </si>
  <si>
    <t>ATRAÇÃO</t>
  </si>
  <si>
    <t>PAGAMENTOS</t>
  </si>
  <si>
    <t>Solicitado</t>
  </si>
  <si>
    <t>PRODUÇÃO</t>
  </si>
  <si>
    <t>Planejamento</t>
  </si>
  <si>
    <t>Planejamento do Job</t>
  </si>
  <si>
    <t>Produção executiva</t>
  </si>
  <si>
    <t>Peterson</t>
  </si>
  <si>
    <t>Operacional</t>
  </si>
  <si>
    <t>MUSICO</t>
  </si>
  <si>
    <t>BANDA</t>
  </si>
  <si>
    <t>RAZÃO SOCIAL:OGGI COMUN. E EV. PROMO. UNIPESSOAL LTDA</t>
  </si>
  <si>
    <t xml:space="preserve">ENDEREÇO:R. ALMIRANTE PEREIRA GUIMARÃES, 327 - </t>
  </si>
  <si>
    <t>OC
38</t>
  </si>
  <si>
    <t>FONE: (11) 3871-5555  SÃO PAULO SP</t>
  </si>
  <si>
    <t>CNPJ: 07.559.587/0001-12</t>
  </si>
  <si>
    <t>INSCRIÇÃO MUNICIPAL: 3.441.108.9</t>
  </si>
  <si>
    <t>E-MAIL:</t>
  </si>
  <si>
    <t>Identificador=38-38-61b77ade14fb9af7e586617fa2e6823e374b1745</t>
  </si>
  <si>
    <t>Tipo Receita</t>
  </si>
  <si>
    <t>Lançamento</t>
  </si>
  <si>
    <t>Item do Orçamento</t>
  </si>
  <si>
    <t>Quantidade</t>
  </si>
  <si>
    <t>Valor Unitário</t>
  </si>
  <si>
    <t>Situação</t>
  </si>
  <si>
    <t>Valor Fornecedor</t>
  </si>
  <si>
    <t>Subtipo</t>
  </si>
  <si>
    <t>Honorários</t>
  </si>
  <si>
    <t>Desconto</t>
  </si>
  <si>
    <t>Encargos</t>
  </si>
  <si>
    <t>Especificação</t>
  </si>
  <si>
    <t>(*)Fim dos Itens</t>
  </si>
  <si>
    <t>Linhas iniciais de 1 a 9 e que contem o (*) não podem ser excluídas</t>
  </si>
  <si>
    <t>Para novos itens não preencher o campo Lançamento</t>
  </si>
  <si>
    <t>Aguardando Aprovação</t>
  </si>
  <si>
    <t>PM</t>
  </si>
  <si>
    <t>0,00%</t>
  </si>
  <si>
    <t>ServicosInternos</t>
  </si>
  <si>
    <t>CORTESIA LED</t>
  </si>
  <si>
    <t>ServicosTerceiros</t>
  </si>
  <si>
    <t xml:space="preserve">  1</t>
  </si>
  <si>
    <t xml:space="preserve">  1.  1</t>
  </si>
  <si>
    <t xml:space="preserve">  1.  1.  1</t>
  </si>
  <si>
    <t>8,00%</t>
  </si>
  <si>
    <t xml:space="preserve">  1.  1.  2</t>
  </si>
  <si>
    <t xml:space="preserve">  1.  1.  3</t>
  </si>
  <si>
    <t xml:space="preserve">  1.  1.  4</t>
  </si>
  <si>
    <t xml:space="preserve">  1.  1.  5</t>
  </si>
  <si>
    <t xml:space="preserve">  1.  1.  6</t>
  </si>
  <si>
    <t>PG</t>
  </si>
  <si>
    <t>15,00%</t>
  </si>
  <si>
    <t xml:space="preserve">  1.  2</t>
  </si>
  <si>
    <t xml:space="preserve">  1.  2.  1</t>
  </si>
  <si>
    <t xml:space="preserve">  1.  2.  2</t>
  </si>
  <si>
    <t xml:space="preserve">  2</t>
  </si>
  <si>
    <t xml:space="preserve">  2.  1</t>
  </si>
  <si>
    <t xml:space="preserve">  2.  1.  1</t>
  </si>
  <si>
    <t xml:space="preserve">  2.  1.  2</t>
  </si>
  <si>
    <t>( X ) Pessoa Jurídica</t>
  </si>
  <si>
    <t>ORÇAMENTO 5.1</t>
  </si>
  <si>
    <t>SUBTOTAL</t>
  </si>
  <si>
    <t>Peso</t>
  </si>
  <si>
    <t>RESUMO</t>
  </si>
  <si>
    <t>DESCRITIVO</t>
  </si>
  <si>
    <t>Qtd</t>
  </si>
  <si>
    <t>Diária</t>
  </si>
  <si>
    <t>R$ unit</t>
  </si>
  <si>
    <t>QTDE</t>
  </si>
  <si>
    <t>DIÁRIA</t>
  </si>
  <si>
    <t>VL. UNIT.</t>
  </si>
  <si>
    <t>SUB TOTAL</t>
  </si>
  <si>
    <t>DIFERENÇA</t>
  </si>
  <si>
    <t>% NOTA</t>
  </si>
  <si>
    <t>CUSTO NOTA</t>
  </si>
  <si>
    <t>CUSTO TOTAL (custo + dif. NF)</t>
  </si>
  <si>
    <t>CUSTO TOTAL + IMPOSTOS</t>
  </si>
  <si>
    <t>Margem</t>
  </si>
  <si>
    <t>Valor Total</t>
  </si>
  <si>
    <t>Saldo</t>
  </si>
  <si>
    <t>Fornecedor</t>
  </si>
  <si>
    <t>CPF/CNPJ</t>
  </si>
  <si>
    <t>Vazio</t>
  </si>
  <si>
    <t>PENDENTE</t>
  </si>
  <si>
    <t>EFETUADO</t>
  </si>
  <si>
    <t>1.1.2</t>
  </si>
  <si>
    <t>24/06/2025</t>
  </si>
  <si>
    <t xml:space="preserve"> </t>
  </si>
  <si>
    <t>Orçamento Produção Oggi 5.1.xlsm</t>
  </si>
  <si>
    <t>24.636.168/0001-56</t>
  </si>
  <si>
    <t>CLINICA DEBORA PADUA LTDA</t>
  </si>
  <si>
    <t>(11) 8209-4333</t>
  </si>
  <si>
    <t>24/06/25</t>
  </si>
  <si>
    <t>( X ) Boleto</t>
  </si>
  <si>
    <t>Santader</t>
  </si>
  <si>
    <t>123123</t>
  </si>
  <si>
    <t>12312</t>
  </si>
  <si>
    <t>R$ 100,00</t>
  </si>
  <si>
    <t>Teste</t>
  </si>
  <si>
    <t>GRUPO</t>
  </si>
  <si>
    <t>INTERNO</t>
  </si>
  <si>
    <t>SUBGRUPO</t>
  </si>
  <si>
    <t>1.1</t>
  </si>
  <si>
    <t>AGENCIAMENTO</t>
  </si>
  <si>
    <t>IMPOSTOS</t>
  </si>
  <si>
    <t>Marg.</t>
  </si>
  <si>
    <t>EQUIPE INTERNA</t>
  </si>
  <si>
    <t>ITEM</t>
  </si>
  <si>
    <t>1.1.1</t>
  </si>
  <si>
    <t>PRODUTOR: Raquel Natal</t>
  </si>
  <si>
    <t>1.1.5</t>
  </si>
  <si>
    <t>FAT.OGGI</t>
  </si>
  <si>
    <t>2.1</t>
  </si>
  <si>
    <t>2.1.1</t>
  </si>
  <si>
    <t>OPERACIONAL</t>
  </si>
  <si>
    <t>SUBTOTAL GRUPO</t>
  </si>
  <si>
    <t>SUBTOTAL SUBGRUPO</t>
  </si>
  <si>
    <t>Subtotal INTERNO</t>
  </si>
  <si>
    <t>SUBTOTAL PLANILHA</t>
  </si>
  <si>
    <t xml:space="preserve">TOTAL </t>
  </si>
  <si>
    <t>ARTÍSTICO</t>
  </si>
  <si>
    <t xml:space="preserve">A&amp;B </t>
  </si>
  <si>
    <t>Subtotal ARTÍSTICO</t>
  </si>
  <si>
    <t xml:space="preserve">Subtotal </t>
  </si>
  <si>
    <t>3.1</t>
  </si>
  <si>
    <t>3.1.1</t>
  </si>
  <si>
    <t>3.1.2</t>
  </si>
  <si>
    <t>3.2</t>
  </si>
  <si>
    <t>3.2.1</t>
  </si>
  <si>
    <t>3.2.2</t>
  </si>
  <si>
    <t>3.2.3</t>
  </si>
  <si>
    <t>3.2.4</t>
  </si>
  <si>
    <t>3.2.5</t>
  </si>
  <si>
    <t>3.2.6</t>
  </si>
  <si>
    <t xml:space="preserve">Subtotal AUDIOSUAL </t>
  </si>
  <si>
    <t>4.1</t>
  </si>
  <si>
    <t>4.1.1</t>
  </si>
  <si>
    <t>4.1.2</t>
  </si>
  <si>
    <t>4.2</t>
  </si>
  <si>
    <t>4.2.1</t>
  </si>
  <si>
    <t>4.2.2</t>
  </si>
  <si>
    <t>4.2.3</t>
  </si>
  <si>
    <t>4.2.4</t>
  </si>
  <si>
    <t>4.2.5</t>
  </si>
  <si>
    <t>4.2.6</t>
  </si>
  <si>
    <t>4.3</t>
  </si>
  <si>
    <t>4.3.1</t>
  </si>
  <si>
    <t>4.4</t>
  </si>
  <si>
    <t>4.4.1</t>
  </si>
  <si>
    <t>5.1</t>
  </si>
  <si>
    <t>5.1.1</t>
  </si>
  <si>
    <t>5.1.2</t>
  </si>
  <si>
    <t>5.2</t>
  </si>
  <si>
    <t>5.2.1</t>
  </si>
  <si>
    <t>5.3</t>
  </si>
  <si>
    <t>5.3.1</t>
  </si>
  <si>
    <t>CLIENTE: WHIRLPOOL</t>
  </si>
  <si>
    <t xml:space="preserve">   </t>
  </si>
  <si>
    <t>4.2.7</t>
  </si>
  <si>
    <t>6.1</t>
  </si>
  <si>
    <t>6.1.1</t>
  </si>
  <si>
    <t>6.1.2</t>
  </si>
  <si>
    <t>1.1.3</t>
  </si>
  <si>
    <t>1.1.4</t>
  </si>
  <si>
    <t>6.1.3</t>
  </si>
  <si>
    <t>6.1.4</t>
  </si>
  <si>
    <t>6.1.5</t>
  </si>
  <si>
    <t>Marg. Lucro</t>
  </si>
  <si>
    <t>1.1.6</t>
  </si>
  <si>
    <t>6.1.6</t>
  </si>
  <si>
    <t>Subtotal EQUIPE INTERNA</t>
  </si>
  <si>
    <t>Serviços e materiais de custo único para todas as praças</t>
  </si>
  <si>
    <t>6.1.7</t>
  </si>
  <si>
    <t>6.1.8</t>
  </si>
  <si>
    <t>6.1.9</t>
  </si>
  <si>
    <t>6.1.11</t>
  </si>
  <si>
    <t>4.3.2</t>
  </si>
  <si>
    <t>CÓDIGO DO JOB: WHP_028</t>
  </si>
  <si>
    <t>EVENTO: CONVENÇÃO DE VENDAS 2026</t>
  </si>
  <si>
    <t>LOCAL: ITU - SP</t>
  </si>
  <si>
    <t>DATA: de 27 a 29 de Janeiro de 2026</t>
  </si>
  <si>
    <t>ATENDIMENTO: Carolina Kelm</t>
  </si>
  <si>
    <t>NOME PLANILHA: WHP_028 WHUB 2026, COLETIVA E LANÇAMENTO_V2</t>
  </si>
  <si>
    <t>1.1.7</t>
  </si>
  <si>
    <t>1.1.8</t>
  </si>
  <si>
    <t>GERENTE</t>
  </si>
  <si>
    <t>CRIAÇÃO DO PROJETO</t>
  </si>
  <si>
    <t>PLANEJAMENTO</t>
  </si>
  <si>
    <t>ATENDIMENTO</t>
  </si>
  <si>
    <t>LOGÍSTICA</t>
  </si>
  <si>
    <t>COMUNICAÇÃO</t>
  </si>
  <si>
    <t>SHOWROOM / ATIVAÇÕES</t>
  </si>
  <si>
    <t>STAFF</t>
  </si>
  <si>
    <t>2.1.2</t>
  </si>
  <si>
    <t>2.1.3</t>
  </si>
  <si>
    <t>2.1.4</t>
  </si>
  <si>
    <t>2.1.5</t>
  </si>
  <si>
    <t>2.1.6</t>
  </si>
  <si>
    <t>2.1.7</t>
  </si>
  <si>
    <t>2.1.8</t>
  </si>
  <si>
    <t>2.1.9</t>
  </si>
  <si>
    <t>2.1.10</t>
  </si>
  <si>
    <t>2.1.11</t>
  </si>
  <si>
    <t>2.1.12</t>
  </si>
  <si>
    <t>2.1.13</t>
  </si>
  <si>
    <t>2.1.14</t>
  </si>
  <si>
    <t>2.1.15</t>
  </si>
  <si>
    <t>2.1.16</t>
  </si>
  <si>
    <t>2.1.17</t>
  </si>
  <si>
    <t>2.1.18</t>
  </si>
  <si>
    <t>ASSISTENTE DE PRODUÇÃO</t>
  </si>
  <si>
    <t>ASSISTENTE DE LOGÍSTICA</t>
  </si>
  <si>
    <t>ASSISTENTE DE CONTEÚDO</t>
  </si>
  <si>
    <t xml:space="preserve">PRODUTORES MONTAGEM / DESMONTAGEM / SERVIÇOS </t>
  </si>
  <si>
    <t>PRODUTORES A&amp;B</t>
  </si>
  <si>
    <t>PRODUTORES GERAL</t>
  </si>
  <si>
    <t>PRODUTORES LOGÍSTICA</t>
  </si>
  <si>
    <t>PROMOTORES CREDENCIAMENTO</t>
  </si>
  <si>
    <t>PROMOTORES PLENÁRIA</t>
  </si>
  <si>
    <t>LIMPEZA</t>
  </si>
  <si>
    <t>CARREGADORES</t>
  </si>
  <si>
    <t>SEGURANÇA</t>
  </si>
  <si>
    <t>BRIGADISTA</t>
  </si>
  <si>
    <t>DIRETOR ARTÍSTICO</t>
  </si>
  <si>
    <t>DIRETOR TÉCNICO</t>
  </si>
  <si>
    <t>ROTEIRISTA</t>
  </si>
  <si>
    <t>SONOPLASTA</t>
  </si>
  <si>
    <t>FOTÓGRAFO</t>
  </si>
  <si>
    <t xml:space="preserve">LOGÍSTICA AÉREA </t>
  </si>
  <si>
    <t xml:space="preserve">LOGÍSTICA TERRESTRE </t>
  </si>
  <si>
    <t>3.1.3</t>
  </si>
  <si>
    <t>3.1.4</t>
  </si>
  <si>
    <t>3.1.5</t>
  </si>
  <si>
    <t>3.1.6</t>
  </si>
  <si>
    <t>3.1.7</t>
  </si>
  <si>
    <t>3.1.8</t>
  </si>
  <si>
    <t>3.1.9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</si>
  <si>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</si>
  <si>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</si>
  <si>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</si>
  <si>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</si>
  <si>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</si>
  <si>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</si>
  <si>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</si>
  <si>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</si>
  <si>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</si>
  <si>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</si>
  <si>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</si>
  <si>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</si>
  <si>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</si>
  <si>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</si>
  <si>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</si>
  <si>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</si>
  <si>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</si>
  <si>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</si>
  <si>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</si>
  <si>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</si>
  <si>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</si>
  <si>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</si>
  <si>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</si>
  <si>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</si>
  <si>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</si>
  <si>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</si>
  <si>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FAT.CLIENTE</t>
  </si>
  <si>
    <t>AÉREO AJU</t>
  </si>
  <si>
    <t>AÉREO BEL</t>
  </si>
  <si>
    <t>AÉREO BSB</t>
  </si>
  <si>
    <t>AÉREO CGR</t>
  </si>
  <si>
    <t>AÉREO CNF</t>
  </si>
  <si>
    <t>AÉREO CPV</t>
  </si>
  <si>
    <t>AÉREO CWB</t>
  </si>
  <si>
    <t>AÉREO CXJ</t>
  </si>
  <si>
    <t>AÉREO FLN</t>
  </si>
  <si>
    <t>AÉREO FOR</t>
  </si>
  <si>
    <t>AÉREO GIG</t>
  </si>
  <si>
    <t>AÉREO GYN</t>
  </si>
  <si>
    <t>AÉREO IZA</t>
  </si>
  <si>
    <t>AÉREO JOI</t>
  </si>
  <si>
    <t>AÉREO JPA</t>
  </si>
  <si>
    <t>AÉREO LDB</t>
  </si>
  <si>
    <t>AÉREO MAO</t>
  </si>
  <si>
    <t>AÉREO MCP</t>
  </si>
  <si>
    <t>AÉREO MCZ</t>
  </si>
  <si>
    <t>AÉREO MEX</t>
  </si>
  <si>
    <t>AÉREO MGF</t>
  </si>
  <si>
    <t>AÉREO NAT</t>
  </si>
  <si>
    <t>AÉREO NVT</t>
  </si>
  <si>
    <t>AÉREO PET</t>
  </si>
  <si>
    <t>AÉREO POA</t>
  </si>
  <si>
    <t>AÉREO PPB</t>
  </si>
  <si>
    <t>AÉREO PVH</t>
  </si>
  <si>
    <t>AÉREO RAO</t>
  </si>
  <si>
    <t>AÉREO REC</t>
  </si>
  <si>
    <t>AÉREO SJP</t>
  </si>
  <si>
    <t>AÉREO SLZ</t>
  </si>
  <si>
    <t>AÉREO SUL</t>
  </si>
  <si>
    <t>AÉREO THE</t>
  </si>
  <si>
    <t>AÉREO UDI</t>
  </si>
  <si>
    <t>AÉREO VIX</t>
  </si>
  <si>
    <t>Subtotal LOGÍSTICA AÉREA</t>
  </si>
  <si>
    <t>Subtotal STAFF</t>
  </si>
  <si>
    <t>TRANSFER AEROPORTO - IDA</t>
  </si>
  <si>
    <t>TRANSFER AEROPORTO - VOLTA</t>
  </si>
  <si>
    <t>TRANSPORTE STAFF WHP</t>
  </si>
  <si>
    <t>TRANSPORTE STAFF AGÊNCIA</t>
  </si>
  <si>
    <t>TRANSPORTE MATERIAIS</t>
  </si>
  <si>
    <t>VOUCHER DE UBER</t>
  </si>
  <si>
    <t>Subtotal LOGÍSTICA TERRESTRE</t>
  </si>
  <si>
    <t>Subtotal LOGÍSTICA</t>
  </si>
  <si>
    <t>HOTEL</t>
  </si>
  <si>
    <t>HOSPEDAGEM</t>
  </si>
  <si>
    <t>4.1.3</t>
  </si>
  <si>
    <t>APARTAMENTO SINGLE</t>
  </si>
  <si>
    <t>APARTAMENTO DUPLO</t>
  </si>
  <si>
    <t>APARTAMENTO STAFF</t>
  </si>
  <si>
    <t>Subtotal HOSPEDAGEM</t>
  </si>
  <si>
    <t>SALAS DE EVENTOS</t>
  </si>
  <si>
    <t>Subtotal SALAS DE EVENTOS</t>
  </si>
  <si>
    <t>4.2.8</t>
  </si>
  <si>
    <t>SALA - PLENÁRIA</t>
  </si>
  <si>
    <t>SALA - SHOWROOM</t>
  </si>
  <si>
    <t>SALA - VIP</t>
  </si>
  <si>
    <t>SALA - STAFF WHP</t>
  </si>
  <si>
    <t>SALA - PPT</t>
  </si>
  <si>
    <t>SALAS - DIVISÕES</t>
  </si>
  <si>
    <t>SALA - PRODUÇÃO</t>
  </si>
  <si>
    <t>SALA - EXTRA</t>
  </si>
  <si>
    <t>SERVIÇOS E TAXAS DIVERSAS</t>
  </si>
  <si>
    <t>TAXAS DIVERSAS</t>
  </si>
  <si>
    <t>Subtotal SERVIÇOS E TAXAS DIVERSAS</t>
  </si>
  <si>
    <t>ALMOÇO - PARTICIPANTES</t>
  </si>
  <si>
    <t>ENTRADAS: 06 tipos de salada, 02 tipos de molho e cesta de pães variados.
PRATOS QUENTES: 03 tipos de proteína, 01 tipo de massa, 03 tipos de guarnição, 01 opção vegetariana e 01 opção vegana.
SOBREMESAS: frutas da estação e 05 tipos de doce.
BEBIDAS: água, suco e refrigerante refil.</t>
  </si>
  <si>
    <t>JANTAR - PARTICIPANTES</t>
  </si>
  <si>
    <t>A&amp;B -  HAPPY HOUR</t>
  </si>
  <si>
    <t>SANDUÍCHES CAIPIRAS: Mini Sanduiche de pernil, Mini Sanduiche de linguiça com queijo. (1h)
Bebidas:
- Agua mineral sem e com gás
- uma opção de suco
- refrigerante em lata
- cerveja importada em lata (Heineken com e sem alcool)
- uma opção de cerveja sem glutem
Estação de Caipirinha, Caipiroska e Saquerita.
(cachaça cabaré. Sabores limão, abacaxi e frutas vermelhas)
Gin (Tanqueray)</t>
  </si>
  <si>
    <t>A&amp;B - FESTA DE ENCERRAMENTO</t>
  </si>
  <si>
    <t>MINI HAMBÚRGUER: Cheddar Burguer, Cheese Burguer. (1h)
Bebidas:
- Agua mineral sem e com gás
- uma opção de suco
- refrigerante em lata
- cerveja importada em lata (Heineken com e sem alcool)
- uma opção de cerveja sem glutem
Estação de Caipirinha, Caipiroska e Saquerita.
(cachaça cabaré. Sabores limão, abacaxi e frutas vermelhas)
Gin (Tanqueray)</t>
  </si>
  <si>
    <t>COFFEE BREAK</t>
  </si>
  <si>
    <t>COFFEE BREAK - MANHÃ
Café, Chá,
Suco
Pão de Queijo
Bolo</t>
  </si>
  <si>
    <t>Subtotal A&amp;B</t>
  </si>
  <si>
    <t>Subtotal HOTEL</t>
  </si>
  <si>
    <t>4.4.2</t>
  </si>
  <si>
    <t>4.4.3</t>
  </si>
  <si>
    <t>4.4.4</t>
  </si>
  <si>
    <t>4.4.5</t>
  </si>
  <si>
    <t>MESTRE DE CERIMÔNIA 2</t>
  </si>
  <si>
    <t>PALESTRANTE</t>
  </si>
  <si>
    <t>DJ - HAPPY HOUR</t>
  </si>
  <si>
    <t>DJ - FESTA DE ENCERRAMENTO</t>
  </si>
  <si>
    <t xml:space="preserve">BANDA - BAILE DA MASSA REAL </t>
  </si>
  <si>
    <t>MESTRE DE CERIMÔNIA</t>
  </si>
  <si>
    <t>Subtotal MESTRE DE CERIMÔNIA</t>
  </si>
  <si>
    <t>Subtotal PALESTRANTE</t>
  </si>
  <si>
    <t xml:space="preserve">BANDA E DJ </t>
  </si>
  <si>
    <t>TÉCNICA</t>
  </si>
  <si>
    <t>GERADOR</t>
  </si>
  <si>
    <t>EQUIPAMENTOS</t>
  </si>
  <si>
    <t>TRANSMISSÃO / CAPTAÇÃO</t>
  </si>
  <si>
    <t>ESFERA DE LED</t>
  </si>
  <si>
    <t>6.1.12</t>
  </si>
  <si>
    <t>6.1.13</t>
  </si>
  <si>
    <t>6.1.14</t>
  </si>
  <si>
    <t>TÉCNICA - REGIONAIS</t>
  </si>
  <si>
    <t>TECNICAPLENÁRIA  - AUDIO</t>
  </si>
  <si>
    <t>TECNICA PLENÁRIA  - LUZ</t>
  </si>
  <si>
    <t>TECNICA PLENÁRIA - IMAGEM</t>
  </si>
  <si>
    <t>HAPPY HOUR - AUDIO</t>
  </si>
  <si>
    <t>HAPPY HOUR - LUZ</t>
  </si>
  <si>
    <t>RESERVA DE VERBA PARA RIDER TÉCNICO</t>
  </si>
  <si>
    <t>ILUMINAÇÃO - SHOWROOM</t>
  </si>
  <si>
    <t>TÉCNICA FOYER</t>
  </si>
  <si>
    <t>RESERVA DE VERBA PARA RIDER TÉCNICO - BANDA</t>
  </si>
  <si>
    <t>Subtotal TÉCNICA</t>
  </si>
  <si>
    <t>CONTEÚDO</t>
  </si>
  <si>
    <t>7.1</t>
  </si>
  <si>
    <t>7.1.1</t>
  </si>
  <si>
    <t>7.1.2</t>
  </si>
  <si>
    <t>7.1.3</t>
  </si>
  <si>
    <t>VINHETAS</t>
  </si>
  <si>
    <t>PPT - DIAGRAMAÇÃO</t>
  </si>
  <si>
    <t>SUPORTE PPT</t>
  </si>
  <si>
    <t>VINHETAS ESFERA DE LED</t>
  </si>
  <si>
    <t>Subtotal CONTEÚDO</t>
  </si>
  <si>
    <t>8.1</t>
  </si>
  <si>
    <t>CENOGRAFIA</t>
  </si>
  <si>
    <t>8.1.1</t>
  </si>
  <si>
    <t>8.1.2</t>
  </si>
  <si>
    <t>8.1.3</t>
  </si>
  <si>
    <t>8.1.4</t>
  </si>
  <si>
    <t>8.1.5</t>
  </si>
  <si>
    <t xml:space="preserve">CENOGRAFIA </t>
  </si>
  <si>
    <t>8.1.6</t>
  </si>
  <si>
    <t>8.1.7</t>
  </si>
  <si>
    <t>8.1.8</t>
  </si>
  <si>
    <t>8.1.9</t>
  </si>
  <si>
    <t>8.1.10</t>
  </si>
  <si>
    <t>8.1.11</t>
  </si>
  <si>
    <t>TOTEM  - SINALIZAÇÃO</t>
  </si>
  <si>
    <t>PÓRTICO DE ENTRADA</t>
  </si>
  <si>
    <t>PALCO PLENÁRIA</t>
  </si>
  <si>
    <t>ESTRUTURA PAINEL DE LED</t>
  </si>
  <si>
    <t>LOGO - LETRA CAIXA</t>
  </si>
  <si>
    <t>SHOWROOM - CENOGRAFIA</t>
  </si>
  <si>
    <t>MOBILIÁRIO - HH E FESTA</t>
  </si>
  <si>
    <t>MÃO DE OBRA</t>
  </si>
  <si>
    <t xml:space="preserve">Subtotal CENOGRAFIA </t>
  </si>
  <si>
    <t>Subtotal CENOGRAFIA</t>
  </si>
  <si>
    <t>9.1</t>
  </si>
  <si>
    <t>ATIVAÇÕES</t>
  </si>
  <si>
    <t>9.1.1</t>
  </si>
  <si>
    <t>9.1.2</t>
  </si>
  <si>
    <t>9.1.3</t>
  </si>
  <si>
    <t>9.1.4</t>
  </si>
  <si>
    <t>9.1.5</t>
  </si>
  <si>
    <t>9.1.6</t>
  </si>
  <si>
    <t xml:space="preserve">UNIFORME PROMOTORES </t>
  </si>
  <si>
    <t>ATORES - AÇÕES HOTEL E PLENÁRIA</t>
  </si>
  <si>
    <t>OBJETOS PLENÁRIA</t>
  </si>
  <si>
    <t>MANUSEIO - CRACHÁ</t>
  </si>
  <si>
    <t>PICOLÉS</t>
  </si>
  <si>
    <t>CAMISETA - PARTICIPANTES</t>
  </si>
  <si>
    <t>CAMISETA - STAFF WHIRPOOL</t>
  </si>
  <si>
    <t>COPO COM TIRANTE</t>
  </si>
  <si>
    <t>PLACA PAPARAZZI</t>
  </si>
  <si>
    <t>STICKIES NEON</t>
  </si>
  <si>
    <t>9.2</t>
  </si>
  <si>
    <t>9.2.1</t>
  </si>
  <si>
    <t>9.2.2</t>
  </si>
  <si>
    <t>9.2.3</t>
  </si>
  <si>
    <t>9.2.4</t>
  </si>
  <si>
    <t>9.2.5</t>
  </si>
  <si>
    <t>9.2.6</t>
  </si>
  <si>
    <t>9.2.7</t>
  </si>
  <si>
    <t>BRINDES</t>
  </si>
  <si>
    <t>Subtotal ATIVAÇÕES</t>
  </si>
  <si>
    <t>Subtotal BRINDES</t>
  </si>
  <si>
    <t>9.3</t>
  </si>
  <si>
    <t>ATIVIDADES, BRINDES E MATERIAIS</t>
  </si>
  <si>
    <t>MATERIAIS E IMPRESSOS</t>
  </si>
  <si>
    <t>9.3.1</t>
  </si>
  <si>
    <t>9.3.2</t>
  </si>
  <si>
    <t>9.3.3</t>
  </si>
  <si>
    <t>9.3.4</t>
  </si>
  <si>
    <t>9.3.5</t>
  </si>
  <si>
    <t>9.3.6</t>
  </si>
  <si>
    <t>9.3.7</t>
  </si>
  <si>
    <t>9.3.8</t>
  </si>
  <si>
    <t>CRACHÁ</t>
  </si>
  <si>
    <t>CORDÃO</t>
  </si>
  <si>
    <t>FICHA DE PALCO</t>
  </si>
  <si>
    <t>TAG - TOPS</t>
  </si>
  <si>
    <t>CARTA BOAS VINDAS</t>
  </si>
  <si>
    <t>TAG DE MALA</t>
  </si>
  <si>
    <t>ADESIVO PORTAS - TOPS</t>
  </si>
  <si>
    <t>APLICATIVO - COMUNICAÇÕES E ATIVAÇÕES</t>
  </si>
  <si>
    <t>Subtotal MATERIAIS E IMPRESSOS</t>
  </si>
  <si>
    <t>Subtotal ATIVIDADES, BRINDES E MATERIAIS</t>
  </si>
  <si>
    <t>10.1</t>
  </si>
  <si>
    <t>10.1.1</t>
  </si>
  <si>
    <t>10.1.2</t>
  </si>
  <si>
    <t>10.1.3</t>
  </si>
  <si>
    <t>10.1.4</t>
  </si>
  <si>
    <t>10.1.5</t>
  </si>
  <si>
    <t>10.1.6</t>
  </si>
  <si>
    <t>OPERAÇÃO</t>
  </si>
  <si>
    <t>RÁDIO</t>
  </si>
  <si>
    <t>TÉCNICO RÁDIO</t>
  </si>
  <si>
    <t>MATERIAL DE APOIO</t>
  </si>
  <si>
    <t>CAÇAMBA</t>
  </si>
  <si>
    <t>AMBULÂNCIA</t>
  </si>
  <si>
    <t>Subtotal OPERAÇÃO</t>
  </si>
  <si>
    <t>11.1</t>
  </si>
  <si>
    <t>11.1.1</t>
  </si>
  <si>
    <t>11.1.2</t>
  </si>
  <si>
    <t>11.1.3</t>
  </si>
  <si>
    <t>TAXAS E DOCUMENTAÇÕES</t>
  </si>
  <si>
    <t>ECAD</t>
  </si>
  <si>
    <t>SEGURO</t>
  </si>
  <si>
    <t>SEGURO RC + RD + AP</t>
  </si>
  <si>
    <t>DOCUMENTAÇÃO TÉCNICA</t>
  </si>
  <si>
    <t>Subtotal TAXAS E DOCUMENTAÇÕES</t>
  </si>
  <si>
    <t>Lucro</t>
  </si>
  <si>
    <t xml:space="preserve">Subtotal LOGÍSTICA AÉREA </t>
  </si>
  <si>
    <t xml:space="preserve">CARTA BOAS VINDAS </t>
  </si>
  <si>
    <t>SACOLA PARA BRINDES</t>
  </si>
  <si>
    <t xml:space="preserve">MICROONDAS </t>
  </si>
  <si>
    <t>AÉREO - estimativa</t>
  </si>
  <si>
    <t>4.4.6</t>
  </si>
  <si>
    <t>SERVIÇO DE SALA</t>
  </si>
  <si>
    <t xml:space="preserve">SERVIÇO DE SALA
- Agua mineral sem e com gás
- térmicas de café </t>
  </si>
  <si>
    <t>OBJETOS ÁREAS INSTAGRAMÁVEIS</t>
  </si>
  <si>
    <t>ATIVAÇÃO PIPOCA - MICROONDAS</t>
  </si>
  <si>
    <t>OBJETOS ÁREAS INSTAGRAMÁVEIS - GELADEIRA E LAVA-ROUPAS</t>
  </si>
  <si>
    <t>FICHAS BRINDES</t>
  </si>
  <si>
    <t>PICOLÉS - GELADEIRA</t>
  </si>
  <si>
    <t>ATIVAÇÃO MONTAGEM AS CEGAS - LAVA-ROUPAS</t>
  </si>
  <si>
    <t>TÉCNICA - TELAS</t>
  </si>
  <si>
    <t>EVENTO: COLETIVA LANÇAMENTOS 2026</t>
  </si>
  <si>
    <t>EVENTO: LANÇAMENTOS 2026</t>
  </si>
  <si>
    <t>EVENTOS</t>
  </si>
  <si>
    <t>Convenção de Vendas</t>
  </si>
  <si>
    <t>Coletiva de Imprensa</t>
  </si>
  <si>
    <t>Lançamentos 2026</t>
  </si>
  <si>
    <t>BALCÕES RECEPTIVOS</t>
  </si>
  <si>
    <t>Gisela Pereira</t>
  </si>
  <si>
    <t>4.1.4</t>
  </si>
  <si>
    <t>4.1.5</t>
  </si>
  <si>
    <t>TRANSPORTE STAFF AGÊNCIA - IDA</t>
  </si>
  <si>
    <t>TIMELIEN FOYER</t>
  </si>
  <si>
    <t>Hospedagem - 10%</t>
  </si>
  <si>
    <t>Luis - emissões de passagem</t>
  </si>
  <si>
    <t xml:space="preserve">PALESTRANTE </t>
  </si>
  <si>
    <t xml:space="preserve">Interno </t>
  </si>
  <si>
    <t>Interno</t>
  </si>
  <si>
    <t xml:space="preserve">Criação </t>
  </si>
  <si>
    <t>10/112025</t>
  </si>
  <si>
    <t xml:space="preserve">Raquel Natal </t>
  </si>
  <si>
    <t xml:space="preserve">Serviço de designer, com assistente para desenvolvimento de KV, desdobramento de paças criativas, arte final de layouts para impressão ou produção em terceiros. Serviço de 3 meses, pago em 3 parcelas - 2 de R$ 8.500,00 e 1 de R$ 10.000,00 </t>
  </si>
  <si>
    <t>30.281.541/0001-04</t>
  </si>
  <si>
    <t xml:space="preserve">NOOVA SERGIÇOS DIGITAIS LTDA </t>
  </si>
  <si>
    <t xml:space="preserve">Fábio Perez - fabio@noovadigital.com.br </t>
  </si>
  <si>
    <t>TRANSFER PALESTRANTE AEROPORTO/HOTEL</t>
  </si>
  <si>
    <t>AÉREO  palestrante</t>
  </si>
  <si>
    <t>MOTOR ESFERA DE LED</t>
  </si>
  <si>
    <t>TELEPROMPTER</t>
  </si>
  <si>
    <t>6.1.10</t>
  </si>
  <si>
    <t>8.1.12</t>
  </si>
  <si>
    <t>FUNDO DE PALCO PLENÁRIA</t>
  </si>
  <si>
    <t>KIT LANCHE - Transfer ida</t>
  </si>
  <si>
    <t>PÓRTICO - PLENÁRIA</t>
  </si>
  <si>
    <t>TRANSFER MC</t>
  </si>
  <si>
    <t>Aéreos - 15%</t>
  </si>
  <si>
    <t>1.2</t>
  </si>
  <si>
    <t>1.2.1</t>
  </si>
  <si>
    <t>4.2.9</t>
  </si>
  <si>
    <t>4.3.3</t>
  </si>
  <si>
    <t>4.3.4</t>
  </si>
  <si>
    <t>4.3.5</t>
  </si>
  <si>
    <t>ABERTURA DE PORTAS</t>
  </si>
  <si>
    <t>MESTRE DE CERIMÔNIA 1</t>
  </si>
  <si>
    <t>Convenção de Vendas EXTRA</t>
  </si>
  <si>
    <t>APARTAMENTO MC</t>
  </si>
  <si>
    <t>APARTAMENTO SINGLE STAFF WHP</t>
  </si>
  <si>
    <t>APARTAMENTO SINGLE CONVIDADOS</t>
  </si>
  <si>
    <t xml:space="preserve">APARTAMENTO PALESTRANTE </t>
  </si>
  <si>
    <t>APARTAMENTO MC e AGENTE</t>
  </si>
  <si>
    <t xml:space="preserve">ALMOÇO + JANTAR STAFF </t>
  </si>
  <si>
    <t>JANTAR - TIME WHIRLPOOL ENSAIO - time WHP, Palestrante e MC</t>
  </si>
  <si>
    <t>ALMOÇO PARTICIPANTES, time WHP, PALESTRANTE E MC</t>
  </si>
  <si>
    <t xml:space="preserve">MESTRE DE CERIMÔNIA </t>
  </si>
  <si>
    <t>FECHAMENTO PLENÁRIA</t>
  </si>
  <si>
    <t>PANTOGRÁFICA ARTICULADA</t>
  </si>
  <si>
    <t>FECHAMENTOS PLENÁRIA</t>
  </si>
  <si>
    <t xml:space="preserve">EM EXECUÇÃO </t>
  </si>
  <si>
    <t xml:space="preserve">Fábio + Victor </t>
  </si>
  <si>
    <t>REALIZADO</t>
  </si>
  <si>
    <t>Vanessa</t>
  </si>
  <si>
    <t xml:space="preserve">Matheus Sala </t>
  </si>
  <si>
    <t>João Felipe</t>
  </si>
  <si>
    <t>Elaine Zucchi</t>
  </si>
  <si>
    <t xml:space="preserve">Daniela Sala </t>
  </si>
  <si>
    <t>Orçar 1 seg de 24 a 29 para Consul + 1 seg de 27 a 29 para Brastemp</t>
  </si>
  <si>
    <t xml:space="preserve">EM NEGOCIAÇÃO </t>
  </si>
  <si>
    <t xml:space="preserve">Aguardando finalizar </t>
  </si>
  <si>
    <t xml:space="preserve">Contrato para análise e negociação </t>
  </si>
  <si>
    <t>DMT PALESTRAS</t>
  </si>
  <si>
    <t>DATA: 03 e 04 fevereiro de 2026</t>
  </si>
  <si>
    <t>DATA: 27 de Janeiro de 2026</t>
  </si>
  <si>
    <t>NOME PLANILHA: WHP_042 E LANÇAMENTO DE PRODUTO</t>
  </si>
  <si>
    <t>NOME PLANILHA: WHP_041_COLETIVA DE IMPRENSA</t>
  </si>
  <si>
    <t>TRANSFER PONTO DE ENCONTRO/HOTEL</t>
  </si>
  <si>
    <t>TRANSFER HOTEL/PONTO DE ENCONTRO</t>
  </si>
  <si>
    <t>VOUCHER UBER</t>
  </si>
  <si>
    <t>JANTAR - PARTICIPANTES (26/01)
*Local não privativo - restaurante do hotel</t>
  </si>
  <si>
    <t>ALMOÇO - PARTICIPANTES (27/01)
*Local não privativo - restaurante do hotel</t>
  </si>
  <si>
    <t xml:space="preserve">SERVIÇO DE SALA </t>
  </si>
  <si>
    <t>IMANTADOS - GELADEIRAS (EXCLUÍDO)</t>
  </si>
  <si>
    <t>CERÂMICA - CONSUL (EXCLUÍDO)</t>
  </si>
  <si>
    <t>BALDES DE PIPOCA -  BRASTEMP (EXCLUÍDO)</t>
  </si>
  <si>
    <t>CANECAS - BRASTEMP OPCIONAL (EXCLUÍDO)</t>
  </si>
  <si>
    <t>PINGUIM DECORATIVO (EXCLUÍDO)</t>
  </si>
  <si>
    <t>9.2.8</t>
  </si>
  <si>
    <t>LE CREUSET</t>
  </si>
  <si>
    <t xml:space="preserve">STATUS CLIENTE </t>
  </si>
  <si>
    <t>STATUS OGGI</t>
  </si>
  <si>
    <t xml:space="preserve">APROVADO </t>
  </si>
  <si>
    <t>APROVADO</t>
  </si>
  <si>
    <t>CONTRATADO</t>
  </si>
  <si>
    <t>PETERSON</t>
  </si>
  <si>
    <t>CESAR DUO</t>
  </si>
  <si>
    <t>DECLINADO</t>
  </si>
  <si>
    <t>BRUNO MELO</t>
  </si>
  <si>
    <t>THAIS PINA</t>
  </si>
  <si>
    <t>CAROLINA KELM</t>
  </si>
  <si>
    <t>CLAUDIA CUSTODIO</t>
  </si>
  <si>
    <t>JOÃO FELIPPE</t>
  </si>
  <si>
    <t xml:space="preserve"> -</t>
  </si>
  <si>
    <t>DJ PILHA</t>
  </si>
  <si>
    <t>OBSERVAÇÃO</t>
  </si>
  <si>
    <t>LIVIA LA GATTO</t>
  </si>
  <si>
    <t>GABRIEL LOUCHARD</t>
  </si>
  <si>
    <t>TORAU</t>
  </si>
  <si>
    <t>MW LED</t>
  </si>
  <si>
    <t xml:space="preserve">UNIFORME PROMOTORES 2 </t>
  </si>
  <si>
    <t>MINI PROTETOR SOLAR</t>
  </si>
  <si>
    <t xml:space="preserve">TOP TRADE - BRINDE 1 </t>
  </si>
  <si>
    <t>TOP TRADE - BRINDE 3</t>
  </si>
  <si>
    <t>TOP TRADE - BRINDE 4</t>
  </si>
  <si>
    <t>TOP CLUB - BRINDE 2</t>
  </si>
  <si>
    <t xml:space="preserve">AÉREOS </t>
  </si>
  <si>
    <t>RODOVIÁRIO</t>
  </si>
  <si>
    <t>APARTAMENTO DUPLO EXTRA</t>
  </si>
  <si>
    <t>SANDUÍCHES CAIPIRAS: Mini Sanduiche de pernil, Mini Sanduiche de linguiça com queijo. (2h)
Bebidas - (pacote de 3h):
- Agua mineral sem e com gás
- uma opção de suco
- refrigerante em lata
- cerveja importada em lata (Heineken com e sem alcool)
- uma opção de cerveja sem glutem
Estação de Caipirinha, Caipiroska e Saquerita.
(cachaça cabaré. Sabores limão, abacaxi e frutas vermelhas)
Gin (Tanqueray)</t>
  </si>
  <si>
    <t>MINI HAMBÚRGUER: Cheddar Burguer, Cheese Burguer. (2h)
Bebidas (pacote de 3h):
- Agua mineral sem e com gás
- uma opção de suco
- refrigerante em lata
- cerveja importada em lata (Heineken com e sem alcool)
- uma opção de cerveja sem glutem
Estação de Caipirinha, Caipiroska e Saquerita.
(cachaça cabaré. Sabores limão, abacaxi e frutas vermelhas)
Gin (Tanqueray)</t>
  </si>
  <si>
    <t>4.0.1</t>
  </si>
  <si>
    <t>4.0.2</t>
  </si>
  <si>
    <t>PROJETO TÉCNICO</t>
  </si>
  <si>
    <t>PROJETO CENOGRÁFICO SHOWROOM</t>
  </si>
  <si>
    <t xml:space="preserve">PLANEJAMENTO </t>
  </si>
  <si>
    <t xml:space="preserve">Subtotal PLANEJAMENTO </t>
  </si>
  <si>
    <t>AÉREO</t>
  </si>
  <si>
    <t>BACKDROP</t>
  </si>
  <si>
    <t>VÍDEOS CATEGORIAS/MARCAS</t>
  </si>
  <si>
    <t>ECOBAG</t>
  </si>
  <si>
    <t>6.0.1</t>
  </si>
  <si>
    <t>6.0.2</t>
  </si>
  <si>
    <t>7.1.4</t>
  </si>
  <si>
    <t>7.1.5</t>
  </si>
  <si>
    <t>7.1.6</t>
  </si>
  <si>
    <t>7.1.7</t>
  </si>
  <si>
    <t>7.1.8</t>
  </si>
  <si>
    <t>7.1.9</t>
  </si>
  <si>
    <t>7.1.10</t>
  </si>
  <si>
    <t>7.1.11</t>
  </si>
  <si>
    <t>7.1.12</t>
  </si>
  <si>
    <t>7.1.13</t>
  </si>
  <si>
    <t>7.1.14</t>
  </si>
  <si>
    <t>7.2</t>
  </si>
  <si>
    <t>CUSTO OPERACIONAL</t>
  </si>
  <si>
    <t xml:space="preserve">CONVENÇÃO WHIRPOOL 2026 </t>
  </si>
  <si>
    <t>ESTUDO DO BID QUE GANHOU</t>
  </si>
  <si>
    <t>ESTUDO 19/12/26 COM ND</t>
  </si>
  <si>
    <t>EXTRAS EM ANDAMENTO</t>
  </si>
  <si>
    <t>DESCRIÇÃO</t>
  </si>
  <si>
    <t>VALOR COM NF</t>
  </si>
  <si>
    <t>VALOR COM ND</t>
  </si>
  <si>
    <t>REDUÇÃO</t>
  </si>
  <si>
    <t xml:space="preserve">HOTEL  20 PAX EXTRAS - ND </t>
  </si>
  <si>
    <t xml:space="preserve">TÉCNICA  </t>
  </si>
  <si>
    <t>TÉCNICA  ND</t>
  </si>
  <si>
    <t>LOGISTICA AÉREA TERRESTRE + LANCHE+ RODOVIARIO - ND</t>
  </si>
  <si>
    <t>CENOGRAFIA -ND</t>
  </si>
  <si>
    <t>TÉCNICA - ND</t>
  </si>
  <si>
    <t>CONTEÚDO - ND</t>
  </si>
  <si>
    <t>CONTEÚDO VINHETAS ESFERA DE LED + PEPITA ND</t>
  </si>
  <si>
    <t>EQUIPE OPERACIONA + DIREÇÃO ARTISTICA</t>
  </si>
  <si>
    <r>
      <t xml:space="preserve">EQUIPE OPERACIONA + DIREÇÃO ARTISTICA - </t>
    </r>
    <r>
      <rPr>
        <sz val="11"/>
        <color rgb="FFFF0000"/>
        <rFont val="Calibri"/>
        <family val="2"/>
        <scheme val="minor"/>
      </rPr>
      <t>ND</t>
    </r>
  </si>
  <si>
    <r>
      <t xml:space="preserve">ATIVIDADES BRINDES E MATERIAIS - </t>
    </r>
    <r>
      <rPr>
        <sz val="11"/>
        <color rgb="FF0476D0"/>
        <rFont val="Calibri"/>
        <family val="2"/>
        <scheme val="minor"/>
      </rPr>
      <t>NF</t>
    </r>
  </si>
  <si>
    <t>TOTAL 1</t>
  </si>
  <si>
    <t xml:space="preserve">PROJETO TÉCNICO -PROJETO TÉCNICO - ND
</t>
  </si>
  <si>
    <t>INTERNO  - NF</t>
  </si>
  <si>
    <t>PROJETO CENOGRÁFICO SHOWROOM  ND</t>
  </si>
  <si>
    <t>ARTISTICO - NF</t>
  </si>
  <si>
    <t>EXTRAS SHOWROOM - ND</t>
  </si>
  <si>
    <t>ATIVIDADES+ BRINDES E MATERIAS - NF</t>
  </si>
  <si>
    <t>ARTISTICO - EXTRA MC</t>
  </si>
  <si>
    <t>CUSTO</t>
  </si>
  <si>
    <t>OPERAÇÃO - NF</t>
  </si>
  <si>
    <t>CUSTOS OPERACIONAIS  ESTIMADO</t>
  </si>
  <si>
    <t>TAXAS E DOCUMENTAÇÕES - NF</t>
  </si>
  <si>
    <t>TOTAL DE EXTRAS</t>
  </si>
  <si>
    <t>TOTAL 2</t>
  </si>
  <si>
    <t>LOGISTICA - ND</t>
  </si>
  <si>
    <t>HOTEL - ND</t>
  </si>
  <si>
    <r>
      <t xml:space="preserve">TOTAL 3 - </t>
    </r>
    <r>
      <rPr>
        <sz val="11"/>
        <color rgb="FFFF0000"/>
        <rFont val="Calibri"/>
        <family val="2"/>
        <scheme val="minor"/>
      </rPr>
      <t>ND</t>
    </r>
  </si>
  <si>
    <t>TOTAL BID</t>
  </si>
  <si>
    <t>TOTAL  COM ND PARCIAL</t>
  </si>
  <si>
    <t>TOTAL DE EXTRAS EM ANDAMENTO</t>
  </si>
  <si>
    <t>TOTAL CONVENÇÃO COM EXTRAS</t>
  </si>
  <si>
    <t>COLETIVA PLANILHA V.2 APRESENTADA</t>
  </si>
  <si>
    <t>COLETIVA PLANILHA V.5 APRESENTADA 18/12 COM AJUSTES AO  LONGO DO PROJETO</t>
  </si>
  <si>
    <t>COLETIVA  V.5 AJUSTADA COM ND</t>
  </si>
  <si>
    <t>REDUÇÃO DA V.2 PARA V.5</t>
  </si>
  <si>
    <t>EQUIPE INTERNA - NF - 17,33%</t>
  </si>
  <si>
    <t>EQUIPE  INTERNA  NF</t>
  </si>
  <si>
    <t>STAFF OGGI - NF</t>
  </si>
  <si>
    <t>LOGISTICA ND</t>
  </si>
  <si>
    <t>HOTEL -ND</t>
  </si>
  <si>
    <t>ARTISTICO -ND</t>
  </si>
  <si>
    <t>TÉCNICA NF</t>
  </si>
  <si>
    <t>TÉCNICA ND</t>
  </si>
  <si>
    <t>CONTEÚDO NF</t>
  </si>
  <si>
    <t>CONTEÚDO ND</t>
  </si>
  <si>
    <t>CENOGRAFIA  NF</t>
  </si>
  <si>
    <t>CENOGRAFIA  ND</t>
  </si>
  <si>
    <t>ATIVIDADES +MAT+BRINDES</t>
  </si>
  <si>
    <t>OPERAÇÃO NF</t>
  </si>
  <si>
    <t>TOTAL V.5 ATUALIZADA</t>
  </si>
  <si>
    <t>LANÇAMENTO DE PRODUTOS  V.2</t>
  </si>
  <si>
    <t>LANÇAMENTO DE PRODUTOS  V.5  18.12</t>
  </si>
  <si>
    <t>VALOR NF</t>
  </si>
  <si>
    <t>EQUIPE INTERNA - NF</t>
  </si>
  <si>
    <t>STAFF- NF</t>
  </si>
  <si>
    <t>LOGISTICA - ND ( AUMENTO DE AÉREO)</t>
  </si>
  <si>
    <t>HOTEL - ND ( AUMENTO DE PAX)</t>
  </si>
  <si>
    <t>ARTISTICO NF</t>
  </si>
  <si>
    <t>TECNICA - NF ( ENTRADA DE ESFERA)</t>
  </si>
  <si>
    <t>TECNICA - NF</t>
  </si>
  <si>
    <t>CONTEÚDO - NF</t>
  </si>
  <si>
    <t>CENOGRAFIA-NF</t>
  </si>
  <si>
    <t>ATIVIDADES BRINDE E MATERIAIS - NF</t>
  </si>
  <si>
    <t>OPERAÇÃO -NF</t>
  </si>
  <si>
    <t xml:space="preserve">TOTAL DA PLANILHA V.2 </t>
  </si>
  <si>
    <t>COLETIVA  V5 19/12</t>
  </si>
  <si>
    <t>LANÇAMENTO 19/12</t>
  </si>
  <si>
    <t xml:space="preserve">VERBA EXTRA HOTEL  HOSPEDAGEM EQUIPE  </t>
  </si>
  <si>
    <t xml:space="preserve">PENDENTE MAD MAX </t>
  </si>
  <si>
    <t>ATIVAÇÕES GERAIS  REFORÇO</t>
  </si>
  <si>
    <t>7.1.15</t>
  </si>
  <si>
    <t>7.1.16</t>
  </si>
  <si>
    <t>CONVENÇÃO DE VENDAS</t>
  </si>
  <si>
    <t>EXTRAS CONVENÇÃO</t>
  </si>
  <si>
    <t xml:space="preserve">VÍDEOS MAD MAX - LED + ESFERA </t>
  </si>
  <si>
    <t>TOTAL DOS 3 EVENTOS</t>
  </si>
  <si>
    <t xml:space="preserve">BALÉ </t>
  </si>
  <si>
    <t xml:space="preserve">TOTAL DO PROJETO + MOVOMENTAÇÃO </t>
  </si>
  <si>
    <r>
      <t>MOVIMENTAÇÃO SHOWROOM</t>
    </r>
    <r>
      <rPr>
        <b/>
        <sz val="11"/>
        <color rgb="FFFF0000"/>
        <rFont val="Calibri"/>
        <family val="2"/>
        <scheme val="minor"/>
      </rPr>
      <t xml:space="preserve"> LANÇAMENTO</t>
    </r>
    <r>
      <rPr>
        <sz val="11"/>
        <color rgb="FFFF0000"/>
        <rFont val="Calibri"/>
        <family val="2"/>
        <scheme val="minor"/>
      </rPr>
      <t xml:space="preserve"> (COMPLEMENTO)</t>
    </r>
  </si>
  <si>
    <t>RELATÓRIO  19.12</t>
  </si>
  <si>
    <t>TOTAL DO PROJETO + MOVIMENTAÇÃO + VERBA HOTEL</t>
  </si>
  <si>
    <t>RELATÓRIO ON LINE  22/12</t>
  </si>
  <si>
    <t>OGGI  CUSTO</t>
  </si>
  <si>
    <t>LUCRO</t>
  </si>
  <si>
    <t>Percentual</t>
  </si>
  <si>
    <t>7.1.17</t>
  </si>
  <si>
    <t>LOGÍSTICA BALÉ</t>
  </si>
  <si>
    <t>6.0.3</t>
  </si>
  <si>
    <t>VÍDEOS - PROD LAKKA</t>
  </si>
  <si>
    <t>5.1.3</t>
  </si>
  <si>
    <t xml:space="preserve">HANG DOOR </t>
  </si>
  <si>
    <t>COPOS ECOLÓGICOS</t>
  </si>
  <si>
    <t>BRINDE</t>
  </si>
  <si>
    <t>FRETE</t>
  </si>
  <si>
    <t>THIAGO CONCER</t>
  </si>
  <si>
    <t>CANCELADO  PAGAR MULTA DE 4.800,00</t>
  </si>
  <si>
    <t>Contratado Tom Bassi  Valor lançado em Convenção</t>
  </si>
  <si>
    <t>Contratado  R-1</t>
  </si>
  <si>
    <t>Contratado Torau</t>
  </si>
  <si>
    <t>SUBSTITUIDO POR WIND BANNER</t>
  </si>
  <si>
    <t>B RUNO</t>
  </si>
  <si>
    <t>BRUNO</t>
  </si>
  <si>
    <t>NÃO TEREMOS</t>
  </si>
  <si>
    <t>CESA DUO</t>
  </si>
  <si>
    <t>TOTEM CARREGADOR</t>
  </si>
  <si>
    <t xml:space="preserve">TOTEM CARREGADOR DE CELULAR
Totem com 2 saídas USB e 4 cabos multicarregadores - lighting, micro USB e C </t>
  </si>
  <si>
    <t>PIRULITOS - DELEGAÇÕES</t>
  </si>
  <si>
    <t>Subtotal ARTISTICO</t>
  </si>
  <si>
    <t>BALÉ</t>
  </si>
  <si>
    <t>LOGISTICA BALÉ</t>
  </si>
  <si>
    <t>5.1.4</t>
  </si>
  <si>
    <t>excluido</t>
  </si>
  <si>
    <t>Implantação Elétrica</t>
  </si>
  <si>
    <t>SHOWROOM - Implantação Elétrica</t>
  </si>
  <si>
    <t xml:space="preserve">ATIVAÇÃO MICROONDAS
CENOGRAFIA </t>
  </si>
  <si>
    <t>ATIVAÇÃO MICROONDAS
HOTEL E EQUIPE</t>
  </si>
  <si>
    <t>6.0.4</t>
  </si>
  <si>
    <t>PPT</t>
  </si>
  <si>
    <t>SHOWROOM - CENOGRAFIA - CONSUL</t>
  </si>
  <si>
    <t>PERCENTUAL</t>
  </si>
  <si>
    <t>TAXA MONTAGEM  ANTECIPADA</t>
  </si>
  <si>
    <t>SHOWROOM - NOVO PROJETO</t>
  </si>
  <si>
    <t>SHOWROOM - EXTRAS OJETOS</t>
  </si>
  <si>
    <t>DECORAÇÃO FESTA</t>
  </si>
  <si>
    <t>ARTISTA PLÁSTICO</t>
  </si>
  <si>
    <t>Passagem emitida</t>
  </si>
  <si>
    <t>7.1.18</t>
  </si>
  <si>
    <t>CHOCOLATE</t>
  </si>
  <si>
    <t>7.1.19</t>
  </si>
  <si>
    <t>7.1.20</t>
  </si>
  <si>
    <t>7.1.21</t>
  </si>
  <si>
    <t>LOCAÇÃO RESTAURANTE RARO 1</t>
  </si>
  <si>
    <t>Pagamento solicitado</t>
  </si>
  <si>
    <t>6.0.5</t>
  </si>
  <si>
    <t xml:space="preserve">VÍDEOS - TÚNEL MAD MAX </t>
  </si>
  <si>
    <t>COPOS DE XOTE</t>
  </si>
  <si>
    <t>CHOCOLATES
caixas de pipocas cobertas com chocolate, Chocolate Du Jour</t>
  </si>
  <si>
    <t>BEBIDAS EXTRAS - VODKA</t>
  </si>
  <si>
    <t>BEBIDAS EXTRAS - LICOR 43</t>
  </si>
  <si>
    <t>SALA EXTRA</t>
  </si>
  <si>
    <t>ALMOÇO RENATA VANZETTO</t>
  </si>
  <si>
    <t>CONTRATAÇÂO ALMOÇO RENATA VANZETTO</t>
  </si>
  <si>
    <t>BANDA ENCERRAMENTO</t>
  </si>
  <si>
    <t xml:space="preserve">BANDA DE SAMBA 
Intérprete com 5 instrumentistas e 1 técnico, çalças/bermudas verde e amarelo, ensaio em 28/01 e apresentação em 29/01 </t>
  </si>
  <si>
    <t xml:space="preserve">CAMISETAS OSKLEN </t>
  </si>
  <si>
    <r>
      <rPr>
        <b/>
        <sz val="12"/>
        <rFont val="Trebuchet MS"/>
        <family val="2"/>
      </rPr>
      <t>Camisetas Osklen</t>
    </r>
    <r>
      <rPr>
        <sz val="12"/>
        <rFont val="Trebuchet MS"/>
        <family val="2"/>
      </rPr>
      <t xml:space="preserve"> 
2 T-Shirt supersoft comfort off-white Osklen (Tamanhos M e G)</t>
    </r>
  </si>
  <si>
    <t xml:space="preserve">BRINDE TOP TRADE </t>
  </si>
  <si>
    <r>
      <rPr>
        <b/>
        <sz val="11"/>
        <color theme="1"/>
        <rFont val="Calibri"/>
        <family val="2"/>
        <scheme val="minor"/>
      </rPr>
      <t xml:space="preserve">Troféus Oscar </t>
    </r>
    <r>
      <rPr>
        <sz val="11"/>
        <color theme="1"/>
        <rFont val="Calibri"/>
        <family val="2"/>
        <scheme val="minor"/>
      </rPr>
      <t xml:space="preserve">
75 Troféus de premiação Oscar 20 cm, base redonda 
</t>
    </r>
  </si>
  <si>
    <r>
      <rPr>
        <b/>
        <sz val="11"/>
        <color theme="1"/>
        <rFont val="Calibri"/>
        <family val="2"/>
        <scheme val="minor"/>
      </rPr>
      <t xml:space="preserve">Troféus Oscar </t>
    </r>
    <r>
      <rPr>
        <sz val="11"/>
        <color theme="1"/>
        <rFont val="Calibri"/>
        <family val="2"/>
        <scheme val="minor"/>
      </rPr>
      <t xml:space="preserve">
Placa de EVA para fechamento da base dos troféus de premiação Oscar + Frete
</t>
    </r>
  </si>
  <si>
    <t xml:space="preserve">PLACA PROIBIDO FOTOGRAFAR </t>
  </si>
  <si>
    <r>
      <rPr>
        <b/>
        <sz val="11"/>
        <color theme="1"/>
        <rFont val="Calibri"/>
        <family val="2"/>
        <scheme val="minor"/>
      </rPr>
      <t xml:space="preserve">Placas Proibido Fotografar </t>
    </r>
    <r>
      <rPr>
        <sz val="11"/>
        <color theme="1"/>
        <rFont val="Calibri"/>
        <family val="2"/>
        <scheme val="minor"/>
      </rPr>
      <t xml:space="preserve">
10 placas de sinalização proibido filmar ou fotografar 
</t>
    </r>
  </si>
  <si>
    <t>600 rosas amarelas</t>
  </si>
  <si>
    <t xml:space="preserve">ROSAS </t>
  </si>
  <si>
    <t xml:space="preserve">Camisetas e Uniformes Promotores </t>
  </si>
  <si>
    <t xml:space="preserve">Alfredo </t>
  </si>
  <si>
    <t>11 98909-8817</t>
  </si>
  <si>
    <t xml:space="preserve">Bailarinos extras </t>
  </si>
  <si>
    <t>Juliana</t>
  </si>
  <si>
    <t>15 99607-6971</t>
  </si>
  <si>
    <t xml:space="preserve">Promotores </t>
  </si>
  <si>
    <t xml:space="preserve">Nathalie </t>
  </si>
  <si>
    <t>11 97153-1416</t>
  </si>
  <si>
    <t>Ingrid</t>
  </si>
  <si>
    <t>11 98857-9901</t>
  </si>
  <si>
    <t xml:space="preserve">CAROL IMONIANA </t>
  </si>
  <si>
    <t>UNIFORMES</t>
  </si>
  <si>
    <t xml:space="preserve">VALORES DE CUSTO ESTÃO DIFERENTES DO VALOR COBRADO PELO FORNECEDOR </t>
  </si>
  <si>
    <t>LEQUE - CANCELADO</t>
  </si>
  <si>
    <t>CADU</t>
  </si>
  <si>
    <t xml:space="preserve">VALOR PAGO DIFERENTE DO VALOR EM PLANILHA </t>
  </si>
  <si>
    <t>ROSI</t>
  </si>
  <si>
    <t>11 94032-9535</t>
  </si>
  <si>
    <t>Rita de Cássia</t>
  </si>
  <si>
    <t>PGTO DELA SAIU DA LINHA DE PROD. ARTISTICO</t>
  </si>
  <si>
    <t>7.1.22</t>
  </si>
  <si>
    <t>BOTÕES DE ROSAS</t>
  </si>
  <si>
    <t>Walace (maquiador)</t>
  </si>
  <si>
    <t>11 95938-6031</t>
  </si>
  <si>
    <t>Cia do TP</t>
  </si>
  <si>
    <t>Locação de Teleprompter com operador</t>
  </si>
  <si>
    <t>11 99763-8054</t>
  </si>
  <si>
    <t>ECAD - 11.1.1 (CONVENÇÃO)</t>
  </si>
  <si>
    <t>CAÇAMBA - 10.1.5 (CONVENÇÃO) E 10.1.5 (LANÇAMENTO)</t>
  </si>
  <si>
    <t>MOBILIÁRIO - 8.1.11 (CONVENÇÃO)</t>
  </si>
  <si>
    <t>Carregadores e Limpeza</t>
  </si>
  <si>
    <t>Bianca - Turbo Promoções</t>
  </si>
  <si>
    <t>Empresa</t>
  </si>
  <si>
    <t>Tipo de Serviços</t>
  </si>
  <si>
    <t>Pessoa de Contato</t>
  </si>
  <si>
    <t>Telefone</t>
  </si>
  <si>
    <t xml:space="preserve">Solv </t>
  </si>
  <si>
    <t>Mob Eventos</t>
  </si>
  <si>
    <t xml:space="preserve">For you Casting </t>
  </si>
  <si>
    <t xml:space="preserve">Aurum Casting </t>
  </si>
  <si>
    <t xml:space="preserve">Brindes e copos bidegradáveis </t>
  </si>
  <si>
    <t xml:space="preserve">Hells Brindes </t>
  </si>
  <si>
    <t xml:space="preserve">Walace </t>
  </si>
  <si>
    <t>Paty</t>
  </si>
  <si>
    <t>Atores Paparazzi</t>
  </si>
  <si>
    <t>(11) 94603-6445</t>
  </si>
  <si>
    <t xml:space="preserve">Ambulância </t>
  </si>
  <si>
    <t>11 94020-9907</t>
  </si>
  <si>
    <t>Uriel</t>
  </si>
  <si>
    <t>Daniel</t>
  </si>
  <si>
    <t xml:space="preserve">BRIGADISTAS  - 2.1.13 (CONVENÇÃO) , 2.1.10 (COLETIVA) E 2.1.12 (LANÇAMENTO)
</t>
  </si>
  <si>
    <t>MEDALHAS</t>
  </si>
  <si>
    <t xml:space="preserve">5 Medalhas com fitas de cetim preta </t>
  </si>
  <si>
    <t xml:space="preserve">Larissa Neto </t>
  </si>
  <si>
    <t>pagamento????</t>
  </si>
  <si>
    <t>MARIANA KUNZE</t>
  </si>
  <si>
    <t>-</t>
  </si>
  <si>
    <t>valor acordado de 18k</t>
  </si>
  <si>
    <t>MARIANA kunze</t>
  </si>
  <si>
    <t>CAIO RUBIO 
CADU VITORIANO</t>
  </si>
  <si>
    <t xml:space="preserve">A Rose atendeu a 3 diárias não pensadas - antecipação dia 23, dias 01 e 02 </t>
  </si>
  <si>
    <t xml:space="preserve">ROSE BRIGIDO - 11  DIAS
LUIZA TÁVORA - 6 DIAS
</t>
  </si>
  <si>
    <t>podemos colocar o Lucas runner aqui? 4.800,00</t>
  </si>
  <si>
    <t>VERIFICAR COM MATHEUS SALA</t>
  </si>
  <si>
    <t>Flávia 
Karla
Jorginho 
Marcelo</t>
  </si>
  <si>
    <t xml:space="preserve">aguardando equipe do Matheus, com período e valores/diária </t>
  </si>
  <si>
    <t xml:space="preserve">TURBO </t>
  </si>
  <si>
    <t xml:space="preserve">EQUIPE </t>
  </si>
  <si>
    <t>EQUIIPES E SERVIÇOS</t>
  </si>
  <si>
    <t xml:space="preserve">precisa abrir linha extra de 14 diárias de carregador - montagem e evento </t>
  </si>
  <si>
    <t>SERV PATRI</t>
  </si>
  <si>
    <t xml:space="preserve">precisa abrir linha extra de 3.920,00 - 5,6 diárias de segurança - montagem e evento </t>
  </si>
  <si>
    <t>ENGEPOINT - diária demosntagem 
TOLEDO TREINAMENTOS - 4/2 manhã</t>
  </si>
  <si>
    <t>TOLEDO TREINAMENTOS</t>
  </si>
  <si>
    <t>deixamos assim ou abri extra?</t>
  </si>
  <si>
    <t>KLEBER + MARINA ASSISTENTE</t>
  </si>
  <si>
    <t xml:space="preserve">DANIEL _ </t>
  </si>
  <si>
    <t xml:space="preserve">DANIEL </t>
  </si>
  <si>
    <t>MARÍLIA</t>
  </si>
  <si>
    <t>DJ MARCELO BARRES</t>
  </si>
  <si>
    <t>DJ PILHA - Sonoplastia</t>
  </si>
  <si>
    <t xml:space="preserve">PAGO </t>
  </si>
  <si>
    <t>ANTHONY GARCIA</t>
  </si>
  <si>
    <t>BROS PRODUTORA</t>
  </si>
  <si>
    <t>aéreo de 7.700 via Matheus</t>
  </si>
  <si>
    <t>BROS PRODUOTRA</t>
  </si>
  <si>
    <t>ACCESS LIFT</t>
  </si>
  <si>
    <t>LIVIA LA GATO</t>
  </si>
  <si>
    <t xml:space="preserve">Fernanda Seixas - 2 neses
Beatiz Abellan - 1 mês por 12k </t>
  </si>
  <si>
    <t>aguardando NF da Bea com vencimento em 15/02</t>
  </si>
  <si>
    <t>aguardando recibo</t>
  </si>
  <si>
    <t>FÁBIO PEREZ - refação de cartazes em IA</t>
  </si>
  <si>
    <t xml:space="preserve">Matheus Sala - fechamento </t>
  </si>
  <si>
    <t>Sakura + Matheus + Luis</t>
  </si>
  <si>
    <t>PAGO</t>
  </si>
  <si>
    <t>NF EMITIDA PAGTO 24/02</t>
  </si>
  <si>
    <t xml:space="preserve">NF EMITIIDA </t>
  </si>
  <si>
    <t xml:space="preserve">15 dias extras para fechamento </t>
  </si>
  <si>
    <t>OGGI</t>
  </si>
  <si>
    <t>CLIENTE</t>
  </si>
  <si>
    <t>5.3.2</t>
  </si>
  <si>
    <t>5.3.3</t>
  </si>
  <si>
    <t>IC&amp;I</t>
  </si>
  <si>
    <t>IC&amp;I - VALOR A CONFIRMAR</t>
  </si>
  <si>
    <t>RENTABILIDADE</t>
  </si>
  <si>
    <t>CAIXA DE PRODUÇÃO 
PRESTAÇÃO DE CONTAS DA LUANA</t>
  </si>
  <si>
    <t xml:space="preserve">CHUBB SEGUROS - Samuel </t>
  </si>
  <si>
    <t>ENGENHEIRO - 2756,00
ENGEPOINT - análise de ART 210,00</t>
  </si>
  <si>
    <t>MOB
FIGURINO - prestação de contas Peterson/Lucas</t>
  </si>
  <si>
    <t>TICO</t>
  </si>
  <si>
    <t xml:space="preserve">RECIBO OK </t>
  </si>
  <si>
    <t>NF E BOLETO RECEBIDOS</t>
  </si>
  <si>
    <t>LUANA - prestação de contas
Giovani - placas holográficas 251,00</t>
  </si>
  <si>
    <t>VLAB</t>
  </si>
  <si>
    <t xml:space="preserve">VLAB Primeiro pgto ok, NF 2 OK </t>
  </si>
  <si>
    <t xml:space="preserve">despesas de hospedagem no Ibis e alimentação no Novotel, de 26 a 28 e 3 para 4,  e van ida e volta para Convenção compra de 2 camisetas Osklen - Akira e Ambar
</t>
  </si>
  <si>
    <t>TG4</t>
  </si>
  <si>
    <t>TG4 - 5.380
MAGUI - BARES 4600
ALE PAISAGISMO 5.000
FALTAM 5K EM SHOWROOM</t>
  </si>
  <si>
    <t>DUO CENOGRAFIA
ALE PAISAGISMO 5.000</t>
  </si>
  <si>
    <t>NF ALE RECEBIDA</t>
  </si>
  <si>
    <t>NF RECEBIDA, BOLETO EM AJUSTE</t>
  </si>
  <si>
    <t>NF RECEBIDA</t>
  </si>
  <si>
    <t>CREATIVE MOTION</t>
  </si>
  <si>
    <t>FAST CHARGER 2980
LALAMOVE ENTREGA - 249,09</t>
  </si>
  <si>
    <t xml:space="preserve">LAKKA </t>
  </si>
  <si>
    <t>PEPITA</t>
  </si>
  <si>
    <t>AGUARDANDO FECHAMENTO RAFAEL E DANIEL</t>
  </si>
  <si>
    <t>INPRO - validar valor</t>
  </si>
  <si>
    <t>NOVOTEL</t>
  </si>
  <si>
    <t>HELL BRINDES</t>
  </si>
  <si>
    <t>SOLV</t>
  </si>
  <si>
    <t>LAMARG</t>
  </si>
  <si>
    <t>MASTER BRINDES</t>
  </si>
  <si>
    <t>Cliente foi informada que era consignado e viu 6 caixas de sobra</t>
  </si>
  <si>
    <t xml:space="preserve">MÁRIO </t>
  </si>
  <si>
    <t>valor sem porcentagem em cima</t>
  </si>
  <si>
    <t>GERENCIAR CUSTOS COM PETERSON</t>
  </si>
  <si>
    <t xml:space="preserve">AGUARDANDO FECHAMENTO </t>
  </si>
  <si>
    <t>lançado em VAREJO</t>
  </si>
  <si>
    <t xml:space="preserve">JKL CREATIVE - CELIO </t>
  </si>
  <si>
    <t xml:space="preserve">SODÉLI - pago no evento Convenção </t>
  </si>
  <si>
    <t>LAMARG - inclui crachás Coletiva</t>
  </si>
  <si>
    <t>LAMARG - inclui fichas de Coletiva</t>
  </si>
  <si>
    <t xml:space="preserve">Cobrado em Convenção </t>
  </si>
  <si>
    <t>MOB EVENTOS - dançarinos geladeira</t>
  </si>
  <si>
    <t>RECIBO OK</t>
  </si>
  <si>
    <t>INPRO - PLACAS IMANTADAS
ver valores com Peterson</t>
  </si>
  <si>
    <t>Ccobrado em Convenção e Varejo</t>
  </si>
  <si>
    <t>WESTWING - Pagamento realizado</t>
  </si>
  <si>
    <t>ETIQUETAS FERREIRA</t>
  </si>
  <si>
    <t>Verba usada para gastos operacionais, como: reuniões presenciais, alimentação, transporte etc.</t>
  </si>
  <si>
    <t xml:space="preserve">Hotel </t>
  </si>
  <si>
    <t xml:space="preserve">Apartamentos </t>
  </si>
  <si>
    <t xml:space="preserve">Salas </t>
  </si>
  <si>
    <t xml:space="preserve">Serviços </t>
  </si>
  <si>
    <t xml:space="preserve">Contrato </t>
  </si>
  <si>
    <t xml:space="preserve">Realizado </t>
  </si>
  <si>
    <t>WHUB</t>
  </si>
  <si>
    <t xml:space="preserve">Coletiva + Varejo </t>
  </si>
  <si>
    <t>Realizado Coletiva</t>
  </si>
  <si>
    <t>Realizado Varejo</t>
  </si>
  <si>
    <t>Total eventos</t>
  </si>
  <si>
    <t>Extras/Crédito</t>
  </si>
  <si>
    <t>Extras eventos</t>
  </si>
  <si>
    <t xml:space="preserve">
LUIZA TÁVORA - 2 DIAS</t>
  </si>
  <si>
    <t>Taxi Produção - Road Show</t>
  </si>
  <si>
    <t>DUO CENOGRAFIA</t>
  </si>
  <si>
    <t xml:space="preserve">Serviço </t>
  </si>
  <si>
    <t xml:space="preserve">Valor </t>
  </si>
  <si>
    <t>% item</t>
  </si>
  <si>
    <t xml:space="preserve">% orç total </t>
  </si>
  <si>
    <t>Num PO</t>
  </si>
  <si>
    <t xml:space="preserve">Venc </t>
  </si>
  <si>
    <t>Valor PO</t>
  </si>
  <si>
    <t xml:space="preserve">Valor composição </t>
  </si>
  <si>
    <t xml:space="preserve">Logística - sem agenciamento e impostos </t>
  </si>
  <si>
    <t>Hotel - Hospedagem e Locação de salas</t>
  </si>
  <si>
    <t>Hotel A&amp;B</t>
  </si>
  <si>
    <t xml:space="preserve">Total bloco Nota de Débito </t>
  </si>
  <si>
    <t>PAGO PELO CLIENTE</t>
  </si>
  <si>
    <t xml:space="preserve">Valores cobrados </t>
  </si>
  <si>
    <t>Valores realizados</t>
  </si>
  <si>
    <t>Quant</t>
  </si>
  <si>
    <t>APARTAMENTO SINGLE
Considerado 50 apartamentos singles, sendo 1 cama casal
Público: diretoria e staff WHP</t>
  </si>
  <si>
    <t>APARTAMENTO DUPLO
Considerado 110 apartamentos duplos, sendo 2 camas
Público: restante do time</t>
  </si>
  <si>
    <t>APARTAMENTO STAFF
Considerado 16 apartamentos single e doubles
Público: time de campo Oggi</t>
  </si>
  <si>
    <t>Diferença</t>
  </si>
  <si>
    <t>A&amp;B - coffee break</t>
  </si>
  <si>
    <t xml:space="preserve">A&amp;B - almoço - 27 a 29 </t>
  </si>
  <si>
    <t xml:space="preserve">A&amp;B - jantar - 27 a 29 </t>
  </si>
  <si>
    <t>A&amp;B almoço especial</t>
  </si>
  <si>
    <t>Almoço elaborado pela Renata Vanzetto. Neste item tivemos apenas o custo do pacote de bebidas soft + 4 garçons</t>
  </si>
  <si>
    <t>HAPPY HOUR</t>
  </si>
  <si>
    <t>4.4.7</t>
  </si>
  <si>
    <t>Sala de Prod Jean  (3 a 4 - 2 dias)  Lançado na Planilha de convenção
Plénária Ricardo Ladislau (3 a 4 - 2 dias)</t>
  </si>
  <si>
    <t>AURUM INGRID</t>
  </si>
  <si>
    <t xml:space="preserve">FORNECEDOR </t>
  </si>
  <si>
    <t>FILTRO DE LINHA</t>
  </si>
  <si>
    <t>SEM LIMITES CABOS</t>
  </si>
  <si>
    <t>IMÃ GELADEIRA MAD MAX</t>
  </si>
  <si>
    <t>Ativação mad Max</t>
  </si>
  <si>
    <t>Troca de imãs ´por conta das movimentações</t>
  </si>
  <si>
    <t>PIRULITOS CONSUL FESTA</t>
  </si>
  <si>
    <t>PIRULITOS CONSUL</t>
  </si>
  <si>
    <t xml:space="preserve">MDF PALCO </t>
  </si>
  <si>
    <t xml:space="preserve">PEDIDO SERGIO </t>
  </si>
  <si>
    <t>MONTAGENS NOTURNA</t>
  </si>
  <si>
    <t>HOSPEDAGEM EQUIPE</t>
  </si>
  <si>
    <t>ADESIVOS BASE DE GELADEIRAS</t>
  </si>
  <si>
    <t>FECHAMENTO LED SHOWROOM</t>
  </si>
  <si>
    <t>HOUSE MIX EXTRA</t>
  </si>
  <si>
    <t>TOTEM EXTRAS</t>
  </si>
  <si>
    <t>3 UNIDADEES</t>
  </si>
  <si>
    <t>FRETE EXTRA</t>
  </si>
  <si>
    <t>ADESIVO CONSUL SHOROOM</t>
  </si>
  <si>
    <t>02 UNIDADES</t>
  </si>
  <si>
    <t>PLACAS DE OS SHOWROOM</t>
  </si>
  <si>
    <t>INPRO</t>
  </si>
  <si>
    <t>TUNEL MAD MAX</t>
  </si>
  <si>
    <t>considerando as 3 caixas que entraram com led)</t>
  </si>
  <si>
    <t>PAREDE MAD MAX</t>
  </si>
  <si>
    <t>TROCA DE LONA POR ERRO DE ARQUIVO</t>
  </si>
  <si>
    <t>LONA COM IHÓS FUNDO</t>
  </si>
  <si>
    <t>ADITIVO DE URGÊNCIA</t>
  </si>
  <si>
    <t>CUPULAS DE ACRILICO</t>
  </si>
  <si>
    <t>DUO</t>
  </si>
  <si>
    <t>LONA EXTERNA EVENTO DE LANÇAMENTO</t>
  </si>
  <si>
    <t>PACOTE DE BEBIDAS SOFT</t>
  </si>
  <si>
    <t>2.2</t>
  </si>
  <si>
    <t>2.2.1</t>
  </si>
  <si>
    <t>Lançamentos 2026 EXTRA</t>
  </si>
  <si>
    <t>Coletiva de Imprensa EXTRA</t>
  </si>
  <si>
    <t>Aguardando validação hotel</t>
  </si>
  <si>
    <t>Caio Rubio - Serviços  - 9 DIAS
Cadu Vitoriano - Montagem 9 DIAS  
Bruno Parra - Montagem WHUB 8 dias</t>
  </si>
  <si>
    <t xml:space="preserve">Sala de Prod Jean  (24 a 30 - 8 dias)
Credenciamento Jaqueline (25 a 30 - 6 dias)
Plénária Ricardo Ladislau (25 a 30 - 6 dias)
Nathalia Nobeschi - (25 a 30 - 6 dias) + (3 e 4) + 500,00 </t>
  </si>
  <si>
    <t xml:space="preserve">todas as diárias da Natália + 500 de vídeo </t>
  </si>
  <si>
    <t xml:space="preserve">Carol Imoriana (25 a 30 6 dias) - 800,00
Kenia
produtores de logística </t>
  </si>
  <si>
    <t>Em orçamento Elaine portifólio</t>
  </si>
  <si>
    <t>PAGO 15K e SEGUNDA nf E,ITIDA</t>
  </si>
  <si>
    <t>Aguardando fechamento UBER</t>
  </si>
  <si>
    <t>TON BASSI</t>
  </si>
  <si>
    <t xml:space="preserve">JK L CREATIVE - Célio </t>
  </si>
  <si>
    <t>CIA do TP</t>
  </si>
  <si>
    <t>MASTER PLUS - notebooks + impressoras
TABLET HOUSE - 4 tablets</t>
  </si>
  <si>
    <t>valor da tablet house</t>
  </si>
  <si>
    <t xml:space="preserve">RIDER TÉCNICO DJS </t>
  </si>
  <si>
    <t xml:space="preserve">PRIME </t>
  </si>
  <si>
    <t>AGUARDANDO FECHAMENTO</t>
  </si>
  <si>
    <t>AGUARDANDO FECHAMENTO   
RAFAEL RODRIGUES 
DANIEL RIBEIRO</t>
  </si>
  <si>
    <t>CEU APP - FIVE EVENTS 18.000,00
GESTÃO CIDINHA -7.330,00</t>
  </si>
  <si>
    <t>PAGO 10K - FIVE EVENTS
CIDINHA 1005 PAGA</t>
  </si>
  <si>
    <t xml:space="preserve">TURBO - ATORES PAPARAZZI  2.400,00
</t>
  </si>
  <si>
    <t>PISCINA DE BOLINHA - 1595,47
PRESTAÇÃO DE COMPRAS LUANA - CAPA + BOLAS DE VINIL - 225,00</t>
  </si>
  <si>
    <t>PAGTO EM DESPESAS GERAIS</t>
  </si>
  <si>
    <t>SODÉLI - todos os eventos</t>
  </si>
  <si>
    <t>CANCELADO PELO CLIENTE</t>
  </si>
  <si>
    <t>SOLV - produção de 600 unidades, menor valor (55)</t>
  </si>
  <si>
    <t>LAMARG
IN PRIMA - crachás em branco</t>
  </si>
  <si>
    <t>LAMARG - quantidades divididas por cores, produção especial do marsala</t>
  </si>
  <si>
    <t>LAMARG
ADESIVOS PICOLÉS + SINALIZAÇÃO CREDENCIAMENTO + ADESIVOS ATIVAÇÃO PLENÁRIA
REEMBOLOS</t>
  </si>
  <si>
    <t>PEÇA ALTERADA, REALIZADA EM EXTRAS</t>
  </si>
  <si>
    <t>EXTRAS 2</t>
  </si>
  <si>
    <t>EXTRAS 2 -AUMENTAR MAIS 4 QUARTOS</t>
  </si>
  <si>
    <t xml:space="preserve">EXTRAS 2 - DIFERENÇA DE VALOR </t>
  </si>
  <si>
    <t xml:space="preserve">EXTRAS 2 </t>
  </si>
  <si>
    <t>REEMBOLSO PETERSON 
PAGO</t>
  </si>
  <si>
    <t>ALE PAISAGISMO
PAGO</t>
  </si>
  <si>
    <t xml:space="preserve">COMPRA MERCADO LIVRE
REEMBOLSO ELAINE
REEMBOLSO EM ABERTO
</t>
  </si>
  <si>
    <t>Subtotal ESPAÇO - Locação, estruutra e A&amp;B</t>
  </si>
  <si>
    <t>Subtotal ROADSHOW  - SÃ0 PAULO 30/10/25</t>
  </si>
  <si>
    <t>2.2.2</t>
  </si>
  <si>
    <t>2.2.3</t>
  </si>
  <si>
    <t>TRANSPORTE ARTÍSTICO</t>
  </si>
  <si>
    <t>2.2.4</t>
  </si>
  <si>
    <t>Subtotal ROADSHOW SUL_PORTOALEGRE - 4/11/25</t>
  </si>
  <si>
    <t xml:space="preserve">Subtotal A&amp;B </t>
  </si>
  <si>
    <t>3.3</t>
  </si>
  <si>
    <t>3.3.1</t>
  </si>
  <si>
    <t xml:space="preserve">ALMOÇO </t>
  </si>
  <si>
    <t>3.3.2</t>
  </si>
  <si>
    <t>JANTAR</t>
  </si>
  <si>
    <t>3.3.3</t>
  </si>
  <si>
    <t>COFFEE BREAK 
Serviços de coffee break com água, suco, café, chás, pão de queijo, frutas, bolos e salgadas variados</t>
  </si>
  <si>
    <t>3.3.4</t>
  </si>
  <si>
    <t>ALMOÇO E JANTAR ARTÍSTICO  
ATORES E  PROMOTORES</t>
  </si>
  <si>
    <t>Subtotal LOGÍSTICA - TRANSPORTE AÉREO E TERRESTRE E HOSPEDAGEM</t>
  </si>
  <si>
    <t>Subtotal ROADSHOW_NORDESTE 06/11/25</t>
  </si>
  <si>
    <t>Subtotal ESPAÇO - Locação e estrutura</t>
  </si>
  <si>
    <t>Subtotal ROADSHOW_BRASÍLIA/RIO DE JANEIRO 13 OU 11/11/25</t>
  </si>
  <si>
    <t>PPT TOP CLUB</t>
  </si>
  <si>
    <t>PPT - TOP TRADE</t>
  </si>
  <si>
    <t>ATIVIDADES, BRINDES E MATERIAIS - CONVENÇÃO</t>
  </si>
  <si>
    <t xml:space="preserve">TOP TRADE - HANG DOOR </t>
  </si>
  <si>
    <t>TOP TRADE - CRACHÁ</t>
  </si>
  <si>
    <t>TOP TRADE - CARTAZ</t>
  </si>
  <si>
    <t>TOP TRADE - ÓCULOS</t>
  </si>
  <si>
    <t xml:space="preserve">TOP TRADE  - TROFÉU </t>
  </si>
  <si>
    <t xml:space="preserve">TOP CLUB - HANG DOOR </t>
  </si>
  <si>
    <t>TOP CLUB - JORNAL</t>
  </si>
  <si>
    <t>6.2</t>
  </si>
  <si>
    <t>6.2.1</t>
  </si>
  <si>
    <t>6.2.2</t>
  </si>
  <si>
    <t>MANUSEIO - CRACHÁ E MATERIAIS</t>
  </si>
  <si>
    <t>KIT CONSUL - PRÉ CONVENÇÃO</t>
  </si>
  <si>
    <t xml:space="preserve">KIT CONSUL </t>
  </si>
  <si>
    <t>Cacau que produziu</t>
  </si>
  <si>
    <t>PARTE DO VALOR NA PLANILHA TOP CLUB+TOP TRADE</t>
  </si>
  <si>
    <t>VALOR NA PLANILHA TOP CLUB+TOP TRADE</t>
  </si>
  <si>
    <t>PARTE DO VALOR NA PLANILHA CONVENÇÃO</t>
  </si>
  <si>
    <t>VALOR TRANSFERIDO DA PLAILHA CONVENÇÃO - EXTRA 1</t>
  </si>
  <si>
    <t>MANUSEIO - CRACHÁ
VALOR TRANSFERIDO P/ PLANILHA TOP CLUBE E TOP TRADE</t>
  </si>
  <si>
    <t>LAMARG - 888,08 (11,84)
EXTRA DE DIAGRAMAÇÃO FÁBIO  - 1.8K</t>
  </si>
  <si>
    <r>
      <rPr>
        <b/>
        <sz val="20"/>
        <color theme="1"/>
        <rFont val="Trebuchet MS"/>
        <family val="2"/>
      </rPr>
      <t>GERENTE DO PROJETO</t>
    </r>
    <r>
      <rPr>
        <sz val="20"/>
        <color theme="1"/>
        <rFont val="Trebuchet MS"/>
        <family val="2"/>
      </rPr>
      <t xml:space="preserve">
Gerenciamento do projeto por 2 meses</t>
    </r>
  </si>
  <si>
    <r>
      <rPr>
        <b/>
        <sz val="20"/>
        <color theme="1"/>
        <rFont val="Trebuchet MS"/>
        <family val="2"/>
      </rPr>
      <t>CRIAÇÃO DO PROJETO</t>
    </r>
    <r>
      <rPr>
        <sz val="20"/>
        <color theme="1"/>
        <rFont val="Trebuchet MS"/>
        <family val="2"/>
      </rPr>
      <t xml:space="preserve">
Criação do projeto 3D do evento e desdobramento de artes 2Ds para o plano de comunicação, materiais gráficos e KVs</t>
    </r>
  </si>
  <si>
    <r>
      <rPr>
        <b/>
        <sz val="20"/>
        <color theme="1"/>
        <rFont val="Trebuchet MS"/>
        <family val="2"/>
      </rPr>
      <t>PLANEJAMENTO DO PROJETO</t>
    </r>
    <r>
      <rPr>
        <sz val="20"/>
        <color theme="1"/>
        <rFont val="Trebuchet MS"/>
        <family val="2"/>
      </rPr>
      <t xml:space="preserve">
Planejamento de dinâmicas e cronograma do evento</t>
    </r>
  </si>
  <si>
    <r>
      <rPr>
        <b/>
        <sz val="20"/>
        <color theme="1"/>
        <rFont val="Trebuchet MS"/>
        <family val="2"/>
      </rPr>
      <t>ATENDIMENTO EXCLUSIVO</t>
    </r>
    <r>
      <rPr>
        <sz val="20"/>
        <color theme="1"/>
        <rFont val="Trebuchet MS"/>
        <family val="2"/>
      </rPr>
      <t xml:space="preserve">
01 profissional de atendimento por 03 meses 
Pré-evento, evento e entrega de relatório</t>
    </r>
  </si>
  <si>
    <r>
      <rPr>
        <b/>
        <sz val="20"/>
        <color theme="1"/>
        <rFont val="Trebuchet MS"/>
        <family val="2"/>
      </rPr>
      <t>HEAD DE PRODUÇÃO</t>
    </r>
    <r>
      <rPr>
        <sz val="20"/>
        <color theme="1"/>
        <rFont val="Trebuchet MS"/>
        <family val="2"/>
      </rPr>
      <t xml:space="preserve">
01 profissional de atendimento/produção por 03 meses 
Pré-evento, evento e entrega de relatório</t>
    </r>
  </si>
  <si>
    <r>
      <rPr>
        <b/>
        <sz val="20"/>
        <color theme="1"/>
        <rFont val="Trebuchet MS"/>
        <family val="2"/>
      </rPr>
      <t>HEAD DE LOGÍSTICA</t>
    </r>
    <r>
      <rPr>
        <sz val="20"/>
        <color theme="1"/>
        <rFont val="Trebuchet MS"/>
        <family val="2"/>
      </rPr>
      <t xml:space="preserve">
01 profissional de logística por 03 meses 
Pré-evento, evento e entrega de relatório</t>
    </r>
  </si>
  <si>
    <r>
      <rPr>
        <b/>
        <sz val="20"/>
        <color theme="1"/>
        <rFont val="Trebuchet MS"/>
        <family val="2"/>
      </rPr>
      <t>HEAD SHOWROOM/ATIVAÇÕES</t>
    </r>
    <r>
      <rPr>
        <sz val="20"/>
        <color theme="1"/>
        <rFont val="Trebuchet MS"/>
        <family val="2"/>
      </rPr>
      <t xml:space="preserve">
01 profissional para Showroom por 02 meses 
Pré-evento, evento e entrega de relatório</t>
    </r>
  </si>
  <si>
    <r>
      <rPr>
        <b/>
        <sz val="20"/>
        <color theme="1"/>
        <rFont val="Trebuchet MS"/>
        <family val="2"/>
      </rPr>
      <t>HEAD DE CONTEÚDO</t>
    </r>
    <r>
      <rPr>
        <sz val="20"/>
        <color theme="1"/>
        <rFont val="Trebuchet MS"/>
        <family val="2"/>
      </rPr>
      <t xml:space="preserve">
01 profissional de conteúdo e comunicação por 03 meses
Pré-evento e evento.
Responsável por todas as demandas de conteúdo em produção.</t>
    </r>
  </si>
  <si>
    <r>
      <rPr>
        <b/>
        <sz val="20"/>
        <color theme="1"/>
        <rFont val="Trebuchet MS"/>
        <family val="2"/>
      </rPr>
      <t>ASSISTENTE DE PRODUÇÃO</t>
    </r>
    <r>
      <rPr>
        <sz val="20"/>
        <color theme="1"/>
        <rFont val="Trebuchet MS"/>
        <family val="2"/>
      </rPr>
      <t xml:space="preserve">
02 profissionais de produção por 02 meses 
Pré-evento, evento e entrega de relatório</t>
    </r>
  </si>
  <si>
    <r>
      <rPr>
        <b/>
        <sz val="20"/>
        <color theme="1"/>
        <rFont val="Trebuchet MS"/>
        <family val="2"/>
      </rPr>
      <t>ASSISTÊNCIA DE LOGÍSTICA</t>
    </r>
    <r>
      <rPr>
        <sz val="20"/>
        <color theme="1"/>
        <rFont val="Trebuchet MS"/>
        <family val="2"/>
      </rPr>
      <t xml:space="preserve">
02 profissionais de logística por 02 meses 
Pré-evento, evento</t>
    </r>
  </si>
  <si>
    <r>
      <rPr>
        <b/>
        <sz val="20"/>
        <color theme="1"/>
        <rFont val="Trebuchet MS"/>
        <family val="2"/>
      </rPr>
      <t>ASSISTENTE DE CONTEÚDO</t>
    </r>
    <r>
      <rPr>
        <sz val="20"/>
        <color theme="1"/>
        <rFont val="Trebuchet MS"/>
        <family val="2"/>
      </rPr>
      <t xml:space="preserve">
01 profissional de conteúdo e comunicação por 02 meses
Pré-evento e evento.
Responsável por todas as demandas de conteúdo em produção.</t>
    </r>
  </si>
  <si>
    <r>
      <rPr>
        <b/>
        <sz val="20"/>
        <color theme="1"/>
        <rFont val="Trebuchet MS"/>
        <family val="2"/>
      </rPr>
      <t>PRODUTORES - MONTAGEM E SERVIÇOS</t>
    </r>
    <r>
      <rPr>
        <sz val="20"/>
        <color theme="1"/>
        <rFont val="Trebuchet MS"/>
        <family val="2"/>
      </rPr>
      <t xml:space="preserve">
03 - Montagem e desmontagem
01 - Serviços</t>
    </r>
  </si>
  <si>
    <r>
      <rPr>
        <b/>
        <sz val="20"/>
        <color theme="1"/>
        <rFont val="Trebuchet MS"/>
        <family val="2"/>
      </rPr>
      <t>PRODUTORES - A&amp;B</t>
    </r>
    <r>
      <rPr>
        <sz val="20"/>
        <color theme="1"/>
        <rFont val="Trebuchet MS"/>
        <family val="2"/>
      </rPr>
      <t xml:space="preserve">
02 - Alimentações, abastecimentos, festas</t>
    </r>
  </si>
  <si>
    <r>
      <rPr>
        <b/>
        <sz val="20"/>
        <color theme="1"/>
        <rFont val="Trebuchet MS"/>
        <family val="2"/>
      </rPr>
      <t>PRODUTORES - GERAL</t>
    </r>
    <r>
      <rPr>
        <sz val="20"/>
        <color theme="1"/>
        <rFont val="Trebuchet MS"/>
        <family val="2"/>
      </rPr>
      <t xml:space="preserve">
01 - Plenária
01 - Sala de Produção
02- Credenciamento                                                                               
01 - Artístico</t>
    </r>
  </si>
  <si>
    <r>
      <t xml:space="preserve">PRODUTORES LOGÍSTICA
</t>
    </r>
    <r>
      <rPr>
        <sz val="20"/>
        <color theme="1"/>
        <rFont val="Trebuchet MS"/>
        <family val="2"/>
      </rPr>
      <t>04 - Aeroportos/Transfers
02 - Check'in
01 - Hotel</t>
    </r>
  </si>
  <si>
    <r>
      <t xml:space="preserve">PROMOTORES CREDENCIAMENTO/ATIVIDADES
</t>
    </r>
    <r>
      <rPr>
        <sz val="20"/>
        <color theme="1"/>
        <rFont val="Trebuchet MS"/>
        <family val="2"/>
      </rPr>
      <t>04 - Credenciamento/Atividades
Carga horária: 10 horas</t>
    </r>
  </si>
  <si>
    <r>
      <t xml:space="preserve">PROMOTORES PLENÁRIA
</t>
    </r>
    <r>
      <rPr>
        <sz val="20"/>
        <color theme="1"/>
        <rFont val="Trebuchet MS"/>
        <family val="2"/>
      </rPr>
      <t>03 - Apoio plenária + Instagramável + Showroom
Carga horária: 10 horas</t>
    </r>
  </si>
  <si>
    <r>
      <rPr>
        <b/>
        <sz val="20"/>
        <color theme="1"/>
        <rFont val="Trebuchet MS"/>
        <family val="2"/>
      </rPr>
      <t>LIMPEZA</t>
    </r>
    <r>
      <rPr>
        <sz val="20"/>
        <color theme="1"/>
        <rFont val="Trebuchet MS"/>
        <family val="2"/>
      </rPr>
      <t xml:space="preserve">
Considerado profissionais de limpeza para montagem, evento e desmontagem
Carga horária: 12 horas</t>
    </r>
  </si>
  <si>
    <r>
      <rPr>
        <b/>
        <sz val="20"/>
        <color theme="1"/>
        <rFont val="Trebuchet MS"/>
        <family val="2"/>
      </rPr>
      <t>CARREGADORES</t>
    </r>
    <r>
      <rPr>
        <sz val="20"/>
        <color theme="1"/>
        <rFont val="Trebuchet MS"/>
        <family val="2"/>
      </rPr>
      <t xml:space="preserve">
Considerado carregadores para montagem, evento e desmontagem
Carga horária: 12 horas</t>
    </r>
  </si>
  <si>
    <r>
      <rPr>
        <b/>
        <sz val="20"/>
        <color theme="1"/>
        <rFont val="Trebuchet MS"/>
        <family val="2"/>
      </rPr>
      <t>SEGURANÇA</t>
    </r>
    <r>
      <rPr>
        <sz val="20"/>
        <color theme="1"/>
        <rFont val="Trebuchet MS"/>
        <family val="2"/>
      </rPr>
      <t xml:space="preserve">
Considerado profissionais de segurança para montagem, evento e desmontagem, sendo:
01 - Plenária
01 - Showroom
01 - Sala de produção
01 - Noturno
Carga horária: 12 horas</t>
    </r>
  </si>
  <si>
    <r>
      <rPr>
        <b/>
        <sz val="20"/>
        <color theme="1"/>
        <rFont val="Trebuchet MS"/>
        <family val="2"/>
      </rPr>
      <t>BRIGADISTA</t>
    </r>
    <r>
      <rPr>
        <sz val="20"/>
        <color theme="1"/>
        <rFont val="Trebuchet MS"/>
        <family val="2"/>
      </rPr>
      <t xml:space="preserve">
Considerado brigadistas para montagem, evento e desmontagem, sendo:
Carga horária: 12 horas</t>
    </r>
  </si>
  <si>
    <r>
      <t xml:space="preserve">DIRETOR ARTÍSTICO  - KLEBER GÓES
</t>
    </r>
    <r>
      <rPr>
        <sz val="20"/>
        <rFont val="Trebuchet MS"/>
        <family val="2"/>
      </rPr>
      <t>REUNIÕES (ARTISTICO + ALINHAMENTO ROTEIRO)
+ Direção Artística
• Alinhamento do flow do evento (Roteiro Técnico, Agencia e Cliente).
• Alinhamento de conteúdos prévios ao evento/live.
• Alinhamento Técnico junto a Equipe e Diretor Técnico.
• Insights, Referências Criativas, Imputs Artísticos.
• Direcionamento e Brieting de conteúdos prévios ao evento.
+ Diretor Presencial Housemix
• Ensaios inloco e Direção Artística evento presencial.
• Programação Control Room / House Mix.
• Definição de Flow do Evento e Dinâmicas de Palco.
• Acompanhamento de produção local de conteúdos junto a produção.
+ 1 assistente</t>
    </r>
  </si>
  <si>
    <r>
      <t xml:space="preserve">DIRETOR TÉCNICO -  DANIEL 
</t>
    </r>
    <r>
      <rPr>
        <sz val="20"/>
        <rFont val="Trebuchet MS"/>
        <family val="2"/>
      </rPr>
      <t>Direção Técnica
(Elaboração de projeto para adequação da técnica aos objetivos
propostos pela criação e suporte ao cliente para melhores soluções,
relacionamento técnico com fornecedores, acompanhamento de
montagens e do evento)
INCLUI 4 REUNIÕES REMOTAS DE PRÉ + VT (ATÉ 3 HORAS CADA,
NÃO CUMULATIVAS - DE ACORDO COM DISPONIBILIDADE DE
AGENDA)
Assist. Direção Técnica
(relacionamento técnico com fornecedores, acompanhamento de
montagens e do evento)</t>
    </r>
  </si>
  <si>
    <r>
      <t xml:space="preserve">ROTEIRISTA - MARÍLIA TAYAR
</t>
    </r>
    <r>
      <rPr>
        <sz val="20"/>
        <color theme="1"/>
        <rFont val="Trebuchet MS"/>
        <family val="2"/>
      </rPr>
      <t>CONTEÚDOS - 
Roteiro conceitual (flow geral de todo o evento com base no tema estabelecido pela Companhia para o ano de 2026)
Escaleta técnica (roteiro técnico indicativo da demanda completa de som, luz e transmissão do evento in loco – transmissão de conteúdos + transmissão simultânea)
Desenvolvimento de speeches para apresentador do evento e executivos WHP 
Caso solicitado - organização de flow de apresentações executivas / direção criativa de apresentações executivas
Adendos de roteiro: fichas de palco e textos para TP (materiais de apoio para executivos e apresentador do evento)
ITENS CONTEMPLADOS EM ORÇAMENTO - 
Equipe: 2 pessoas (Marília + 1)
Conteúdos
Reuniões agência / cliente (sem quantidade determinada)
4 diárias de equipe (ensaio + evento)</t>
    </r>
  </si>
  <si>
    <r>
      <t xml:space="preserve">SONOPLASTA - PLENÁRIA
</t>
    </r>
    <r>
      <rPr>
        <sz val="20"/>
        <color theme="1"/>
        <rFont val="Trebuchet MS"/>
        <family val="2"/>
      </rPr>
      <t>Ensaio Plenária
Sonoplastia Premiação
Sonoplastia Plenária (2dias)</t>
    </r>
  </si>
  <si>
    <r>
      <t xml:space="preserve">FOTÓGRAFO
</t>
    </r>
    <r>
      <rPr>
        <sz val="20"/>
        <color theme="1"/>
        <rFont val="Trebuchet MS"/>
        <family val="2"/>
      </rPr>
      <t>CÂMERA DE FILMAGEM SONY 4K A7 IV LENTE SONY 16-55MM F/2 8G
ESTABILIZADOR DE CÂMERA DE FILMAGEM DJI RS3 GIMBAL
NOTEBOOK I7 16GB | 1TB |SSD | RTX 4050 -- PACOTE ADOBE COMPLETO -- EDIÇÃO DE VÍDEO
CINEGRAFISTA PARA CÂMERA MÓVEL E TAKES CARGA HORÁRIA 8HRS
SERVIÇO DE EDIÇÃO VÍDEO (EDIÇÃO DE 02 VÍDEOS DE ATÉ 02 MINUTOS PARA APRESENTAÇÃO AO FINAL DE CADA DIA EDIÇÃO DE 01 VÍDEO DE ATÉ 03 MINUTOS PARA APRESENTAÇÃO DURANTE A FESTA DE ENCERRAMETNO)
FOTÓGRAFO (CARGA HORÁRIA 8HRS) (FOTOS ENTREGUES AO FINAL DO EVENTO OU PODERÃO SER ENVIADAS VIA WETRANSFER) (PEN DRIVE OU HD PARA ARQUIVO DAS FOTOS SERÁ POR CONTA DO CONTRATANTE)</t>
    </r>
  </si>
  <si>
    <r>
      <rPr>
        <b/>
        <sz val="20"/>
        <rFont val="Trebuchet MS"/>
        <family val="2"/>
      </rPr>
      <t>AÉREO AJU</t>
    </r>
    <r>
      <rPr>
        <sz val="20"/>
        <rFont val="Trebuchet MS"/>
        <family val="2"/>
      </rPr>
      <t xml:space="preserve">
Aracaju x São Paulo x Aracaju
*Valor sujeito a alteração mediante malha aérea,  bagagem e mailing enviado pela WHP</t>
    </r>
  </si>
  <si>
    <r>
      <rPr>
        <b/>
        <sz val="20"/>
        <rFont val="Trebuchet MS"/>
        <family val="2"/>
      </rPr>
      <t>AÉREO BEL</t>
    </r>
    <r>
      <rPr>
        <sz val="20"/>
        <rFont val="Trebuchet MS"/>
        <family val="2"/>
      </rPr>
      <t xml:space="preserve">
Belem x São Paulo x Belem
*Valor sujeito a alteração mediante malha aérea,  bagagem e mailing enviado pela WHP</t>
    </r>
  </si>
  <si>
    <r>
      <rPr>
        <b/>
        <sz val="20"/>
        <rFont val="Trebuchet MS"/>
        <family val="2"/>
      </rPr>
      <t>AÉREO BSB</t>
    </r>
    <r>
      <rPr>
        <sz val="20"/>
        <rFont val="Trebuchet MS"/>
        <family val="2"/>
      </rPr>
      <t xml:space="preserve">
Brasilia x São Paulo x Brasilia
*Valor sujeito a alteração mediante malha aérea,  bagagem e mailing enviado pela WHP</t>
    </r>
  </si>
  <si>
    <r>
      <rPr>
        <b/>
        <sz val="20"/>
        <rFont val="Trebuchet MS"/>
        <family val="2"/>
      </rPr>
      <t>AÉREO CGR</t>
    </r>
    <r>
      <rPr>
        <sz val="20"/>
        <rFont val="Trebuchet MS"/>
        <family val="2"/>
      </rPr>
      <t xml:space="preserve">
Campo Grande x São Paulo x Campo Grande 
*Valor sujeito a alteração mediante malha aérea, bagagem e mailing enviado pela WHP</t>
    </r>
  </si>
  <si>
    <r>
      <rPr>
        <b/>
        <sz val="20"/>
        <rFont val="Trebuchet MS"/>
        <family val="2"/>
      </rPr>
      <t>AÉREO CNF</t>
    </r>
    <r>
      <rPr>
        <sz val="20"/>
        <rFont val="Trebuchet MS"/>
        <family val="2"/>
      </rPr>
      <t xml:space="preserve">
Cofins x São Paulo x Cofins
*Valor sujeito a alteração mediante malha aérea, bagagem e mailing enviado pela WHP</t>
    </r>
  </si>
  <si>
    <r>
      <rPr>
        <b/>
        <sz val="20"/>
        <rFont val="Trebuchet MS"/>
        <family val="2"/>
      </rPr>
      <t>AÉREO CPV</t>
    </r>
    <r>
      <rPr>
        <sz val="20"/>
        <rFont val="Trebuchet MS"/>
        <family val="2"/>
      </rPr>
      <t xml:space="preserve">
Campina Grande x São Paulo x Campina Grande 
*Valor sujeito a alteração mediante malha aérea, bagagem e mailing enviado pela WHP</t>
    </r>
  </si>
  <si>
    <r>
      <rPr>
        <b/>
        <sz val="20"/>
        <rFont val="Trebuchet MS"/>
        <family val="2"/>
      </rPr>
      <t>AÉREO CWB</t>
    </r>
    <r>
      <rPr>
        <sz val="20"/>
        <rFont val="Trebuchet MS"/>
        <family val="2"/>
      </rPr>
      <t xml:space="preserve">
Curitiba x São Paulo x Curitiba 
*Valor sujeito a alteração mediante malha aérea, bagagem e mailing enviado pela WHP</t>
    </r>
  </si>
  <si>
    <r>
      <rPr>
        <b/>
        <sz val="20"/>
        <rFont val="Trebuchet MS"/>
        <family val="2"/>
      </rPr>
      <t>AÉREO CXJ</t>
    </r>
    <r>
      <rPr>
        <sz val="20"/>
        <rFont val="Trebuchet MS"/>
        <family val="2"/>
      </rPr>
      <t xml:space="preserve">
Caxias do Sul x São Paulo x Caxias do Sul
*Valor sujeito a alteração mediante malha aérea, bagagem e mailing enviado pela WHP</t>
    </r>
  </si>
  <si>
    <r>
      <rPr>
        <b/>
        <sz val="20"/>
        <rFont val="Trebuchet MS"/>
        <family val="2"/>
      </rPr>
      <t>AÉREO FLN</t>
    </r>
    <r>
      <rPr>
        <sz val="20"/>
        <rFont val="Trebuchet MS"/>
        <family val="2"/>
      </rPr>
      <t xml:space="preserve">
Florianopolis x São Paulo x Florianopolis
*Valor sujeito a alteração mediante malha aérea, bagagem e mailing enviado pela WHP</t>
    </r>
  </si>
  <si>
    <r>
      <rPr>
        <b/>
        <sz val="20"/>
        <rFont val="Trebuchet MS"/>
        <family val="2"/>
      </rPr>
      <t>AÉREO FOR</t>
    </r>
    <r>
      <rPr>
        <sz val="20"/>
        <rFont val="Trebuchet MS"/>
        <family val="2"/>
      </rPr>
      <t xml:space="preserve">
Fortaleza x São Paulo x Fortaleza 
*Valor sujeito a alteração mediante malha aérea, bagagem e mailing enviado pela WHP</t>
    </r>
  </si>
  <si>
    <r>
      <rPr>
        <b/>
        <sz val="20"/>
        <rFont val="Trebuchet MS"/>
        <family val="2"/>
      </rPr>
      <t>AÉREO GIG</t>
    </r>
    <r>
      <rPr>
        <sz val="20"/>
        <rFont val="Trebuchet MS"/>
        <family val="2"/>
      </rPr>
      <t xml:space="preserve">
Rio de Janeiro x São Paulo x Rio de Janeiro 
*Valor sujeito a alteração mediante malha aérea, bagagem e mailing enviado pela WHP</t>
    </r>
  </si>
  <si>
    <r>
      <rPr>
        <b/>
        <sz val="20"/>
        <rFont val="Trebuchet MS"/>
        <family val="2"/>
      </rPr>
      <t>AÉREO GYN</t>
    </r>
    <r>
      <rPr>
        <sz val="20"/>
        <rFont val="Trebuchet MS"/>
        <family val="2"/>
      </rPr>
      <t xml:space="preserve">
Goiania x São Paulo x Goiania 
*Valor sujeito a alteração mediante malha aérea, bagagem e mailing enviado pela WHP</t>
    </r>
  </si>
  <si>
    <r>
      <rPr>
        <b/>
        <sz val="20"/>
        <rFont val="Trebuchet MS"/>
        <family val="2"/>
      </rPr>
      <t>AÉREO IZA</t>
    </r>
    <r>
      <rPr>
        <sz val="20"/>
        <rFont val="Trebuchet MS"/>
        <family val="2"/>
      </rPr>
      <t xml:space="preserve">
Juiz de fora x São Paulo x Juiz de fora 
*Valor sujeito a alteração mediante malha aérea, bagagem e mailing enviado pela WHP</t>
    </r>
  </si>
  <si>
    <r>
      <rPr>
        <b/>
        <sz val="20"/>
        <rFont val="Trebuchet MS"/>
        <family val="2"/>
      </rPr>
      <t>AÉREO JOI</t>
    </r>
    <r>
      <rPr>
        <sz val="20"/>
        <rFont val="Trebuchet MS"/>
        <family val="2"/>
      </rPr>
      <t xml:space="preserve">
Joinville x São Paulo x Joinville
*Valor sujeito a alteração mediante malha aérea, bagagem e mailing enviado pela WHP</t>
    </r>
  </si>
  <si>
    <r>
      <rPr>
        <b/>
        <sz val="20"/>
        <rFont val="Trebuchet MS"/>
        <family val="2"/>
      </rPr>
      <t>AÉREO JPA</t>
    </r>
    <r>
      <rPr>
        <sz val="20"/>
        <rFont val="Trebuchet MS"/>
        <family val="2"/>
      </rPr>
      <t xml:space="preserve">
João Pessoa x São Paulo x João Pessoa
*Valor sujeito a alteração mediante malha aérea, bagagem e mailing enviado pela WHP</t>
    </r>
  </si>
  <si>
    <r>
      <rPr>
        <b/>
        <sz val="20"/>
        <rFont val="Trebuchet MS"/>
        <family val="2"/>
      </rPr>
      <t>AÉREO LDB</t>
    </r>
    <r>
      <rPr>
        <sz val="20"/>
        <rFont val="Trebuchet MS"/>
        <family val="2"/>
      </rPr>
      <t xml:space="preserve">
Londrina x São Paulo x Londrina 
*Valor sujeito a alteração mediante malha aérea, bagagem e mailing enviado pela WHP</t>
    </r>
  </si>
  <si>
    <r>
      <rPr>
        <b/>
        <sz val="20"/>
        <rFont val="Trebuchet MS"/>
        <family val="2"/>
      </rPr>
      <t>AÉREO MAO</t>
    </r>
    <r>
      <rPr>
        <sz val="20"/>
        <rFont val="Trebuchet MS"/>
        <family val="2"/>
      </rPr>
      <t xml:space="preserve">
Manaus x São Paulo x Manaus 
*Valor sujeito a alteração mediante malha aérea, bagagem e mailing enviado pela WHP</t>
    </r>
  </si>
  <si>
    <r>
      <rPr>
        <b/>
        <sz val="20"/>
        <rFont val="Trebuchet MS"/>
        <family val="2"/>
      </rPr>
      <t>AÉREO MCP</t>
    </r>
    <r>
      <rPr>
        <sz val="20"/>
        <rFont val="Trebuchet MS"/>
        <family val="2"/>
      </rPr>
      <t xml:space="preserve">
Macapá x São Paulo x Macapá
*Valor sujeito a alteração mediante malha aérea, bagagem e mailing enviado pela WHP</t>
    </r>
  </si>
  <si>
    <r>
      <rPr>
        <b/>
        <sz val="20"/>
        <rFont val="Trebuchet MS"/>
        <family val="2"/>
      </rPr>
      <t>AÉREO MCZ</t>
    </r>
    <r>
      <rPr>
        <sz val="20"/>
        <rFont val="Trebuchet MS"/>
        <family val="2"/>
      </rPr>
      <t xml:space="preserve">
Maceio x São Paulo x Maceio 
*Valor sujeito a alteração mediante malha aérea, bagagem e mailing enviado pela WHP</t>
    </r>
  </si>
  <si>
    <r>
      <rPr>
        <b/>
        <sz val="20"/>
        <rFont val="Trebuchet MS"/>
        <family val="2"/>
      </rPr>
      <t>AÉREO MEX</t>
    </r>
    <r>
      <rPr>
        <sz val="20"/>
        <rFont val="Trebuchet MS"/>
        <family val="2"/>
      </rPr>
      <t xml:space="preserve">
Mexico x São Paulo x Mexico
*Valor sujeito a alteração mediante malha aérea, bagagem e mailing enviado pela WHP</t>
    </r>
  </si>
  <si>
    <r>
      <rPr>
        <b/>
        <sz val="20"/>
        <rFont val="Trebuchet MS"/>
        <family val="2"/>
      </rPr>
      <t>AÉREO MGF</t>
    </r>
    <r>
      <rPr>
        <sz val="20"/>
        <rFont val="Trebuchet MS"/>
        <family val="2"/>
      </rPr>
      <t xml:space="preserve">
Maringa x São Paulo x Maringa
*Valor sujeito a alteração mediante malha aérea, bagagem e mailing enviado pela WHP</t>
    </r>
  </si>
  <si>
    <r>
      <rPr>
        <b/>
        <sz val="20"/>
        <rFont val="Trebuchet MS"/>
        <family val="2"/>
      </rPr>
      <t>AÉREO NAT</t>
    </r>
    <r>
      <rPr>
        <sz val="20"/>
        <rFont val="Trebuchet MS"/>
        <family val="2"/>
      </rPr>
      <t xml:space="preserve">
Natal x São Paulo x Natal 
*Valor sujeito a alteração mediante malha aérea, bagagem e mailing enviado pela WHP</t>
    </r>
  </si>
  <si>
    <r>
      <rPr>
        <b/>
        <sz val="20"/>
        <rFont val="Trebuchet MS"/>
        <family val="2"/>
      </rPr>
      <t>AÉREO NVT</t>
    </r>
    <r>
      <rPr>
        <sz val="20"/>
        <rFont val="Trebuchet MS"/>
        <family val="2"/>
      </rPr>
      <t xml:space="preserve">
Navegantes x São Paulo x Navegantes
*Valor sujeito a alteração mediante malha aérea, bagagem e mailing enviado pela WHP</t>
    </r>
  </si>
  <si>
    <r>
      <rPr>
        <b/>
        <sz val="20"/>
        <rFont val="Trebuchet MS"/>
        <family val="2"/>
      </rPr>
      <t>AÉREO PET</t>
    </r>
    <r>
      <rPr>
        <sz val="20"/>
        <rFont val="Trebuchet MS"/>
        <family val="2"/>
      </rPr>
      <t xml:space="preserve">
Pelotas x São Paulo x Pelotas
*Valor sujeito a alteração mediante malha aérea, bagagem e mailing enviado pela WHP</t>
    </r>
  </si>
  <si>
    <r>
      <rPr>
        <b/>
        <sz val="20"/>
        <rFont val="Trebuchet MS"/>
        <family val="2"/>
      </rPr>
      <t>AÉREO POA</t>
    </r>
    <r>
      <rPr>
        <sz val="20"/>
        <rFont val="Trebuchet MS"/>
        <family val="2"/>
      </rPr>
      <t xml:space="preserve">
Porto alegre x São Paulo x Porto alegre 
*Valor sujeito a alteração mediante malha aérea, bagagem e mailing enviado pela WHP</t>
    </r>
  </si>
  <si>
    <r>
      <rPr>
        <b/>
        <sz val="20"/>
        <rFont val="Trebuchet MS"/>
        <family val="2"/>
      </rPr>
      <t>AÉREO PPB</t>
    </r>
    <r>
      <rPr>
        <sz val="20"/>
        <rFont val="Trebuchet MS"/>
        <family val="2"/>
      </rPr>
      <t xml:space="preserve">
Presidente Prudente x São Paulo x Presidente Prudente
*Valor sujeito a alteração mediante malha aérea, bagagem e mailing enviado pela WHP</t>
    </r>
  </si>
  <si>
    <r>
      <rPr>
        <b/>
        <sz val="20"/>
        <rFont val="Trebuchet MS"/>
        <family val="2"/>
      </rPr>
      <t>AÉREO PVH</t>
    </r>
    <r>
      <rPr>
        <sz val="20"/>
        <rFont val="Trebuchet MS"/>
        <family val="2"/>
      </rPr>
      <t xml:space="preserve">
Porto Velho x São Paulo x Porto Velho
*Valor sujeito a alteração mediante malha aérea, bagagem e mailing enviado pela WHP</t>
    </r>
  </si>
  <si>
    <r>
      <rPr>
        <b/>
        <sz val="20"/>
        <rFont val="Trebuchet MS"/>
        <family val="2"/>
      </rPr>
      <t>AÉREO RAO</t>
    </r>
    <r>
      <rPr>
        <sz val="20"/>
        <rFont val="Trebuchet MS"/>
        <family val="2"/>
      </rPr>
      <t xml:space="preserve">
Ribeirão Preto x São Paulo x Ribeirão Pret
*Valor sujeito a alteração mediante malha aérea, bagagem e mailing enviado pela WHP</t>
    </r>
  </si>
  <si>
    <r>
      <rPr>
        <b/>
        <sz val="20"/>
        <rFont val="Trebuchet MS"/>
        <family val="2"/>
      </rPr>
      <t>AÉREO REC</t>
    </r>
    <r>
      <rPr>
        <sz val="20"/>
        <rFont val="Trebuchet MS"/>
        <family val="2"/>
      </rPr>
      <t xml:space="preserve">
Recife x São Paulo x Recife
*Valor sujeito a alteração mediante malha aérea, bagagem e mailing enviado pela WHP</t>
    </r>
  </si>
  <si>
    <r>
      <rPr>
        <b/>
        <sz val="20"/>
        <rFont val="Trebuchet MS"/>
        <family val="2"/>
      </rPr>
      <t>AÉREO SJP</t>
    </r>
    <r>
      <rPr>
        <sz val="20"/>
        <rFont val="Trebuchet MS"/>
        <family val="2"/>
      </rPr>
      <t xml:space="preserve">
São José do Rio Preto x São Paulo x São José do Rio Pret
*Valor sujeito a alteração mediante malha aérea, bagagem e mailing enviado pela WHP</t>
    </r>
  </si>
  <si>
    <r>
      <rPr>
        <b/>
        <sz val="20"/>
        <rFont val="Trebuchet MS"/>
        <family val="2"/>
      </rPr>
      <t>AÉREO SLZ</t>
    </r>
    <r>
      <rPr>
        <sz val="20"/>
        <rFont val="Trebuchet MS"/>
        <family val="2"/>
      </rPr>
      <t xml:space="preserve">
São Luis x São Paulo x São Luis
*Valor sujeito a alteração mediante malha aérea, bagagem e mailing enviado pela WHP</t>
    </r>
  </si>
  <si>
    <r>
      <rPr>
        <b/>
        <sz val="20"/>
        <rFont val="Trebuchet MS"/>
        <family val="2"/>
      </rPr>
      <t>AÉREO SSA</t>
    </r>
    <r>
      <rPr>
        <sz val="20"/>
        <rFont val="Trebuchet MS"/>
        <family val="2"/>
      </rPr>
      <t xml:space="preserve">
Salvador x São Paulo x Salvador
*Valor sujeito a alteração mediante malha aérea, bagagem e mailing enviado pela WHP</t>
    </r>
  </si>
  <si>
    <r>
      <rPr>
        <b/>
        <sz val="20"/>
        <rFont val="Trebuchet MS"/>
        <family val="2"/>
      </rPr>
      <t>AÉREO THE</t>
    </r>
    <r>
      <rPr>
        <sz val="20"/>
        <rFont val="Trebuchet MS"/>
        <family val="2"/>
      </rPr>
      <t xml:space="preserve">
Teresina x São Paulo x Teresina
*Valor sujeito a alteração mediante malha aérea, bagagem e mailing enviado pela WHP</t>
    </r>
  </si>
  <si>
    <r>
      <rPr>
        <b/>
        <sz val="20"/>
        <rFont val="Trebuchet MS"/>
        <family val="2"/>
      </rPr>
      <t>AÉREO UDI</t>
    </r>
    <r>
      <rPr>
        <sz val="20"/>
        <rFont val="Trebuchet MS"/>
        <family val="2"/>
      </rPr>
      <t xml:space="preserve">
Uberlandia x São Paulo x Uberlandia
*Valor sujeito a alteração mediante malha aérea, bagagem e mailing enviado pela WHP</t>
    </r>
  </si>
  <si>
    <r>
      <rPr>
        <b/>
        <sz val="20"/>
        <rFont val="Trebuchet MS"/>
        <family val="2"/>
      </rPr>
      <t>AÉREO VIX</t>
    </r>
    <r>
      <rPr>
        <sz val="20"/>
        <rFont val="Trebuchet MS"/>
        <family val="2"/>
      </rPr>
      <t xml:space="preserve">
Vitoria x São Paulo x Vitoria
*Valor sujeito a alteração mediante malha aérea, bagagem e mailing enviado pela WHP</t>
    </r>
  </si>
  <si>
    <r>
      <rPr>
        <b/>
        <sz val="20"/>
        <color theme="1"/>
        <rFont val="Trebuchet MS"/>
        <family val="2"/>
      </rPr>
      <t xml:space="preserve">TRANSFER IN
</t>
    </r>
    <r>
      <rPr>
        <sz val="20"/>
        <color theme="1"/>
        <rFont val="Trebuchet MS"/>
        <family val="2"/>
      </rPr>
      <t xml:space="preserve">
Considerado 280 pax, contetmplando:  01  ônibus 60 assentos, 05 micro ônibus com 34 assentos, 07 vans executivas 14 assentos e 05 carros executivos.
GRU/CGH x Hotel 
</t>
    </r>
  </si>
  <si>
    <r>
      <rPr>
        <b/>
        <sz val="20"/>
        <color theme="1"/>
        <rFont val="Trebuchet MS"/>
        <family val="2"/>
      </rPr>
      <t xml:space="preserve">TRANSFER OUT
</t>
    </r>
    <r>
      <rPr>
        <sz val="20"/>
        <color theme="1"/>
        <rFont val="Trebuchet MS"/>
        <family val="2"/>
      </rPr>
      <t xml:space="preserve">
Considerado 280 pax, contetmplando:  01  ônibus 60 assentos, 05 micro ônibus com 34 assentos, 07 vans executivas 14 assentos e 05 carros executivos.
 x Hotel  x GRU/CGH 
</t>
    </r>
  </si>
  <si>
    <r>
      <rPr>
        <b/>
        <sz val="20"/>
        <color theme="1"/>
        <rFont val="Trebuchet MS"/>
        <family val="2"/>
      </rPr>
      <t>TRANSPORTE STAFF WHP</t>
    </r>
    <r>
      <rPr>
        <sz val="20"/>
        <color theme="1"/>
        <rFont val="Trebuchet MS"/>
        <family val="2"/>
      </rPr>
      <t xml:space="preserve">
Considerado 1 van de 15 lugares
WHP x Hotel x WHP</t>
    </r>
  </si>
  <si>
    <r>
      <rPr>
        <b/>
        <sz val="20"/>
        <color theme="1"/>
        <rFont val="Trebuchet MS"/>
        <family val="2"/>
      </rPr>
      <t>TRANSPORTE STAFF AGÊNCIA</t>
    </r>
    <r>
      <rPr>
        <sz val="20"/>
        <color theme="1"/>
        <rFont val="Trebuchet MS"/>
        <family val="2"/>
      </rPr>
      <t xml:space="preserve">
Considerado 1 van de 15 lugares, sendo 1 saída 
SP x Hotel x SP</t>
    </r>
  </si>
  <si>
    <r>
      <rPr>
        <b/>
        <sz val="20"/>
        <color theme="1"/>
        <rFont val="Trebuchet MS"/>
        <family val="2"/>
      </rPr>
      <t>TRANSPORTE MATERIAIS</t>
    </r>
    <r>
      <rPr>
        <sz val="20"/>
        <color theme="1"/>
        <rFont val="Trebuchet MS"/>
        <family val="2"/>
      </rPr>
      <t xml:space="preserve">
Transporte dos materiais de produção
Considerado um caminhão vuck</t>
    </r>
  </si>
  <si>
    <r>
      <rPr>
        <b/>
        <sz val="20"/>
        <color theme="1"/>
        <rFont val="Trebuchet MS"/>
        <family val="2"/>
      </rPr>
      <t>VOUCHER DE UBER - 280 PAX</t>
    </r>
    <r>
      <rPr>
        <sz val="20"/>
        <color theme="1"/>
        <rFont val="Trebuchet MS"/>
        <family val="2"/>
      </rPr>
      <t xml:space="preserve">
Reserva de verba para uber do time de campo</t>
    </r>
  </si>
  <si>
    <r>
      <rPr>
        <b/>
        <sz val="20"/>
        <color theme="1"/>
        <rFont val="Trebuchet MS"/>
        <family val="2"/>
      </rPr>
      <t>APARTAMENTO SINGLE</t>
    </r>
    <r>
      <rPr>
        <sz val="20"/>
        <color theme="1"/>
        <rFont val="Trebuchet MS"/>
        <family val="2"/>
      </rPr>
      <t xml:space="preserve">
Considerado 50 apartamentos singles, sendo 1 cama casal
Público: diretoria e staff WHP</t>
    </r>
  </si>
  <si>
    <r>
      <rPr>
        <b/>
        <sz val="20"/>
        <color theme="1"/>
        <rFont val="Trebuchet MS"/>
        <family val="2"/>
      </rPr>
      <t>APARTAMENTO DUPLO</t>
    </r>
    <r>
      <rPr>
        <sz val="20"/>
        <color theme="1"/>
        <rFont val="Trebuchet MS"/>
        <family val="2"/>
      </rPr>
      <t xml:space="preserve">
Considerado 110 apartamentos duplos, sendo 2 camas
Público: restante do time</t>
    </r>
  </si>
  <si>
    <r>
      <rPr>
        <b/>
        <sz val="20"/>
        <color theme="1"/>
        <rFont val="Trebuchet MS"/>
        <family val="2"/>
      </rPr>
      <t>APARTAMENTO STAFF</t>
    </r>
    <r>
      <rPr>
        <sz val="20"/>
        <color theme="1"/>
        <rFont val="Trebuchet MS"/>
        <family val="2"/>
      </rPr>
      <t xml:space="preserve">
Considerado 16 apartamentos single e doubles
Público: time de campo Oggi</t>
    </r>
  </si>
  <si>
    <r>
      <t xml:space="preserve">TERRAS 1+2+3 (PLENÁRIA)
</t>
    </r>
    <r>
      <rPr>
        <sz val="20"/>
        <color theme="1"/>
        <rFont val="Trebuchet MS"/>
        <family val="2"/>
      </rPr>
      <t>24 á 29 de Janeiro
Área: 1028m²
Pé direito: 7m
Sem mobiliário - formato arena para até 600pax</t>
    </r>
  </si>
  <si>
    <r>
      <t xml:space="preserve">OLD COURSE 1 E 2 -  SHOWROOM
</t>
    </r>
    <r>
      <rPr>
        <sz val="20"/>
        <color theme="1"/>
        <rFont val="Trebuchet MS"/>
        <family val="2"/>
      </rPr>
      <t>Área 240m²
24 á 28 de Janeiro
Sem mobiliário - Cenografia</t>
    </r>
  </si>
  <si>
    <r>
      <t xml:space="preserve">SALA SWING - VIP
</t>
    </r>
    <r>
      <rPr>
        <sz val="20"/>
        <color theme="1"/>
        <rFont val="Trebuchet MS"/>
        <family val="2"/>
      </rPr>
      <t>Considerado mobiliário do hotel, formato U
Até 20pax</t>
    </r>
  </si>
  <si>
    <r>
      <t xml:space="preserve">SALA BUNKER - STAFF WHP
</t>
    </r>
    <r>
      <rPr>
        <sz val="20"/>
        <color theme="1"/>
        <rFont val="Trebuchet MS"/>
        <family val="2"/>
      </rPr>
      <t>Considerado mobiliário do hotel, formato escolar
Até 10pax</t>
    </r>
  </si>
  <si>
    <r>
      <t xml:space="preserve">SALA FADE - PPT
</t>
    </r>
    <r>
      <rPr>
        <sz val="20"/>
        <color theme="1"/>
        <rFont val="Trebuchet MS"/>
        <family val="2"/>
      </rPr>
      <t>Considerado mobiliário do hotel, formato escolar
Até 10pax</t>
    </r>
  </si>
  <si>
    <r>
      <t xml:space="preserve">SALAS GREEN, JARDAS,ALBATROZ,DRIVE, EAGLE (DIVISÕES)
</t>
    </r>
    <r>
      <rPr>
        <sz val="20"/>
        <color theme="1"/>
        <rFont val="Trebuchet MS"/>
        <family val="2"/>
      </rPr>
      <t>Considerado mobiliário do hotel, formato escolar</t>
    </r>
  </si>
  <si>
    <r>
      <t xml:space="preserve">SALA TERRAVISTA - PRODUÇÃO
</t>
    </r>
    <r>
      <rPr>
        <sz val="20"/>
        <color theme="1"/>
        <rFont val="Trebuchet MS"/>
        <family val="2"/>
      </rPr>
      <t>Considerado mobiliário do hotel, formato escolar
Até 30pax</t>
    </r>
  </si>
  <si>
    <r>
      <t xml:space="preserve">SALA - EXTRA
</t>
    </r>
    <r>
      <rPr>
        <sz val="20"/>
        <color theme="1"/>
        <rFont val="Trebuchet MS"/>
        <family val="2"/>
      </rPr>
      <t>Considerado mobiliário do hotel, formato auditório
Até 10pax</t>
    </r>
  </si>
  <si>
    <r>
      <t xml:space="preserve">ABERTURA DE PORTA
</t>
    </r>
    <r>
      <rPr>
        <sz val="20"/>
        <color theme="1"/>
        <rFont val="Trebuchet MS"/>
        <family val="2"/>
      </rPr>
      <t>Taxa cobrada pelo hotel pela abertura de porta das UHs para gif</t>
    </r>
  </si>
  <si>
    <r>
      <t xml:space="preserve">MESTRE DE CERIMÔNIA LIVIA LA GATTO 
</t>
    </r>
    <r>
      <rPr>
        <sz val="20"/>
        <color theme="1"/>
        <rFont val="Trebuchet MS"/>
        <family val="2"/>
      </rPr>
      <t>Considerado ensaio + 3 dias de evento</t>
    </r>
  </si>
  <si>
    <r>
      <t xml:space="preserve">MESTRE DE CERIMÔNIA GABRIEL LOUCHARD </t>
    </r>
    <r>
      <rPr>
        <b/>
        <sz val="20"/>
        <color rgb="FFFF0000"/>
        <rFont val="Trebuchet MS"/>
        <family val="2"/>
      </rPr>
      <t>- diferença de valor em extras</t>
    </r>
    <r>
      <rPr>
        <b/>
        <sz val="20"/>
        <color theme="1"/>
        <rFont val="Trebuchet MS"/>
        <family val="2"/>
      </rPr>
      <t xml:space="preserve">
</t>
    </r>
    <r>
      <rPr>
        <sz val="20"/>
        <color theme="1"/>
        <rFont val="Trebuchet MS"/>
        <family val="2"/>
      </rPr>
      <t>Considerado ensaio + 3 dias de evento</t>
    </r>
  </si>
  <si>
    <r>
      <t xml:space="preserve">PALESTRANTE TIAGO CONCER 
</t>
    </r>
    <r>
      <rPr>
        <sz val="20"/>
        <color theme="1"/>
        <rFont val="Trebuchet MS"/>
        <family val="2"/>
      </rPr>
      <t>Considerado palestra 1 hora - logística por conta do palestrante</t>
    </r>
  </si>
  <si>
    <r>
      <t xml:space="preserve">BANDA - BAILE DA MASSA REAL                
</t>
    </r>
    <r>
      <rPr>
        <sz val="20"/>
        <color theme="1"/>
        <rFont val="Trebuchet MS"/>
        <family val="2"/>
      </rPr>
      <t xml:space="preserve">1 apresentação musical com aproximadamente 1h30 de duração 
</t>
    </r>
    <r>
      <rPr>
        <b/>
        <sz val="20"/>
        <color rgb="FFFF0000"/>
        <rFont val="Trebuchet MS"/>
        <family val="2"/>
      </rPr>
      <t>ATRAÇÃO CANCELADA - MULTA RECISÓRIA</t>
    </r>
  </si>
  <si>
    <r>
      <t xml:space="preserve">DJ - HAPPY HOUR (ANTHONY GARCIA)
</t>
    </r>
    <r>
      <rPr>
        <sz val="20"/>
        <color theme="1"/>
        <rFont val="Trebuchet MS"/>
        <family val="2"/>
      </rPr>
      <t>3horas de evento</t>
    </r>
  </si>
  <si>
    <r>
      <t xml:space="preserve">DJ - FESTA DE ENCERRAMENTO (ANTHONY GARCIA)
</t>
    </r>
    <r>
      <rPr>
        <sz val="20"/>
        <color theme="1"/>
        <rFont val="Trebuchet MS"/>
        <family val="2"/>
      </rPr>
      <t>4horas de evento com intervalos mediante banda escolhida</t>
    </r>
  </si>
  <si>
    <r>
      <t xml:space="preserve">GERADOR
</t>
    </r>
    <r>
      <rPr>
        <sz val="20"/>
        <color theme="1"/>
        <rFont val="Trebuchet MS"/>
        <family val="2"/>
      </rPr>
      <t>Plenária + Showroom
02 Geradores 260KVA
01 Operador
Contemplado:
- Combustível Óleo Biodiesel
- Rabichos
- Passa Cabos
- Intermediarias
- Aterramento
- Extintor
- ART e Laudo
* Valor sujeito a alteração de acordo com cronograma de ações e do ensaio/evento
Considerado visita técnica para avaliações e considerações do fornecedor</t>
    </r>
  </si>
  <si>
    <r>
      <t xml:space="preserve">TRANSMISSÃO / CAPTAÇÃO
</t>
    </r>
    <r>
      <rPr>
        <sz val="20"/>
        <color rgb="FF000000"/>
        <rFont val="Trebuchet MS"/>
        <family val="2"/>
      </rPr>
      <t>3 Cameras FullHD para transmissão com todos acessorios necessarios
2 Tripes para camera
2 Lentes de acordo com a necessidade do projeto
2 Praticaveis de camera de 1 mt de altura
2 Sistemas sem fio para camera Teradeck ou similar
2 Gravadores para captacao do PGM
1 Sistema de intercomunicação entre DTV e cameras
Cabeamento de acordo com a necessidade do sistema
Distribuidores, Pedestais, cabos, adaptadores e acessórios</t>
    </r>
  </si>
  <si>
    <r>
      <t xml:space="preserve">ESFERA DE LED
</t>
    </r>
    <r>
      <rPr>
        <sz val="20"/>
        <color rgb="FF000000"/>
        <rFont val="Trebuchet MS"/>
        <family val="2"/>
      </rPr>
      <t>1 Esfera de Led com 2 mts de diametro e players para conteudo
Considerado 2 conteúdos de até 45s.</t>
    </r>
  </si>
  <si>
    <r>
      <t>TELEPROMPTER
4</t>
    </r>
    <r>
      <rPr>
        <sz val="20"/>
        <color theme="1"/>
        <rFont val="Trebuchet MS"/>
        <family val="2"/>
      </rPr>
      <t xml:space="preserve"> TVs de 65" pol para retorno de palco com doghouse
2 Servers de Video para Play 16x9 e multitela (Principal + backup)
1 Notebook para Cronometro para embedar nos monitores de retorno
4 Notebook para Power Point (principal + Backup + tela do apresentador)
2 Passador de Slides D-San Perfect Cue
1 Gerenciador de video - Barco E2, ou similar
1 Matrix full HD 16x16
1 Monitor 40 multiview para direção artistica
Fibra optica para interligação dos sistemas de video entre as salas
Fibra optica para interligação dos monitores, Projetores e painéis de led
Distribuidores, Pedestais, cabos, adaptadores e acessório</t>
    </r>
    <r>
      <rPr>
        <b/>
        <sz val="20"/>
        <color theme="1"/>
        <rFont val="Trebuchet MS"/>
        <family val="2"/>
      </rPr>
      <t>s</t>
    </r>
  </si>
  <si>
    <r>
      <rPr>
        <b/>
        <sz val="20"/>
        <rFont val="Trebuchet MS"/>
        <family val="2"/>
      </rPr>
      <t>LOCAÇÃO DE EQUIPAMENTOS</t>
    </r>
    <r>
      <rPr>
        <sz val="20"/>
        <rFont val="Trebuchet MS"/>
        <family val="2"/>
      </rPr>
      <t xml:space="preserve">
4 Notebooks
4 Celulares</t>
    </r>
  </si>
  <si>
    <r>
      <t xml:space="preserve">TÉCNICA - REGIONAIS
</t>
    </r>
    <r>
      <rPr>
        <sz val="20"/>
        <color rgb="FF000000"/>
        <rFont val="Trebuchet MS"/>
        <family val="2"/>
      </rPr>
      <t>2 Caixa de som amplificadas compactas para monitores
1 Microfone sem fio
1 Projeção</t>
    </r>
  </si>
  <si>
    <r>
      <t xml:space="preserve">TECNICA - AUDIO
</t>
    </r>
    <r>
      <rPr>
        <sz val="20"/>
        <color rgb="FF000000"/>
        <rFont val="Trebuchet MS"/>
        <family val="2"/>
      </rPr>
      <t>1 Sistema de P.A. para ate 600 pessoas D&amp;B, Meyer, L'acoustic ou Similar para Arena - 6 linhas + P.A. para banda no
palco anexo
12 Sistemas sem fio (combo) com combiner e antenas externas ULXD ou Axient
8 Capsulas Head Set DPA
1 Mesa de som digital com pelo menos 48 in 32 outs com sistema digital
1 Player de audio (Notebook)
1 Microfones com fio para VOG e comunicação com botao on/off e Suporte de Mesa
6 Caixa de som amplificadas compactas para monitores
2 Caixa de som amplificadas compactas para monitores back stage
6 Sistema de Comunicação sem Fio(in ear) para MC + Libras
1 RIDER DE BANDA A DEFINIR</t>
    </r>
  </si>
  <si>
    <r>
      <t xml:space="preserve">TECNICA -LUZ
</t>
    </r>
    <r>
      <rPr>
        <sz val="20"/>
        <color rgb="FF000000"/>
        <rFont val="Trebuchet MS"/>
        <family val="2"/>
      </rPr>
      <t>32 Refletores Fresnel de Led com Bandor - frente palco
20 Ribaltas de led para comunicação do palco
48 Par led RGBW para center de palco
40 Refletor SGM P5 para lavaar parredes
26 Moving Wash Led Spyder, Mac Aura
cabos, adaptadores tripés, cintas e acessórios conforme necessidade
Canos e estrutura para fixação dos refletores</t>
    </r>
  </si>
  <si>
    <r>
      <t xml:space="preserve">TECNICA - IMAGEM
</t>
    </r>
    <r>
      <rPr>
        <sz val="20"/>
        <color rgb="FF000000"/>
        <rFont val="Trebuchet MS"/>
        <family val="2"/>
      </rPr>
      <t>112 mts quadrados de Painel de Led - 4 paineis de 8,0m x 4,5m P3
1 Notebook para Cronometro para embedar nos monitores de retorno
4 Notebook para Power Point (principal + Backup + tela do apresentador)
1 Gerenciador de video - Barco E2, ou similar
1 Matrix full HD 16x16
1 Monitor 40 multiview para direção artistica
Fibra optica para interligação dos sistemas de video entre as salas
Fibra optica para interligação dos monitores, Projetores e painéis de led
Distribuidores, Pedestais, cabos, adaptadores e acessórios</t>
    </r>
  </si>
  <si>
    <r>
      <t xml:space="preserve">HAPPY HOUR - AUDIO
</t>
    </r>
    <r>
      <rPr>
        <sz val="20"/>
        <color rgb="FF000000"/>
        <rFont val="Trebuchet MS"/>
        <family val="2"/>
      </rPr>
      <t>1 Mesa de som
1 Player de audio (Notebook)
4 Caixas de som amplificadas compactas para monitores</t>
    </r>
  </si>
  <si>
    <r>
      <t xml:space="preserve">HAPPY HOUR - LUZ
</t>
    </r>
    <r>
      <rPr>
        <sz val="20"/>
        <color rgb="FF000000"/>
        <rFont val="Trebuchet MS"/>
        <family val="2"/>
      </rPr>
      <t>15 Parled blindada RGBWA 
10 Ribaltas de led slim</t>
    </r>
  </si>
  <si>
    <r>
      <t xml:space="preserve">ILUMINAÇÃO - SHOWROOM
</t>
    </r>
    <r>
      <rPr>
        <sz val="20"/>
        <color rgb="FF000000"/>
        <rFont val="Trebuchet MS"/>
        <family val="2"/>
      </rPr>
      <t>24 Refletores Fresnel de Led com Bandor - produtos
10 Ribaltas para backdrop de fundo
20 Brutt de led BL 120 para ambientes
40 Par led RGBW para ambientes
80 mts de box Q15 para fixação de equipamentos de iluminação
cabos, adaptadores tripés, cintas e acessórios conforme necessidade
Canos e estrutura para fixação dos refletores</t>
    </r>
  </si>
  <si>
    <r>
      <t xml:space="preserve">TÉCNICA FOYER
</t>
    </r>
    <r>
      <rPr>
        <sz val="20"/>
        <color rgb="FF000000"/>
        <rFont val="Trebuchet MS"/>
        <family val="2"/>
      </rPr>
      <t>10 Parled blindada RGBWA para ambiente
10 Ribaltas de led slim para comunicação (backdrop)
cabos, adaptadores tripés e acessórios conforme necessidade
Canos e estrutura para fixação dos refletores
1 Sistema de som ambiente composto por 6 colunas de osm - K-Array, Turbo sound ou similar
1 Player de audio (Notebook)
cabos, adaptadores tripés, cintas e acessórios conforme necessidade</t>
    </r>
  </si>
  <si>
    <r>
      <rPr>
        <b/>
        <sz val="20"/>
        <color theme="1"/>
        <rFont val="Trebuchet MS"/>
        <family val="2"/>
      </rPr>
      <t>PAC PARA EVENTO - VINHETAS</t>
    </r>
    <r>
      <rPr>
        <sz val="20"/>
        <color theme="1"/>
        <rFont val="Trebuchet MS"/>
        <family val="2"/>
      </rPr>
      <t xml:space="preserve">
Video Abertura (10s), 
Transição, 
Encerramento (10s), 
KV Looping, 
Cartelas/BGs Suporte (5 unid.)
Contagem Regressiva, 
Vinhetas c/ foto para Speakers/MC (15 unid.), BG para PPT (5 unid.)
VIDEOS 
Vídeo de Segurança (até 1min30s) 
Edição utilizando Banco de Imagem + ID do Evento* + Letterings + Efeitos Visuais
Atribuições: Roteiro, Locução (1 voz), Direção de Arte, Motion, Legenda, Trilha e Finalização.
12 vídeos com até 3m cada 
Edição utilizando Banco de Imagem + ID do Evento* + Letterings + Efeitos Visuais
Atribuições: Roteiro, Locução (1 voz), Direção de Arte, Motion, Legenda, Trilha e Finalização.</t>
    </r>
  </si>
  <si>
    <r>
      <rPr>
        <b/>
        <sz val="20"/>
        <color theme="1"/>
        <rFont val="Trebuchet MS"/>
        <family val="2"/>
      </rPr>
      <t>PPT - TEMPLATE</t>
    </r>
    <r>
      <rPr>
        <sz val="20"/>
        <color theme="1"/>
        <rFont val="Trebuchet MS"/>
        <family val="2"/>
      </rPr>
      <t xml:space="preserve">
❑ Criação conforme o Briefing;
❑ Elaboração com todos os elementos a serem utilizados;
❑ Identidade visual (diferenciadas) e todos os seus respectivos elementos
o Desenvolvimento de 1 template
o Diagramação, produção de conteúdo conceitual; na vertical
o Com até 500 slides aproximados, divididos em X apresentações
❑ Produção de slides com elementos do Photoshop, inserção de imagens;
❑ Utilização de Banco de Imagens a disposição durante 1 ano;
❑ Animações de Slides e montagens conforme briefing;
❑ Diagramação e formatação de conteúdo; (Panorâmico ou conversão 16x9)
❑ Adaptações / alterações inclusas até a entrega final;
❑ Aprovações onlines, em PDF e MP4
❑ Entrega em ppt animado em Vídeo MP4</t>
    </r>
  </si>
  <si>
    <r>
      <rPr>
        <b/>
        <sz val="20"/>
        <color theme="1"/>
        <rFont val="Trebuchet MS"/>
        <family val="2"/>
      </rPr>
      <t>SUPORTE PPT</t>
    </r>
    <r>
      <rPr>
        <sz val="20"/>
        <color theme="1"/>
        <rFont val="Trebuchet MS"/>
        <family val="2"/>
      </rPr>
      <t xml:space="preserve">
Suporte com 2 pessoas no evento;
❑ 2 designers a disposição (ensaio e evento)</t>
    </r>
  </si>
  <si>
    <r>
      <t xml:space="preserve">BALCÕES RECEPTIVO
</t>
    </r>
    <r>
      <rPr>
        <sz val="20"/>
        <color rgb="FF000000"/>
        <rFont val="Trebuchet MS"/>
        <family val="2"/>
      </rPr>
      <t>Construido em estrutura de metalon, chapeado em mdf, com espera para painel de led e tampo em mdf revestido em bagum. *sem porta. Medida de 6m</t>
    </r>
  </si>
  <si>
    <r>
      <t xml:space="preserve">PÓRTICO ENTRADA                                          </t>
    </r>
    <r>
      <rPr>
        <sz val="20"/>
        <color rgb="FF000000"/>
        <rFont val="Trebuchet MS"/>
        <family val="2"/>
      </rPr>
      <t>Construido em metalon, pintado de preto, com lona
impressa com ilhós e fita de led cob.
1.1 Estrutura de andaime multidirecional com acabamento
em pintura 8,00 1,00 2,40 1
1.2 Imagem em adesivo impresso 2,00 2,00 
1.3 Placa de PS com aplicação de comunicação 2,00 2,00 - 2
1.4 Placa de PS com aplicação de comunicação 1,00 1,00 - 2
1.5 Led  em fita Logo em recorte router com aplicação de comunicação 3,50 0,70 0,05 1</t>
    </r>
  </si>
  <si>
    <r>
      <t xml:space="preserve">FUNDO DE PALCO PLENÁRIA
</t>
    </r>
    <r>
      <rPr>
        <sz val="20"/>
        <color rgb="FF000000"/>
        <rFont val="Trebuchet MS"/>
        <family val="2"/>
      </rPr>
      <t>Trainel estruturado em madeira com acabamento em
lona impressa 6,50 4,60 - 1
Trainel estruturado em madeira com acabamento em
lona impressa e fixação de tubo de led nas laterais 2,50 4,60 - 2</t>
    </r>
  </si>
  <si>
    <r>
      <t xml:space="preserve">PALCOS PLENÁRIA ARENA, LATERAL E FESTA/COLETIVA
</t>
    </r>
    <r>
      <rPr>
        <sz val="20"/>
        <color rgb="FF000000"/>
        <rFont val="Trebuchet MS"/>
        <family val="2"/>
      </rPr>
      <t xml:space="preserve">Palco construído em madeira com acabamento emcarpete forração cinza claro 
Rampa lateral do palco com acabamento em carpete forração cinza claro e neon flex aplicado nas bordas 
Degrau construído em madeira com acabamento em carpete  </t>
    </r>
    <r>
      <rPr>
        <b/>
        <sz val="20"/>
        <color rgb="FF000000"/>
        <rFont val="Trebuchet MS"/>
        <family val="2"/>
      </rPr>
      <t xml:space="preserve">
</t>
    </r>
    <r>
      <rPr>
        <sz val="20"/>
        <color rgb="FF000000"/>
        <rFont val="Trebuchet MS"/>
        <family val="2"/>
      </rPr>
      <t>Palco lateral chanfrado com acabamento em carpete forração cinza claro e 
6,50 x 0,40 x 6,50</t>
    </r>
  </si>
  <si>
    <r>
      <t xml:space="preserve">LOGO - LETRA CAIXA
</t>
    </r>
    <r>
      <rPr>
        <sz val="20"/>
        <color rgb="FF000000"/>
        <rFont val="Trebuchet MS"/>
        <family val="2"/>
      </rPr>
      <t>Logo em letra caixa de acrílico retroiluminado com base
em madeira revestida em adesivo pantone 4,00 1,30 0,70</t>
    </r>
  </si>
  <si>
    <r>
      <t xml:space="preserve">PÓRTICO ENTRADA - PLENÁRIA
</t>
    </r>
    <r>
      <rPr>
        <sz val="20"/>
        <color rgb="FF000000"/>
        <rFont val="Trebuchet MS"/>
        <family val="2"/>
      </rPr>
      <t>Estrutura construída em madeira com acabamento em
lona impressa e aplicação de neon flex 5,60 4,00 3,00 1
 Piso em decorflex impresso pantone 1,40 0,01 4,00 2
Fechamento frontal e posterior do tunel em lona impressa 5,60 4,00 - 2
 Fechamento interno central do tunel em lona impressa 2,00 4,00 - 2
 Neon flex RBG aplicado no tunel - - - 100</t>
    </r>
  </si>
  <si>
    <r>
      <t xml:space="preserve">SHOWROOM - CENOGRAFIA
</t>
    </r>
    <r>
      <rPr>
        <sz val="20"/>
        <color rgb="FF000000"/>
        <rFont val="Trebuchet MS"/>
        <family val="2"/>
      </rPr>
      <t>1.1
Piso elevado a 0,03 com chapeamento intertravado
aplicado sobre piso do local, com acabamento em MDF
15mm
8,43 0,03 2,83 1 BRASTEMP - TAPETE LARANJA
1.2
Piso elevado a 0,03 com chapeamento intertravado
aplicado sobre piso do local, com acabamento em MDF
15mm
9,49 0,03 2,31 1 CONSUL - TAPETE VERDE
1.3
Piso elevado a 0,03 com chapeamento intertravado
aplicado sobre piso do local, com acabamento em MDF
15mm
5,26 0,03 6,55 1 CONSUL - TAPETE VERDE
1.1 Estrutura construída em madeira com acabamento em
lona impressa 29,79 3,20 -
MLINEA
R
BRASTEMP - FECHAMENTO
2.1 Base em mdf com aplicação de neon flex e cantos
arrendodados 3,50 0,05 1,70 1 BRASTEMP - PISO
2.2 Parede construída em madeira com acabamento em
lona impressa 3,29 2,58 - 1 BRASTEMP - PAREDE COM PATTERN
2.3 Sanca construída em madeira com acabamento em
napa e aplicação de neon flex 3,29 0,07 0,20 1 BRASTEMP - SANCA
2.4 Logo em XPS recortado com aplicação de adesivo
impresso + bafo de led - - 1,27 1 BRASTEMP - LOGO
2.5 Gigantografia 3D 1,10 1,26 - 1 BRASTEMP - SACO DE PIPOCA
2.6 Gigantografia 3D 3,06 1,62 0,12 1 BRASTEMP - MICROONDAS
2.7 Base em mdf 3,06 0,20 0,23 1 BRASTEMP - BASE MICROONDAS
3.1 Base em mdf com aplicação de neon flex e cantos
arrendodados 11,22 0,05 1,43 1 BRASTEMP - PISO
3.2 Estrutura construída em madeira com acabamento em
napa e aplicação de iluminação 8,86 2,15 0,37 1 BRASTEMP - DISPLAY
3.3 Estrutura construída em madeira com acabamento em
napa e aplicação de neon flex 2,15 2,24 0,08 1 BRASTEMP - DISPLAY
3.4 Parede construída em madeira com acabamento em
adesivo impresso 2,15 2,24 - 1 BRASTEMP - PAREDE TIJOLO
3.5 Totem construído em madeira com acabamento napa e
aplicação de placa revestida com adesivo impresso 0,18 1,09 - 7 BRASTEMP - TOTENS
3.6
Modulo superior contruído em mdf marsala com faca
especial frontal e fundo amadeirado, aplicação de neon
flex
1,00 0,52 0,04 1 BRASTEMP - ARMÁRIO
3.7 Balcão construído em mdf cinza com tampo marsala. 1,00 0,95 0,60 1 BRASTEMP - BALCÃO
4.1 Base em mdf com aplicação de neon flex e cantos
arrendodados 5,20 0,05 1,46 1 BRASTEMP - PISO
4.2 Painel construído em madeira com acabamento em
lona impressa 1,40 2,21 0,10 1 BRASTEMP - PAINEL
4.3 Base painel em mdf com aplicação de neon flex e
cantos arrendodados 1,40 0,06 1,10 1 BRASTEMP - BASE PAINEL
4.4 Totem construído em madeira com acabamento napa e
aplicação de placa revestida com adesivo impresso 0,21 1,09 0,07 4 BRASTEMP - TOTENS
5.1 Base em mdf com aplicação de neon flex e cantos
arrendodados 2,27 0,05 2,45 1 BRASTEMP - PISO
5.2 Cubo construído em madeira com a base superior
iluminada 0,59 1,21 0,59 1 BRASTEMP - CUBO CENTRAL
5.3 Totem construído em madeira com acabamento napa e
aplicação de placa revestida com adesivo impresso 0,24 1,07 0,07 4 BRASTEMP - TOTENS
5.4 Esquimó em recorte router com acabamento em pintura 0,52 0,42 0,05 1 BRASTEMP - ESQUIMÓ
6.1 Base em mdf com aplicação de neon flex e cantos
arrendodados 2,15 0,05 1,26 1 BRASTEMP - PISO
6.2 Estrutura construída em madeira com acabamento em
napa e aplicação de iluminação 1,72 2,25 0,32 1 BRASTEMP - DISPLAY
6.3 Parede construída em madeira com acabamento em
adesivo impresso 1,62 2,25 - 1 BRASTEMP - PAREDE TIJOLO
6.4 Nicho construído em mdf madeirado com aplicação de
neon flex 1,52 0,20 0,20 1 BRASTEMP - NICHO
6.5 Totem construído em madeira com acabamento napa e
aplicação de placa revestida com adesivo impresso 0,24 1,07 0,07 1 BRASTEMP - TOTEM
6.6 Balcão construído em mdf branco 0,78 0,92 0,56 1 BRASTEMP - BALCÃO
7.1 Base em mdf com face superior em adesivo impresso e
aplicação de neon flex e cantos arrendodados 2,90 0,10 1,31 1 BRASTEMP - PISO
7.2 Parede construída em madeira com acabamento em
adesivo impresso 2,90 2,24 0,10 1 BRASTEMP - DISPLAY
7.3 Totem construído em madeira com acabamento napa e
aplicação de placa revestida com adesivo impresso 0,18 1,05 0,03 2 BRASTEMP - TOTENS
8.1 Base em mdf com aplicação de neon flex e cantos
arrendodados 3,82 0,05 1,85 1 BRASTEMP - PISO
8.2 Estrutura construída em madeira com acabamento em
napa e aplicação de iluminação 3,47 0,49 0,05 1 BRASTEMP - DISPLAY
8.3 Nicho para embutir construído em madeira com
acabamento em napa 0,78 0,94 0,66 8 BRASTEMP - NICHOS FORNOS
8.4 Painel em mdf com acabamento em pintura e aplicação
de adesivo impresso 0,56 0,53 - 8 BRASTEMP - TESTEIRAS
8.5 Imagem em adesivo impresso - - - 2 BRASTEMP - CV
9.1 Base em mdf com aplicação de neon flex e cantos
arrendodados 4,72 0,05 0,94 1 BRASTEMP - PISO
9.2 Parede construída em madeira com acabamento em
napa
4,72 1,39 0,05 1 BRASTEMP - PAREDE
9.3 Estrutura construída em madeira com acabamento em
napa e aplicação de iluminação 0,75 0,89 0,60 5 BRASTEMP - EXPOSITOR MICROONDAS
9.4 Totem construído em madeira com acabamento napa e
aplicação de placa revestida com adesivo impresso 0,04 0,34 - 5 BRASTEMP - TOTENS
1.1 Estrutura construída em madeira com acabamento em
lona impressa 25,77 3,18 -
MLINEA
R
CONSUL - FECHAMENTO
2.1 Base em mdf com aplicação de neon flex e cantos
arrendodados 2,70 0,05 1,17 1 CONSUL - PISO
2.2 Parede construída em madeira com acabamento em
napa e adesivo impresso 2,70 2,08 0,05 1 CONSUL - DISPLAY
2.3 Pergolado construído em madeira com acabamento em
napa e aplicação de neon flex 2,70 0,05 0,73 1 CONSUL - PERGOLADO
2.4 Armário cenografico com 6 portas construído em mdf
amadeirado e tampo branco 2,53 0,93 0,11 1 CONSUL - ÁRMARIO
2.5 Totem construído em madeira com acabamento napa e
aplicação de placa revestida com adesivo impresso 0,21 1,10 0,06 2 CONSUL - TOTENS
3.1 Base em mdf com aplicação de neon flex e cantos
arrendodados 3,59 0,05 0,94 1 CONSUL - PISO
3.2 Parede construída em madeira com acabamento em
paisagismo e neon flex 3,59 1,53 0,05 1 CONSUL - PAREDE
3.3 Base em mdf com aplicação de neon flex e cantos
arrendodados 1,00 0,12 0,70 3 CONSUL - EXPOSITOR LAVADORAS
3.4 Totem construído em madeira com acabamento napa e
aplicação de placa revestida com adesivo impresso 0,18 1,10 0,05 3 CONSUL - TOTENS
4.1 Base em mdf com aplicação de neon flex e cantos
arrendodados 4,09 0,05 1,87 1 CONSUL - PISO
4.2 Parede construída em madeira com acabamento em
lona impressa 3,88 2,58 - 1 CONSUL - PAREDE
4.3 Pergolado construído em madeira com acabamento em
napa e aplicação de neon flex 3,88 0,05 0,95 1 CONSUL - PERGOLADO
4.4 Base em mdf com aplicação de neon flex e cantos
arrendodados 0,91 0,13 0,71 1 CONSUL - EXPOSITOR MÁQUINA
4.5 Estrutura em formato de "U" construída em madeira com
acabamento em napa 2,03 0,76 0,42 1 CONSUL - EXPOSITOR TECIDOS
4.6 Cama cenográfica com cabeceira e travesseiros, fixada
na parede no sentido vertical 2,02 2,08 0,70 1 CONSUL - CAMA
5.1 Base em mdf com aplicação de neon flex e cantos
arrendodados 4,72 0,05 0,94 1 CONSUL - PISO
5.2 Parede construída em madeira com acabamento em
napa e neon flex 4,72 1,53 0,05 1 CONSUL - PAREDE
5.3 Estrutura construída em madeira com acabamento em
napa e aplicação de iluminação 0,75 0,89 0,60 5 CONSUL - EXPOSITOR MICROONDAS
5.4 Totem construído em madeira com acabamento napa e
aplicação de placa revestida com adesivo impresso 0,04 0,34 - 5 CONSUL - TOTENS</t>
    </r>
  </si>
  <si>
    <r>
      <t xml:space="preserve">TIMELINE BRASTEMP - CENOGRÁFICA
</t>
    </r>
    <r>
      <rPr>
        <sz val="20"/>
        <color rgb="FF000000"/>
        <rFont val="Trebuchet MS"/>
        <family val="2"/>
      </rPr>
      <t>2.1 Estrutura de andaime multidirecional com acabamento
em pintura e aplicação de comunicação 1,00 2,00 4,20 6
2.2 Placa de PS com aplicação de comunicação 1,50 1,50 - 6
2.3 Placa de PS com aplicação de comunicação 4,00 1,20 - 3</t>
    </r>
  </si>
  <si>
    <r>
      <t xml:space="preserve">MOBILIÁRIO - HH E FESTA DE ENCERRAMENTO
</t>
    </r>
    <r>
      <rPr>
        <sz val="20"/>
        <color rgb="FF000000"/>
        <rFont val="Trebuchet MS"/>
        <family val="2"/>
      </rPr>
      <t>Considerado conjuntos bistrôs e lounges
- reserva de verba, sujeito a alteração mediante escopo do projeto</t>
    </r>
  </si>
  <si>
    <r>
      <t xml:space="preserve">MÃO DE OBRA - CENOTÉCNICOS
</t>
    </r>
    <r>
      <rPr>
        <sz val="20"/>
        <color rgb="FF000000"/>
        <rFont val="Trebuchet MS"/>
        <family val="2"/>
      </rPr>
      <t>Profissionais de decoração para montagem dos arranjos e mesas da Noite de Reconhecimento
Logística inclusa</t>
    </r>
  </si>
  <si>
    <r>
      <t xml:space="preserve">APLICATIVO
</t>
    </r>
    <r>
      <rPr>
        <sz val="20"/>
        <color theme="1"/>
        <rFont val="Trebuchet MS"/>
        <family val="2"/>
      </rPr>
      <t xml:space="preserve">ü Agenda completa do Evento e interativa (espaço para feedbacks, conteúdo resumido e postagem de perguntas);
ü Informações e detalhes do Evento;
ü Perfil individual personalizado;
ü Lista dos Palestrantes com informações profissionais;
ü Espaço para anexos  JPG, PNG, Mov e MP4 ;
ü Feed de Noticias;
ü Alertas (Push Notification);
ü Páginas personalizáveis em HMTL (linkagem externa);
ü Multi-Modulos;
ü Relatórios Analíticos;
ü Evento Privado (Acesso restrito e/ou login password);
ü App mobile nativo e web-app com URL personalizada;
ü Quiz, espaço de avaliações, pesquisa e faça perguntas;
ü leitura dos QR Code disponíveis no próprio aplicativo dos colaboradores para credenciamento e controle de presença nas atividades do evento;
ü Recurso no próprio app dos participantes para leitura de QR codes no evento vinculado à gamificaçao. Pode ser utilizado em pontos de ativação, por exemplo.
ü Pontuação vinculada às funcionalidades de interatividades.
Conforme as pessoas interagem, elas ganham pontos;
Aplicativo disponível em versão web (url personalizada) para o
RSVP e disponibilização de informações logísticas para o período
de um mês.
- Gestão completa do aplicativo no período anterior, durante e pós evento;
- Acompanhamento e Consultoria Céu-App antes, durante e depois do evento (definir períodos);
- 1 reunião de briefing antes da criação do aplicativo;
- Concepção e setup do aplicativo;
- 1 reunião de teste antes do lançamento do app ao publico;
- Customização do aplicativo, baseado na identidade visual da
empresa ou do evento**.
- Suporte técnico por meio dos canais Whatsapp, Email e FAQ,
durante o horário comercial da CéuApp das 9h00 até 18h00,
de segunda a sexta feira (chat, e-mail e FAQ). </t>
    </r>
  </si>
  <si>
    <r>
      <rPr>
        <b/>
        <sz val="20"/>
        <color theme="1"/>
        <rFont val="Trebuchet MS"/>
        <family val="2"/>
      </rPr>
      <t>ATORES - AÇÕES HOTEL E PLENÁRIA</t>
    </r>
    <r>
      <rPr>
        <sz val="20"/>
        <color theme="1"/>
        <rFont val="Trebuchet MS"/>
        <family val="2"/>
      </rPr>
      <t xml:space="preserve">
Atores para ação de boas vindas - bexiga
Atores para ação paparazzi TOP CLUBE E TOP TRADE
Atores para ação de lançamento de produtos
Atores para ação da cerimônia</t>
    </r>
  </si>
  <si>
    <r>
      <rPr>
        <b/>
        <sz val="20"/>
        <color theme="1"/>
        <rFont val="Trebuchet MS"/>
        <family val="2"/>
      </rPr>
      <t>OBJETOS PLENÁRIA</t>
    </r>
    <r>
      <rPr>
        <sz val="20"/>
        <color theme="1"/>
        <rFont val="Trebuchet MS"/>
        <family val="2"/>
      </rPr>
      <t xml:space="preserve">
- Bexigas (ação de boas vindas)
- Bolas (ação de lançamento de produtos)
- Copos (ação torre de copos)
- Tecido impresso (4 unidades)
- Varal</t>
    </r>
  </si>
  <si>
    <r>
      <rPr>
        <b/>
        <sz val="20"/>
        <color theme="1"/>
        <rFont val="Trebuchet MS"/>
        <family val="2"/>
      </rPr>
      <t>PICOLÉS</t>
    </r>
    <r>
      <rPr>
        <sz val="20"/>
        <color theme="1"/>
        <rFont val="Trebuchet MS"/>
        <family val="2"/>
      </rPr>
      <t xml:space="preserve">
600 PICOLES SABOR PERSONALIZADO 
PERSONALIZAÇÃO DA EMBALAGEM - PARCIAL PICOLE</t>
    </r>
  </si>
  <si>
    <r>
      <rPr>
        <b/>
        <sz val="20"/>
        <color rgb="FFFF0000"/>
        <rFont val="Trebuchet MS"/>
        <family val="2"/>
      </rPr>
      <t>PLACA PAPARAZZI</t>
    </r>
    <r>
      <rPr>
        <sz val="20"/>
        <color rgb="FFFF0000"/>
        <rFont val="Trebuchet MS"/>
        <family val="2"/>
      </rPr>
      <t xml:space="preserve">
Moldura para foto dos homenageados (tops)
1 - Top Club
1 - Top Trade</t>
    </r>
  </si>
  <si>
    <r>
      <t xml:space="preserve">STICKIES NEON
</t>
    </r>
    <r>
      <rPr>
        <sz val="20"/>
        <color rgb="FFFF0000"/>
        <rFont val="Trebuchet MS"/>
        <family val="2"/>
      </rPr>
      <t>Para ação de encerramento - plenária</t>
    </r>
  </si>
  <si>
    <r>
      <rPr>
        <b/>
        <sz val="20"/>
        <color theme="1"/>
        <rFont val="Trebuchet MS"/>
        <family val="2"/>
      </rPr>
      <t>CAMISETA - PARTICIPANTES</t>
    </r>
    <r>
      <rPr>
        <sz val="20"/>
        <color theme="1"/>
        <rFont val="Trebuchet MS"/>
        <family val="2"/>
      </rPr>
      <t xml:space="preserve">
Camiseta em algodão, com impresão 4 cores frente, personalizada do evento</t>
    </r>
  </si>
  <si>
    <r>
      <t xml:space="preserve">UNIFORME PROMOTORES
</t>
    </r>
    <r>
      <rPr>
        <sz val="20"/>
        <color rgb="FFFF0000"/>
        <rFont val="Trebuchet MS"/>
        <family val="2"/>
      </rPr>
      <t>Camisetão - feminino
Camiseta - masculino</t>
    </r>
  </si>
  <si>
    <r>
      <rPr>
        <b/>
        <sz val="20"/>
        <color rgb="FF7030A0"/>
        <rFont val="Trebuchet MS"/>
        <family val="2"/>
      </rPr>
      <t>CRACHÁ</t>
    </r>
    <r>
      <rPr>
        <sz val="20"/>
        <color rgb="FF7030A0"/>
        <rFont val="Trebuchet MS"/>
        <family val="2"/>
      </rPr>
      <t xml:space="preserve">
Crachá personalizado para os participantes.
Material: PVC
Tamanho: 9,5x13,9cm
Acabamento: laminado com canto arredonda  </t>
    </r>
    <r>
      <rPr>
        <b/>
        <sz val="20"/>
        <color rgb="FF7030A0"/>
        <rFont val="Trebuchet MS"/>
        <family val="2"/>
      </rPr>
      <t xml:space="preserve">                                                                             5 cores - 1 por regional </t>
    </r>
  </si>
  <si>
    <r>
      <rPr>
        <b/>
        <sz val="20"/>
        <rFont val="Trebuchet MS"/>
        <family val="2"/>
      </rPr>
      <t>CORDÃO PARA CRACHÁ</t>
    </r>
    <r>
      <rPr>
        <sz val="20"/>
        <rFont val="Trebuchet MS"/>
        <family val="2"/>
      </rPr>
      <t xml:space="preserve">
Tamanho: L2cm x C85cm 
Impressão frente e verso
Acabamento: mosquetão                                                                                                                                                              </t>
    </r>
    <r>
      <rPr>
        <b/>
        <sz val="20"/>
        <rFont val="Trebuchet MS"/>
        <family val="2"/>
      </rPr>
      <t xml:space="preserve">5 cores - 1 por regional </t>
    </r>
  </si>
  <si>
    <r>
      <rPr>
        <b/>
        <sz val="20"/>
        <rFont val="Trebuchet MS"/>
        <family val="2"/>
      </rPr>
      <t>FICHA DE PALCO</t>
    </r>
    <r>
      <rPr>
        <sz val="20"/>
        <rFont val="Trebuchet MS"/>
        <family val="2"/>
      </rPr>
      <t xml:space="preserve">
Material: Couchê Fosco 300g/m²
Tamanho: 15x21cm</t>
    </r>
  </si>
  <si>
    <r>
      <rPr>
        <b/>
        <sz val="20"/>
        <color rgb="FFFF0000"/>
        <rFont val="Trebuchet MS"/>
        <family val="2"/>
      </rPr>
      <t>TAG NOMINAL - TOP CLUBE/TRADE</t>
    </r>
    <r>
      <rPr>
        <sz val="20"/>
        <color rgb="FFFF0000"/>
        <rFont val="Trebuchet MS"/>
        <family val="2"/>
      </rPr>
      <t xml:space="preserve">
Tag para homenageados
Material: Couche Fosco 300g/m²
Tamanho: 5x5cm
Acabamento: Refile/Furo Superior/Cordão Silicone 1mm 030 cm (Tag)</t>
    </r>
  </si>
  <si>
    <r>
      <rPr>
        <b/>
        <sz val="20"/>
        <rFont val="Trebuchet MS"/>
        <family val="2"/>
      </rPr>
      <t>CARTA BOAS VINDAS</t>
    </r>
    <r>
      <rPr>
        <sz val="20"/>
        <rFont val="Trebuchet MS"/>
        <family val="2"/>
      </rPr>
      <t xml:space="preserve">
Carta para 100% do público
Material: Papel Sulfite, 90gr - 4x0
Tamanho:21x 29,7cm</t>
    </r>
  </si>
  <si>
    <r>
      <rPr>
        <b/>
        <sz val="20"/>
        <rFont val="Trebuchet MS"/>
        <family val="2"/>
      </rPr>
      <t>TAG DE MALA</t>
    </r>
    <r>
      <rPr>
        <sz val="20"/>
        <rFont val="Trebuchet MS"/>
        <family val="2"/>
      </rPr>
      <t xml:space="preserve">
1 LAMINA no tamanho 10X5CM, cm em papel COUCHE FOSCO
210 g/m2 impressos à 4x4 cores Tinta Escala; .
Acabamentos:
Laminação BOPP Fosco FV
Finalizações: 1 Furo, Refile Final *, 12cm Cordões Silicone.</t>
    </r>
  </si>
  <si>
    <r>
      <t xml:space="preserve">ADESIVO PORTAS - TOPS
</t>
    </r>
    <r>
      <rPr>
        <sz val="20"/>
        <color rgb="FFFF0000"/>
        <rFont val="Trebuchet MS"/>
        <family val="2"/>
      </rPr>
      <t>Adesivo de porta formato quadrado para os TOPs reconhecidos</t>
    </r>
  </si>
  <si>
    <r>
      <rPr>
        <b/>
        <sz val="20"/>
        <color theme="1"/>
        <rFont val="Trebuchet MS"/>
        <family val="2"/>
      </rPr>
      <t>RÁDIO HT</t>
    </r>
    <r>
      <rPr>
        <sz val="20"/>
        <color theme="1"/>
        <rFont val="Trebuchet MS"/>
        <family val="2"/>
      </rPr>
      <t xml:space="preserve">
40 rádios ht para equipe agência
+ repetidores</t>
    </r>
  </si>
  <si>
    <r>
      <rPr>
        <b/>
        <sz val="20"/>
        <color theme="1"/>
        <rFont val="Trebuchet MS"/>
        <family val="2"/>
      </rPr>
      <t>TECNICO RÁDIO</t>
    </r>
    <r>
      <rPr>
        <sz val="20"/>
        <color theme="1"/>
        <rFont val="Trebuchet MS"/>
        <family val="2"/>
      </rPr>
      <t xml:space="preserve">
1 técnico por 12horas</t>
    </r>
  </si>
  <si>
    <r>
      <rPr>
        <b/>
        <sz val="20"/>
        <color theme="1"/>
        <rFont val="Trebuchet MS"/>
        <family val="2"/>
      </rPr>
      <t>MATERIAL DE APOIO</t>
    </r>
    <r>
      <rPr>
        <sz val="20"/>
        <color theme="1"/>
        <rFont val="Trebuchet MS"/>
        <family val="2"/>
      </rPr>
      <t xml:space="preserve">
Materiais de escritório para sala de produção, exemplos:
Impressora+ insumos, papel, fita adesiva, estilete, elástico, entre outros.</t>
    </r>
  </si>
  <si>
    <r>
      <rPr>
        <b/>
        <sz val="20"/>
        <color theme="1"/>
        <rFont val="Trebuchet MS"/>
        <family val="2"/>
      </rPr>
      <t>CAÇAMBA DE LIXO</t>
    </r>
    <r>
      <rPr>
        <sz val="20"/>
        <color theme="1"/>
        <rFont val="Trebuchet MS"/>
        <family val="2"/>
      </rPr>
      <t xml:space="preserve">
- Caçamba para descarte dos resíduos
O local para posicionamento da caçamba deve ser indicado pelo hotel</t>
    </r>
  </si>
  <si>
    <r>
      <t xml:space="preserve">AMBULÂNCIA
</t>
    </r>
    <r>
      <rPr>
        <sz val="20"/>
        <color theme="1"/>
        <rFont val="Trebuchet MS"/>
        <family val="2"/>
      </rPr>
      <t>UTI</t>
    </r>
    <r>
      <rPr>
        <b/>
        <sz val="20"/>
        <color theme="1"/>
        <rFont val="Trebuchet MS"/>
        <family val="2"/>
      </rPr>
      <t xml:space="preserve">
</t>
    </r>
    <r>
      <rPr>
        <sz val="20"/>
        <color theme="1"/>
        <rFont val="Trebuchet MS"/>
        <family val="2"/>
      </rPr>
      <t>Considerado montagem + evento + desmontagem
12 horas por dia</t>
    </r>
  </si>
  <si>
    <r>
      <rPr>
        <b/>
        <sz val="20"/>
        <color theme="1"/>
        <rFont val="Trebuchet MS"/>
        <family val="2"/>
      </rPr>
      <t>ECAD</t>
    </r>
    <r>
      <rPr>
        <sz val="20"/>
        <color theme="1"/>
        <rFont val="Trebuchet MS"/>
        <family val="2"/>
      </rPr>
      <t xml:space="preserve">
Valor poderá sofrer alterações de acordo com o artistico final</t>
    </r>
  </si>
  <si>
    <r>
      <rPr>
        <b/>
        <sz val="20"/>
        <color theme="1"/>
        <rFont val="Trebuchet MS"/>
        <family val="2"/>
      </rPr>
      <t>DOCUMENTAÇÃO TÉCNICA</t>
    </r>
    <r>
      <rPr>
        <sz val="20"/>
        <color theme="1"/>
        <rFont val="Trebuchet MS"/>
        <family val="2"/>
      </rPr>
      <t xml:space="preserve">
ART - Anotação de Responsabilidade Técnica
Cenografia e Técnica</t>
    </r>
  </si>
  <si>
    <r>
      <rPr>
        <b/>
        <sz val="22"/>
        <color theme="1"/>
        <rFont val="Trebuchet MS"/>
        <family val="2"/>
      </rPr>
      <t>CRIAÇÃO DO PROJETO</t>
    </r>
    <r>
      <rPr>
        <sz val="22"/>
        <color theme="1"/>
        <rFont val="Trebuchet MS"/>
        <family val="2"/>
      </rPr>
      <t xml:space="preserve">
Criação do projeto 3D do evento e desdobramento de artes 2Ds para o plano de comunicação, materiais gráficos e KVs</t>
    </r>
  </si>
  <si>
    <r>
      <rPr>
        <b/>
        <sz val="22"/>
        <color theme="1"/>
        <rFont val="Trebuchet MS"/>
        <family val="2"/>
      </rPr>
      <t>PLANEJAMENTO CONVENÇÃO</t>
    </r>
    <r>
      <rPr>
        <sz val="22"/>
        <color theme="1"/>
        <rFont val="Trebuchet MS"/>
        <family val="2"/>
      </rPr>
      <t xml:space="preserve">
Planejamento de dinâmicas e cronograma do evento</t>
    </r>
  </si>
  <si>
    <r>
      <rPr>
        <b/>
        <sz val="22"/>
        <color theme="1"/>
        <rFont val="Trebuchet MS"/>
        <family val="2"/>
      </rPr>
      <t>ATENDIMENTO EXCLUSIVO</t>
    </r>
    <r>
      <rPr>
        <sz val="22"/>
        <color theme="1"/>
        <rFont val="Trebuchet MS"/>
        <family val="2"/>
      </rPr>
      <t xml:space="preserve">
01 profissional de atendimento por 03 meses 
Pré-evento, evento e entrega de relatório</t>
    </r>
  </si>
  <si>
    <r>
      <rPr>
        <b/>
        <sz val="22"/>
        <color theme="1"/>
        <rFont val="Trebuchet MS"/>
        <family val="2"/>
      </rPr>
      <t>HEAD DE PRODUÇÃO</t>
    </r>
    <r>
      <rPr>
        <sz val="22"/>
        <color theme="1"/>
        <rFont val="Trebuchet MS"/>
        <family val="2"/>
      </rPr>
      <t xml:space="preserve">
01 profissional de atendimento/produção por 03 meses 
Pré-evento, evento e entrega de relatório</t>
    </r>
  </si>
  <si>
    <r>
      <rPr>
        <b/>
        <sz val="22"/>
        <color theme="1"/>
        <rFont val="Trebuchet MS"/>
        <family val="2"/>
      </rPr>
      <t>HEAD DE LOGÍSTICA</t>
    </r>
    <r>
      <rPr>
        <sz val="22"/>
        <color theme="1"/>
        <rFont val="Trebuchet MS"/>
        <family val="2"/>
      </rPr>
      <t xml:space="preserve">
01 profissional de logística por 03 meses 
Pré-evento, evento e entrega de relatório</t>
    </r>
  </si>
  <si>
    <r>
      <rPr>
        <b/>
        <sz val="22"/>
        <color theme="1"/>
        <rFont val="Trebuchet MS"/>
        <family val="2"/>
      </rPr>
      <t>HEAD ATIVAÇÕES</t>
    </r>
    <r>
      <rPr>
        <sz val="22"/>
        <color theme="1"/>
        <rFont val="Trebuchet MS"/>
        <family val="2"/>
      </rPr>
      <t xml:space="preserve">
01 profissional para Showroom por 02 meses 
Pré-evento, evento e entrega de relatório</t>
    </r>
  </si>
  <si>
    <r>
      <rPr>
        <b/>
        <sz val="22"/>
        <color theme="1"/>
        <rFont val="Trebuchet MS"/>
        <family val="2"/>
      </rPr>
      <t>HEAD DE CONTEÚDO</t>
    </r>
    <r>
      <rPr>
        <sz val="22"/>
        <color theme="1"/>
        <rFont val="Trebuchet MS"/>
        <family val="2"/>
      </rPr>
      <t xml:space="preserve">
01 profissional de conteúdo e comunicação por 03 meses
Pré-evento e evento.
Responsável por todas as demandas de conteúdo em produção.</t>
    </r>
  </si>
  <si>
    <r>
      <rPr>
        <b/>
        <sz val="22"/>
        <color theme="1"/>
        <rFont val="Trebuchet MS"/>
        <family val="2"/>
      </rPr>
      <t>ASSISTÊNCIA DE LOGÍSTICA</t>
    </r>
    <r>
      <rPr>
        <sz val="22"/>
        <color theme="1"/>
        <rFont val="Trebuchet MS"/>
        <family val="2"/>
      </rPr>
      <t xml:space="preserve">
02 profissionais de logística por 02 meses 
Pré-evento, evento</t>
    </r>
  </si>
  <si>
    <r>
      <rPr>
        <b/>
        <sz val="22"/>
        <color theme="1"/>
        <rFont val="Trebuchet MS"/>
        <family val="2"/>
      </rPr>
      <t>ASSISTENTE DE CONTEÚDO</t>
    </r>
    <r>
      <rPr>
        <sz val="22"/>
        <color theme="1"/>
        <rFont val="Trebuchet MS"/>
        <family val="2"/>
      </rPr>
      <t xml:space="preserve">
01 profissional de conteúdo e comunicação por 02 meses
Pré-evento e evento.
Responsável por todas as demandas de conteúdo em produção.</t>
    </r>
  </si>
  <si>
    <r>
      <rPr>
        <b/>
        <sz val="22"/>
        <color theme="1"/>
        <rFont val="Trebuchet MS"/>
        <family val="2"/>
      </rPr>
      <t>PRODUTORES - GERAL</t>
    </r>
    <r>
      <rPr>
        <sz val="22"/>
        <color theme="1"/>
        <rFont val="Trebuchet MS"/>
        <family val="2"/>
      </rPr>
      <t xml:space="preserve">
01 - Plenária
01 - Sala de Produção                                                              
01 - Artístico</t>
    </r>
  </si>
  <si>
    <r>
      <t xml:space="preserve">PROMOTORES PLENÁRIA
</t>
    </r>
    <r>
      <rPr>
        <sz val="22"/>
        <color theme="1"/>
        <rFont val="Trebuchet MS"/>
        <family val="2"/>
      </rPr>
      <t>03 - Apoio plenária + Instagramável + Showroom
Carga horária: 10 horas</t>
    </r>
  </si>
  <si>
    <r>
      <rPr>
        <b/>
        <sz val="22"/>
        <color theme="1"/>
        <rFont val="Trebuchet MS"/>
        <family val="2"/>
      </rPr>
      <t>CARREGADORES</t>
    </r>
    <r>
      <rPr>
        <sz val="22"/>
        <color theme="1"/>
        <rFont val="Trebuchet MS"/>
        <family val="2"/>
      </rPr>
      <t xml:space="preserve">
Considerado carregadores para montagem, evento e desmontagem
Carga horária: 12 horas</t>
    </r>
  </si>
  <si>
    <r>
      <t xml:space="preserve">FOTÓGRAFO
</t>
    </r>
    <r>
      <rPr>
        <sz val="22"/>
        <color theme="1"/>
        <rFont val="Trebuchet MS"/>
        <family val="2"/>
      </rPr>
      <t xml:space="preserve">Flmagem e fotos da premiação Top Club e Top Trad e seus premiados 
02 fotógrafos, 01 filmeker e 01 editor </t>
    </r>
  </si>
  <si>
    <r>
      <rPr>
        <b/>
        <sz val="22"/>
        <color theme="1"/>
        <rFont val="Trebuchet MS"/>
        <family val="2"/>
      </rPr>
      <t xml:space="preserve">TRANSFER IN
</t>
    </r>
    <r>
      <rPr>
        <sz val="22"/>
        <color theme="1"/>
        <rFont val="Trebuchet MS"/>
        <family val="2"/>
      </rPr>
      <t xml:space="preserve">
Considerado 114 pax, contetmplando: vans, microônibus  ou ônibus - conforme demanda para 114 pax 
GRU/CGH x Hotel 
</t>
    </r>
  </si>
  <si>
    <r>
      <rPr>
        <b/>
        <sz val="22"/>
        <color theme="1"/>
        <rFont val="Trebuchet MS"/>
        <family val="2"/>
      </rPr>
      <t xml:space="preserve">TRANSFER OUT
</t>
    </r>
    <r>
      <rPr>
        <sz val="22"/>
        <color theme="1"/>
        <rFont val="Trebuchet MS"/>
        <family val="2"/>
      </rPr>
      <t xml:space="preserve">
Considerado 114 pax, contetmplando: vans, microônibus  ou ônibus - conforme demanda para 114 pax 
GRU/CGH x Hotel 
</t>
    </r>
  </si>
  <si>
    <r>
      <rPr>
        <b/>
        <sz val="22"/>
        <color theme="1"/>
        <rFont val="Trebuchet MS"/>
        <family val="2"/>
      </rPr>
      <t>TRANSPORTE STAFF AGÊNCIA</t>
    </r>
    <r>
      <rPr>
        <sz val="22"/>
        <color theme="1"/>
        <rFont val="Trebuchet MS"/>
        <family val="2"/>
      </rPr>
      <t xml:space="preserve">
Considerado 1 van de 15 lugares, sendo 1 saída 
SP x Hotel x SP</t>
    </r>
  </si>
  <si>
    <r>
      <rPr>
        <b/>
        <sz val="22"/>
        <color theme="1"/>
        <rFont val="Trebuchet MS"/>
        <family val="2"/>
      </rPr>
      <t>TRANSPORTE MATERIAIS</t>
    </r>
    <r>
      <rPr>
        <sz val="22"/>
        <color theme="1"/>
        <rFont val="Trebuchet MS"/>
        <family val="2"/>
      </rPr>
      <t xml:space="preserve">
Transporte dos materiais para as premiações Top Club e Top Trade - brindes, caminhão pequeno porte </t>
    </r>
  </si>
  <si>
    <r>
      <rPr>
        <b/>
        <sz val="22"/>
        <color theme="1"/>
        <rFont val="Trebuchet MS"/>
        <family val="2"/>
      </rPr>
      <t>APARTAMENTO DUPLO</t>
    </r>
    <r>
      <rPr>
        <sz val="22"/>
        <color theme="1"/>
        <rFont val="Trebuchet MS"/>
        <family val="2"/>
      </rPr>
      <t xml:space="preserve">
Considerado 57 apartamentos duplos, sendo 2 camas
Público: premiados Top Club e Top Trade</t>
    </r>
  </si>
  <si>
    <r>
      <t xml:space="preserve">SALAS JARDAS 
</t>
    </r>
    <r>
      <rPr>
        <sz val="22"/>
        <color theme="1"/>
        <rFont val="Trebuchet MS"/>
        <family val="2"/>
      </rPr>
      <t xml:space="preserve">camarim dos artístico e armazenamento dos brindes para a premiação Top Club e Top Trade
</t>
    </r>
  </si>
  <si>
    <r>
      <t xml:space="preserve">ABERTURA DE PORTA
</t>
    </r>
    <r>
      <rPr>
        <sz val="22"/>
        <color theme="1"/>
        <rFont val="Trebuchet MS"/>
        <family val="2"/>
      </rPr>
      <t>Taxa cobrada pelo hotel pela abertura de porta das UHs para brindes Top Club e Toop Trade</t>
    </r>
  </si>
  <si>
    <r>
      <t xml:space="preserve">MESTRE DE CERIMÔNIA LIVIA LA GATTO 
</t>
    </r>
    <r>
      <rPr>
        <sz val="22"/>
        <color theme="1"/>
        <rFont val="Trebuchet MS"/>
        <family val="2"/>
      </rPr>
      <t>Considerado ensaio + 3 dias de evento</t>
    </r>
  </si>
  <si>
    <r>
      <rPr>
        <b/>
        <sz val="22"/>
        <color theme="1"/>
        <rFont val="Trebuchet MS"/>
        <family val="2"/>
      </rPr>
      <t>PPT - TEMPLATE</t>
    </r>
    <r>
      <rPr>
        <sz val="22"/>
        <color theme="1"/>
        <rFont val="Trebuchet MS"/>
        <family val="2"/>
      </rPr>
      <t xml:space="preserve">
❑ Criação conforme o Briefing;
❑ Elaboração com todos os elementos a serem utilizados;
❑ Identidade visual conforme KV enviado e todos os seus respectivos elementos
o Desenvolvimento de 1  template
o Diagramação, produção de conteúdo conceitual; na vertical com 70 slides
❑ Produção de slides com elementos do Photoshop, inserção de imagens;
❑ Animações de Slides e montagens conforme briefing;
❑ Diagramação e formatação de conteúdo; (Panorâmico ou conversão 16x9)
❑ Adaptações / alterações inclusas até a entrega final;
❑ Aprovações onlines, em PDF e MP4
❑ Entrega em ppt animado em Vídeo MP4</t>
    </r>
  </si>
  <si>
    <r>
      <rPr>
        <b/>
        <sz val="22"/>
        <color theme="1"/>
        <rFont val="Trebuchet MS"/>
        <family val="2"/>
      </rPr>
      <t>PPT - TEMPLATE</t>
    </r>
    <r>
      <rPr>
        <sz val="22"/>
        <color theme="1"/>
        <rFont val="Trebuchet MS"/>
        <family val="2"/>
      </rPr>
      <t xml:space="preserve">
❑ Criação conforme o Briefing;
❑ Elaboração com todos os elementos a serem utilizados;
❑ Identidade visual conforme KV enviado e todos os seus respectivos elementos
o Desenvolvimento de 1  template
o Diagramação, produção de conteúdo conceitual; na vertical com 50 slides
❑ Produção de slides com elementos do Photoshop, inserção de imagens;
❑ Animações de Slides e montagens conforme briefing;
❑ Diagramação e formatação de conteúdo; (Panorâmico ou conversão 16x9)
❑ Adaptações / alterações inclusas até a entrega final;
❑ Aprovações onlines, em PDF e MP4
❑ Entrega em ppt animado em Vídeo MP4</t>
    </r>
  </si>
  <si>
    <r>
      <rPr>
        <b/>
        <sz val="22"/>
        <color theme="1"/>
        <rFont val="Trebuchet MS"/>
        <family val="2"/>
      </rPr>
      <t>SUPORTE PPT</t>
    </r>
    <r>
      <rPr>
        <sz val="22"/>
        <color theme="1"/>
        <rFont val="Trebuchet MS"/>
        <family val="2"/>
      </rPr>
      <t xml:space="preserve">
Suporte com 2 pessoas no evento;
❑ 2 designers a disposição (ensaio e evento)</t>
    </r>
  </si>
  <si>
    <r>
      <rPr>
        <b/>
        <sz val="22"/>
        <color theme="1"/>
        <rFont val="Trebuchet MS"/>
        <family val="2"/>
      </rPr>
      <t>ATORES - AÇÕES HOTEL E PLENÁRIA</t>
    </r>
    <r>
      <rPr>
        <sz val="22"/>
        <color theme="1"/>
        <rFont val="Trebuchet MS"/>
        <family val="2"/>
      </rPr>
      <t xml:space="preserve">
Atores para ação paparazzi TOP CLUBE E TOP TRADE, com 4 atores, figurino de paparazzi e acessórios de fotógrafo 
</t>
    </r>
  </si>
  <si>
    <r>
      <rPr>
        <b/>
        <sz val="22"/>
        <color theme="1"/>
        <rFont val="Trebuchet MS"/>
        <family val="2"/>
      </rPr>
      <t>OBJETOS PLENÁRIA</t>
    </r>
    <r>
      <rPr>
        <sz val="22"/>
        <color theme="1"/>
        <rFont val="Trebuchet MS"/>
        <family val="2"/>
      </rPr>
      <t xml:space="preserve">
- UNIFILAS 
- Bandejas</t>
    </r>
  </si>
  <si>
    <r>
      <rPr>
        <b/>
        <sz val="22"/>
        <color theme="1"/>
        <rFont val="Trebuchet MS"/>
        <family val="2"/>
      </rPr>
      <t xml:space="preserve">HANG DOOR 
</t>
    </r>
    <r>
      <rPr>
        <sz val="22"/>
        <color theme="1"/>
        <rFont val="Trebuchet MS"/>
        <family val="2"/>
      </rPr>
      <t xml:space="preserve">220x93mm, 4x0 cores em Papel cartão sinaroyal 300g.
Refilar, Laminação fosca, Nro Lados 2, Faca especial </t>
    </r>
  </si>
  <si>
    <r>
      <rPr>
        <b/>
        <sz val="22"/>
        <color theme="1"/>
        <rFont val="Trebuchet MS"/>
        <family val="2"/>
      </rPr>
      <t xml:space="preserve">CRACHÁ E CORDÃO       </t>
    </r>
    <r>
      <rPr>
        <sz val="22"/>
        <color theme="1"/>
        <rFont val="Trebuchet MS"/>
        <family val="2"/>
      </rPr>
      <t xml:space="preserve">                                                                
 Crachá presonalizado em layout diferene dos demais paricipantes e cordão em cor a definir</t>
    </r>
  </si>
  <si>
    <r>
      <rPr>
        <b/>
        <sz val="22"/>
        <color theme="1"/>
        <rFont val="Trebuchet MS"/>
        <family val="2"/>
      </rPr>
      <t xml:space="preserve">CARTAZ / POSTER   </t>
    </r>
    <r>
      <rPr>
        <sz val="22"/>
        <color theme="1"/>
        <rFont val="Trebuchet MS"/>
        <family val="2"/>
      </rPr>
      <t xml:space="preserve">
Cartaz em tamanho A3, 4 x 0 cores, papel couchê fosco 170gr</t>
    </r>
  </si>
  <si>
    <r>
      <rPr>
        <b/>
        <sz val="22"/>
        <color theme="1"/>
        <rFont val="Trebuchet MS"/>
        <family val="2"/>
      </rPr>
      <t xml:space="preserve">ÓCULOS PERSONALIZADO    </t>
    </r>
    <r>
      <rPr>
        <sz val="22"/>
        <color theme="1"/>
        <rFont val="Trebuchet MS"/>
        <family val="2"/>
      </rPr>
      <t xml:space="preserve">                                                       
 Óculos preto de festa presonalizado na leste</t>
    </r>
  </si>
  <si>
    <r>
      <rPr>
        <b/>
        <sz val="22"/>
        <rFont val="Trebuchet MS"/>
        <family val="2"/>
      </rPr>
      <t>TROFÉU - ESTATUETA</t>
    </r>
    <r>
      <rPr>
        <sz val="22"/>
        <rFont val="Trebuchet MS"/>
        <family val="2"/>
      </rPr>
      <t xml:space="preserve">
Troféus de premiação Oscar 20 cm, base redonda, fundo com EVA preto</t>
    </r>
  </si>
  <si>
    <r>
      <rPr>
        <b/>
        <sz val="22"/>
        <rFont val="Trebuchet MS"/>
        <family val="2"/>
      </rPr>
      <t xml:space="preserve">HANG DOOR </t>
    </r>
    <r>
      <rPr>
        <sz val="22"/>
        <rFont val="Trebuchet MS"/>
        <family val="2"/>
      </rPr>
      <t xml:space="preserve">
220x93mm, 4x0 cores em Papel cartão sinaroyal 300g.
Refilar, Laminação fosca, Nro Lados 2, Faca especial </t>
    </r>
  </si>
  <si>
    <r>
      <rPr>
        <b/>
        <sz val="22"/>
        <rFont val="Trebuchet MS"/>
        <family val="2"/>
      </rPr>
      <t xml:space="preserve">JORNAL FAKE                       </t>
    </r>
    <r>
      <rPr>
        <sz val="22"/>
        <rFont val="Trebuchet MS"/>
        <family val="2"/>
      </rPr>
      <t xml:space="preserve">                                               
 Impressão de jornal fake , em couchê 150gr, com impressão 4x 4 cores, medida 21x14,9</t>
    </r>
  </si>
  <si>
    <r>
      <rPr>
        <b/>
        <sz val="22"/>
        <rFont val="Trebuchet MS"/>
        <family val="2"/>
      </rPr>
      <t>FICHA DE PALCO</t>
    </r>
    <r>
      <rPr>
        <sz val="22"/>
        <rFont val="Trebuchet MS"/>
        <family val="2"/>
      </rPr>
      <t xml:space="preserve">
Material: Couchê Fosco 300g/m²
Tamanho: 15x21cm</t>
    </r>
  </si>
  <si>
    <r>
      <rPr>
        <b/>
        <sz val="22"/>
        <rFont val="Trebuchet MS"/>
        <family val="2"/>
      </rPr>
      <t>CARTA BOAS VINDAS TOP CLUB E TOP TRADE</t>
    </r>
    <r>
      <rPr>
        <sz val="22"/>
        <rFont val="Trebuchet MS"/>
        <family val="2"/>
      </rPr>
      <t xml:space="preserve">
Carta para 100% do público
Material: Couchê Fosco 150g/m² - 4x0
Tamanho:21x 29,7cm</t>
    </r>
  </si>
  <si>
    <r>
      <rPr>
        <b/>
        <sz val="22"/>
        <color theme="1"/>
        <rFont val="Trebuchet MS"/>
        <family val="2"/>
      </rPr>
      <t>MATERIAL DE APOIO</t>
    </r>
    <r>
      <rPr>
        <sz val="22"/>
        <color theme="1"/>
        <rFont val="Trebuchet MS"/>
        <family val="2"/>
      </rPr>
      <t xml:space="preserve">
Materiais de escritório para sala de produção, exemplos:
Impressora+ insumos, papel, fita adesiva, estilete, elástico, entre outros.</t>
    </r>
  </si>
  <si>
    <r>
      <rPr>
        <b/>
        <sz val="22"/>
        <color theme="1"/>
        <rFont val="Trebuchet MS"/>
        <family val="2"/>
      </rPr>
      <t>KIT CONSUL
Ecobag -</t>
    </r>
    <r>
      <rPr>
        <sz val="22"/>
        <color theme="1"/>
        <rFont val="Trebuchet MS"/>
        <family val="2"/>
      </rPr>
      <t xml:space="preserve">  formato 40 x 30 x 15cm, confeccionada em Nylon 600, 100% sublimada, costuras, alças
</t>
    </r>
    <r>
      <rPr>
        <b/>
        <sz val="22"/>
        <color theme="1"/>
        <rFont val="Trebuchet MS"/>
        <family val="2"/>
      </rPr>
      <t xml:space="preserve">Kit Granado Amazônia: </t>
    </r>
    <r>
      <rPr>
        <sz val="22"/>
        <color theme="1"/>
        <rFont val="Trebuchet MS"/>
        <family val="2"/>
      </rPr>
      <t xml:space="preserve">Descritivo: 2x sabonetes barra 50g; 1x hidratante 60ml; 1x creme mãos 50g; 1x perfume 25ml; 1x lata mala
</t>
    </r>
    <r>
      <rPr>
        <b/>
        <sz val="22"/>
        <color theme="1"/>
        <rFont val="Trebuchet MS"/>
        <family val="2"/>
      </rPr>
      <t xml:space="preserve">Canga Sicília -  </t>
    </r>
    <r>
      <rPr>
        <sz val="22"/>
        <color theme="1"/>
        <rFont val="Trebuchet MS"/>
        <family val="2"/>
      </rPr>
      <t xml:space="preserve">140cm x 80cm em algodão fio tinto com padrão de listras exclusivo e acabamento de franja de algodão. Composição: 100% algodão; de fibra natural sujeita a até 5% de encolhimento.
</t>
    </r>
    <r>
      <rPr>
        <b/>
        <sz val="22"/>
        <color theme="1"/>
        <rFont val="Trebuchet MS"/>
        <family val="2"/>
      </rPr>
      <t xml:space="preserve">Lata de Trufas </t>
    </r>
    <r>
      <rPr>
        <sz val="22"/>
        <color theme="1"/>
        <rFont val="Trebuchet MS"/>
        <family val="2"/>
      </rPr>
      <t xml:space="preserve">de Doce de Leite | 132g </t>
    </r>
    <r>
      <rPr>
        <b/>
        <sz val="22"/>
        <color theme="1"/>
        <rFont val="Trebuchet MS"/>
        <family val="2"/>
      </rPr>
      <t xml:space="preserve">
Sacola Kraft -</t>
    </r>
    <r>
      <rPr>
        <sz val="22"/>
        <color theme="1"/>
        <rFont val="Trebuchet MS"/>
        <family val="2"/>
      </rPr>
      <t xml:space="preserve"> Sacola de Papel 40x54x16cm 20 unidades, cor bege/kraft 
</t>
    </r>
    <r>
      <rPr>
        <b/>
        <sz val="22"/>
        <color theme="1"/>
        <rFont val="Trebuchet MS"/>
        <family val="2"/>
      </rPr>
      <t>Cinta Canga  -</t>
    </r>
    <r>
      <rPr>
        <sz val="22"/>
        <color theme="1"/>
        <rFont val="Trebuchet MS"/>
        <family val="2"/>
      </rPr>
      <t xml:space="preserve"> formato 30 cm x 8 cm
papel: Couchê Fosco 150 g/m²
</t>
    </r>
    <r>
      <rPr>
        <b/>
        <sz val="22"/>
        <color theme="1"/>
        <rFont val="Trebuchet MS"/>
        <family val="2"/>
      </rPr>
      <t xml:space="preserve">Lacre Sacola Kraft
Manuseio dos kits
Logística de entrega na WHouse
Equipe de Criação e Produção </t>
    </r>
    <r>
      <rPr>
        <sz val="22"/>
        <color theme="1"/>
        <rFont val="Trebuchet MS"/>
        <family val="2"/>
      </rPr>
      <t xml:space="preserve">
</t>
    </r>
  </si>
  <si>
    <r>
      <rPr>
        <b/>
        <sz val="22"/>
        <rFont val="Trebuchet MS"/>
        <family val="2"/>
      </rPr>
      <t xml:space="preserve">PASSAGENS AÉREAS </t>
    </r>
    <r>
      <rPr>
        <sz val="22"/>
        <rFont val="Trebuchet MS"/>
        <family val="2"/>
      </rPr>
      <t xml:space="preserve">
Emissão de passagens aéreas extras, conforme lista atualizada de participantes</t>
    </r>
  </si>
  <si>
    <r>
      <rPr>
        <b/>
        <sz val="22"/>
        <rFont val="Trebuchet MS"/>
        <family val="2"/>
      </rPr>
      <t xml:space="preserve">PASSAGENS RODOVIÁRIAS </t>
    </r>
    <r>
      <rPr>
        <sz val="22"/>
        <rFont val="Trebuchet MS"/>
        <family val="2"/>
      </rPr>
      <t xml:space="preserve">
Emissão de passagens rodoviárias para os participantes residentes em cidades do interior de São Paulo ou em divisas de estado sem acesso a aeroporto</t>
    </r>
  </si>
  <si>
    <r>
      <t xml:space="preserve">SERVIÇOS DIVERSOS                                                           
</t>
    </r>
    <r>
      <rPr>
        <sz val="22"/>
        <color theme="1"/>
        <rFont val="Trebuchet MS"/>
        <family val="2"/>
      </rPr>
      <t xml:space="preserve">Taxa de limpeza                                                                
Taxa Estação de águas externa(foyer)                             
Previsão de estacionamento                                                                                                                                                   </t>
    </r>
  </si>
  <si>
    <r>
      <rPr>
        <b/>
        <sz val="22"/>
        <rFont val="Trebuchet MS"/>
        <family val="2"/>
      </rPr>
      <t>APARTAMENTO DUPLO - RESERVAS COM NO SHOW COBRADAS</t>
    </r>
    <r>
      <rPr>
        <sz val="22"/>
        <rFont val="Trebuchet MS"/>
        <family val="2"/>
      </rPr>
      <t xml:space="preserve">
Considerado 22 apartamentos duplos, sendo 2 camas
Público: PARTICIPANTESA</t>
    </r>
  </si>
  <si>
    <r>
      <t xml:space="preserve">MESTRE DE CERIMÔNIA GABRIEL LOUCHARD - diferença de valor
</t>
    </r>
    <r>
      <rPr>
        <sz val="22"/>
        <color theme="1"/>
        <rFont val="Trebuchet MS"/>
        <family val="2"/>
      </rPr>
      <t>Considerado ensaio + 3 dias de evento</t>
    </r>
  </si>
  <si>
    <r>
      <t xml:space="preserve">ARTISTA PLÁSTICO - GELADEIRA Mad Max 
</t>
    </r>
    <r>
      <rPr>
        <sz val="22"/>
        <color theme="1"/>
        <rFont val="Trebuchet MS"/>
        <family val="2"/>
      </rPr>
      <t xml:space="preserve">Pintura em galpão (3 dias) - logística Whirlpool término da arte no palco - 29/01 manhã </t>
    </r>
  </si>
  <si>
    <r>
      <t xml:space="preserve">PANTOGRÁFICA ARTCULADA 
</t>
    </r>
    <r>
      <rPr>
        <sz val="22"/>
        <color rgb="FF000000"/>
        <rFont val="Trebuchet MS"/>
        <family val="2"/>
      </rPr>
      <t>1 máquina articulada para instalação e movimentos da esfera durante a montagem, evento e desmontagem                                        
estrurura para içar, transporte e técnico</t>
    </r>
  </si>
  <si>
    <r>
      <t xml:space="preserve">PAREDES AUTOPORTANTES 
</t>
    </r>
    <r>
      <rPr>
        <sz val="22"/>
        <color rgb="FF000000"/>
        <rFont val="Trebuchet MS"/>
        <family val="2"/>
      </rPr>
      <t xml:space="preserve">Paredes em branco para fundo de sala com jogo de luz, estruturas autoportante de 2m cada, 40 metros total </t>
    </r>
  </si>
  <si>
    <r>
      <t xml:space="preserve">OBJETOS ÁREA MAD MAX
</t>
    </r>
    <r>
      <rPr>
        <sz val="22"/>
        <color rgb="FF000000"/>
        <rFont val="Trebuchet MS"/>
        <family val="2"/>
      </rPr>
      <t>Objetos orientados pelo time de desing</t>
    </r>
  </si>
  <si>
    <r>
      <t xml:space="preserve">DECORAÇÃO
</t>
    </r>
    <r>
      <rPr>
        <sz val="22"/>
        <color rgb="FF000000"/>
        <rFont val="Trebuchet MS"/>
        <family val="2"/>
      </rPr>
      <t>Paisagismo
Mobiliário + transporte</t>
    </r>
  </si>
  <si>
    <r>
      <rPr>
        <b/>
        <sz val="22"/>
        <color theme="1"/>
        <rFont val="Trebuchet MS"/>
        <family val="2"/>
      </rPr>
      <t>VÍDEOS EDITADOS - PRODUTORA  LAKKA</t>
    </r>
    <r>
      <rPr>
        <sz val="22"/>
        <color theme="1"/>
        <rFont val="Trebuchet MS"/>
        <family val="2"/>
      </rPr>
      <t xml:space="preserve">      </t>
    </r>
    <r>
      <rPr>
        <b/>
        <sz val="22"/>
        <color theme="1"/>
        <rFont val="Trebuchet MS"/>
        <family val="2"/>
      </rPr>
      <t>06 vídeos</t>
    </r>
    <r>
      <rPr>
        <sz val="22"/>
        <color theme="1"/>
        <rFont val="Trebuchet MS"/>
        <family val="2"/>
      </rPr>
      <t xml:space="preserve">   
- 01 VT animação Compliance - edição do vídeo matriz 
- 01 VT animação Segurança - edição do vídeo matriz 
- 01 VT Recap do ano até 5min                
- 01 Somos Todos Nós até 3 minutos             
- 01 VT Lançamento tema até 3 min            
- 01 VT final Se Liga Brasil até 4min5s                                             </t>
    </r>
  </si>
  <si>
    <r>
      <rPr>
        <b/>
        <sz val="22"/>
        <color theme="1"/>
        <rFont val="Trebuchet MS"/>
        <family val="2"/>
      </rPr>
      <t xml:space="preserve">VÍDEOS NOVOS - EDIÇÃO de formato de pixel e enquadramento </t>
    </r>
    <r>
      <rPr>
        <sz val="22"/>
        <color theme="1"/>
        <rFont val="Trebuchet MS"/>
        <family val="2"/>
      </rPr>
      <t xml:space="preserve">    
- 01 Toten de led 1</t>
    </r>
  </si>
  <si>
    <r>
      <rPr>
        <b/>
        <sz val="22"/>
        <color theme="1"/>
        <rFont val="Trebuchet MS"/>
        <family val="2"/>
      </rPr>
      <t>VÍDEOS NOVOS - PRODUTORA  PEPITA    7 vídeos</t>
    </r>
    <r>
      <rPr>
        <sz val="22"/>
        <color theme="1"/>
        <rFont val="Trebuchet MS"/>
        <family val="2"/>
      </rPr>
      <t xml:space="preserve">    
- 05 VTs Categorias
- 01 VT Recap 2025 Marcas
- 01 VT BTP Planos 2026 </t>
    </r>
  </si>
  <si>
    <r>
      <rPr>
        <b/>
        <sz val="22"/>
        <color theme="1"/>
        <rFont val="Trebuchet MS"/>
        <family val="2"/>
      </rPr>
      <t>PPT - PRODUÇÃO FORA DO PRAZO TERMO DE ACORDO</t>
    </r>
    <r>
      <rPr>
        <sz val="22"/>
        <color theme="1"/>
        <rFont val="Trebuchet MS"/>
        <family val="2"/>
      </rPr>
      <t xml:space="preserve"> 
- 191 slides faltantes</t>
    </r>
  </si>
  <si>
    <r>
      <t xml:space="preserve">ATIVAÇÃO MICROONDAS - PIPOCAS NO FOYER                         
</t>
    </r>
    <r>
      <rPr>
        <sz val="22"/>
        <rFont val="Trebuchet MS"/>
        <family val="2"/>
      </rPr>
      <t>- PISO em carpete forração aplicado diretamente no chão
- BALCÃO - Construido em estrutura de mdf, chapeado em compensado, revestido em lona impressa, com tampo sobreposto em bagum. 5,40x0,50m com 1m de alutra
- TOTEM - 02 totens em MDF com lona impressa, de 1m x 2m</t>
    </r>
    <r>
      <rPr>
        <b/>
        <sz val="22"/>
        <rFont val="Trebuchet MS"/>
        <family val="2"/>
      </rPr>
      <t xml:space="preserve">
</t>
    </r>
    <r>
      <rPr>
        <b/>
        <sz val="22"/>
        <color rgb="FFFF0000"/>
        <rFont val="Trebuchet MS"/>
        <family val="2"/>
      </rPr>
      <t>PRODUTOS (SKU) POR CONTA DO CLIENTE</t>
    </r>
  </si>
  <si>
    <r>
      <t xml:space="preserve">ATIVAÇÃO MICROONDAS - PIPOCAS NO FOYER                         
</t>
    </r>
    <r>
      <rPr>
        <sz val="22"/>
        <rFont val="Trebuchet MS"/>
        <family val="2"/>
      </rPr>
      <t xml:space="preserve">- Alimentos do hotel - milho, sal, manteiga/azeite 
- Equipe para servir </t>
    </r>
    <r>
      <rPr>
        <b/>
        <sz val="22"/>
        <rFont val="Trebuchet MS"/>
        <family val="2"/>
      </rPr>
      <t xml:space="preserve">
</t>
    </r>
    <r>
      <rPr>
        <b/>
        <sz val="22"/>
        <color rgb="FFFF0000"/>
        <rFont val="Trebuchet MS"/>
        <family val="2"/>
      </rPr>
      <t>PRODUTOS (SKU) POR CONTA DO CLIENTE</t>
    </r>
  </si>
  <si>
    <r>
      <rPr>
        <b/>
        <sz val="22"/>
        <color theme="1"/>
        <rFont val="Trebuchet MS"/>
        <family val="2"/>
      </rPr>
      <t>GARRAFAS ABSOLUT</t>
    </r>
    <r>
      <rPr>
        <sz val="22"/>
        <color theme="1"/>
        <rFont val="Trebuchet MS"/>
        <family val="2"/>
      </rPr>
      <t xml:space="preserve">
Garradas de vodka Absolute de 750ml</t>
    </r>
  </si>
  <si>
    <r>
      <rPr>
        <b/>
        <sz val="22"/>
        <color theme="1"/>
        <rFont val="Trebuchet MS"/>
        <family val="2"/>
      </rPr>
      <t>GARRADAS DE BEBIDAS LICOR 43</t>
    </r>
    <r>
      <rPr>
        <sz val="22"/>
        <color theme="1"/>
        <rFont val="Trebuchet MS"/>
        <family val="2"/>
      </rPr>
      <t xml:space="preserve">
Garrafas de Licor 43 </t>
    </r>
  </si>
  <si>
    <r>
      <rPr>
        <b/>
        <sz val="22"/>
        <color theme="1"/>
        <rFont val="Trebuchet MS"/>
        <family val="2"/>
      </rPr>
      <t>COPOS PARA XOTE</t>
    </r>
    <r>
      <rPr>
        <sz val="22"/>
        <color theme="1"/>
        <rFont val="Trebuchet MS"/>
        <family val="2"/>
      </rPr>
      <t xml:space="preserve">
Copos em acrílico para xote</t>
    </r>
  </si>
  <si>
    <r>
      <rPr>
        <b/>
        <sz val="22"/>
        <color theme="1"/>
        <rFont val="Trebuchet MS"/>
        <family val="2"/>
      </rPr>
      <t>BOTÕES DE ROSAS</t>
    </r>
    <r>
      <rPr>
        <sz val="22"/>
        <color theme="1"/>
        <rFont val="Trebuchet MS"/>
        <family val="2"/>
      </rPr>
      <t xml:space="preserve"> 
570 Botões de rosas amarelas, limpas, aluguel de 4 vasos</t>
    </r>
  </si>
  <si>
    <r>
      <rPr>
        <b/>
        <sz val="22"/>
        <rFont val="Trebuchet MS"/>
        <family val="2"/>
      </rPr>
      <t xml:space="preserve">PROJETO TÉCNICO </t>
    </r>
    <r>
      <rPr>
        <sz val="22"/>
        <rFont val="Trebuchet MS"/>
        <family val="2"/>
      </rPr>
      <t xml:space="preserve">
Alteração de projeto técnico e operacional devido a mudança de planta: refação de plano de ring para esfera e equipamentos de sonorização e iluminação, nova planta com redistribuição dos pontos aéreos, 3D nova planta</t>
    </r>
  </si>
  <si>
    <r>
      <rPr>
        <b/>
        <sz val="22"/>
        <rFont val="Trebuchet MS"/>
        <family val="2"/>
      </rPr>
      <t>CUSTO OPERACIONAL</t>
    </r>
    <r>
      <rPr>
        <sz val="22"/>
        <rFont val="Trebuchet MS"/>
        <family val="2"/>
      </rPr>
      <t xml:space="preserve"> 
taxas de portadores 
transporte de materiais
transporte de equipe data extra de montagem 23/01
despesas diversas logística</t>
    </r>
  </si>
  <si>
    <r>
      <t xml:space="preserve">CARREGADORES
</t>
    </r>
    <r>
      <rPr>
        <sz val="22"/>
        <color theme="1"/>
        <rFont val="Trebuchet MS"/>
        <family val="2"/>
      </rPr>
      <t>Considerado carregadores para montagem, evento e desmontagem
Carga horária: 12 horas</t>
    </r>
  </si>
  <si>
    <r>
      <t xml:space="preserve">SEGURANÇA - complemento do valor devido a exigência de documentação federal pelo time de segurança da Whirlpool
</t>
    </r>
    <r>
      <rPr>
        <sz val="22"/>
        <color theme="1"/>
        <rFont val="Trebuchet MS"/>
        <family val="2"/>
      </rPr>
      <t>Considerado profissionais de segurança para montagem, evento e desmontagem, sendo:
01 - Showroom
01 - Noturno
Carga horária: 12 horas</t>
    </r>
  </si>
  <si>
    <r>
      <rPr>
        <b/>
        <sz val="22"/>
        <color theme="1"/>
        <rFont val="Trebuchet MS"/>
        <family val="2"/>
      </rPr>
      <t>BRIGADISTA</t>
    </r>
    <r>
      <rPr>
        <sz val="22"/>
        <color theme="1"/>
        <rFont val="Trebuchet MS"/>
        <family val="2"/>
      </rPr>
      <t xml:space="preserve">
Considerado brigadistas para montagem, evento e desmontagem, sendo:
Carga horária: 12 horas</t>
    </r>
  </si>
  <si>
    <r>
      <t xml:space="preserve">AMBULÂNCIA
</t>
    </r>
    <r>
      <rPr>
        <sz val="22"/>
        <color theme="1"/>
        <rFont val="Trebuchet MS"/>
        <family val="2"/>
      </rPr>
      <t>UTI</t>
    </r>
    <r>
      <rPr>
        <b/>
        <sz val="22"/>
        <color theme="1"/>
        <rFont val="Trebuchet MS"/>
        <family val="2"/>
      </rPr>
      <t xml:space="preserve">
</t>
    </r>
    <r>
      <rPr>
        <sz val="22"/>
        <color theme="1"/>
        <rFont val="Trebuchet MS"/>
        <family val="2"/>
      </rPr>
      <t>Considerado montagem + evento + desmontagem
12 horas por dia</t>
    </r>
  </si>
  <si>
    <r>
      <rPr>
        <b/>
        <sz val="22"/>
        <color theme="1"/>
        <rFont val="Trebuchet MS"/>
        <family val="2"/>
      </rPr>
      <t>KIT LANCHE - TRANSFER IDA</t>
    </r>
    <r>
      <rPr>
        <sz val="22"/>
        <color theme="1"/>
        <rFont val="Trebuchet MS"/>
        <family val="2"/>
      </rPr>
      <t xml:space="preserve">
01 fruta, 01 bebida suco/refrigerante e 1 salgado/sanduíche</t>
    </r>
  </si>
  <si>
    <r>
      <rPr>
        <b/>
        <sz val="22"/>
        <rFont val="Trebuchet MS"/>
        <family val="2"/>
      </rPr>
      <t>APARTAMENTO DUPLO</t>
    </r>
    <r>
      <rPr>
        <sz val="22"/>
        <rFont val="Trebuchet MS"/>
        <family val="2"/>
      </rPr>
      <t xml:space="preserve">
Considerado 22 apartamentos duplos, sendo 2 camas
Público: restante do time</t>
    </r>
  </si>
  <si>
    <r>
      <t xml:space="preserve">NOVO PROJETO - ESTRUTURAL
</t>
    </r>
    <r>
      <rPr>
        <sz val="22"/>
        <color rgb="FF000000"/>
        <rFont val="Trebuchet MS"/>
        <family val="2"/>
      </rPr>
      <t xml:space="preserve">Extra estrutural
Áreas instagramáveis 
</t>
    </r>
  </si>
  <si>
    <r>
      <rPr>
        <b/>
        <sz val="22"/>
        <color theme="1"/>
        <rFont val="Trebuchet MS"/>
        <family val="2"/>
      </rPr>
      <t>VINHETAS ANIMADAS PARA ESFERA DE LED</t>
    </r>
    <r>
      <rPr>
        <sz val="22"/>
        <color theme="1"/>
        <rFont val="Trebuchet MS"/>
        <family val="2"/>
      </rPr>
      <t xml:space="preserve">
Desenvolvimento de vinhetas animadas para esfera - conforme especificações da esfera ;</t>
    </r>
  </si>
  <si>
    <r>
      <t xml:space="preserve">VÍDEOS ESPECIAIS PARA PAINEL DE LED E ESFER </t>
    </r>
    <r>
      <rPr>
        <sz val="22"/>
        <rFont val="Trebuchet MS"/>
        <family val="2"/>
      </rPr>
      <t xml:space="preserve">Edição, arte, animação e finalização
- Animação
- Finalização
- Render
- Trilha branca
* Não contempla Locução
* Roteiro será fornecido pelo cliente
* O vídeo será o mesmo para as 4 telas (será espelhado)
* Utilizamos banco de imagens ENVATO, necessidades de imagens que não sejam deste banco,será objeto de novo orçamento.   Até 3 refações. Alterações que mudema a estrutura do vídeo poderão apresentar novos custos </t>
    </r>
  </si>
  <si>
    <r>
      <t xml:space="preserve">CORPO DE BALÉ COM 5 BAILARINOS                                   
 </t>
    </r>
    <r>
      <rPr>
        <sz val="22"/>
        <rFont val="Trebuchet MS"/>
        <family val="2"/>
      </rPr>
      <t>5 bailarinos
- Coreografia
- Figurinista
- Figurinos (locação)
- Ensaios
Espelhos, araras e cadeiras
Transporte, alimentação, hospedagem, passagem aérea e/ou traslado, sob responsabilidade do cliente</t>
    </r>
  </si>
  <si>
    <r>
      <t xml:space="preserve">CORPO DE BALÉ COM 5 BAILARINOS                            
</t>
    </r>
    <r>
      <rPr>
        <sz val="22"/>
        <rFont val="Trebuchet MS"/>
        <family val="2"/>
      </rPr>
      <t>- Hospedagem com até 4 quartos duplos
- Alimentação - jantar e café da manhã
- Transporte terrestre - Van
- Catering de camarim</t>
    </r>
    <r>
      <rPr>
        <b/>
        <sz val="22"/>
        <rFont val="Trebuchet MS"/>
        <family val="2"/>
      </rPr>
      <t xml:space="preserve">
PRODUTOS (SKU) POR CONTA DO CLIENTE</t>
    </r>
  </si>
  <si>
    <r>
      <rPr>
        <b/>
        <sz val="22"/>
        <color theme="1"/>
        <rFont val="Trebuchet MS"/>
        <family val="2"/>
      </rPr>
      <t>CAMISETA - STAFF WHIRLPOOL</t>
    </r>
    <r>
      <rPr>
        <sz val="22"/>
        <color theme="1"/>
        <rFont val="Trebuchet MS"/>
        <family val="2"/>
      </rPr>
      <t xml:space="preserve">
Camiseta em algodão, com impresão 4 cores frente,  personalizada do evento</t>
    </r>
  </si>
  <si>
    <r>
      <rPr>
        <b/>
        <sz val="22"/>
        <rFont val="Trebuchet MS"/>
        <family val="2"/>
      </rPr>
      <t xml:space="preserve">COPOS ECOLÓGICOS - SEM PERSONALIZAÇÃO </t>
    </r>
    <r>
      <rPr>
        <sz val="22"/>
        <rFont val="Trebuchet MS"/>
        <family val="2"/>
      </rPr>
      <t xml:space="preserve">
Copo biodegradável 230g sem personalização </t>
    </r>
  </si>
  <si>
    <r>
      <rPr>
        <b/>
        <sz val="22"/>
        <rFont val="Trebuchet MS"/>
        <family val="2"/>
      </rPr>
      <t xml:space="preserve">MOCHILA PIRULITO - SINALIZAÇÃO DAS DELEGAÇÕES  </t>
    </r>
    <r>
      <rPr>
        <sz val="22"/>
        <rFont val="Trebuchet MS"/>
        <family val="2"/>
      </rPr>
      <t xml:space="preserve">
Base costeira de mochila, em nylon 600gr preto, haste com placa redonda, com adesivo personaizado</t>
    </r>
  </si>
  <si>
    <r>
      <t xml:space="preserve">UNIFORME PROMOTORES
</t>
    </r>
    <r>
      <rPr>
        <sz val="22"/>
        <rFont val="Trebuchet MS"/>
        <family val="2"/>
      </rPr>
      <t xml:space="preserve">Macacão em sarja 100% algodão, elaástico na cintura, velcro e 3 patchs personalizados - feminino e masculino </t>
    </r>
  </si>
  <si>
    <r>
      <rPr>
        <b/>
        <sz val="22"/>
        <rFont val="Trebuchet MS"/>
        <family val="2"/>
      </rPr>
      <t xml:space="preserve">MINI PROTEOTR SOLAR      </t>
    </r>
    <r>
      <rPr>
        <sz val="22"/>
        <rFont val="Trebuchet MS"/>
        <family val="2"/>
      </rPr>
      <t xml:space="preserve">                                                       
Bisnaga de 30ml com protetor solar fator 30, com adeisvo personalizado </t>
    </r>
  </si>
  <si>
    <r>
      <rPr>
        <b/>
        <sz val="22"/>
        <rFont val="Trebuchet MS"/>
        <family val="2"/>
      </rPr>
      <t xml:space="preserve">HANG DOOR 
</t>
    </r>
    <r>
      <rPr>
        <sz val="22"/>
        <rFont val="Trebuchet MS"/>
        <family val="2"/>
      </rPr>
      <t xml:space="preserve">220x93mm, 4x0 cores em Papel cartão sinaroyal 300g.
Refilar, Laminação fosca, Nro Lados 2, Faca especial </t>
    </r>
  </si>
  <si>
    <r>
      <rPr>
        <b/>
        <sz val="22"/>
        <rFont val="Trebuchet MS"/>
        <family val="2"/>
      </rPr>
      <t xml:space="preserve">CRACHÁ E CORDÃO       </t>
    </r>
    <r>
      <rPr>
        <sz val="22"/>
        <rFont val="Trebuchet MS"/>
        <family val="2"/>
      </rPr>
      <t xml:space="preserve">                                                                
 Crachá presonalizado em layout diferene dos demais paricipantes e cordão em cor a definir</t>
    </r>
  </si>
  <si>
    <r>
      <rPr>
        <b/>
        <sz val="22"/>
        <rFont val="Trebuchet MS"/>
        <family val="2"/>
      </rPr>
      <t xml:space="preserve">JORNAL FAKE   
</t>
    </r>
    <r>
      <rPr>
        <b/>
        <sz val="22"/>
        <color rgb="FF0476D0"/>
        <rFont val="Trebuchet MS"/>
        <family val="2"/>
      </rPr>
      <t xml:space="preserve">VALOR TRANSFERIDO P/ PLANILHA TOP CLUBE E TOP TRADE   </t>
    </r>
    <r>
      <rPr>
        <b/>
        <sz val="22"/>
        <rFont val="Trebuchet MS"/>
        <family val="2"/>
      </rPr>
      <t xml:space="preserve">                 </t>
    </r>
    <r>
      <rPr>
        <sz val="22"/>
        <rFont val="Trebuchet MS"/>
        <family val="2"/>
      </rPr>
      <t xml:space="preserve">                                               
 Impressão de jornal fake , em couchê 150gr, com impressão 4x 4 cores, medida 21x14,9</t>
    </r>
  </si>
  <si>
    <r>
      <rPr>
        <b/>
        <sz val="22"/>
        <color theme="1"/>
        <rFont val="Trebuchet MS"/>
        <family val="2"/>
      </rPr>
      <t xml:space="preserve">TAXAS ENGEPOINT </t>
    </r>
    <r>
      <rPr>
        <sz val="22"/>
        <color theme="1"/>
        <rFont val="Trebuchet MS"/>
        <family val="2"/>
      </rPr>
      <t xml:space="preserve">
Taxa de equipamentos e equipes para montagem antecipada em 23/01 - obrigatório Engepoint - fornecedor do hotel 
genie, bombeiro, alimentação, forração de piso</t>
    </r>
  </si>
  <si>
    <r>
      <rPr>
        <b/>
        <sz val="22"/>
        <rFont val="Trebuchet MS"/>
        <family val="2"/>
      </rPr>
      <t>PROJETO CENOGRÁFICO SHOWROOM</t>
    </r>
    <r>
      <rPr>
        <sz val="22"/>
        <rFont val="Trebuchet MS"/>
        <family val="2"/>
      </rPr>
      <t xml:space="preserve">
Reestruutração de projeto arquitetura, implantações e criação de novo projeto 3D, novo planejamaneto conceitual.</t>
    </r>
  </si>
  <si>
    <r>
      <rPr>
        <b/>
        <sz val="22"/>
        <color rgb="FFFF0000"/>
        <rFont val="Trebuchet MS"/>
        <family val="2"/>
      </rPr>
      <t>LEQUE</t>
    </r>
    <r>
      <rPr>
        <sz val="22"/>
        <color rgb="FFFF0000"/>
        <rFont val="Trebuchet MS"/>
        <family val="2"/>
      </rPr>
      <t xml:space="preserve">                                                                             Hastes de bambu com tecido nylon 210gr reforçado, com impressão 4 cores </t>
    </r>
  </si>
  <si>
    <r>
      <rPr>
        <b/>
        <sz val="22"/>
        <color rgb="FF0476D0"/>
        <rFont val="Trebuchet MS"/>
        <family val="2"/>
      </rPr>
      <t>ECOBAG</t>
    </r>
    <r>
      <rPr>
        <sz val="22"/>
        <color rgb="FF0476D0"/>
        <rFont val="Trebuchet MS"/>
        <family val="2"/>
      </rPr>
      <t xml:space="preserve">
Bolsa em algodão cru,100% algodão (320 g/m²). 370 x 410 mm, impressão colorida 4 x 0 cores</t>
    </r>
  </si>
  <si>
    <r>
      <rPr>
        <b/>
        <sz val="22"/>
        <color theme="1"/>
        <rFont val="Trebuchet MS"/>
        <family val="2"/>
      </rPr>
      <t>GERENTE DO PROJETO</t>
    </r>
    <r>
      <rPr>
        <sz val="22"/>
        <color theme="1"/>
        <rFont val="Trebuchet MS"/>
        <family val="2"/>
      </rPr>
      <t xml:space="preserve">
Gerenciamento do projeto por 2 meses</t>
    </r>
  </si>
  <si>
    <r>
      <rPr>
        <b/>
        <sz val="22"/>
        <color theme="1"/>
        <rFont val="Trebuchet MS"/>
        <family val="2"/>
      </rPr>
      <t>PLANEJAMENTO DO PROJETO</t>
    </r>
    <r>
      <rPr>
        <sz val="22"/>
        <color theme="1"/>
        <rFont val="Trebuchet MS"/>
        <family val="2"/>
      </rPr>
      <t xml:space="preserve">
Planejamento de dinâmicas e cronograma do evento</t>
    </r>
  </si>
  <si>
    <r>
      <rPr>
        <b/>
        <sz val="22"/>
        <color theme="1"/>
        <rFont val="Trebuchet MS"/>
        <family val="2"/>
      </rPr>
      <t>HEAD SHOWROOM/ATIVAÇÕES</t>
    </r>
    <r>
      <rPr>
        <sz val="22"/>
        <color theme="1"/>
        <rFont val="Trebuchet MS"/>
        <family val="2"/>
      </rPr>
      <t xml:space="preserve">
01 profissional para Showroom por 02 meses 
Pré-evento, evento e entrega de relatório</t>
    </r>
  </si>
  <si>
    <r>
      <rPr>
        <b/>
        <sz val="22"/>
        <color theme="1"/>
        <rFont val="Trebuchet MS"/>
        <family val="2"/>
      </rPr>
      <t>ASSISTENTE DE PRODUÇÃO</t>
    </r>
    <r>
      <rPr>
        <sz val="22"/>
        <color theme="1"/>
        <rFont val="Trebuchet MS"/>
        <family val="2"/>
      </rPr>
      <t xml:space="preserve">
02 profissionais de produção por 02 meses 
Pré-evento, evento e entrega de relatório</t>
    </r>
  </si>
  <si>
    <r>
      <rPr>
        <b/>
        <sz val="22"/>
        <color theme="1"/>
        <rFont val="Trebuchet MS"/>
        <family val="2"/>
      </rPr>
      <t>ASSISTÊNCIA DE LOGÍSTICA</t>
    </r>
    <r>
      <rPr>
        <sz val="22"/>
        <color theme="1"/>
        <rFont val="Trebuchet MS"/>
        <family val="2"/>
      </rPr>
      <t xml:space="preserve">
01 profissional de logística por 01 mês 
Pré-evento, evento</t>
    </r>
  </si>
  <si>
    <r>
      <t xml:space="preserve">PRODUTORES LOGÍSTICA
</t>
    </r>
    <r>
      <rPr>
        <sz val="22"/>
        <color theme="1"/>
        <rFont val="Trebuchet MS"/>
        <family val="2"/>
      </rPr>
      <t xml:space="preserve">04 - Aeroportos/Transfers
</t>
    </r>
  </si>
  <si>
    <r>
      <t xml:space="preserve">PROMOTORES CREDENCIAMENTO/ATIVIDADES
</t>
    </r>
    <r>
      <rPr>
        <sz val="22"/>
        <color theme="1"/>
        <rFont val="Trebuchet MS"/>
        <family val="2"/>
      </rPr>
      <t>04 - Credenciamento/Atividades
Carga horária: 10 horas</t>
    </r>
  </si>
  <si>
    <r>
      <t>PROMOTORES PLENÁRIA
6</t>
    </r>
    <r>
      <rPr>
        <sz val="22"/>
        <color theme="1"/>
        <rFont val="Trebuchet MS"/>
        <family val="2"/>
      </rPr>
      <t xml:space="preserve"> - Apoio plenária + Instagramável + Showroom
Carga horária: 10 horas</t>
    </r>
  </si>
  <si>
    <r>
      <rPr>
        <b/>
        <sz val="22"/>
        <color theme="1"/>
        <rFont val="Trebuchet MS"/>
        <family val="2"/>
      </rPr>
      <t>LIMPEZA</t>
    </r>
    <r>
      <rPr>
        <sz val="22"/>
        <color theme="1"/>
        <rFont val="Trebuchet MS"/>
        <family val="2"/>
      </rPr>
      <t xml:space="preserve">
Considerado reforço de profissionais de limpeza para montagem, evento e desmontagem
Carga horária: 12 horas</t>
    </r>
  </si>
  <si>
    <r>
      <rPr>
        <b/>
        <sz val="22"/>
        <color theme="1"/>
        <rFont val="Trebuchet MS"/>
        <family val="2"/>
      </rPr>
      <t>CARREGADORESS</t>
    </r>
    <r>
      <rPr>
        <sz val="22"/>
        <color theme="1"/>
        <rFont val="Trebuchet MS"/>
        <family val="2"/>
      </rPr>
      <t xml:space="preserve">
Considerado carregadores para viradas de sala montagem, evento e desmontagem
Carga horária: 12 horas</t>
    </r>
  </si>
  <si>
    <r>
      <rPr>
        <b/>
        <sz val="22"/>
        <color theme="1"/>
        <rFont val="Trebuchet MS"/>
        <family val="2"/>
      </rPr>
      <t>SEGURANÇA</t>
    </r>
    <r>
      <rPr>
        <sz val="22"/>
        <color theme="1"/>
        <rFont val="Trebuchet MS"/>
        <family val="2"/>
      </rPr>
      <t xml:space="preserve">
Considerado profissionais de reforço para a segurança da montagem, evento e desmontagem, sendo:
01 - Plenária
01 - Showroom
Carga horária: 12 horas</t>
    </r>
  </si>
  <si>
    <r>
      <t xml:space="preserve">DIRETOR ARTÍSTICO  - KLEBER GÓES
</t>
    </r>
    <r>
      <rPr>
        <sz val="22"/>
        <rFont val="Trebuchet MS"/>
        <family val="2"/>
      </rPr>
      <t>REUNIÕES (ARTISTICO + ALINHAMENTO ROTEIRO)
• Alinhamento do flow do evento (Roteiro Técnico, Agencia e Cliente).
• Alinhamento de conteúdos prévios ao evento/live.
• Alinhamento Técnico junto a Equipe e Diretor Técnico.
• Insights, Referências Criativas, Imputs Artísticos.
• Direcionamento e Brieting de conteúdos prévios ao evento.
+ Diretor Presencial Housemix
• Ensaios inloco e Direção Artística evento presencial.
• Programação Control Room / House Mix.
• Definição de Flow do Evento e Dinâmicas de Palco.
• Acompanhamento de produção local de conteúdos junto a produção.
+ 1 assistente</t>
    </r>
  </si>
  <si>
    <r>
      <t xml:space="preserve">DIRETOR TÉCNICO 
</t>
    </r>
    <r>
      <rPr>
        <sz val="22"/>
        <rFont val="Trebuchet MS"/>
        <family val="2"/>
      </rPr>
      <t>Direção Técnica
(Elaboração de projeto para adequação da técnica aos objetivos
propostos pela criação e suporte ao cliente para melhores soluções,
relacionamento técnico com fornecedores, acompanhamento de
montagens e do evento)
INCLUI 4 REUNIÕES REMOTAS DE PRÉ + VT (ATÉ 3 HORAS CADA,
NÃO CUMULATIVAS - DE ACORDO COM DISPONIBILIDADE DE
AGENDA)
Assist. Direção Técnica
(relacionamento técnico com fornecedores, acompanhamento de
montagens e do evento)</t>
    </r>
  </si>
  <si>
    <r>
      <t xml:space="preserve">ROTEIRISTA - MARÍLIA TAYAR
</t>
    </r>
    <r>
      <rPr>
        <sz val="22"/>
        <color theme="1"/>
        <rFont val="Trebuchet MS"/>
        <family val="2"/>
      </rPr>
      <t>CONTEÚDOS - 
Roteiro conceitual                                                                                                                                                  Escaleta técnica (roteiro técnico indicativo da demanda completa de som, luz e transmissão do evento in loco – transmissão de conteúdos + transmissão simultânea)
Desenvolvimento de speeches para apresentador do evento e executivos WHP 
Caso solicitado - organização de flow de apresentações executivas / direção criativa de apresentações executivas
Adendos de roteiro: fichas de palco e textos para TP (materiais de apoio para executivos e apresentador do evento)
ITENS CONTEMPLADOS EM ORÇAMENTO - 
Equipe: 2 pessoas (Marília + 1)
Conteúdos
Reuniões agência / cliente (sem quantidade determinada)
1 diária de equipe (ensaio + evento)</t>
    </r>
  </si>
  <si>
    <r>
      <t xml:space="preserve">SONOPLASTA - PLENÁRIA
</t>
    </r>
    <r>
      <rPr>
        <sz val="22"/>
        <color theme="1"/>
        <rFont val="Trebuchet MS"/>
        <family val="2"/>
      </rPr>
      <t>Ensaio Plenária
Sonoplastia Plenária (1 dia)</t>
    </r>
  </si>
  <si>
    <r>
      <t xml:space="preserve">FOTÓGRAFO
</t>
    </r>
    <r>
      <rPr>
        <sz val="22"/>
        <color theme="1"/>
        <rFont val="Trebuchet MS"/>
        <family val="2"/>
      </rPr>
      <t>CÂMERA DE FILMAGEM SONY 4K A7 IV LENTE SONY 16-55MM F/2 8G
ESTABILIZADOR DE CÂMERA DE FILMAGEM DJI RS3 GIMBAL
NOTEBOOK I7 16GB | 1TB |SSD | RTX 4050 -- PACOTE ADOBE COMPLETO -- EDIÇÃO DE VÍDEO
CINEGRAFISTA PARA CÂMERA MÓVEL E TAKES CARGA HORÁRIA 8HRS
SERVIÇO DE EDIÇÃO VÍDEO (EDIÇÃO DE 02 VÍDEOS DE ATÉ 02 MINUTOS)
FOTÓGRAFO (CARGA HORÁRIA 8HRS) (FOTOS ENTREGUES AO FINAL DO EVENTO OU PODERÃO SER ENVIADAS VIA WETRANSFER) (PEN DRIVE OU HD PARA ARQUIVO DAS FOTOS SERÁ POR CONTA DO CONTRATANTE)</t>
    </r>
  </si>
  <si>
    <r>
      <rPr>
        <b/>
        <sz val="22"/>
        <color theme="1"/>
        <rFont val="Trebuchet MS"/>
        <family val="2"/>
      </rPr>
      <t>AÉREO</t>
    </r>
    <r>
      <rPr>
        <sz val="22"/>
        <color theme="1"/>
        <rFont val="Trebuchet MS"/>
        <family val="2"/>
      </rPr>
      <t xml:space="preserve"> - </t>
    </r>
    <r>
      <rPr>
        <b/>
        <sz val="22"/>
        <color rgb="FFFF0000"/>
        <rFont val="Trebuchet MS"/>
        <family val="2"/>
      </rPr>
      <t>VALORES ESTIMADOS</t>
    </r>
    <r>
      <rPr>
        <sz val="22"/>
        <color theme="1"/>
        <rFont val="Trebuchet MS"/>
        <family val="2"/>
      </rPr>
      <t xml:space="preserve">
*Valor sujeito a alteração conforme mailing e malha aérea,  bagagem e mailing enviado pela WHP</t>
    </r>
  </si>
  <si>
    <r>
      <rPr>
        <b/>
        <sz val="22"/>
        <color theme="1"/>
        <rFont val="Trebuchet MS"/>
        <family val="2"/>
      </rPr>
      <t>TRANSFER IN</t>
    </r>
    <r>
      <rPr>
        <sz val="22"/>
        <color theme="1"/>
        <rFont val="Trebuchet MS"/>
        <family val="2"/>
      </rPr>
      <t xml:space="preserve">
Considerado 02 micro onibus de 35 lugares
São Paulo - Agencia Lema x Hotel</t>
    </r>
  </si>
  <si>
    <r>
      <rPr>
        <b/>
        <sz val="22"/>
        <color theme="1"/>
        <rFont val="Trebuchet MS"/>
        <family val="2"/>
      </rPr>
      <t>TRANSFER OUT</t>
    </r>
    <r>
      <rPr>
        <sz val="22"/>
        <color theme="1"/>
        <rFont val="Trebuchet MS"/>
        <family val="2"/>
      </rPr>
      <t xml:space="preserve">
Considerado 02 micro onibus de 35 lugares
Hotel  x São Paulo - Agencia Lema</t>
    </r>
  </si>
  <si>
    <r>
      <t>VOUCHER UBER -</t>
    </r>
    <r>
      <rPr>
        <b/>
        <sz val="22"/>
        <color theme="3" tint="0.499984740745262"/>
        <rFont val="Trebuchet MS"/>
        <family val="2"/>
      </rPr>
      <t xml:space="preserve"> </t>
    </r>
    <r>
      <rPr>
        <b/>
        <sz val="22"/>
        <color rgb="FFFF0000"/>
        <rFont val="Trebuchet MS"/>
        <family val="2"/>
      </rPr>
      <t>RESPONSABILIDADE LEMA</t>
    </r>
  </si>
  <si>
    <r>
      <rPr>
        <b/>
        <sz val="22"/>
        <color theme="1"/>
        <rFont val="Trebuchet MS"/>
        <family val="2"/>
      </rPr>
      <t>TRANSFER IN e OUT</t>
    </r>
    <r>
      <rPr>
        <sz val="22"/>
        <color theme="1"/>
        <rFont val="Trebuchet MS"/>
        <family val="2"/>
      </rPr>
      <t xml:space="preserve">
Considerado 1 pax, 01 carro executivo.</t>
    </r>
  </si>
  <si>
    <r>
      <rPr>
        <b/>
        <sz val="22"/>
        <color theme="1"/>
        <rFont val="Trebuchet MS"/>
        <family val="2"/>
      </rPr>
      <t xml:space="preserve">APARTAMENTO SINGLE </t>
    </r>
    <r>
      <rPr>
        <b/>
        <sz val="22"/>
        <color rgb="FF0070C0"/>
        <rFont val="Trebuchet MS"/>
        <family val="2"/>
      </rPr>
      <t xml:space="preserve">- </t>
    </r>
    <r>
      <rPr>
        <b/>
        <sz val="22"/>
        <color rgb="FFFF0000"/>
        <rFont val="Trebuchet MS"/>
        <family val="2"/>
      </rPr>
      <t>QUANTIDADE ESTIMADA</t>
    </r>
    <r>
      <rPr>
        <sz val="22"/>
        <color theme="1"/>
        <rFont val="Trebuchet MS"/>
        <family val="2"/>
      </rPr>
      <t xml:space="preserve">
Considerado 50 apartamentos single, sendo 1 cama casal
Público: convidados</t>
    </r>
  </si>
  <si>
    <r>
      <rPr>
        <b/>
        <sz val="22"/>
        <color theme="1"/>
        <rFont val="Trebuchet MS"/>
        <family val="2"/>
      </rPr>
      <t>APARTAMENTO MC</t>
    </r>
    <r>
      <rPr>
        <sz val="22"/>
        <color theme="1"/>
        <rFont val="Trebuchet MS"/>
        <family val="2"/>
      </rPr>
      <t xml:space="preserve">
Considerado 01 apartamento categroia superiror single
Público: MC e acompanhante</t>
    </r>
  </si>
  <si>
    <r>
      <t xml:space="preserve">SALA - EXTRA ENTREVISTAS
</t>
    </r>
    <r>
      <rPr>
        <sz val="22"/>
        <color theme="1"/>
        <rFont val="Trebuchet MS"/>
        <family val="2"/>
      </rPr>
      <t>Considerado mobiliário do hotel, formato auditório
Até 10pax</t>
    </r>
  </si>
  <si>
    <r>
      <t xml:space="preserve">SERVIÇOS DIVERSOS
</t>
    </r>
    <r>
      <rPr>
        <sz val="22"/>
        <color theme="1"/>
        <rFont val="Trebuchet MS"/>
        <family val="2"/>
      </rPr>
      <t xml:space="preserve">Internet - Link dedicado                                                                                                                                                </t>
    </r>
  </si>
  <si>
    <r>
      <rPr>
        <b/>
        <sz val="22"/>
        <color theme="1"/>
        <rFont val="Trebuchet MS"/>
        <family val="2"/>
      </rPr>
      <t>ENTRADAS:</t>
    </r>
    <r>
      <rPr>
        <sz val="22"/>
        <color theme="1"/>
        <rFont val="Trebuchet MS"/>
        <family val="2"/>
      </rPr>
      <t xml:space="preserve"> 06 tipos de salada, 02 tipos de molho e cesta de pães variados.
PRATOS QUENTES: 03 tipos de proteína, 01 tipo de massa, 03 tipos de guarnição, 01 opção vegetariana e 01 opção vegana.
SOBREMESAS: frutas da estação e 05 tipos de doce.
BEBIDAS: água, suco e refrigerante refil.</t>
    </r>
  </si>
  <si>
    <r>
      <rPr>
        <b/>
        <sz val="22"/>
        <color theme="1"/>
        <rFont val="Trebuchet MS"/>
        <family val="2"/>
      </rPr>
      <t>SERVIÇO DE SALA</t>
    </r>
    <r>
      <rPr>
        <sz val="22"/>
        <color theme="1"/>
        <rFont val="Trebuchet MS"/>
        <family val="2"/>
      </rPr>
      <t xml:space="preserve">
Térmicas de café </t>
    </r>
  </si>
  <si>
    <r>
      <rPr>
        <b/>
        <sz val="22"/>
        <color theme="1"/>
        <rFont val="Trebuchet MS"/>
        <family val="2"/>
      </rPr>
      <t xml:space="preserve">COFFEE BREAK - MANHÃ
50 convidados + 100 staff/board
</t>
    </r>
    <r>
      <rPr>
        <sz val="22"/>
        <color theme="1"/>
        <rFont val="Trebuchet MS"/>
        <family val="2"/>
      </rPr>
      <t>Café, Chá, Suco
Pão de Queijo, sanduiches
Bolo
Frutas</t>
    </r>
  </si>
  <si>
    <r>
      <t xml:space="preserve">MESTRE DE CERIMÔNIA - LIVIA LA GATTO
</t>
    </r>
    <r>
      <rPr>
        <sz val="22"/>
        <color theme="1"/>
        <rFont val="Trebuchet MS"/>
        <family val="2"/>
      </rPr>
      <t>Considerado ensaio + 1 dia de evento</t>
    </r>
    <r>
      <rPr>
        <b/>
        <sz val="22"/>
        <color theme="1"/>
        <rFont val="Trebuchet MS"/>
        <family val="2"/>
      </rPr>
      <t xml:space="preserve"> </t>
    </r>
  </si>
  <si>
    <r>
      <t xml:space="preserve">CORPO DE BALÉ COM 5 BAILARINOS                                   
</t>
    </r>
    <r>
      <rPr>
        <sz val="22"/>
        <color theme="1"/>
        <rFont val="Trebuchet MS"/>
        <family val="2"/>
      </rPr>
      <t xml:space="preserve"> 5 bailarinos
- Coreografia
- Figurinista
- Figurinos (locação)
- Ensaios
Espelhos, araras e cadeiras
Transporte, alimentação, hospedagem, passagem aérea e/ou traslado, sob responsabilidade do cliente</t>
    </r>
  </si>
  <si>
    <r>
      <t xml:space="preserve">CORPO DE BALÉ COM 5 BAILARINOS                            
</t>
    </r>
    <r>
      <rPr>
        <sz val="22"/>
        <color theme="1"/>
        <rFont val="Trebuchet MS"/>
        <family val="2"/>
      </rPr>
      <t>- Hospedagem com até 4 quartos duplos
- Alimentação - jantar e café da manhã
- Transporte terrestre - Van
- Catering de camarim
PRODUTOS (SKU) POR CONTA DO CLIENTE</t>
    </r>
  </si>
  <si>
    <r>
      <t xml:space="preserve">GERADOR
</t>
    </r>
    <r>
      <rPr>
        <sz val="22"/>
        <color theme="1"/>
        <rFont val="Trebuchet MS"/>
        <family val="2"/>
      </rPr>
      <t>Plenária + Showroom
02 Geradores 260KVA
01 Operador
Contemplado:
- Combustível Óleo Biodiesel
- Rabichos
- Passa Cabos
- Intermediarias
- Aterramento
- Extintor
- ART e Laudo
* Valor sujeito a alteração de acordo com cronograma de ações e do ensaio/evento
Considerado visita técnica para avaliações e considerações do fornecedor</t>
    </r>
  </si>
  <si>
    <r>
      <t xml:space="preserve">TRANSMISSÃO / CAPTAÇÃO
</t>
    </r>
    <r>
      <rPr>
        <sz val="22"/>
        <color rgb="FF000000"/>
        <rFont val="Trebuchet MS"/>
        <family val="2"/>
      </rPr>
      <t>3 Cameras FullHD para transmissão com todos acessorios necessarios
2 Tripes para camera
2 Lentes de acordo com a necessidade do projeto
2 Praticaveis de camera de 1 mt de altura
2 Sistemas sem fio para camera Teradeck ou similar
2 Gravadores para captacao do PGM
1 Sistema de intercomunicação entre DTV e cameras
Cabeamento de acordo com a necessidade do sistema
Distribuidores, Pedestais, cabos, adaptadores e acessórios</t>
    </r>
  </si>
  <si>
    <r>
      <t xml:space="preserve">ESFERA DE LED
</t>
    </r>
    <r>
      <rPr>
        <sz val="22"/>
        <color rgb="FF000000"/>
        <rFont val="Trebuchet MS"/>
        <family val="2"/>
      </rPr>
      <t>1 Esfera de Led com 2 mts de diametro e players para conteudo</t>
    </r>
  </si>
  <si>
    <r>
      <t xml:space="preserve">MOTOR ESFERA DE LED
</t>
    </r>
    <r>
      <rPr>
        <sz val="22"/>
        <color theme="1"/>
        <rFont val="Trebuchet MS"/>
        <family val="2"/>
      </rPr>
      <t>1 motor para movimento da Esfera de Led, suporte e peso, mecanismo, estrurura para içar e técnicos</t>
    </r>
  </si>
  <si>
    <r>
      <rPr>
        <b/>
        <sz val="22"/>
        <color theme="1"/>
        <rFont val="Trebuchet MS"/>
        <family val="2"/>
      </rPr>
      <t>PAC PARA EVENTO - VINHETAS e VÍDEOS</t>
    </r>
    <r>
      <rPr>
        <sz val="22"/>
        <color theme="1"/>
        <rFont val="Trebuchet MS"/>
        <family val="2"/>
      </rPr>
      <t xml:space="preserve">
Video Abertura (10s), 
Transição, 
Encerramento (10s), 
KV Looping, 
Cartelas/BGs Suporte (5 unid.)
Contagem Regressiva, 
Vinhetas c/ foto para Speakers/MC (15 unid.), BG para PPT (5 unid.)
Vinhetas esfera - até 2 unidades 
Até 2 vídeos de (até 2min) 
Edição utilizando Banco de Imagem + ID do Evento* + Letterings + Efeitos Visuais
Atribuições: Roteiro, Locução (1 voz), Direção de Arte, Motion, Legenda, Trilha e Finalização.
2 vídeos com até 3m cada 
Edição utilizando Banco de Imagem + ID do Evento* + Letterings + Efeitos Visuais
Atribuições: Roteiro, Locução (1 voz), Direção de Arte, Motion, Legenda, Trilha e Finalização.</t>
    </r>
  </si>
  <si>
    <r>
      <rPr>
        <b/>
        <sz val="22"/>
        <color theme="1"/>
        <rFont val="Trebuchet MS"/>
        <family val="2"/>
      </rPr>
      <t>PPT - TEMPLATE - 50 slides</t>
    </r>
    <r>
      <rPr>
        <sz val="22"/>
        <color theme="1"/>
        <rFont val="Trebuchet MS"/>
        <family val="2"/>
      </rPr>
      <t xml:space="preserve">
Criação conforme o Briefing;
Elaboração com todos os elementos a serem utilizados;
Identidade visual (diferenciadas) e todos os seus respectivos elementos
Desenvolvimento de 1 template
Diagramação, produção de conteúdo conceitual; na vertical
Com até 500 slides aproximados, divididos em X apresentações
Produção de slides com elementos do Photoshop, inserção de imagens;
Utilização de Banco de Imagens a disposição durante 1 ano;
Animações de Slides e montagens conforme briefing;
Diagramação e formatação de conteúdo; (Panorâmico ou conversão 16x9)
Adaptações / alterações inclusas até a entrega final;
Aprovações onlines, em PDF e MP4
Entrega em ppt animado em Vídeo MP4</t>
    </r>
  </si>
  <si>
    <r>
      <rPr>
        <b/>
        <sz val="22"/>
        <color theme="1"/>
        <rFont val="Trebuchet MS"/>
        <family val="2"/>
      </rPr>
      <t>SUPORTE PPT</t>
    </r>
    <r>
      <rPr>
        <sz val="22"/>
        <color theme="1"/>
        <rFont val="Trebuchet MS"/>
        <family val="2"/>
      </rPr>
      <t xml:space="preserve">
Suporte com 1 pessoas no evento;
1 designer a disposição (ensaio e evento)</t>
    </r>
  </si>
  <si>
    <r>
      <t xml:space="preserve">PÓRTICO ENTRADA
</t>
    </r>
    <r>
      <rPr>
        <sz val="22"/>
        <color rgb="FF000000"/>
        <rFont val="Trebuchet MS"/>
        <family val="2"/>
      </rPr>
      <t>Impressão de lona, aplicação da nova lona</t>
    </r>
  </si>
  <si>
    <r>
      <t xml:space="preserve">PÓRTICO- PLENÁRIA
</t>
    </r>
    <r>
      <rPr>
        <sz val="22"/>
        <color rgb="FF000000"/>
        <rFont val="Trebuchet MS"/>
        <family val="2"/>
      </rPr>
      <t>Impressão de lona, aplicação da nova lona</t>
    </r>
  </si>
  <si>
    <r>
      <t xml:space="preserve">PAREDES AUTOPORTANTES
</t>
    </r>
    <r>
      <rPr>
        <sz val="22"/>
        <color rgb="FF000000"/>
        <rFont val="Trebuchet MS"/>
        <family val="2"/>
      </rPr>
      <t xml:space="preserve">Paredes em branco para fundo de sala com jogo de luz, estruturas autoportante de 2m cada, 40 metros total </t>
    </r>
  </si>
  <si>
    <r>
      <t xml:space="preserve">BACKDROP COLETIVA
</t>
    </r>
    <r>
      <rPr>
        <sz val="22"/>
        <color rgb="FF000000"/>
        <rFont val="Trebuchet MS"/>
        <family val="2"/>
      </rPr>
      <t>Backdrop em lona impressa 3,0 x 2,0m</t>
    </r>
  </si>
  <si>
    <r>
      <t xml:space="preserve">MÃO DE OBRA - CENOTÉCNICOS
</t>
    </r>
    <r>
      <rPr>
        <sz val="22"/>
        <color rgb="FF000000"/>
        <rFont val="Trebuchet MS"/>
        <family val="2"/>
      </rPr>
      <t>Profissionais de decoração para montagem dos arranjos e mesas da Noite de Reconhecimento
Logística inclusa</t>
    </r>
  </si>
  <si>
    <r>
      <rPr>
        <b/>
        <sz val="22"/>
        <color theme="1"/>
        <rFont val="Trebuchet MS"/>
        <family val="2"/>
      </rPr>
      <t xml:space="preserve">OBJETOS INSTAGRAMÁVEL </t>
    </r>
    <r>
      <rPr>
        <sz val="22"/>
        <color theme="1"/>
        <rFont val="Trebuchet MS"/>
        <family val="2"/>
      </rPr>
      <t xml:space="preserve">
- Alimentos
- Utensílios de cozinha
- Roupas e utensílios de lavanderia</t>
    </r>
  </si>
  <si>
    <r>
      <rPr>
        <b/>
        <sz val="22"/>
        <color theme="1"/>
        <rFont val="Trebuchet MS"/>
        <family val="2"/>
      </rPr>
      <t>PICOLÉS</t>
    </r>
    <r>
      <rPr>
        <sz val="22"/>
        <color theme="1"/>
        <rFont val="Trebuchet MS"/>
        <family val="2"/>
      </rPr>
      <t xml:space="preserve">
270 PICOLES SABOR PERSONALIZADO 
PERSONALIZAÇÃO DA EMBALAGEM - PARCIAL PICOLE</t>
    </r>
  </si>
  <si>
    <r>
      <t xml:space="preserve">MICROONDAS COM PIPOCA
</t>
    </r>
    <r>
      <rPr>
        <sz val="22"/>
        <rFont val="Trebuchet MS"/>
        <family val="2"/>
      </rPr>
      <t xml:space="preserve">Pote com milho e medidor para servir e promotora </t>
    </r>
  </si>
  <si>
    <r>
      <rPr>
        <b/>
        <sz val="22"/>
        <color theme="1"/>
        <rFont val="Trebuchet MS"/>
        <family val="2"/>
      </rPr>
      <t xml:space="preserve">SACOLA </t>
    </r>
    <r>
      <rPr>
        <sz val="22"/>
        <color theme="1"/>
        <rFont val="Trebuchet MS"/>
        <family val="2"/>
      </rPr>
      <t xml:space="preserve">
Sacola em papel kraft sem personalização</t>
    </r>
  </si>
  <si>
    <r>
      <t xml:space="preserve">IMANTADOS - GELADEIRAS - </t>
    </r>
    <r>
      <rPr>
        <sz val="22"/>
        <color theme="1"/>
        <rFont val="Trebuchet MS"/>
        <family val="2"/>
      </rPr>
      <t>2 artes a definir</t>
    </r>
  </si>
  <si>
    <r>
      <t>PRATO DE CERÂMICA</t>
    </r>
    <r>
      <rPr>
        <sz val="22"/>
        <color theme="1"/>
        <rFont val="Trebuchet MS"/>
        <family val="2"/>
      </rPr>
      <t xml:space="preserve">
Prato em cerâmica, de 19cm, colorido, com frase - não é possível aplicação de logo</t>
    </r>
  </si>
  <si>
    <r>
      <t xml:space="preserve">BALDE DE PIPOCA  </t>
    </r>
    <r>
      <rPr>
        <sz val="22"/>
        <color theme="1"/>
        <rFont val="Trebuchet MS"/>
        <family val="2"/>
      </rPr>
      <t xml:space="preserve">
Balde preto, Ee silicone, com logo em baixo relevo</t>
    </r>
  </si>
  <si>
    <r>
      <t xml:space="preserve">CANECAS - OPCIONAL
</t>
    </r>
    <r>
      <rPr>
        <sz val="22"/>
        <color theme="1"/>
        <rFont val="Trebuchet MS"/>
        <family val="2"/>
      </rPr>
      <t>200 canecas ágata esmaltadas, impressão 4 cores, 160ml branca com borda preta</t>
    </r>
  </si>
  <si>
    <r>
      <t xml:space="preserve">PINGUIM DECORATIVO </t>
    </r>
    <r>
      <rPr>
        <sz val="22"/>
        <color theme="1"/>
        <rFont val="Trebuchet MS"/>
        <family val="2"/>
      </rPr>
      <t xml:space="preserve">
Pinguim de 15cm altura, em resina, coloração injetável - cores definir</t>
    </r>
  </si>
  <si>
    <r>
      <rPr>
        <b/>
        <sz val="22"/>
        <color theme="1"/>
        <rFont val="Trebuchet MS"/>
        <family val="2"/>
      </rPr>
      <t>COPO COM TIRANTE</t>
    </r>
    <r>
      <rPr>
        <sz val="22"/>
        <color theme="1"/>
        <rFont val="Trebuchet MS"/>
        <family val="2"/>
      </rPr>
      <t xml:space="preserve">
Tirante:
Largura - 20mm, com impressão frente e verso
Porta copo transparente
Chapinha 20mm
Comprimento: 120cm
Copo Ecolabel 430ml</t>
    </r>
  </si>
  <si>
    <r>
      <t xml:space="preserve">MINI COCOTTE LARANJA
</t>
    </r>
    <r>
      <rPr>
        <sz val="22"/>
        <color theme="1"/>
        <rFont val="Trebuchet MS"/>
        <family val="2"/>
      </rPr>
      <t>Material: Cerâmica
Capacidade: 250 ml
Altura: 8 cm
Largura: 11 cm
Comprimento: 14 cm
Peso: 2 kg</t>
    </r>
  </si>
  <si>
    <r>
      <rPr>
        <b/>
        <sz val="22"/>
        <rFont val="Trebuchet MS"/>
        <family val="2"/>
      </rPr>
      <t>CRACHÁ</t>
    </r>
    <r>
      <rPr>
        <sz val="22"/>
        <rFont val="Trebuchet MS"/>
        <family val="2"/>
      </rPr>
      <t xml:space="preserve">
Crachá personalizado para os participantes.
Material: PVC
Tamanho: 9,5x13,9cm
Acabamento: laminado com canto arredonda  </t>
    </r>
    <r>
      <rPr>
        <b/>
        <sz val="22"/>
        <rFont val="Trebuchet MS"/>
        <family val="2"/>
      </rPr>
      <t xml:space="preserve">                                                                   </t>
    </r>
  </si>
  <si>
    <r>
      <rPr>
        <b/>
        <sz val="22"/>
        <rFont val="Trebuchet MS"/>
        <family val="2"/>
      </rPr>
      <t>CORDÃO PARA CRACHÁ</t>
    </r>
    <r>
      <rPr>
        <sz val="22"/>
        <rFont val="Trebuchet MS"/>
        <family val="2"/>
      </rPr>
      <t xml:space="preserve">
Tamanho: L2cm x C85cm 
Impressão frente e verso
Acabamento: mosquetão                                                                                            </t>
    </r>
  </si>
  <si>
    <r>
      <rPr>
        <b/>
        <sz val="22"/>
        <rFont val="Trebuchet MS"/>
        <family val="2"/>
      </rPr>
      <t>CARTA BOAS VINDAS</t>
    </r>
    <r>
      <rPr>
        <sz val="22"/>
        <rFont val="Trebuchet MS"/>
        <family val="2"/>
      </rPr>
      <t xml:space="preserve">
Carta para 100% do público
Material: Couchê Fosco 150g/m² - 4x0
Tamanho:21x 29,7cm</t>
    </r>
  </si>
  <si>
    <r>
      <rPr>
        <b/>
        <sz val="22"/>
        <color theme="1"/>
        <rFont val="Trebuchet MS"/>
        <family val="2"/>
      </rPr>
      <t>MATERIAL DE APOIO</t>
    </r>
    <r>
      <rPr>
        <sz val="22"/>
        <color rgb="FF0070C0"/>
        <rFont val="Trebuchet MS"/>
        <family val="2"/>
      </rPr>
      <t xml:space="preserve"> </t>
    </r>
    <r>
      <rPr>
        <sz val="22"/>
        <color theme="1"/>
        <rFont val="Trebuchet MS"/>
        <family val="2"/>
      </rPr>
      <t xml:space="preserve">
Materiais de escritório para sala de produção, exemplos:
Impressora+ insumos, papel, fita adesiva, estilete, elástico, entre outros.</t>
    </r>
  </si>
  <si>
    <r>
      <rPr>
        <b/>
        <sz val="22"/>
        <color theme="1"/>
        <rFont val="Trebuchet MS"/>
        <family val="2"/>
      </rPr>
      <t>AÉREO</t>
    </r>
    <r>
      <rPr>
        <sz val="22"/>
        <color theme="1"/>
        <rFont val="Trebuchet MS"/>
        <family val="2"/>
      </rPr>
      <t xml:space="preserve"> - </t>
    </r>
    <r>
      <rPr>
        <b/>
        <sz val="22"/>
        <color rgb="FFFF0000"/>
        <rFont val="Trebuchet MS"/>
        <family val="2"/>
      </rPr>
      <t>3 passagens (Maria Celina Galvão, Leticia Rosa Machado, Cirillo)</t>
    </r>
    <r>
      <rPr>
        <sz val="22"/>
        <color theme="1"/>
        <rFont val="Trebuchet MS"/>
        <family val="2"/>
      </rPr>
      <t xml:space="preserve">
*Valor sujeito a alteração conforme mailing e malha aérea,  bagagem e mailing enviado pela WHP</t>
    </r>
  </si>
  <si>
    <r>
      <t xml:space="preserve">RARO 1
</t>
    </r>
    <r>
      <rPr>
        <sz val="22"/>
        <color theme="1"/>
        <rFont val="Trebuchet MS"/>
        <family val="2"/>
      </rPr>
      <t>Locação de espaço reservado para almoço Coletiva</t>
    </r>
  </si>
  <si>
    <r>
      <rPr>
        <b/>
        <sz val="22"/>
        <color theme="1"/>
        <rFont val="Trebuchet MS"/>
        <family val="2"/>
      </rPr>
      <t>PACOTE DE BEBIDAS SOFT</t>
    </r>
    <r>
      <rPr>
        <sz val="22"/>
        <color theme="1"/>
        <rFont val="Trebuchet MS"/>
        <family val="2"/>
      </rPr>
      <t xml:space="preserve">
Almoço com Renata Vanzetto</t>
    </r>
  </si>
  <si>
    <r>
      <rPr>
        <b/>
        <sz val="22"/>
        <color theme="1"/>
        <rFont val="Trebuchet MS"/>
        <family val="2"/>
      </rPr>
      <t>ASSISTENTE DE PRODUÇÃO</t>
    </r>
    <r>
      <rPr>
        <sz val="22"/>
        <color theme="1"/>
        <rFont val="Trebuchet MS"/>
        <family val="2"/>
      </rPr>
      <t xml:space="preserve">
01 profissional de produção por 02 meses 
Pré-evento, evento e entrega de relatório</t>
    </r>
  </si>
  <si>
    <r>
      <rPr>
        <b/>
        <sz val="22"/>
        <color theme="1"/>
        <rFont val="Trebuchet MS"/>
        <family val="2"/>
      </rPr>
      <t>ASSISTÊNCIA DE LOGÍSTICA</t>
    </r>
    <r>
      <rPr>
        <sz val="22"/>
        <color theme="1"/>
        <rFont val="Trebuchet MS"/>
        <family val="2"/>
      </rPr>
      <t xml:space="preserve">
01 profissional de logística por 02 meses 
Pré-evento, evento</t>
    </r>
  </si>
  <si>
    <r>
      <rPr>
        <b/>
        <sz val="22"/>
        <color theme="1"/>
        <rFont val="Trebuchet MS"/>
        <family val="2"/>
      </rPr>
      <t>PRODUTORES - MONTAGEM E SERVIÇOS</t>
    </r>
    <r>
      <rPr>
        <sz val="22"/>
        <color theme="1"/>
        <rFont val="Trebuchet MS"/>
        <family val="2"/>
      </rPr>
      <t xml:space="preserve">
02 - Montagem e desmontagem
01 - Serviços</t>
    </r>
  </si>
  <si>
    <r>
      <rPr>
        <b/>
        <sz val="22"/>
        <color theme="1"/>
        <rFont val="Trebuchet MS"/>
        <family val="2"/>
      </rPr>
      <t>PRODUTORES - A&amp;B</t>
    </r>
    <r>
      <rPr>
        <sz val="22"/>
        <color theme="1"/>
        <rFont val="Trebuchet MS"/>
        <family val="2"/>
      </rPr>
      <t xml:space="preserve">
02 - Alimentações, abastecimentos, festas</t>
    </r>
  </si>
  <si>
    <r>
      <rPr>
        <b/>
        <sz val="22"/>
        <color theme="1"/>
        <rFont val="Trebuchet MS"/>
        <family val="2"/>
      </rPr>
      <t>PRODUTORES - GERAL</t>
    </r>
    <r>
      <rPr>
        <sz val="22"/>
        <color theme="1"/>
        <rFont val="Trebuchet MS"/>
        <family val="2"/>
      </rPr>
      <t xml:space="preserve">
01 - Plenária
01 - Sala de Produção</t>
    </r>
  </si>
  <si>
    <r>
      <t xml:space="preserve">PRODUTORES LOGÍSTICA
</t>
    </r>
    <r>
      <rPr>
        <sz val="22"/>
        <color theme="1"/>
        <rFont val="Trebuchet MS"/>
        <family val="2"/>
      </rPr>
      <t>04 - Aeroportos/Transfers
02 - Check'in</t>
    </r>
  </si>
  <si>
    <r>
      <t xml:space="preserve">PROMOTORES PLENÁRIA
</t>
    </r>
    <r>
      <rPr>
        <sz val="22"/>
        <color theme="1"/>
        <rFont val="Trebuchet MS"/>
        <family val="2"/>
      </rPr>
      <t>06 - Apoio plenária + Instagramável + Showroom
Carga horária: 10 horas</t>
    </r>
  </si>
  <si>
    <r>
      <rPr>
        <b/>
        <sz val="22"/>
        <color theme="1"/>
        <rFont val="Trebuchet MS"/>
        <family val="2"/>
      </rPr>
      <t>LIMPEZA</t>
    </r>
    <r>
      <rPr>
        <sz val="22"/>
        <color theme="1"/>
        <rFont val="Trebuchet MS"/>
        <family val="2"/>
      </rPr>
      <t xml:space="preserve">
Considerado profissionais de limpeza para montagem(31/01), evento e desmontagem
Carga horária: 12 horas</t>
    </r>
  </si>
  <si>
    <r>
      <rPr>
        <b/>
        <sz val="22"/>
        <color theme="1"/>
        <rFont val="Trebuchet MS"/>
        <family val="2"/>
      </rPr>
      <t>SEGURANÇA</t>
    </r>
    <r>
      <rPr>
        <sz val="22"/>
        <color theme="1"/>
        <rFont val="Trebuchet MS"/>
        <family val="2"/>
      </rPr>
      <t xml:space="preserve">
Considerado profissionais de segurança para montagem, evento e desmontagem, sendo:
01 - Plenária
01 - Showroom
01 - Sala de produção
01 - Noturno
Carga horária: 12 horas</t>
    </r>
  </si>
  <si>
    <r>
      <rPr>
        <b/>
        <sz val="22"/>
        <color theme="1"/>
        <rFont val="Trebuchet MS"/>
        <family val="2"/>
      </rPr>
      <t>BRIGADISTA</t>
    </r>
    <r>
      <rPr>
        <sz val="22"/>
        <color theme="1"/>
        <rFont val="Trebuchet MS"/>
        <family val="2"/>
      </rPr>
      <t xml:space="preserve">
Considerado brigadistas para montagem(31/01), ensaio, evento e desmontagem, sendo:
Carga horária: 12 horas</t>
    </r>
  </si>
  <si>
    <r>
      <t xml:space="preserve">DIRETOR ARTÍSTICO  - KLEBER GÓES
</t>
    </r>
    <r>
      <rPr>
        <sz val="22"/>
        <rFont val="Trebuchet MS"/>
        <family val="2"/>
      </rPr>
      <t>+ Direção Artística
• Alinhamento do flow do evento (Roteiro Técnico, Agencia e Cliente).
• Alinhamento de conteúdos prévios ao evento/live.
• Alinhamento Técnico junto a Equipe e Diretor Técnico.
• Insights, Referências Criativas, Imputs Artísticos.
• Direcionamento e Brieting de conteúdos prévios ao evento.
+ Diretor Presencial Housemix
• Ensaios inloco e Direção Artística evento presencial.
• Programação Control Room / House Mix.
• Definição de Flow do Evento e Dinâmicas de Palco.
• Acompanhamento de produção local de conteúdos junto a produção.
+ 1 assistente</t>
    </r>
  </si>
  <si>
    <r>
      <t xml:space="preserve">DIRETOR TÉCNICO
</t>
    </r>
    <r>
      <rPr>
        <sz val="22"/>
        <rFont val="Trebuchet MS"/>
        <family val="2"/>
      </rPr>
      <t>Direção Técnica
(Elaboração de projeto para adequação da técnica aos objetivos
propostos pela criação e suporte ao cliente para melhores soluções,
relacionamento técnico com fornecedores, acompanhamento de
montagens e do evento)
INCLUI 4 REUNIÕES REMOTAS DE PRÉ + VT (ATÉ 3 HORAS CADA,
NÃO CUMULATIVAS - DE ACORDO COM DISPONIBILIDADE DE
AGENDA)
Assist. Direção Técnica
(relacionamento técnico com fornecedores, acompanhamento de
montagens e do evento)</t>
    </r>
  </si>
  <si>
    <r>
      <t xml:space="preserve">ROTEIRISTA - MARÍLIA TAYAR
</t>
    </r>
    <r>
      <rPr>
        <sz val="22"/>
        <color theme="1"/>
        <rFont val="Trebuchet MS"/>
        <family val="2"/>
      </rPr>
      <t>CONTEÚDOS - 
Roteiro conceitual 
Escaleta técnica (roteiro técnico indicativo da demanda completa de som, luz e transmissão do evento in loco – transmissão de conteúdos + transmissão simultânea)
Desenvolvimento de speeches para apresentador do evento e executivos WHP 
Caso solicitado - organização de flow de apresentações executivas / direção criativa de apresentações executivas
Adendos de roteiro: fichas de palco e textos para TP (materiais de apoio para executivos e apresentador do evento)
ITENS CONTEMPLADOS EM ORÇAMENTO - 
Equipe: 2 pessoas (Marília + 1)
Conteúdos
Reuniões agência / cliente (sem quantidade determinada)
2 diárias de equipe (ensaio + evento)</t>
    </r>
  </si>
  <si>
    <r>
      <rPr>
        <b/>
        <sz val="22"/>
        <rFont val="Trebuchet MS"/>
        <family val="2"/>
      </rPr>
      <t xml:space="preserve">AÉREO destinos diversos - </t>
    </r>
    <r>
      <rPr>
        <b/>
        <sz val="22"/>
        <color rgb="FFFF0000"/>
        <rFont val="Trebuchet MS"/>
        <family val="2"/>
      </rPr>
      <t>estimado, aguardando lista</t>
    </r>
    <r>
      <rPr>
        <b/>
        <sz val="22"/>
        <rFont val="Trebuchet MS"/>
        <family val="2"/>
      </rPr>
      <t xml:space="preserve">
</t>
    </r>
    <r>
      <rPr>
        <sz val="22"/>
        <rFont val="Trebuchet MS"/>
        <family val="2"/>
      </rPr>
      <t>*Valor sujeito a alteração conforme mailing e malha aérea,  bagagem e mailing enviado pela WHP</t>
    </r>
  </si>
  <si>
    <r>
      <rPr>
        <b/>
        <sz val="22"/>
        <color theme="1"/>
        <rFont val="Trebuchet MS"/>
        <family val="2"/>
      </rPr>
      <t>PASSAGEM AÉREA - BELO HORIZONTE x SÃO PAULO</t>
    </r>
    <r>
      <rPr>
        <sz val="22"/>
        <color theme="1"/>
        <rFont val="Trebuchet MS"/>
        <family val="2"/>
      </rPr>
      <t xml:space="preserve">
Considerado 1 pax                                                                                                                 
*Valor sujeito a alteração conforme malha aérea e  bagagem, no momento da emissão</t>
    </r>
  </si>
  <si>
    <r>
      <rPr>
        <b/>
        <sz val="22"/>
        <color theme="1"/>
        <rFont val="Trebuchet MS"/>
        <family val="2"/>
      </rPr>
      <t>TRANSFER IN</t>
    </r>
    <r>
      <rPr>
        <sz val="22"/>
        <color theme="1"/>
        <rFont val="Trebuchet MS"/>
        <family val="2"/>
      </rPr>
      <t xml:space="preserve">
Considerando 200 pax  06 micro ônibus com 28 assentos time WHP e convidados, 06 vans executivas com 14 assentos Convidados e  06 carros executivos.
São Paulo - ponto de encontro x Hotel </t>
    </r>
  </si>
  <si>
    <r>
      <rPr>
        <b/>
        <sz val="22"/>
        <color theme="1"/>
        <rFont val="Trebuchet MS"/>
        <family val="2"/>
      </rPr>
      <t>TRANSFER OUT</t>
    </r>
    <r>
      <rPr>
        <sz val="22"/>
        <color theme="1"/>
        <rFont val="Trebuchet MS"/>
        <family val="2"/>
      </rPr>
      <t xml:space="preserve">
Considerando 200 pax  06 micro ônibus com 28 assentos time WHP e convidados, 06 vans executivas com 14 assentos Convidados e  06 carros executivos.
São Paulo - ponto de encontro x Hotel </t>
    </r>
  </si>
  <si>
    <r>
      <rPr>
        <b/>
        <sz val="22"/>
        <color theme="1"/>
        <rFont val="Trebuchet MS"/>
        <family val="2"/>
      </rPr>
      <t>TRANSPORTE STAFF WHP</t>
    </r>
    <r>
      <rPr>
        <sz val="22"/>
        <color theme="1"/>
        <rFont val="Trebuchet MS"/>
        <family val="2"/>
      </rPr>
      <t xml:space="preserve">
Considerado 2 van de 15 lugares
Hotel x WHP</t>
    </r>
  </si>
  <si>
    <r>
      <rPr>
        <b/>
        <sz val="22"/>
        <color theme="1"/>
        <rFont val="Trebuchet MS"/>
        <family val="2"/>
      </rPr>
      <t>TRANSFER IN E OUT</t>
    </r>
    <r>
      <rPr>
        <sz val="22"/>
        <color theme="1"/>
        <rFont val="Trebuchet MS"/>
        <family val="2"/>
      </rPr>
      <t xml:space="preserve">
Carro executivo para ida e volta 
</t>
    </r>
  </si>
  <si>
    <r>
      <rPr>
        <b/>
        <sz val="22"/>
        <color theme="1"/>
        <rFont val="Trebuchet MS"/>
        <family val="2"/>
      </rPr>
      <t>TRANSPORTE STAFF AGÊNCIA</t>
    </r>
    <r>
      <rPr>
        <sz val="22"/>
        <color theme="1"/>
        <rFont val="Trebuchet MS"/>
        <family val="2"/>
      </rPr>
      <t xml:space="preserve">
Considerado 1 van de 15 lugares, sendo 2 volta
Hotel x WHP</t>
    </r>
  </si>
  <si>
    <r>
      <rPr>
        <b/>
        <sz val="22"/>
        <color theme="1"/>
        <rFont val="Trebuchet MS"/>
        <family val="2"/>
      </rPr>
      <t>TRANSPORTE MATERIAIS</t>
    </r>
    <r>
      <rPr>
        <sz val="22"/>
        <color theme="1"/>
        <rFont val="Trebuchet MS"/>
        <family val="2"/>
      </rPr>
      <t xml:space="preserve">
Transporte dos materiais de produção
Considerado um caminhão vuck</t>
    </r>
  </si>
  <si>
    <r>
      <rPr>
        <b/>
        <sz val="22"/>
        <color theme="1"/>
        <rFont val="Trebuchet MS"/>
        <family val="2"/>
      </rPr>
      <t>APARTAMENTO SINGLE</t>
    </r>
    <r>
      <rPr>
        <sz val="22"/>
        <color theme="1"/>
        <rFont val="Trebuchet MS"/>
        <family val="2"/>
      </rPr>
      <t xml:space="preserve">
Considerado 120 apartamentos singles, sendo 1 cama casal
Público: convidados</t>
    </r>
  </si>
  <si>
    <r>
      <rPr>
        <b/>
        <sz val="22"/>
        <color theme="1"/>
        <rFont val="Trebuchet MS"/>
        <family val="2"/>
      </rPr>
      <t xml:space="preserve">APARTAMENTOS STAFF E DRETORIA WHP </t>
    </r>
    <r>
      <rPr>
        <sz val="22"/>
        <color theme="1"/>
        <rFont val="Trebuchet MS"/>
        <family val="2"/>
      </rPr>
      <t xml:space="preserve">
Considerado 40 apartamento categroia superiror single ou duplos
Público: staff e diretoria WHP</t>
    </r>
  </si>
  <si>
    <r>
      <rPr>
        <b/>
        <sz val="22"/>
        <color theme="1"/>
        <rFont val="Trebuchet MS"/>
        <family val="2"/>
      </rPr>
      <t>APARTAMENTO PALESTRANTE</t>
    </r>
    <r>
      <rPr>
        <sz val="22"/>
        <color theme="1"/>
        <rFont val="Trebuchet MS"/>
        <family val="2"/>
      </rPr>
      <t xml:space="preserve">
Considerado 1 single
Público: Palestrante Bruno Carazza</t>
    </r>
  </si>
  <si>
    <r>
      <rPr>
        <b/>
        <sz val="22"/>
        <color theme="1"/>
        <rFont val="Trebuchet MS"/>
        <family val="2"/>
      </rPr>
      <t>APARTAMENTO MC E AGENTE</t>
    </r>
    <r>
      <rPr>
        <sz val="22"/>
        <color theme="1"/>
        <rFont val="Trebuchet MS"/>
        <family val="2"/>
      </rPr>
      <t xml:space="preserve">
Considerado 2 singles 
Público: MC Gabriel Louchard e Assessor(a)</t>
    </r>
  </si>
  <si>
    <r>
      <rPr>
        <b/>
        <sz val="22"/>
        <color theme="1"/>
        <rFont val="Trebuchet MS"/>
        <family val="2"/>
      </rPr>
      <t>APARTAMENTO STAFF</t>
    </r>
    <r>
      <rPr>
        <sz val="22"/>
        <color theme="1"/>
        <rFont val="Trebuchet MS"/>
        <family val="2"/>
      </rPr>
      <t xml:space="preserve">
Considerado 20 singles e doubles - 48 pax 
Público: time de campo Oggi</t>
    </r>
  </si>
  <si>
    <r>
      <t>TERRAS 1+2+3 (PLENÁRIA)
31</t>
    </r>
    <r>
      <rPr>
        <sz val="22"/>
        <color theme="1"/>
        <rFont val="Trebuchet MS"/>
        <family val="2"/>
      </rPr>
      <t xml:space="preserve"> DE Janeiro á 04 de Fevereiro
Área: 1028m²
Pé direito: 7m
Sem mobiliário - formato arena para até 600pax</t>
    </r>
  </si>
  <si>
    <r>
      <t xml:space="preserve">SALA TERRAVISTA - PRODUÇÃO
</t>
    </r>
    <r>
      <rPr>
        <sz val="22"/>
        <color theme="1"/>
        <rFont val="Trebuchet MS"/>
        <family val="2"/>
      </rPr>
      <t>Considerado mobiliário do hotel, formato escolar
Até 30pax</t>
    </r>
  </si>
  <si>
    <r>
      <t xml:space="preserve">SERVIÇOS DIVERSOS
</t>
    </r>
    <r>
      <rPr>
        <sz val="22"/>
        <color theme="1"/>
        <rFont val="Trebuchet MS"/>
        <family val="2"/>
      </rPr>
      <t xml:space="preserve">Taxa de limpeza e Previsão de estacionamento                                                                                                                                                   </t>
    </r>
  </si>
  <si>
    <r>
      <t xml:space="preserve">MESTRE DE CERIMÔNIA GABRIEL LOUCHARD
</t>
    </r>
    <r>
      <rPr>
        <sz val="22"/>
        <color theme="1"/>
        <rFont val="Trebuchet MS"/>
        <family val="2"/>
      </rPr>
      <t>Considerado ensaio + 3 dias de evento</t>
    </r>
  </si>
  <si>
    <r>
      <t xml:space="preserve">PALESTRANTE BRUNO CARAZZA
</t>
    </r>
    <r>
      <rPr>
        <sz val="22"/>
        <color theme="1"/>
        <rFont val="Trebuchet MS"/>
        <family val="2"/>
      </rPr>
      <t xml:space="preserve">Considerado 1 hora de palestra no dia 04/02 manhã </t>
    </r>
  </si>
  <si>
    <r>
      <t xml:space="preserve">ESFERA DE LED
</t>
    </r>
    <r>
      <rPr>
        <sz val="22"/>
        <color rgb="FF000000"/>
        <rFont val="Trebuchet MS"/>
        <family val="2"/>
      </rPr>
      <t>1 Esfera de Led com 2 mts de diametro e players para conteudo
Considerando os dias parados, ensiao e evento</t>
    </r>
  </si>
  <si>
    <r>
      <t xml:space="preserve">MOTOR ESFERA DE LED - OPCIONAL
</t>
    </r>
    <r>
      <rPr>
        <sz val="22"/>
        <color rgb="FFFF0000"/>
        <rFont val="Trebuchet MS"/>
        <family val="2"/>
      </rPr>
      <t>1 motor para movimento da Esfera de Led, suporte e peso, mecanismo, estrurura para içar e técnicos</t>
    </r>
  </si>
  <si>
    <r>
      <t xml:space="preserve">PANTOGRÁFICA ARTICULADA 
</t>
    </r>
    <r>
      <rPr>
        <sz val="22"/>
        <color rgb="FF000000"/>
        <rFont val="Trebuchet MS"/>
        <family val="2"/>
      </rPr>
      <t>1 máquina articulada para instalação e movimentos da esfera durante a montagem, evento e desmontagem . Estrurura para içar, transporte e técnico</t>
    </r>
  </si>
  <si>
    <r>
      <rPr>
        <b/>
        <sz val="22"/>
        <rFont val="Trebuchet MS"/>
        <family val="2"/>
      </rPr>
      <t>LOCAÇÃO DE EQUIPAMENTOS</t>
    </r>
    <r>
      <rPr>
        <sz val="22"/>
        <rFont val="Trebuchet MS"/>
        <family val="2"/>
      </rPr>
      <t xml:space="preserve">
4 Notebooks
4 Celulares</t>
    </r>
  </si>
  <si>
    <r>
      <t xml:space="preserve">TELEPROMPTER
</t>
    </r>
    <r>
      <rPr>
        <sz val="22"/>
        <color theme="1"/>
        <rFont val="Trebuchet MS"/>
        <family val="2"/>
      </rPr>
      <t>3 TVs de 65" pol para retorno de palco com doghouse
2 Servers de Video para Play 16x9 e multitela (Principal + backup)
1 Notebook para Cronometro para embedar nos monitores de retorno
4 Notebook para Power Point (principal + Backup + tela do apresentador)
2 Passador de Slides D-San Perfect Cue
1 Gerenciador de video - Barco E2, ou similar
1 Matrix full HD 16x16
1 Monitor 40 multiview para direção artistica
Fibra optica para interligação dos sistemas de video entre as salas
Fibra optica para interligação dos monitores, Projetores e painéis de led
Distribuidores, Pedestais, cabos, adaptadores e acessório</t>
    </r>
    <r>
      <rPr>
        <b/>
        <sz val="22"/>
        <color theme="1"/>
        <rFont val="Trebuchet MS"/>
        <family val="2"/>
      </rPr>
      <t>s</t>
    </r>
  </si>
  <si>
    <r>
      <t xml:space="preserve">TECNICA - AUDIO
</t>
    </r>
    <r>
      <rPr>
        <sz val="22"/>
        <color rgb="FF000000"/>
        <rFont val="Trebuchet MS"/>
        <family val="2"/>
      </rPr>
      <t>1 Sistema de P.A. para ate 600 pessoas D&amp;B, Meyer, L'acoustic ou Similar para Arena - 6 linhas + P.A. para banda no
palco anexo
12 Sistemas sem fio (combo) com combiner e antenas externas ULXD ou Axient
8 Capsulas Head Set DPA
1 Mesa de som digital com pelo menos 48 in 32 outs com sistema digital
1 Player de audio (Notebook)
1 Microfones com fio para VOG e comunicação com botao on/off e Suporte de Mesa
6 Caixa de som amplificadas compactas para monitores
2 Caixa de som amplificadas compactas para monitores back stage
6 Sistema de Comunicação sem Fio(in ear) para MC + Libras</t>
    </r>
  </si>
  <si>
    <r>
      <t xml:space="preserve">TECNICA -LUZ
</t>
    </r>
    <r>
      <rPr>
        <sz val="22"/>
        <color rgb="FF000000"/>
        <rFont val="Trebuchet MS"/>
        <family val="2"/>
      </rPr>
      <t>32 Refletores Fresnel de Led com Bandor - frente palco
24 Moving Wash Led Spyder, Mac Aura
18 Moving Light Pointe, ou similar
20 Ribaltas de led para comunicação do palco
48 Par led RGBW para center de palco
40 Refletor SGM P5 para lavaar parredes
24 Moving Wash Led Spyder, Mac Aura
24 Moving Light Pointe, ou similar
2 Maquinas de fumaças Haze MDG
1 RIDER DE BANDA A DEFINIR
cabos, adaptadores tripés, cintas e acessórios conforme necessidade
Canos e estrutura para fixação dos refletores</t>
    </r>
  </si>
  <si>
    <r>
      <t xml:space="preserve">TECNICA - IMAGEM
</t>
    </r>
    <r>
      <rPr>
        <sz val="22"/>
        <color rgb="FF000000"/>
        <rFont val="Trebuchet MS"/>
        <family val="2"/>
      </rPr>
      <t>112 mts quadrados de Painel de Led - 3 paineis de 8,0m x 4,5m P3
1 Notebook para Cronometro para embedar nos monitores de retorno
4 Notebook para Power Point (principal + Backup + tela do apresentador)
1 Gerenciador de video - Barco E2, ou similar
1 Matrix full HD 16x16
1 Monitor 40 multiview para direção artistica
Fibra optica para interligação dos sistemas de video entre as salas
Fibra optica para interligação dos monitores, Projetores e painéis de led
Distribuidores, Pedestais, cabos, adaptadores e acessórios</t>
    </r>
  </si>
  <si>
    <r>
      <t xml:space="preserve">ILUMINAÇÃO - SHOWROOM
</t>
    </r>
    <r>
      <rPr>
        <sz val="22"/>
        <color rgb="FF000000"/>
        <rFont val="Trebuchet MS"/>
        <family val="2"/>
      </rPr>
      <t>24 Refletores Fresnel de Led com Bandor - produtos
10 Ribaltas para backdrop de fundo
20 Brutt de led BL 120 para ambientes
40 Par led RGBW para ambientes
80 mts de box Q15 para fixação de equipamentos de iluminação
cabos, adaptadores tripés, cintas e acessórios conforme necessidade
Canos e estrutura para fixação dos refletores</t>
    </r>
  </si>
  <si>
    <r>
      <rPr>
        <b/>
        <sz val="22"/>
        <color theme="1"/>
        <rFont val="Trebuchet MS"/>
        <family val="2"/>
      </rPr>
      <t>PAC PARA EVENTO</t>
    </r>
    <r>
      <rPr>
        <sz val="22"/>
        <color theme="1"/>
        <rFont val="Trebuchet MS"/>
        <family val="2"/>
      </rPr>
      <t xml:space="preserve">
Video Abertura (10s), 
Transição, 
Encerramento (10s), 
KV Looping, 
Cartelas/BGs Suporte (5 unid.)
Contagem Regressiva, 
Vinhetas c/ foto para Speakers/MC (15 unid.), BG para PPT (5 unid.)
VIDEOS - 05 vídeos
Vídeo de Segurança (até 2min) 
Edição utilizando Banco de Imagem + ID do Evento* + Letterings + Efeitos Visuais
Atribuições: Roteiro, Locução (1 voz), Direção de Arte, Motion, Legenda, Trilha e Finalização.
1 vídeo com até 3m 
Edição utilizando Banco de Imagem + ID do Evento* + Letterings + Efeitos Visuais
Atribuições: Roteiro, Locução (1 voz), Direção de Arte, Motion, Legenda, Trilha e Finalização.</t>
    </r>
  </si>
  <si>
    <r>
      <rPr>
        <b/>
        <sz val="22"/>
        <color theme="1"/>
        <rFont val="Trebuchet MS"/>
        <family val="2"/>
      </rPr>
      <t>PPT - TEMPLATE - 80 slides</t>
    </r>
    <r>
      <rPr>
        <sz val="22"/>
        <color theme="1"/>
        <rFont val="Trebuchet MS"/>
        <family val="2"/>
      </rPr>
      <t xml:space="preserve">
Criação conforme o Briefing;
Elaboração com todos os elementos a serem utilizados;
Identidade visual (diferenciadas) e todos os seus respectivos elementos
Desenvolvimento de 1 template
Diagramação, produção de conteúdo conceitual; na vertical
Com até 80 slides aproximados, divididos em X apresentações
Produção de slides com elementos do Photoshop, inserção de imagens;
Utilização de Banco de Imagens a disposição durante 1 ano;
Animações de Slides e montagens conforme briefing;
Diagramação e formatação de conteúdo; (Panorâmico ou conversão 16x9)
Adaptações / alterações inclusas até a entrega final;
Aprovações onlines, em PDF e MP4
Entrega em ppt animado em Vídeo MP4</t>
    </r>
  </si>
  <si>
    <r>
      <rPr>
        <b/>
        <sz val="22"/>
        <color theme="1"/>
        <rFont val="Trebuchet MS"/>
        <family val="2"/>
      </rPr>
      <t>SUPORTE PPT</t>
    </r>
    <r>
      <rPr>
        <sz val="22"/>
        <color theme="1"/>
        <rFont val="Trebuchet MS"/>
        <family val="2"/>
      </rPr>
      <t xml:space="preserve">
Suporte com 2 pessoas no evento;
2 designers a disposição (ensaio e evento)</t>
    </r>
  </si>
  <si>
    <r>
      <t>SHOWROOM - CENOGRAFIA - BRASTEMP</t>
    </r>
    <r>
      <rPr>
        <sz val="22"/>
        <color rgb="FF000000"/>
        <rFont val="Trebuchet MS"/>
        <family val="2"/>
      </rPr>
      <t xml:space="preserve">
</t>
    </r>
  </si>
  <si>
    <r>
      <t xml:space="preserve">SHOWROOM - CENOGRAFIA
</t>
    </r>
    <r>
      <rPr>
        <sz val="22"/>
        <rFont val="Trebuchet MS"/>
        <family val="2"/>
      </rPr>
      <t>- Adaptação de estruturas construídas</t>
    </r>
  </si>
  <si>
    <r>
      <rPr>
        <b/>
        <sz val="22"/>
        <color theme="1"/>
        <rFont val="Trebuchet MS"/>
        <family val="2"/>
      </rPr>
      <t>OBJETOS INSTAGRAMÁVEL -</t>
    </r>
    <r>
      <rPr>
        <b/>
        <sz val="22"/>
        <color rgb="FF0476D0"/>
        <rFont val="Trebuchet MS"/>
        <family val="2"/>
      </rPr>
      <t xml:space="preserve"> itens não personalizados</t>
    </r>
    <r>
      <rPr>
        <sz val="22"/>
        <color theme="1"/>
        <rFont val="Trebuchet MS"/>
        <family val="2"/>
      </rPr>
      <t xml:space="preserve">
- Alimentos
- Utensílios de cozinha
- Roupas e utensílios de lavanderia</t>
    </r>
  </si>
  <si>
    <r>
      <t xml:space="preserve">MICROONDAS COM PIPOCA (AÇÃO CANCELADA)
</t>
    </r>
    <r>
      <rPr>
        <sz val="22"/>
        <color theme="1"/>
        <rFont val="Trebuchet MS"/>
        <family val="2"/>
      </rPr>
      <t xml:space="preserve">Pote com milho e medidor para e promotora </t>
    </r>
  </si>
  <si>
    <r>
      <rPr>
        <b/>
        <sz val="22"/>
        <color theme="1"/>
        <rFont val="Trebuchet MS"/>
        <family val="2"/>
      </rPr>
      <t>PICOLÉS</t>
    </r>
    <r>
      <rPr>
        <sz val="22"/>
        <color theme="1"/>
        <rFont val="Trebuchet MS"/>
        <family val="2"/>
      </rPr>
      <t xml:space="preserve">
200 PICOLES SABOR PERSONALIZADO 
PERSONALIZAÇÃO DA EMBALAGEM - PARCIAL PICOLE</t>
    </r>
  </si>
  <si>
    <r>
      <rPr>
        <b/>
        <sz val="22"/>
        <color theme="1"/>
        <rFont val="Trebuchet MS"/>
        <family val="2"/>
      </rPr>
      <t xml:space="preserve">CAIXAS PERSONALIZADAS - BLOCOS </t>
    </r>
    <r>
      <rPr>
        <sz val="22"/>
        <color theme="1"/>
        <rFont val="Trebuchet MS"/>
        <family val="2"/>
      </rPr>
      <t xml:space="preserve">
Caixas modulares com a mesma medida para 
Kraft sem personalização</t>
    </r>
  </si>
  <si>
    <r>
      <rPr>
        <b/>
        <sz val="22"/>
        <color theme="1"/>
        <rFont val="Trebuchet MS"/>
        <family val="2"/>
      </rPr>
      <t xml:space="preserve">SACOLA </t>
    </r>
    <r>
      <rPr>
        <b/>
        <sz val="22"/>
        <color rgb="FFFF0000"/>
        <rFont val="Trebuchet MS"/>
        <family val="2"/>
      </rPr>
      <t>(EXCLUÍDO)</t>
    </r>
    <r>
      <rPr>
        <sz val="22"/>
        <color theme="1"/>
        <rFont val="Trebuchet MS"/>
        <family val="2"/>
      </rPr>
      <t xml:space="preserve">
Personalização de Sacolas fornecidas pelo cliente</t>
    </r>
  </si>
  <si>
    <r>
      <t xml:space="preserve">JOGO DE PETISQUEIRA
</t>
    </r>
    <r>
      <rPr>
        <sz val="22"/>
        <color theme="1"/>
        <rFont val="Trebuchet MS"/>
        <family val="2"/>
      </rPr>
      <t>Composto por 06 peças, sendo: 01 Bandeja de Bambu, 02 Petisqueiras de Vidro, 02 Colheres de Bambu e 01 Tábua Ladrilho.</t>
    </r>
  </si>
  <si>
    <r>
      <t xml:space="preserve">LOGISTICA DE ENTREGA E MANUSEIO
</t>
    </r>
    <r>
      <rPr>
        <sz val="22"/>
        <color theme="1"/>
        <rFont val="Trebuchet MS"/>
        <family val="2"/>
      </rPr>
      <t>Frete fornecedor x Oggi</t>
    </r>
  </si>
  <si>
    <r>
      <t xml:space="preserve">UNIFORME PROMOTORES - LAVAGEM
</t>
    </r>
    <r>
      <rPr>
        <sz val="22"/>
        <color theme="1"/>
        <rFont val="Trebuchet MS"/>
        <family val="2"/>
      </rPr>
      <t>Camisetão - feminino
Camiseta - masculino</t>
    </r>
  </si>
  <si>
    <r>
      <rPr>
        <b/>
        <sz val="22"/>
        <rFont val="Trebuchet MS"/>
        <family val="2"/>
      </rPr>
      <t>CRACHÁ</t>
    </r>
    <r>
      <rPr>
        <sz val="22"/>
        <rFont val="Trebuchet MS"/>
        <family val="2"/>
      </rPr>
      <t xml:space="preserve">
Crachá personalizado para os participantes.
Material: PVC
Tamanho: 9,5x13,9cm
Acabamento: laminado com canto arredonda  </t>
    </r>
    <r>
      <rPr>
        <b/>
        <sz val="22"/>
        <rFont val="Trebuchet MS"/>
        <family val="2"/>
      </rPr>
      <t xml:space="preserve">                                                                         </t>
    </r>
  </si>
  <si>
    <r>
      <rPr>
        <b/>
        <sz val="22"/>
        <rFont val="Trebuchet MS"/>
        <family val="2"/>
      </rPr>
      <t>CORDÃO PARA CRACHÁ</t>
    </r>
    <r>
      <rPr>
        <sz val="22"/>
        <rFont val="Trebuchet MS"/>
        <family val="2"/>
      </rPr>
      <t xml:space="preserve">
Tamanho: L2cm x C85cm 
Impressão frente e verso
Acabamento: mosquetão                                                                                                                                                            </t>
    </r>
  </si>
  <si>
    <r>
      <rPr>
        <b/>
        <sz val="22"/>
        <rFont val="Trebuchet MS"/>
        <family val="2"/>
      </rPr>
      <t xml:space="preserve">FICHAS ATIVAÇÃO GELADEIRA </t>
    </r>
    <r>
      <rPr>
        <b/>
        <sz val="22"/>
        <color rgb="FFFF0000"/>
        <rFont val="Trebuchet MS"/>
        <family val="2"/>
      </rPr>
      <t>(AÇÃO CANCELADA)</t>
    </r>
    <r>
      <rPr>
        <sz val="22"/>
        <rFont val="Trebuchet MS"/>
        <family val="2"/>
      </rPr>
      <t xml:space="preserve">
Material: Couchê Fosco 300g/m², Tamanho: 15x21cm, impressão 4x0 cores</t>
    </r>
  </si>
  <si>
    <r>
      <rPr>
        <b/>
        <sz val="22"/>
        <color theme="1"/>
        <rFont val="Trebuchet MS"/>
        <family val="2"/>
      </rPr>
      <t>RÁDIO HT</t>
    </r>
    <r>
      <rPr>
        <sz val="22"/>
        <color theme="1"/>
        <rFont val="Trebuchet MS"/>
        <family val="2"/>
      </rPr>
      <t xml:space="preserve">
30 rádios ht para equipe agência
+ repetidores</t>
    </r>
  </si>
  <si>
    <r>
      <rPr>
        <b/>
        <sz val="22"/>
        <color theme="1"/>
        <rFont val="Trebuchet MS"/>
        <family val="2"/>
      </rPr>
      <t>TECNICO RÁDIO</t>
    </r>
    <r>
      <rPr>
        <sz val="22"/>
        <color theme="1"/>
        <rFont val="Trebuchet MS"/>
        <family val="2"/>
      </rPr>
      <t xml:space="preserve">
1 técnico por 12horas</t>
    </r>
  </si>
  <si>
    <r>
      <rPr>
        <b/>
        <sz val="22"/>
        <color theme="1"/>
        <rFont val="Trebuchet MS"/>
        <family val="2"/>
      </rPr>
      <t>CAÇAMBA DE LIXO</t>
    </r>
    <r>
      <rPr>
        <sz val="22"/>
        <color theme="1"/>
        <rFont val="Trebuchet MS"/>
        <family val="2"/>
      </rPr>
      <t xml:space="preserve">
- Caçamba para descarte dos resíduos
O local para posicionamento da caçamba deve ser indicado pelo hotel</t>
    </r>
  </si>
  <si>
    <r>
      <rPr>
        <b/>
        <sz val="22"/>
        <color theme="1"/>
        <rFont val="Trebuchet MS"/>
        <family val="2"/>
      </rPr>
      <t>DOCUMENTAÇÃO TÉCNICA</t>
    </r>
    <r>
      <rPr>
        <sz val="22"/>
        <color theme="1"/>
        <rFont val="Trebuchet MS"/>
        <family val="2"/>
      </rPr>
      <t xml:space="preserve">
ART - Anotação de Responsabilidade Técnica
Cenografia e Técnica</t>
    </r>
  </si>
  <si>
    <r>
      <rPr>
        <b/>
        <sz val="22"/>
        <color theme="1"/>
        <rFont val="Trebuchet MS"/>
        <family val="2"/>
      </rPr>
      <t>SEGURANÇA</t>
    </r>
    <r>
      <rPr>
        <sz val="22"/>
        <color theme="1"/>
        <rFont val="Trebuchet MS"/>
        <family val="2"/>
      </rPr>
      <t xml:space="preserve">
Considerado profissionais de segurança para montagem, evento e desmontagem</t>
    </r>
  </si>
  <si>
    <r>
      <rPr>
        <b/>
        <sz val="22"/>
        <color theme="1"/>
        <rFont val="Trebuchet MS"/>
        <family val="2"/>
      </rPr>
      <t>PRODUTORES - A&amp;B</t>
    </r>
    <r>
      <rPr>
        <sz val="22"/>
        <color theme="1"/>
        <rFont val="Trebuchet MS"/>
        <family val="2"/>
      </rPr>
      <t xml:space="preserve">
01 - Alimentações, abastecimentos, festas</t>
    </r>
  </si>
  <si>
    <r>
      <rPr>
        <b/>
        <sz val="22"/>
        <color theme="1"/>
        <rFont val="Trebuchet MS"/>
        <family val="2"/>
      </rPr>
      <t>HAPPY HOUR 03/04</t>
    </r>
    <r>
      <rPr>
        <sz val="22"/>
        <color theme="1"/>
        <rFont val="Trebuchet MS"/>
        <family val="2"/>
      </rPr>
      <t xml:space="preserve">
Serviço de Bar de Drinks + Vinho ao consumo</t>
    </r>
  </si>
  <si>
    <r>
      <t xml:space="preserve">BANDA NOVOTEL
</t>
    </r>
    <r>
      <rPr>
        <sz val="22"/>
        <color theme="1"/>
        <rFont val="Trebuchet MS"/>
        <family val="2"/>
      </rPr>
      <t>Contratação de Dupla para Happy Hour do dia 03/02</t>
    </r>
  </si>
  <si>
    <r>
      <t xml:space="preserve">MICROONDAS COM PIPOCA
</t>
    </r>
    <r>
      <rPr>
        <sz val="22"/>
        <color theme="1"/>
        <rFont val="Trebuchet MS"/>
        <family val="2"/>
      </rPr>
      <t xml:space="preserve">Pote com milho e medidor para e promotora </t>
    </r>
  </si>
  <si>
    <t xml:space="preserve">NOME </t>
  </si>
  <si>
    <t>LARISSA NETO DE OLIVEIRA</t>
  </si>
  <si>
    <t>SILVA  BRITO</t>
  </si>
  <si>
    <t>THAIS PONTES EHLERT</t>
  </si>
  <si>
    <t>CARTÃO ISABELA</t>
  </si>
  <si>
    <t>MARIA CLAUDIA GOMES CUSTODIO</t>
  </si>
  <si>
    <t>CKF ADM - CAROL KELM</t>
  </si>
  <si>
    <t>WALACE CRISTOFER MORETTI</t>
  </si>
  <si>
    <t>PETERSON EMILIANO</t>
  </si>
  <si>
    <t>PATRICK BAYEUX</t>
  </si>
  <si>
    <t>DANIVIA PAIM</t>
  </si>
  <si>
    <t>LUANA GOMES COUTINHO</t>
  </si>
  <si>
    <t>MARIA DE LOURDES CORREIA CORTADA</t>
  </si>
  <si>
    <t>JOAO PAULO PEREIRA</t>
  </si>
  <si>
    <t>ELAINE OLIVEIRA ZUCCHI</t>
  </si>
  <si>
    <t>VITOR MATHEUS DE OLIVEIRA ANTONIO</t>
  </si>
  <si>
    <t>SERGIO LUIZ FERREIRA</t>
  </si>
  <si>
    <t>RAQUEL NATAL DA SILVA</t>
  </si>
  <si>
    <t>BRUNO APARECIDO</t>
  </si>
  <si>
    <t>RODOLFO DOMANICO</t>
  </si>
  <si>
    <t>LAVANDERIA TEMPOS MODERNOS</t>
  </si>
  <si>
    <t>DANIELA SALA GRANDIZOL</t>
  </si>
  <si>
    <t>AURUM</t>
  </si>
  <si>
    <t>EDINEI PACHECO</t>
  </si>
  <si>
    <t>EMPORIO FREI CANECA</t>
  </si>
  <si>
    <t>BUFFET VAZENTTO</t>
  </si>
  <si>
    <t xml:space="preserve">NOOVA SERVIÇOS </t>
  </si>
  <si>
    <t>AFX LIMITADA</t>
  </si>
  <si>
    <t>GIOVANNI FERREIRA</t>
  </si>
  <si>
    <t>CI EQUIPAMENTOS</t>
  </si>
  <si>
    <t>AZUL GERADORES</t>
  </si>
  <si>
    <t>RV CAÇAMBA</t>
  </si>
  <si>
    <t>TABLETS HOUSE - MASTER PLUS</t>
  </si>
  <si>
    <t>FAST CHARGER</t>
  </si>
  <si>
    <t xml:space="preserve">CHUBB SEGUROS </t>
  </si>
  <si>
    <t>DANIEL CUNHA</t>
  </si>
  <si>
    <t>MW LWD</t>
  </si>
  <si>
    <t xml:space="preserve">TELLAS PRODUÇÕES </t>
  </si>
  <si>
    <t xml:space="preserve">TURBO PRODUÇÕES </t>
  </si>
  <si>
    <t>EASY MOBI</t>
  </si>
  <si>
    <t>CABOS SEM LIMITES</t>
  </si>
  <si>
    <t>JONES FONSECA</t>
  </si>
  <si>
    <t xml:space="preserve">ARTHUR MOLINA - CLN PRODUÇÕES - </t>
  </si>
  <si>
    <t>GRAZIELA DA SILVEIRA</t>
  </si>
  <si>
    <t>MOISES AILTON - SERVIPATRI</t>
  </si>
  <si>
    <t>DA ORIKASSA</t>
  </si>
  <si>
    <t>BELT LOGISTICA</t>
  </si>
  <si>
    <t>NHCOM - FERNANDO FUTEMA</t>
  </si>
  <si>
    <t>LAKKA VIDEO</t>
  </si>
  <si>
    <t>RM ANUNCIATO</t>
  </si>
  <si>
    <t>ANTONIO BENEDITO</t>
  </si>
  <si>
    <t xml:space="preserve">CEUAPP - APARECIDA JOSE - </t>
  </si>
  <si>
    <t>R1 AUDIOVISUAL</t>
  </si>
  <si>
    <t>TCONCER</t>
  </si>
  <si>
    <t>BMR PRODUÇÕES</t>
  </si>
  <si>
    <t>CREDICLIENTE</t>
  </si>
  <si>
    <t>KLEBER CAMARGO - MARCOS JORGE</t>
  </si>
  <si>
    <t>RE CANATO</t>
  </si>
  <si>
    <t xml:space="preserve">PILHA PRODUÇÕES </t>
  </si>
  <si>
    <t>VAGALUMEN LAB</t>
  </si>
  <si>
    <t>DANIEL ROGER</t>
  </si>
  <si>
    <t>DANIEL FERRAZ - BROS FILMS</t>
  </si>
  <si>
    <t>SEAM MARKETING</t>
  </si>
  <si>
    <t>WITTE COMERCIO</t>
  </si>
  <si>
    <t>ENGEPOINT</t>
  </si>
  <si>
    <t>DENIS PARISI</t>
  </si>
  <si>
    <t>SILVANA GUARNIERI</t>
  </si>
  <si>
    <t>SK COPIADORA</t>
  </si>
  <si>
    <t>SANTTO AMARO</t>
  </si>
  <si>
    <t>TG4 LOCAÇÕES</t>
  </si>
  <si>
    <t xml:space="preserve">ALESSANDRA APARECIDA - TRADE EVENTOS </t>
  </si>
  <si>
    <t>TOZZINI</t>
  </si>
  <si>
    <t>ACESS LIFT</t>
  </si>
  <si>
    <t>CAROLINA GOYER - VANESSA CRISTOFANI - RAFAELA MODESTO</t>
  </si>
  <si>
    <t>VICTOR ALMEIDA - NOOVA SERVIÇOS - GABRIEL GRECCO - BRUNO MELO - ANTONIO ALEF - GUSTAVO VIEIRA</t>
  </si>
  <si>
    <t xml:space="preserve">RAQUEL NATAL </t>
  </si>
  <si>
    <t>TNG SOLUÇÕES</t>
  </si>
  <si>
    <t>MARTA GOMES</t>
  </si>
  <si>
    <t>ALESSANDRA APARECIDA</t>
  </si>
  <si>
    <t>BUDDAH SPA</t>
  </si>
  <si>
    <t>SOLV CONFECÇÕES</t>
  </si>
  <si>
    <t>WESTHING - PRISCILA LAILA</t>
  </si>
  <si>
    <t>HELLS GFIT</t>
  </si>
  <si>
    <t>LARISSA NETO</t>
  </si>
  <si>
    <t>JFB PRODUÇOES</t>
  </si>
  <si>
    <t>MATHEUS SALA - DANIELA SALA</t>
  </si>
  <si>
    <t xml:space="preserve">MZ ASSESSORIA - LUANA GOMES </t>
  </si>
  <si>
    <t>FOR YOU CASTING</t>
  </si>
  <si>
    <t>JORGE LUIZ</t>
  </si>
  <si>
    <t>MK8 PRODUÇÃO - BEATRIZ FREIRE</t>
  </si>
  <si>
    <t>CACADU EVENTOS - JONES JOSE - CAIO ALEXANDRE</t>
  </si>
  <si>
    <t>LUIZA TAVORA - ROSEMEIRE DOS SANTOS</t>
  </si>
  <si>
    <t>CUSTO TOTAL</t>
  </si>
  <si>
    <t>VÍDEO</t>
  </si>
  <si>
    <t>STUDIO ROCA</t>
  </si>
  <si>
    <t>VENDA</t>
  </si>
  <si>
    <t xml:space="preserve">CUSTO </t>
  </si>
  <si>
    <t>NOTAS EMITIDAS</t>
  </si>
  <si>
    <t xml:space="preserve">CONVENÇÃO DE VENDAS </t>
  </si>
  <si>
    <t>TOP CLUB + TOP TRADE</t>
  </si>
  <si>
    <t>CONVENÇÃO DE VENDAS EXTRAS PRÉ</t>
  </si>
  <si>
    <t>CONVENÇÃO DE VENDAS EXTRAS 2</t>
  </si>
  <si>
    <t>COLETIVA DE IMPRENSA</t>
  </si>
  <si>
    <t>COLETIVA DE IMPRENSA EXTRA</t>
  </si>
  <si>
    <t xml:space="preserve">LANÇAMENTO DE PRODUTOS </t>
  </si>
  <si>
    <t>LANÇAMENTO DE PRODUTOS EXTRA</t>
  </si>
  <si>
    <t>CONVENÇÃO DE VENDAS - NOTA DE DÉBITO 14</t>
  </si>
  <si>
    <t>CONVENÇÃO DE VENDAS - NOTA DE DÉBITO 15</t>
  </si>
  <si>
    <t>CONVENÇÃO DE VENDAS - NOTA DE DÉBITO 16</t>
  </si>
  <si>
    <t>CONVENÇÃO DE VENDAS - NOTA FISCAL 2697</t>
  </si>
  <si>
    <t>CONVENÇÃO DE VENDAS - NOTA FISCAL 2665</t>
  </si>
  <si>
    <t>CONVENÇÃO DE VENDAS - NOTA DE DÉBITO 17</t>
  </si>
  <si>
    <t>CONVENÇÃO DE VENDAS - NOTA DE DÉBITO 18</t>
  </si>
  <si>
    <t>ND</t>
  </si>
  <si>
    <t>UBER</t>
  </si>
  <si>
    <t xml:space="preserve">CRIVO MARKETING - AUGUSTA NICOLINI </t>
  </si>
  <si>
    <t>LUCAS FELIPE - GUSTAVO GUARDABASSI - FLAVIA MINA - KRT NEGOCIOS - CAROLINA SILVA</t>
  </si>
  <si>
    <t>ALLUREE - SAKURA - ASPAS TURISMO</t>
  </si>
  <si>
    <t>MB2 AUDIO VISUAL (CESAR MARCELO)</t>
  </si>
  <si>
    <t>SODELI SORVETES</t>
  </si>
  <si>
    <t xml:space="preserve">REEMBOLSOS E CUSTOS </t>
  </si>
  <si>
    <t>MARINA LOPES</t>
  </si>
  <si>
    <t xml:space="preserve">IPS - GUSTAVO GUARDABASSI - TURBO PROMOÇOES - VICTOR ALMEIDA </t>
  </si>
  <si>
    <t>ANA PAULA - CARINA FERREIRA - CASSIO ALBERTO - HUGO LEITE - JOANA DE MELLO - HPLC CENTRO - JULIANO ANDRE - MARLUCIA DOS ANJOS - PALOMA NAIENY - PAULA FERNANDA - RAQUEL CORDON</t>
  </si>
  <si>
    <t xml:space="preserve">LEIS E NUMEROS </t>
  </si>
  <si>
    <t>JKL CREATIVE (KARINA ANDRUCCETTI)</t>
  </si>
  <si>
    <t>LOUCHARD PRODUCOES</t>
  </si>
  <si>
    <t>LIVIA ELVIRA</t>
  </si>
  <si>
    <t xml:space="preserve">BASSI PRO </t>
  </si>
  <si>
    <t>NEPTUNE</t>
  </si>
  <si>
    <t>ADOBE SYSTEMS</t>
  </si>
  <si>
    <t xml:space="preserve">NATALIA NOBESCH - FERNANDA SANCHES - JAQUELINE BRUN - GEISA CARLA - MARCELO BAYEUX - BRUNO PARRA - JEAN LUIZ - RICARDO LADISLAU </t>
  </si>
  <si>
    <t xml:space="preserve">MARILIA ISABEL (EMPIRIUS EVENTOS) </t>
  </si>
  <si>
    <t>PRISCILA KAORI - CESAR VENTURA</t>
  </si>
  <si>
    <t>RAFAEL BERTHOLINO</t>
  </si>
  <si>
    <t>ALEXANDRE DE SOUZA</t>
  </si>
  <si>
    <t>PAGO PELA OLÉ EVENTOS</t>
  </si>
  <si>
    <t xml:space="preserve">TS ITU HOTEL / HCC HOTELS </t>
  </si>
  <si>
    <t>CUSTOS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</si>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</sst>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R$&quot;\ * #,##0.00_-;\-&quot;R$&quot;\ * #,##0.00_-;_-&quot;R$&quot;\ * &quot;-&quot;??_-;_-@_-"/>
    <numFmt numFmtId="43" formatCode="_-* #,##0.00_-;\-* #,##0.00_-;_-* &quot;-&quot;??_-;_-@_-"/>
    <numFmt numFmtId="164" formatCode="00&quot;/&quot;00&quot;/&quot;0000"/>
    <numFmt numFmtId="165" formatCode="_(&quot;R$ &quot;* #,##0.00_);_(&quot;R$ &quot;* \(#,##0.00\);_(&quot;R$ &quot;* &quot;-&quot;??_);_(@_)"/>
    <numFmt numFmtId="166" formatCode="_-[$R$-416]\ * #,##0.00_-;\-[$R$-416]\ * #,##0.00_-;_-[$R$-416]\ * &quot;-&quot;??_-;_-@_-"/>
    <numFmt numFmtId="167" formatCode="_(&quot;R$&quot;* #,##0.00_);_(&quot;R$&quot;* \(#,##0.00\);_(&quot;R$&quot;* &quot;-&quot;??_);_(@_)"/>
    <numFmt numFmtId="168" formatCode="0.000000000%"/>
    <numFmt numFmtId="169" formatCode="_-&quot;R$&quot;* #,##0.00_-;\-&quot;R$&quot;* #,##0.00_-;_-&quot;R$&quot;* &quot;-&quot;??_-;_-@_-"/>
    <numFmt numFmtId="170" formatCode="&quot;R$&quot;\ #,##0.00"/>
    <numFmt numFmtId="171" formatCode="_(&quot;$&quot;* #,##0.00_);_(&quot;$&quot;* \(#,##0.00\);_(&quot;$&quot;* &quot;-&quot;??_);_(@_)"/>
  </numFmts>
  <fonts count="98"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2"/>
      <name val="Trebuchet MS"/>
      <family val="2"/>
    </font>
    <font>
      <b/>
      <sz val="20"/>
      <name val="Trebuchet MS"/>
      <family val="2"/>
    </font>
    <font>
      <b/>
      <sz val="14"/>
      <name val="Trebuchet MS"/>
      <family val="2"/>
    </font>
    <font>
      <sz val="11"/>
      <name val="Verdana"/>
      <family val="2"/>
    </font>
    <font>
      <b/>
      <sz val="18"/>
      <color theme="1"/>
      <name val="Arial"/>
      <family val="2"/>
    </font>
    <font>
      <b/>
      <sz val="12"/>
      <color theme="1"/>
      <name val="Arial"/>
      <family val="2"/>
    </font>
    <font>
      <sz val="12"/>
      <color theme="0"/>
      <name val="Trebuchet MS"/>
      <family val="2"/>
    </font>
    <font>
      <sz val="11"/>
      <color indexed="8"/>
      <name val="Calibri"/>
      <family val="2"/>
    </font>
    <font>
      <sz val="11"/>
      <color theme="1"/>
      <name val="Calibri"/>
      <family val="2"/>
      <scheme val="minor"/>
    </font>
    <font>
      <sz val="8"/>
      <color rgb="FFFFFFFF"/>
      <name val="Arial"/>
      <family val="2"/>
    </font>
    <font>
      <b/>
      <sz val="10"/>
      <color rgb="FFFFFFFF"/>
      <name val="Arial"/>
      <family val="2"/>
    </font>
    <font>
      <sz val="12"/>
      <color rgb="FFFFFFFF"/>
      <name val="Arial"/>
      <family val="2"/>
    </font>
    <font>
      <b/>
      <sz val="18"/>
      <color rgb="FFFFFFFF"/>
      <name val="Arial"/>
      <family val="2"/>
    </font>
    <font>
      <b/>
      <sz val="11"/>
      <color rgb="FFFFFFFF"/>
      <name val="Arial"/>
      <family val="2"/>
    </font>
    <font>
      <sz val="10"/>
      <name val="Verdana"/>
      <family val="2"/>
    </font>
    <font>
      <sz val="12"/>
      <color theme="1"/>
      <name val="Trebuchet MS"/>
      <family val="2"/>
    </font>
    <font>
      <b/>
      <sz val="12"/>
      <color theme="1"/>
      <name val="Trebuchet MS"/>
      <family val="2"/>
    </font>
    <font>
      <b/>
      <sz val="14"/>
      <color theme="0"/>
      <name val="Trebuchet MS"/>
      <family val="2"/>
    </font>
    <font>
      <sz val="8"/>
      <name val="Calibri"/>
      <family val="2"/>
      <scheme val="minor"/>
    </font>
    <font>
      <sz val="12"/>
      <name val="Trebuchet MS"/>
      <family val="2"/>
    </font>
    <font>
      <b/>
      <sz val="11"/>
      <color rgb="FFFF0000"/>
      <name val="Calibri"/>
      <family val="2"/>
      <scheme val="minor"/>
    </font>
    <font>
      <sz val="11"/>
      <color rgb="FFFF0000"/>
      <name val="Calibri"/>
      <family val="2"/>
      <scheme val="minor"/>
    </font>
    <font>
      <sz val="11"/>
      <color theme="5" tint="-0.249977111117893"/>
      <name val="Calibri"/>
      <family val="2"/>
      <scheme val="minor"/>
    </font>
    <font>
      <sz val="11"/>
      <color rgb="FF0476D0"/>
      <name val="Calibri"/>
      <family val="2"/>
      <scheme val="minor"/>
    </font>
    <font>
      <sz val="11"/>
      <color theme="1"/>
      <name val="Arial"/>
      <family val="2"/>
    </font>
    <font>
      <sz val="9"/>
      <color theme="1"/>
      <name val="Calibri"/>
      <family val="2"/>
      <scheme val="minor"/>
    </font>
    <font>
      <sz val="9"/>
      <color theme="1"/>
      <name val="Arial Nova Light"/>
      <family val="2"/>
    </font>
    <font>
      <sz val="9"/>
      <name val="Arial Nova Light"/>
      <family val="2"/>
    </font>
    <font>
      <sz val="10"/>
      <color theme="1"/>
      <name val="Arial Nova Light"/>
      <family val="2"/>
    </font>
    <font>
      <b/>
      <sz val="10"/>
      <color theme="1"/>
      <name val="Arial Nova Light"/>
      <family val="2"/>
    </font>
    <font>
      <b/>
      <sz val="9"/>
      <color theme="1"/>
      <name val="Arial Nova Light"/>
      <family val="2"/>
    </font>
    <font>
      <b/>
      <sz val="9"/>
      <color rgb="FFFF0000"/>
      <name val="Arial Nova Light"/>
      <family val="2"/>
    </font>
    <font>
      <b/>
      <sz val="9"/>
      <color theme="0"/>
      <name val="Arial Nova Light"/>
      <family val="2"/>
    </font>
    <font>
      <b/>
      <sz val="9"/>
      <color rgb="FF0476D0"/>
      <name val="Arial Nova Light"/>
      <family val="2"/>
    </font>
    <font>
      <sz val="12"/>
      <color rgb="FFFF00FF"/>
      <name val="Aptos"/>
      <family val="2"/>
    </font>
    <font>
      <b/>
      <sz val="14"/>
      <color theme="0"/>
      <name val="Trebuchet MS"/>
      <family val="2"/>
    </font>
    <font>
      <b/>
      <sz val="20"/>
      <color rgb="FF0476D0"/>
      <name val="Calibri"/>
      <family val="2"/>
      <scheme val="minor"/>
    </font>
    <font>
      <sz val="20"/>
      <color theme="1"/>
      <name val="Calibri"/>
      <family val="2"/>
      <scheme val="minor"/>
    </font>
    <font>
      <b/>
      <sz val="20"/>
      <color theme="1"/>
      <name val="Gadugi"/>
      <family val="2"/>
    </font>
    <font>
      <sz val="20"/>
      <color theme="0"/>
      <name val="Calibri"/>
      <family val="2"/>
      <scheme val="minor"/>
    </font>
    <font>
      <b/>
      <sz val="20"/>
      <color indexed="63"/>
      <name val="Trebuchet MS"/>
      <family val="2"/>
    </font>
    <font>
      <b/>
      <sz val="20"/>
      <color theme="1"/>
      <name val="Calibri"/>
      <family val="2"/>
      <scheme val="minor"/>
    </font>
    <font>
      <b/>
      <sz val="20"/>
      <color theme="1"/>
      <name val="Trebuchet MS"/>
      <family val="2"/>
    </font>
    <font>
      <sz val="20"/>
      <color theme="1"/>
      <name val="Trebuchet MS"/>
      <family val="2"/>
    </font>
    <font>
      <b/>
      <sz val="20"/>
      <color rgb="FFFF0000"/>
      <name val="Trebuchet MS"/>
      <family val="2"/>
    </font>
    <font>
      <b/>
      <sz val="20"/>
      <color theme="0"/>
      <name val="Trebuchet MS"/>
      <family val="2"/>
    </font>
    <font>
      <sz val="20"/>
      <color rgb="FFFF0000"/>
      <name val="Trebuchet MS"/>
      <family val="2"/>
    </font>
    <font>
      <b/>
      <sz val="20"/>
      <color rgb="FF0476D0"/>
      <name val="Trebuchet MS"/>
      <family val="2"/>
    </font>
    <font>
      <sz val="20"/>
      <name val="Trebuchet MS"/>
      <family val="2"/>
    </font>
    <font>
      <b/>
      <sz val="20"/>
      <color rgb="FF000000"/>
      <name val="Trebuchet MS"/>
      <family val="2"/>
    </font>
    <font>
      <sz val="20"/>
      <color rgb="FF000000"/>
      <name val="Trebuchet MS"/>
      <family val="2"/>
    </font>
    <font>
      <sz val="20"/>
      <color rgb="FF0476D0"/>
      <name val="Trebuchet MS"/>
      <family val="2"/>
    </font>
    <font>
      <sz val="20"/>
      <color rgb="FF7030A0"/>
      <name val="Trebuchet MS"/>
      <family val="2"/>
    </font>
    <font>
      <b/>
      <sz val="20"/>
      <color rgb="FF7030A0"/>
      <name val="Trebuchet MS"/>
      <family val="2"/>
    </font>
    <font>
      <b/>
      <sz val="20"/>
      <color theme="0"/>
      <name val="Calibri"/>
      <family val="2"/>
      <scheme val="minor"/>
    </font>
    <font>
      <sz val="20"/>
      <color rgb="FFFF0000"/>
      <name val="Calibri"/>
      <family val="2"/>
      <scheme val="minor"/>
    </font>
    <font>
      <sz val="22"/>
      <color theme="1"/>
      <name val="Calibri"/>
      <family val="2"/>
      <scheme val="minor"/>
    </font>
    <font>
      <b/>
      <sz val="22"/>
      <name val="Trebuchet MS"/>
      <family val="2"/>
    </font>
    <font>
      <b/>
      <sz val="22"/>
      <color theme="1"/>
      <name val="Gadugi"/>
      <family val="2"/>
    </font>
    <font>
      <sz val="22"/>
      <color theme="0"/>
      <name val="Calibri"/>
      <family val="2"/>
      <scheme val="minor"/>
    </font>
    <font>
      <b/>
      <sz val="22"/>
      <color indexed="63"/>
      <name val="Trebuchet MS"/>
      <family val="2"/>
    </font>
    <font>
      <b/>
      <sz val="22"/>
      <color theme="1"/>
      <name val="Calibri"/>
      <family val="2"/>
      <scheme val="minor"/>
    </font>
    <font>
      <b/>
      <sz val="22"/>
      <color theme="1"/>
      <name val="Trebuchet MS"/>
      <family val="2"/>
    </font>
    <font>
      <sz val="22"/>
      <color theme="1"/>
      <name val="Trebuchet MS"/>
      <family val="2"/>
    </font>
    <font>
      <b/>
      <sz val="22"/>
      <color rgb="FFFF0000"/>
      <name val="Trebuchet MS"/>
      <family val="2"/>
    </font>
    <font>
      <b/>
      <sz val="22"/>
      <color theme="0"/>
      <name val="Trebuchet MS"/>
      <family val="2"/>
    </font>
    <font>
      <b/>
      <sz val="22"/>
      <color rgb="FFFF0000"/>
      <name val="Calibri"/>
      <family val="2"/>
      <scheme val="minor"/>
    </font>
    <font>
      <b/>
      <sz val="22"/>
      <color rgb="FF00B050"/>
      <name val="Calibri"/>
      <family val="2"/>
      <scheme val="minor"/>
    </font>
    <font>
      <sz val="22"/>
      <name val="Trebuchet MS"/>
      <family val="2"/>
    </font>
    <font>
      <b/>
      <sz val="22"/>
      <color rgb="FF0476D0"/>
      <name val="Trebuchet MS"/>
      <family val="2"/>
    </font>
    <font>
      <b/>
      <sz val="22"/>
      <color rgb="FF0476D0"/>
      <name val="Calibri"/>
      <family val="2"/>
      <scheme val="minor"/>
    </font>
    <font>
      <b/>
      <sz val="22"/>
      <color theme="0"/>
      <name val="Calibri"/>
      <family val="2"/>
      <scheme val="minor"/>
    </font>
    <font>
      <b/>
      <sz val="22"/>
      <color rgb="FF000000"/>
      <name val="Trebuchet MS"/>
      <family val="2"/>
    </font>
    <font>
      <sz val="22"/>
      <color rgb="FF000000"/>
      <name val="Trebuchet MS"/>
      <family val="2"/>
    </font>
    <font>
      <sz val="22"/>
      <color theme="0"/>
      <name val="Trebuchet MS"/>
      <family val="2"/>
    </font>
    <font>
      <b/>
      <sz val="22"/>
      <color rgb="FF0070C0"/>
      <name val="Trebuchet MS"/>
      <family val="2"/>
    </font>
    <font>
      <sz val="22"/>
      <name val="Calibri"/>
      <family val="2"/>
      <scheme val="minor"/>
    </font>
    <font>
      <sz val="22"/>
      <color rgb="FFFF0000"/>
      <name val="Trebuchet MS"/>
      <family val="2"/>
    </font>
    <font>
      <sz val="22"/>
      <color rgb="FFFF0000"/>
      <name val="Calibri"/>
      <family val="2"/>
      <scheme val="minor"/>
    </font>
    <font>
      <sz val="22"/>
      <color rgb="FF0476D0"/>
      <name val="Trebuchet MS"/>
      <family val="2"/>
    </font>
    <font>
      <b/>
      <sz val="22"/>
      <name val="Calibri"/>
      <family val="2"/>
      <scheme val="minor"/>
    </font>
    <font>
      <b/>
      <sz val="22"/>
      <color theme="3" tint="0.499984740745262"/>
      <name val="Trebuchet MS"/>
      <family val="2"/>
    </font>
    <font>
      <sz val="22"/>
      <color rgb="FF0070C0"/>
      <name val="Trebuchet MS"/>
      <family val="2"/>
    </font>
    <font>
      <b/>
      <sz val="11"/>
      <color theme="0"/>
      <name val="Calibri"/>
      <family val="2"/>
      <scheme val="minor"/>
    </font>
    <font>
      <b/>
      <sz val="12"/>
      <color theme="0"/>
      <name val="Trebuchet MS"/>
      <family val="2"/>
    </font>
    <font>
      <b/>
      <sz val="11"/>
      <name val="Trebuchet MS"/>
      <family val="2"/>
    </font>
    <font>
      <b/>
      <sz val="28"/>
      <color rgb="FFFF0000"/>
      <name val="Calibri"/>
      <family val="2"/>
      <scheme val="minor"/>
    </font>
    <font>
      <b/>
      <sz val="28"/>
      <color rgb="FF00B050"/>
      <name val="Calibri"/>
      <family val="2"/>
      <scheme val="minor"/>
    </font>
    <font>
      <b/>
      <sz val="28"/>
      <color theme="1"/>
      <name val="Calibri"/>
      <family val="2"/>
      <scheme val="minor"/>
    </font>
    <font>
      <b/>
      <sz val="28"/>
      <color indexed="63"/>
      <name val="Trebuchet MS"/>
      <family val="2"/>
    </font>
    <font>
      <b/>
      <sz val="28"/>
      <color rgb="FFFF0000"/>
      <name val="Trebuchet MS"/>
      <family val="2"/>
    </font>
    <font>
      <b/>
      <sz val="28"/>
      <color theme="0"/>
      <name val="Trebuchet MS"/>
      <family val="2"/>
    </font>
    <font>
      <sz val="28"/>
      <color theme="1"/>
      <name val="Calibri"/>
      <family val="2"/>
      <scheme val="minor"/>
    </font>
    <font>
      <b/>
      <sz val="28"/>
      <color rgb="FF00B050"/>
      <name val="Trebuchet MS"/>
      <family val="2"/>
    </font>
  </fonts>
  <fills count="40">
    <fill>
      <patternFill patternType="none"/>
    </fill>
    <fill>
      <patternFill patternType="gray125"/>
    </fill>
    <fill>
      <patternFill patternType="solid">
        <fgColor rgb="FFFFFF99"/>
        <bgColor indexed="64"/>
      </patternFill>
    </fill>
    <fill>
      <patternFill patternType="solid">
        <fgColor indexed="47"/>
        <bgColor indexed="64"/>
      </patternFill>
    </fill>
    <fill>
      <patternFill patternType="solid">
        <fgColor theme="7" tint="-0.249977111117893"/>
        <bgColor indexed="64"/>
      </patternFill>
    </fill>
    <fill>
      <patternFill patternType="solid">
        <fgColor theme="5"/>
        <bgColor indexed="64"/>
      </patternFill>
    </fill>
    <fill>
      <patternFill patternType="solid">
        <fgColor indexed="22"/>
        <bgColor indexed="64"/>
      </patternFill>
    </fill>
    <fill>
      <patternFill patternType="solid">
        <fgColor rgb="FFFF964F"/>
        <bgColor indexed="64"/>
      </patternFill>
    </fill>
    <fill>
      <patternFill patternType="solid">
        <fgColor rgb="FF0476D0"/>
      </patternFill>
    </fill>
    <fill>
      <patternFill patternType="solid">
        <fgColor rgb="FFF0F0F0"/>
      </patternFill>
    </fill>
    <fill>
      <patternFill patternType="solid">
        <fgColor theme="3" tint="-0.249977111117893"/>
        <bgColor indexed="64"/>
      </patternFill>
    </fill>
    <fill>
      <patternFill patternType="solid">
        <fgColor theme="3" tint="0.39994506668294322"/>
        <bgColor indexed="64"/>
      </patternFill>
    </fill>
    <fill>
      <patternFill patternType="solid">
        <fgColor theme="0" tint="-0.249977111117893"/>
        <bgColor indexed="64"/>
      </patternFill>
    </fill>
    <fill>
      <patternFill patternType="solid">
        <fgColor rgb="FFFFFFCC"/>
        <bgColor indexed="64"/>
      </patternFill>
    </fill>
    <fill>
      <patternFill patternType="solid">
        <fgColor rgb="FFFDE9D9"/>
        <bgColor indexed="64"/>
      </patternFill>
    </fill>
    <fill>
      <patternFill patternType="solid">
        <fgColor rgb="FFE4DFEC"/>
        <bgColor indexed="64"/>
      </patternFill>
    </fill>
    <fill>
      <patternFill patternType="solid">
        <fgColor theme="3" tint="-0.499984740745262"/>
        <bgColor indexed="64"/>
      </patternFill>
    </fill>
    <fill>
      <patternFill patternType="solid">
        <fgColor theme="0"/>
        <bgColor indexed="64"/>
      </patternFill>
    </fill>
    <fill>
      <patternFill patternType="solid">
        <fgColor rgb="FFFFFF00"/>
        <bgColor indexed="64"/>
      </patternFill>
    </fill>
    <fill>
      <patternFill patternType="solid">
        <fgColor rgb="FFFFFFFF"/>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3" tint="0.749992370372631"/>
        <bgColor indexed="64"/>
      </patternFill>
    </fill>
    <fill>
      <patternFill patternType="solid">
        <fgColor rgb="FFFFC000"/>
        <bgColor indexed="64"/>
      </patternFill>
    </fill>
    <fill>
      <patternFill patternType="solid">
        <fgColor rgb="FFFF0000"/>
        <bgColor indexed="64"/>
      </patternFill>
    </fill>
    <fill>
      <patternFill patternType="solid">
        <fgColor theme="1" tint="0.14999847407452621"/>
        <bgColor indexed="64"/>
      </patternFill>
    </fill>
    <fill>
      <patternFill patternType="solid">
        <fgColor theme="1"/>
        <bgColor indexed="64"/>
      </patternFill>
    </fill>
    <fill>
      <patternFill patternType="solid">
        <fgColor theme="3" tint="0.89999084444715716"/>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1" tint="0.249977111117893"/>
        <bgColor indexed="64"/>
      </patternFill>
    </fill>
    <fill>
      <patternFill patternType="solid">
        <fgColor theme="9" tint="0.39997558519241921"/>
        <bgColor indexed="64"/>
      </patternFill>
    </fill>
    <fill>
      <patternFill patternType="solid">
        <fgColor theme="0" tint="-0.34998626667073579"/>
        <bgColor indexed="64"/>
      </patternFill>
    </fill>
  </fills>
  <borders count="129">
    <border>
      <left/>
      <right/>
      <top/>
      <bottom/>
      <diagonal/>
    </border>
    <border>
      <left/>
      <right/>
      <top/>
      <bottom style="hair">
        <color auto="1"/>
      </bottom>
      <diagonal/>
    </border>
    <border>
      <left/>
      <right/>
      <top style="hair">
        <color auto="1"/>
      </top>
      <bottom style="hair">
        <color auto="1"/>
      </bottom>
      <diagonal/>
    </border>
    <border>
      <left style="medium">
        <color indexed="64"/>
      </left>
      <right style="thin">
        <color rgb="FF000000"/>
      </right>
      <top style="medium">
        <color indexed="64"/>
      </top>
      <bottom style="medium">
        <color indexed="64"/>
      </bottom>
      <diagonal/>
    </border>
    <border>
      <left/>
      <right style="thin">
        <color rgb="FF00000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auto="1"/>
      </right>
      <top/>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indexed="64"/>
      </left>
      <right style="thin">
        <color auto="1"/>
      </right>
      <top style="hair">
        <color auto="1"/>
      </top>
      <bottom style="hair">
        <color indexed="64"/>
      </bottom>
      <diagonal/>
    </border>
    <border>
      <left style="thin">
        <color indexed="64"/>
      </left>
      <right/>
      <top style="hair">
        <color indexed="64"/>
      </top>
      <bottom style="hair">
        <color indexed="64"/>
      </bottom>
      <diagonal/>
    </border>
    <border>
      <left/>
      <right style="thin">
        <color auto="1"/>
      </right>
      <top style="hair">
        <color auto="1"/>
      </top>
      <bottom style="hair">
        <color indexed="64"/>
      </bottom>
      <diagonal/>
    </border>
    <border>
      <left style="thin">
        <color indexed="64"/>
      </left>
      <right style="thin">
        <color auto="1"/>
      </right>
      <top style="hair">
        <color auto="1"/>
      </top>
      <bottom style="thin">
        <color indexed="64"/>
      </bottom>
      <diagonal/>
    </border>
    <border>
      <left style="thin">
        <color auto="1"/>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style="thin">
        <color auto="1"/>
      </right>
      <top/>
      <bottom style="hair">
        <color indexed="64"/>
      </bottom>
      <diagonal/>
    </border>
    <border>
      <left style="thin">
        <color indexed="64"/>
      </left>
      <right/>
      <top/>
      <bottom style="hair">
        <color indexed="64"/>
      </bottom>
      <diagonal/>
    </border>
    <border>
      <left/>
      <right style="thin">
        <color auto="1"/>
      </right>
      <top/>
      <bottom style="hair">
        <color indexed="64"/>
      </bottom>
      <diagonal/>
    </border>
    <border>
      <left/>
      <right style="thin">
        <color auto="1"/>
      </right>
      <top style="thin">
        <color auto="1"/>
      </top>
      <bottom/>
      <diagonal/>
    </border>
    <border>
      <left style="thin">
        <color indexed="64"/>
      </left>
      <right style="thin">
        <color auto="1"/>
      </right>
      <top style="hair">
        <color auto="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right/>
      <top style="thin">
        <color rgb="FFA9A9A9"/>
      </top>
      <bottom/>
      <diagonal/>
    </border>
    <border>
      <left style="thin">
        <color rgb="FFBFD7ED"/>
      </left>
      <right/>
      <top style="thin">
        <color rgb="FFBFD7ED"/>
      </top>
      <bottom/>
      <diagonal/>
    </border>
    <border>
      <left style="thin">
        <color rgb="FFBFD7ED"/>
      </left>
      <right style="thin">
        <color rgb="FFBFD7ED"/>
      </right>
      <top style="thin">
        <color rgb="FFBFD7ED"/>
      </top>
      <bottom/>
      <diagonal/>
    </border>
    <border>
      <left style="thin">
        <color rgb="FFA9A9A9"/>
      </left>
      <right/>
      <top style="thin">
        <color rgb="FFA9A9A9"/>
      </top>
      <bottom/>
      <diagonal/>
    </border>
    <border>
      <left style="thin">
        <color rgb="FFA9A9A9"/>
      </left>
      <right style="thin">
        <color rgb="FFA9A9A9"/>
      </right>
      <top style="thin">
        <color rgb="FFA9A9A9"/>
      </top>
      <bottom/>
      <diagonal/>
    </border>
    <border>
      <left style="thin">
        <color rgb="FFA9A9A9"/>
      </left>
      <right/>
      <top style="thin">
        <color rgb="FFA9A9A9"/>
      </top>
      <bottom style="thin">
        <color rgb="FFA9A9A9"/>
      </bottom>
      <diagonal/>
    </border>
    <border>
      <left style="thin">
        <color rgb="FFA9A9A9"/>
      </left>
      <right style="thin">
        <color rgb="FFA9A9A9"/>
      </right>
      <top style="thin">
        <color rgb="FFA9A9A9"/>
      </top>
      <bottom style="thin">
        <color rgb="FFA9A9A9"/>
      </bottom>
      <diagonal/>
    </border>
    <border>
      <left style="thin">
        <color theme="0" tint="-0.14990691854609822"/>
      </left>
      <right/>
      <top style="thin">
        <color theme="0" tint="-0.14990691854609822"/>
      </top>
      <bottom/>
      <diagonal/>
    </border>
    <border>
      <left style="thin">
        <color theme="0" tint="-0.14990691854609822"/>
      </left>
      <right style="thin">
        <color theme="0" tint="-0.14990691854609822"/>
      </right>
      <top style="thin">
        <color theme="0" tint="-0.14990691854609822"/>
      </top>
      <bottom/>
      <diagonal/>
    </border>
    <border>
      <left/>
      <right/>
      <top style="thin">
        <color theme="0" tint="-0.14990691854609822"/>
      </top>
      <bottom/>
      <diagonal/>
    </border>
    <border>
      <left/>
      <right style="thin">
        <color indexed="64"/>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indexed="64"/>
      </left>
      <right/>
      <top style="medium">
        <color indexed="64"/>
      </top>
      <bottom/>
      <diagonal/>
    </border>
    <border>
      <left style="thin">
        <color auto="1"/>
      </left>
      <right style="medium">
        <color auto="1"/>
      </right>
      <top style="medium">
        <color auto="1"/>
      </top>
      <bottom/>
      <diagonal/>
    </border>
    <border>
      <left style="thin">
        <color theme="0" tint="-0.14990691854609822"/>
      </left>
      <right/>
      <top/>
      <bottom/>
      <diagonal/>
    </border>
    <border>
      <left style="thin">
        <color theme="0" tint="-0.14990691854609822"/>
      </left>
      <right/>
      <top style="thin">
        <color theme="0" tint="-0.14990691854609822"/>
      </top>
      <bottom style="thin">
        <color theme="0" tint="-0.14990691854609822"/>
      </bottom>
      <diagonal/>
    </border>
    <border>
      <left/>
      <right/>
      <top style="thin">
        <color theme="0" tint="-0.14990691854609822"/>
      </top>
      <bottom style="thin">
        <color theme="0" tint="-0.14990691854609822"/>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auto="1"/>
      </left>
      <right style="thin">
        <color auto="1"/>
      </right>
      <top/>
      <bottom/>
      <diagonal/>
    </border>
    <border>
      <left style="thin">
        <color auto="1"/>
      </left>
      <right style="medium">
        <color auto="1"/>
      </right>
      <top/>
      <bottom/>
      <diagonal/>
    </border>
    <border>
      <left style="thin">
        <color auto="1"/>
      </left>
      <right style="medium">
        <color auto="1"/>
      </right>
      <top/>
      <bottom style="thin">
        <color indexed="64"/>
      </bottom>
      <diagonal/>
    </border>
    <border>
      <left style="thin">
        <color theme="0" tint="-0.14990691854609822"/>
      </left>
      <right/>
      <top/>
      <bottom style="thin">
        <color theme="0" tint="-0.14990691854609822"/>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right/>
      <top/>
      <bottom style="thin">
        <color theme="0" tint="-0.14990691854609822"/>
      </bottom>
      <diagonal/>
    </border>
    <border>
      <left/>
      <right style="medium">
        <color auto="1"/>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auto="1"/>
      </right>
      <top style="medium">
        <color indexed="64"/>
      </top>
      <bottom/>
      <diagonal/>
    </border>
    <border>
      <left style="medium">
        <color indexed="64"/>
      </left>
      <right/>
      <top style="thin">
        <color indexed="64"/>
      </top>
      <bottom/>
      <diagonal/>
    </border>
    <border>
      <left/>
      <right style="thin">
        <color indexed="64"/>
      </right>
      <top style="thin">
        <color indexed="64"/>
      </top>
      <bottom style="medium">
        <color indexed="64"/>
      </bottom>
      <diagonal/>
    </border>
    <border>
      <left/>
      <right style="medium">
        <color auto="1"/>
      </right>
      <top style="medium">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indexed="64"/>
      </right>
      <top/>
      <bottom style="medium">
        <color indexed="64"/>
      </bottom>
      <diagonal/>
    </border>
    <border>
      <left/>
      <right style="medium">
        <color auto="1"/>
      </right>
      <top style="medium">
        <color indexed="64"/>
      </top>
      <bottom/>
      <diagonal/>
    </border>
    <border>
      <left/>
      <right style="medium">
        <color auto="1"/>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
      <left style="thin">
        <color indexed="64"/>
      </left>
      <right/>
      <top/>
      <bottom/>
      <diagonal/>
    </border>
    <border>
      <left/>
      <right style="thin">
        <color auto="1"/>
      </right>
      <top/>
      <bottom/>
      <diagonal/>
    </border>
    <border>
      <left style="medium">
        <color indexed="64"/>
      </left>
      <right/>
      <top/>
      <bottom style="thin">
        <color indexed="64"/>
      </bottom>
      <diagonal/>
    </border>
    <border>
      <left style="thin">
        <color rgb="FF000000"/>
      </left>
      <right style="thin">
        <color rgb="FF000000"/>
      </right>
      <top/>
      <bottom style="thin">
        <color rgb="FF000000"/>
      </bottom>
      <diagonal/>
    </border>
    <border>
      <left/>
      <right style="medium">
        <color auto="1"/>
      </right>
      <top/>
      <bottom style="medium">
        <color indexed="64"/>
      </bottom>
      <diagonal/>
    </border>
    <border>
      <left/>
      <right style="medium">
        <color auto="1"/>
      </right>
      <top style="medium">
        <color indexed="64"/>
      </top>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auto="1"/>
      </right>
      <top style="medium">
        <color indexed="64"/>
      </top>
      <bottom style="thin">
        <color indexed="64"/>
      </bottom>
      <diagonal/>
    </border>
    <border>
      <left/>
      <right style="medium">
        <color auto="1"/>
      </right>
      <top style="medium">
        <color indexed="64"/>
      </top>
      <bottom/>
      <diagonal/>
    </border>
    <border>
      <left/>
      <right style="medium">
        <color auto="1"/>
      </right>
      <top/>
      <bottom style="medium">
        <color indexed="64"/>
      </bottom>
      <diagonal/>
    </border>
    <border>
      <left/>
      <right style="medium">
        <color auto="1"/>
      </right>
      <top style="medium">
        <color indexed="64"/>
      </top>
      <bottom/>
      <diagonal/>
    </border>
    <border>
      <left/>
      <right style="medium">
        <color auto="1"/>
      </right>
      <top/>
      <bottom style="medium">
        <color indexed="64"/>
      </bottom>
      <diagonal/>
    </border>
    <border>
      <left style="thin">
        <color theme="1"/>
      </left>
      <right style="thin">
        <color theme="1"/>
      </right>
      <top style="medium">
        <color theme="1"/>
      </top>
      <bottom/>
      <diagonal/>
    </border>
    <border>
      <left style="thin">
        <color theme="1"/>
      </left>
      <right style="medium">
        <color indexed="64"/>
      </right>
      <top style="medium">
        <color theme="1"/>
      </top>
      <bottom/>
      <diagonal/>
    </border>
    <border>
      <left style="medium">
        <color theme="1"/>
      </left>
      <right style="thin">
        <color theme="1"/>
      </right>
      <top style="medium">
        <color theme="1"/>
      </top>
      <bottom/>
      <diagonal/>
    </border>
    <border>
      <left style="thin">
        <color theme="1"/>
      </left>
      <right style="medium">
        <color theme="1"/>
      </right>
      <top style="medium">
        <color theme="1"/>
      </top>
      <bottom/>
      <diagonal/>
    </border>
    <border>
      <left/>
      <right style="medium">
        <color auto="1"/>
      </right>
      <top style="medium">
        <color indexed="64"/>
      </top>
      <bottom/>
      <diagonal/>
    </border>
    <border>
      <left/>
      <right style="medium">
        <color auto="1"/>
      </right>
      <top/>
      <bottom style="medium">
        <color indexed="64"/>
      </bottom>
      <diagonal/>
    </border>
    <border>
      <left style="thin">
        <color indexed="64"/>
      </left>
      <right style="thin">
        <color indexed="64"/>
      </right>
      <top style="medium">
        <color indexed="64"/>
      </top>
      <bottom style="medium">
        <color indexed="64"/>
      </bottom>
      <diagonal/>
    </border>
    <border>
      <left/>
      <right/>
      <top/>
      <bottom style="thin">
        <color indexed="64"/>
      </bottom>
      <diagonal/>
    </border>
    <border>
      <left style="thin">
        <color indexed="64"/>
      </left>
      <right/>
      <top style="medium">
        <color indexed="64"/>
      </top>
      <bottom style="medium">
        <color indexed="64"/>
      </bottom>
      <diagonal/>
    </border>
    <border>
      <left/>
      <right style="medium">
        <color auto="1"/>
      </right>
      <top style="medium">
        <color indexed="64"/>
      </top>
      <bottom/>
      <diagonal/>
    </border>
    <border>
      <left/>
      <right style="medium">
        <color auto="1"/>
      </right>
      <top/>
      <bottom style="medium">
        <color indexed="64"/>
      </bottom>
      <diagonal/>
    </border>
    <border>
      <left/>
      <right style="medium">
        <color auto="1"/>
      </right>
      <top style="medium">
        <color indexed="64"/>
      </top>
      <bottom style="medium">
        <color indexed="64"/>
      </bottom>
      <diagonal/>
    </border>
    <border>
      <left/>
      <right style="medium">
        <color auto="1"/>
      </right>
      <top/>
      <bottom style="medium">
        <color indexed="64"/>
      </bottom>
      <diagonal/>
    </border>
    <border>
      <left/>
      <right style="medium">
        <color auto="1"/>
      </right>
      <top style="medium">
        <color indexed="64"/>
      </top>
      <bottom/>
      <diagonal/>
    </border>
    <border>
      <left style="thin">
        <color theme="0" tint="-0.14990691854609822"/>
      </left>
      <right style="thin">
        <color theme="0" tint="-0.14990691854609822"/>
      </right>
      <top/>
      <bottom/>
      <diagonal/>
    </border>
  </borders>
  <cellStyleXfs count="30">
    <xf numFmtId="0" fontId="0" fillId="0" borderId="0"/>
    <xf numFmtId="9" fontId="1" fillId="0" borderId="0" applyFont="0" applyFill="0" applyBorder="0" applyAlignment="0" applyProtection="0"/>
    <xf numFmtId="0" fontId="3" fillId="0" borderId="0"/>
    <xf numFmtId="0" fontId="7" fillId="0" borderId="0"/>
    <xf numFmtId="165" fontId="3" fillId="0" borderId="0" applyFont="0" applyFill="0" applyBorder="0" applyAlignment="0" applyProtection="0"/>
    <xf numFmtId="9" fontId="3" fillId="0" borderId="0" applyFont="0" applyFill="0" applyBorder="0" applyAlignment="0" applyProtection="0"/>
    <xf numFmtId="167" fontId="11" fillId="0" borderId="0" applyFont="0" applyFill="0" applyBorder="0" applyAlignment="0" applyProtection="0"/>
    <xf numFmtId="0" fontId="12" fillId="0" borderId="0"/>
    <xf numFmtId="44" fontId="1" fillId="0" borderId="0" applyFont="0" applyFill="0" applyBorder="0" applyAlignment="0" applyProtection="0"/>
    <xf numFmtId="44" fontId="1" fillId="0" borderId="0" applyFont="0" applyFill="0" applyBorder="0" applyAlignment="0" applyProtection="0"/>
    <xf numFmtId="44" fontId="11" fillId="0" borderId="0" applyFont="0" applyFill="0" applyBorder="0" applyAlignment="0" applyProtection="0"/>
    <xf numFmtId="44" fontId="1" fillId="0" borderId="0" applyFont="0" applyFill="0" applyBorder="0" applyAlignment="0" applyProtection="0"/>
    <xf numFmtId="0" fontId="18"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1737">
    <xf numFmtId="0" fontId="0" fillId="0" borderId="0" xfId="0"/>
    <xf numFmtId="0" fontId="0" fillId="0" borderId="11" xfId="0" applyBorder="1"/>
    <xf numFmtId="0" fontId="0" fillId="0" borderId="12" xfId="0" applyBorder="1"/>
    <xf numFmtId="0" fontId="0" fillId="0" borderId="13" xfId="0" applyBorder="1"/>
    <xf numFmtId="0" fontId="0" fillId="0" borderId="17" xfId="0" applyBorder="1"/>
    <xf numFmtId="0" fontId="0" fillId="0" borderId="18" xfId="0" applyBorder="1"/>
    <xf numFmtId="0" fontId="2" fillId="0" borderId="19" xfId="0" applyFont="1" applyBorder="1"/>
    <xf numFmtId="0" fontId="2" fillId="0" borderId="23" xfId="0" applyFont="1" applyBorder="1"/>
    <xf numFmtId="0" fontId="0" fillId="0" borderId="2" xfId="0" applyBorder="1" applyAlignment="1">
      <alignment horizontal="left"/>
    </xf>
    <xf numFmtId="0" fontId="0" fillId="0" borderId="25" xfId="0" applyBorder="1" applyAlignment="1">
      <alignment horizontal="left"/>
    </xf>
    <xf numFmtId="0" fontId="2" fillId="0" borderId="26" xfId="0" applyFont="1" applyBorder="1"/>
    <xf numFmtId="0" fontId="2" fillId="0" borderId="26" xfId="0" applyFont="1" applyBorder="1" applyAlignment="1">
      <alignment horizontal="center"/>
    </xf>
    <xf numFmtId="0" fontId="0" fillId="0" borderId="14" xfId="0" applyBorder="1"/>
    <xf numFmtId="0" fontId="0" fillId="0" borderId="15" xfId="0" applyBorder="1"/>
    <xf numFmtId="0" fontId="0" fillId="0" borderId="16" xfId="0" applyBorder="1"/>
    <xf numFmtId="0" fontId="2" fillId="0" borderId="30" xfId="0" applyFont="1" applyBorder="1"/>
    <xf numFmtId="0" fontId="2" fillId="0" borderId="2" xfId="0" applyFont="1" applyBorder="1" applyAlignment="1">
      <alignment horizontal="left"/>
    </xf>
    <xf numFmtId="0" fontId="2" fillId="0" borderId="23" xfId="0" applyFont="1" applyBorder="1" applyAlignment="1">
      <alignment horizontal="center"/>
    </xf>
    <xf numFmtId="0" fontId="2" fillId="0" borderId="19" xfId="0" applyFont="1" applyBorder="1" applyAlignment="1">
      <alignment horizontal="center"/>
    </xf>
    <xf numFmtId="0" fontId="2" fillId="0" borderId="34" xfId="0" applyFont="1" applyBorder="1" applyAlignment="1">
      <alignment horizontal="center"/>
    </xf>
    <xf numFmtId="0" fontId="0" fillId="0" borderId="26" xfId="0" applyBorder="1"/>
    <xf numFmtId="0" fontId="0" fillId="0" borderId="27" xfId="0" applyBorder="1"/>
    <xf numFmtId="0" fontId="0" fillId="0" borderId="29" xfId="0" applyBorder="1"/>
    <xf numFmtId="0" fontId="0" fillId="0" borderId="0" xfId="0" applyAlignment="1">
      <alignment horizontal="right"/>
    </xf>
    <xf numFmtId="0" fontId="10" fillId="4" borderId="35" xfId="0" applyFont="1" applyFill="1" applyBorder="1"/>
    <xf numFmtId="0" fontId="10" fillId="4" borderId="36" xfId="0" applyFont="1" applyFill="1" applyBorder="1"/>
    <xf numFmtId="164" fontId="6" fillId="0" borderId="0" xfId="2" applyNumberFormat="1" applyFont="1" applyAlignment="1">
      <alignment horizontal="left" vertical="center"/>
    </xf>
    <xf numFmtId="0" fontId="13" fillId="8" borderId="42" xfId="0" applyFont="1" applyFill="1" applyBorder="1" applyAlignment="1">
      <alignment vertical="center"/>
    </xf>
    <xf numFmtId="0" fontId="15" fillId="8" borderId="42" xfId="0" applyFont="1" applyFill="1" applyBorder="1" applyAlignment="1">
      <alignment horizontal="center" vertical="center"/>
    </xf>
    <xf numFmtId="22" fontId="13" fillId="8" borderId="42" xfId="0" applyNumberFormat="1" applyFont="1" applyFill="1" applyBorder="1" applyAlignment="1">
      <alignment horizontal="center" vertical="center"/>
    </xf>
    <xf numFmtId="0" fontId="17" fillId="8" borderId="43" xfId="0" applyFont="1" applyFill="1" applyBorder="1" applyAlignment="1">
      <alignment horizontal="center" vertical="center" wrapText="1"/>
    </xf>
    <xf numFmtId="0" fontId="17" fillId="8" borderId="44" xfId="0" applyFont="1" applyFill="1" applyBorder="1" applyAlignment="1">
      <alignment horizontal="center" vertical="center" wrapText="1"/>
    </xf>
    <xf numFmtId="0" fontId="0" fillId="9" borderId="45" xfId="0" applyFill="1" applyBorder="1" applyAlignment="1">
      <alignment vertical="center"/>
    </xf>
    <xf numFmtId="0" fontId="0" fillId="9" borderId="45" xfId="0" applyFill="1" applyBorder="1" applyAlignment="1">
      <alignment horizontal="right" vertical="center"/>
    </xf>
    <xf numFmtId="4" fontId="0" fillId="9" borderId="45" xfId="0" applyNumberFormat="1" applyFill="1" applyBorder="1" applyAlignment="1">
      <alignment horizontal="right" vertical="center"/>
    </xf>
    <xf numFmtId="9" fontId="0" fillId="9" borderId="45" xfId="0" applyNumberFormat="1" applyFill="1" applyBorder="1" applyAlignment="1">
      <alignment horizontal="right" vertical="center"/>
    </xf>
    <xf numFmtId="0" fontId="0" fillId="9" borderId="46" xfId="0" applyFill="1" applyBorder="1" applyAlignment="1">
      <alignment vertical="center"/>
    </xf>
    <xf numFmtId="0" fontId="0" fillId="0" borderId="45" xfId="0" applyBorder="1" applyAlignment="1">
      <alignment vertical="center"/>
    </xf>
    <xf numFmtId="0" fontId="0" fillId="0" borderId="45" xfId="0" applyBorder="1" applyAlignment="1">
      <alignment horizontal="right" vertical="center"/>
    </xf>
    <xf numFmtId="4" fontId="0" fillId="0" borderId="45" xfId="0" applyNumberFormat="1" applyBorder="1" applyAlignment="1">
      <alignment horizontal="right" vertical="center"/>
    </xf>
    <xf numFmtId="9" fontId="0" fillId="0" borderId="45" xfId="0" applyNumberFormat="1" applyBorder="1" applyAlignment="1">
      <alignment horizontal="right" vertical="center"/>
    </xf>
    <xf numFmtId="0" fontId="0" fillId="0" borderId="46" xfId="0" applyBorder="1" applyAlignment="1">
      <alignment vertical="center"/>
    </xf>
    <xf numFmtId="0" fontId="0" fillId="0" borderId="46" xfId="0" applyBorder="1" applyAlignment="1">
      <alignment vertical="center" wrapText="1"/>
    </xf>
    <xf numFmtId="0" fontId="0" fillId="9" borderId="46" xfId="0" applyFill="1" applyBorder="1" applyAlignment="1">
      <alignment vertical="center" wrapText="1"/>
    </xf>
    <xf numFmtId="0" fontId="0" fillId="9" borderId="47" xfId="0" applyFill="1" applyBorder="1" applyAlignment="1">
      <alignment vertical="center"/>
    </xf>
    <xf numFmtId="0" fontId="0" fillId="9" borderId="47" xfId="0" applyFill="1" applyBorder="1" applyAlignment="1">
      <alignment horizontal="right" vertical="center"/>
    </xf>
    <xf numFmtId="4" fontId="0" fillId="9" borderId="47" xfId="0" applyNumberFormat="1" applyFill="1" applyBorder="1" applyAlignment="1">
      <alignment horizontal="right" vertical="center"/>
    </xf>
    <xf numFmtId="9" fontId="0" fillId="9" borderId="47" xfId="0" applyNumberFormat="1" applyFill="1" applyBorder="1" applyAlignment="1">
      <alignment horizontal="right" vertical="center"/>
    </xf>
    <xf numFmtId="0" fontId="0" fillId="9" borderId="48" xfId="0" applyFill="1" applyBorder="1" applyAlignment="1">
      <alignment vertical="center"/>
    </xf>
    <xf numFmtId="164" fontId="6" fillId="0" borderId="20" xfId="2" applyNumberFormat="1" applyFont="1" applyBorder="1" applyAlignment="1" applyProtection="1">
      <alignment horizontal="left" vertical="center"/>
      <protection locked="0"/>
    </xf>
    <xf numFmtId="164" fontId="6" fillId="0" borderId="31" xfId="2" applyNumberFormat="1" applyFont="1" applyBorder="1" applyAlignment="1" applyProtection="1">
      <alignment horizontal="left" vertical="center"/>
      <protection locked="0"/>
    </xf>
    <xf numFmtId="164" fontId="6" fillId="0" borderId="39" xfId="2" applyNumberFormat="1" applyFont="1" applyBorder="1" applyAlignment="1" applyProtection="1">
      <alignment horizontal="left" vertical="center"/>
      <protection locked="0"/>
    </xf>
    <xf numFmtId="0" fontId="0" fillId="0" borderId="0" xfId="0" applyAlignment="1">
      <alignment horizontal="center"/>
    </xf>
    <xf numFmtId="44" fontId="19" fillId="0" borderId="66" xfId="8" applyFont="1" applyBorder="1" applyAlignment="1">
      <alignment vertical="center"/>
    </xf>
    <xf numFmtId="0" fontId="19" fillId="0" borderId="72" xfId="0" applyFont="1" applyBorder="1" applyAlignment="1">
      <alignment horizontal="left" vertical="center" wrapText="1"/>
    </xf>
    <xf numFmtId="170" fontId="21" fillId="11" borderId="92" xfId="8" applyNumberFormat="1" applyFont="1" applyFill="1" applyBorder="1" applyAlignment="1">
      <alignment horizontal="right"/>
    </xf>
    <xf numFmtId="0" fontId="19" fillId="0" borderId="82" xfId="0" applyFont="1" applyBorder="1" applyAlignment="1">
      <alignment horizontal="left" vertical="center" wrapText="1"/>
    </xf>
    <xf numFmtId="44" fontId="19" fillId="0" borderId="71" xfId="8" applyFont="1" applyBorder="1" applyAlignment="1">
      <alignment vertical="center"/>
    </xf>
    <xf numFmtId="44" fontId="0" fillId="0" borderId="0" xfId="0" applyNumberFormat="1"/>
    <xf numFmtId="0" fontId="23" fillId="0" borderId="66" xfId="0" applyFont="1" applyBorder="1" applyAlignment="1">
      <alignment vertical="center" wrapText="1"/>
    </xf>
    <xf numFmtId="0" fontId="5" fillId="0" borderId="0" xfId="2" applyFont="1" applyAlignment="1">
      <alignment horizontal="left" vertical="top"/>
    </xf>
    <xf numFmtId="0" fontId="21" fillId="11" borderId="85" xfId="0" applyFont="1" applyFill="1" applyBorder="1" applyAlignment="1">
      <alignment horizontal="left"/>
    </xf>
    <xf numFmtId="0" fontId="0" fillId="18" borderId="0" xfId="0" applyFill="1"/>
    <xf numFmtId="0" fontId="0" fillId="0" borderId="0" xfId="0" applyAlignment="1">
      <alignment wrapText="1"/>
    </xf>
    <xf numFmtId="44" fontId="0" fillId="0" borderId="0" xfId="8" applyFont="1"/>
    <xf numFmtId="0" fontId="0" fillId="0" borderId="0" xfId="0" applyAlignment="1">
      <alignment horizontal="center" vertical="center"/>
    </xf>
    <xf numFmtId="0" fontId="0" fillId="0" borderId="0" xfId="0" applyAlignment="1">
      <alignment vertical="center"/>
    </xf>
    <xf numFmtId="0" fontId="20" fillId="6" borderId="66" xfId="3" applyFont="1" applyFill="1" applyBorder="1" applyAlignment="1">
      <alignment horizontal="center" vertical="center"/>
    </xf>
    <xf numFmtId="0" fontId="0" fillId="0" borderId="72" xfId="0" applyBorder="1"/>
    <xf numFmtId="0" fontId="0" fillId="25" borderId="17" xfId="0" applyFill="1" applyBorder="1"/>
    <xf numFmtId="0" fontId="0" fillId="25" borderId="18" xfId="0" applyFill="1" applyBorder="1" applyAlignment="1">
      <alignment horizontal="center"/>
    </xf>
    <xf numFmtId="0" fontId="0" fillId="24" borderId="17" xfId="0" applyFill="1" applyBorder="1"/>
    <xf numFmtId="0" fontId="0" fillId="24" borderId="0" xfId="0" applyFill="1"/>
    <xf numFmtId="0" fontId="0" fillId="24" borderId="18" xfId="0" applyFill="1" applyBorder="1" applyAlignment="1">
      <alignment horizontal="center"/>
    </xf>
    <xf numFmtId="0" fontId="26" fillId="0" borderId="17" xfId="0" applyFont="1" applyBorder="1"/>
    <xf numFmtId="4" fontId="26" fillId="0" borderId="18" xfId="0" applyNumberFormat="1" applyFont="1" applyBorder="1"/>
    <xf numFmtId="4" fontId="0" fillId="0" borderId="18" xfId="0" applyNumberFormat="1" applyBorder="1"/>
    <xf numFmtId="0" fontId="26" fillId="0" borderId="72" xfId="0" applyFont="1" applyBorder="1"/>
    <xf numFmtId="4" fontId="26" fillId="0" borderId="66" xfId="0" applyNumberFormat="1" applyFont="1" applyBorder="1"/>
    <xf numFmtId="4" fontId="0" fillId="0" borderId="70" xfId="0" applyNumberFormat="1" applyBorder="1"/>
    <xf numFmtId="0" fontId="0" fillId="0" borderId="17" xfId="0" applyBorder="1" applyAlignment="1">
      <alignment wrapText="1"/>
    </xf>
    <xf numFmtId="0" fontId="0" fillId="0" borderId="72" xfId="0" applyBorder="1" applyAlignment="1">
      <alignment wrapText="1"/>
    </xf>
    <xf numFmtId="4" fontId="0" fillId="0" borderId="66" xfId="0" applyNumberFormat="1" applyBorder="1"/>
    <xf numFmtId="4" fontId="0" fillId="24" borderId="18" xfId="0" applyNumberFormat="1" applyFill="1" applyBorder="1"/>
    <xf numFmtId="4" fontId="0" fillId="24" borderId="0" xfId="0" applyNumberFormat="1" applyFill="1"/>
    <xf numFmtId="0" fontId="26" fillId="0" borderId="17" xfId="0" applyFont="1" applyBorder="1" applyAlignment="1">
      <alignment wrapText="1"/>
    </xf>
    <xf numFmtId="4" fontId="0" fillId="0" borderId="110" xfId="0" applyNumberFormat="1" applyBorder="1"/>
    <xf numFmtId="0" fontId="0" fillId="26" borderId="0" xfId="0" applyFill="1" applyAlignment="1">
      <alignment horizontal="center"/>
    </xf>
    <xf numFmtId="0" fontId="0" fillId="24" borderId="14" xfId="0" applyFill="1" applyBorder="1"/>
    <xf numFmtId="4" fontId="0" fillId="24" borderId="111" xfId="0" applyNumberFormat="1" applyFill="1" applyBorder="1"/>
    <xf numFmtId="4" fontId="0" fillId="27" borderId="0" xfId="0" applyNumberFormat="1" applyFill="1"/>
    <xf numFmtId="0" fontId="0" fillId="24" borderId="18" xfId="0" applyFill="1" applyBorder="1"/>
    <xf numFmtId="0" fontId="0" fillId="18" borderId="17" xfId="0" applyFill="1" applyBorder="1"/>
    <xf numFmtId="4" fontId="0" fillId="18" borderId="18" xfId="0" applyNumberFormat="1" applyFill="1" applyBorder="1"/>
    <xf numFmtId="0" fontId="0" fillId="18" borderId="72" xfId="0" applyFill="1" applyBorder="1"/>
    <xf numFmtId="4" fontId="0" fillId="18" borderId="66" xfId="0" applyNumberFormat="1" applyFill="1" applyBorder="1"/>
    <xf numFmtId="0" fontId="2" fillId="24" borderId="14" xfId="0" applyFont="1" applyFill="1" applyBorder="1"/>
    <xf numFmtId="4" fontId="2" fillId="24" borderId="111" xfId="0" applyNumberFormat="1" applyFont="1" applyFill="1" applyBorder="1"/>
    <xf numFmtId="0" fontId="0" fillId="27" borderId="0" xfId="0" applyFill="1"/>
    <xf numFmtId="4" fontId="2" fillId="24" borderId="15" xfId="0" applyNumberFormat="1" applyFont="1" applyFill="1" applyBorder="1"/>
    <xf numFmtId="0" fontId="2" fillId="24" borderId="6" xfId="0" applyFont="1" applyFill="1" applyBorder="1"/>
    <xf numFmtId="4" fontId="2" fillId="24" borderId="5" xfId="0" applyNumberFormat="1" applyFont="1" applyFill="1" applyBorder="1"/>
    <xf numFmtId="4" fontId="25" fillId="0" borderId="0" xfId="0" applyNumberFormat="1" applyFont="1"/>
    <xf numFmtId="0" fontId="0" fillId="28" borderId="0" xfId="0" applyFill="1"/>
    <xf numFmtId="0" fontId="0" fillId="29" borderId="0" xfId="0" applyFill="1"/>
    <xf numFmtId="0" fontId="2" fillId="24" borderId="0" xfId="0" applyFont="1" applyFill="1"/>
    <xf numFmtId="0" fontId="0" fillId="25" borderId="6" xfId="0" applyFill="1" applyBorder="1"/>
    <xf numFmtId="0" fontId="0" fillId="25" borderId="5" xfId="0" applyFill="1" applyBorder="1" applyAlignment="1">
      <alignment horizontal="center"/>
    </xf>
    <xf numFmtId="0" fontId="0" fillId="30" borderId="5" xfId="0" applyFill="1" applyBorder="1"/>
    <xf numFmtId="0" fontId="2" fillId="30" borderId="11" xfId="0" applyFont="1" applyFill="1" applyBorder="1"/>
    <xf numFmtId="0" fontId="2" fillId="30" borderId="12" xfId="0" applyFont="1" applyFill="1" applyBorder="1"/>
    <xf numFmtId="0" fontId="2" fillId="30" borderId="110" xfId="0" applyFont="1" applyFill="1" applyBorder="1" applyAlignment="1">
      <alignment horizontal="center"/>
    </xf>
    <xf numFmtId="4" fontId="0" fillId="0" borderId="0" xfId="0" applyNumberFormat="1"/>
    <xf numFmtId="4" fontId="26" fillId="0" borderId="0" xfId="0" applyNumberFormat="1" applyFont="1"/>
    <xf numFmtId="0" fontId="2" fillId="30" borderId="14" xfId="0" applyFont="1" applyFill="1" applyBorder="1"/>
    <xf numFmtId="4" fontId="2" fillId="30" borderId="111" xfId="0" applyNumberFormat="1" applyFont="1" applyFill="1" applyBorder="1"/>
    <xf numFmtId="0" fontId="2" fillId="30" borderId="6" xfId="0" applyFont="1" applyFill="1" applyBorder="1"/>
    <xf numFmtId="4" fontId="2" fillId="30" borderId="5" xfId="0" applyNumberFormat="1" applyFont="1" applyFill="1" applyBorder="1"/>
    <xf numFmtId="0" fontId="2" fillId="24" borderId="17" xfId="0" applyFont="1" applyFill="1" applyBorder="1" applyAlignment="1">
      <alignment horizontal="center"/>
    </xf>
    <xf numFmtId="0" fontId="2" fillId="24" borderId="18" xfId="0" applyFont="1" applyFill="1" applyBorder="1" applyAlignment="1">
      <alignment horizontal="center"/>
    </xf>
    <xf numFmtId="0" fontId="25" fillId="0" borderId="0" xfId="0" applyFont="1"/>
    <xf numFmtId="0" fontId="26" fillId="0" borderId="0" xfId="0" applyFont="1"/>
    <xf numFmtId="0" fontId="0" fillId="31" borderId="0" xfId="0" applyFill="1"/>
    <xf numFmtId="4" fontId="0" fillId="31" borderId="0" xfId="0" applyNumberFormat="1" applyFill="1"/>
    <xf numFmtId="0" fontId="25" fillId="0" borderId="0" xfId="0" applyFont="1" applyAlignment="1">
      <alignment horizontal="left"/>
    </xf>
    <xf numFmtId="9" fontId="0" fillId="0" borderId="0" xfId="1" applyFont="1"/>
    <xf numFmtId="9" fontId="25" fillId="0" borderId="0" xfId="1" applyFont="1"/>
    <xf numFmtId="44" fontId="0" fillId="20" borderId="0" xfId="0" applyNumberFormat="1" applyFill="1"/>
    <xf numFmtId="44" fontId="0" fillId="33" borderId="0" xfId="0" applyNumberFormat="1" applyFill="1"/>
    <xf numFmtId="0" fontId="2" fillId="22" borderId="0" xfId="0" applyFont="1" applyFill="1" applyAlignment="1">
      <alignment horizontal="center"/>
    </xf>
    <xf numFmtId="0" fontId="0" fillId="17" borderId="0" xfId="0" applyFill="1"/>
    <xf numFmtId="0" fontId="23" fillId="0" borderId="66" xfId="0" applyFont="1" applyBorder="1" applyAlignment="1">
      <alignment horizontal="center" vertical="center"/>
    </xf>
    <xf numFmtId="0" fontId="21" fillId="11" borderId="54" xfId="0" applyFont="1" applyFill="1" applyBorder="1" applyAlignment="1">
      <alignment horizontal="left"/>
    </xf>
    <xf numFmtId="0" fontId="20" fillId="12" borderId="120" xfId="0" applyFont="1" applyFill="1" applyBorder="1" applyAlignment="1">
      <alignment horizontal="center" vertical="center"/>
    </xf>
    <xf numFmtId="0" fontId="20" fillId="12" borderId="37" xfId="0" applyFont="1" applyFill="1" applyBorder="1" applyAlignment="1">
      <alignment horizontal="center" vertical="center"/>
    </xf>
    <xf numFmtId="0" fontId="0" fillId="0" borderId="66" xfId="0" applyBorder="1" applyAlignment="1">
      <alignment horizontal="center" vertical="center"/>
    </xf>
    <xf numFmtId="0" fontId="0" fillId="0" borderId="66" xfId="0" applyBorder="1"/>
    <xf numFmtId="0" fontId="0" fillId="0" borderId="66" xfId="0" applyBorder="1" applyAlignment="1">
      <alignment vertical="center"/>
    </xf>
    <xf numFmtId="0" fontId="0" fillId="0" borderId="66" xfId="0" applyBorder="1" applyAlignment="1">
      <alignment wrapText="1"/>
    </xf>
    <xf numFmtId="44" fontId="23" fillId="0" borderId="66" xfId="8" applyFont="1" applyFill="1" applyBorder="1" applyAlignment="1">
      <alignment horizontal="left"/>
    </xf>
    <xf numFmtId="44" fontId="23" fillId="0" borderId="66" xfId="8" applyFont="1" applyBorder="1" applyAlignment="1">
      <alignment horizontal="left"/>
    </xf>
    <xf numFmtId="0" fontId="28" fillId="0" borderId="66" xfId="0" applyFont="1" applyBorder="1" applyAlignment="1">
      <alignment vertical="center"/>
    </xf>
    <xf numFmtId="43" fontId="0" fillId="0" borderId="0" xfId="28" applyFont="1"/>
    <xf numFmtId="44" fontId="23" fillId="0" borderId="0" xfId="8" applyFont="1" applyFill="1" applyBorder="1" applyAlignment="1">
      <alignment horizontal="left"/>
    </xf>
    <xf numFmtId="0" fontId="0" fillId="35" borderId="66" xfId="0" applyFill="1" applyBorder="1" applyAlignment="1">
      <alignment horizontal="center"/>
    </xf>
    <xf numFmtId="0" fontId="0" fillId="35" borderId="66" xfId="0" applyFill="1" applyBorder="1" applyAlignment="1">
      <alignment wrapText="1"/>
    </xf>
    <xf numFmtId="0" fontId="0" fillId="35" borderId="66" xfId="0" applyFill="1" applyBorder="1" applyAlignment="1">
      <alignment horizontal="center" vertical="center"/>
    </xf>
    <xf numFmtId="44" fontId="23" fillId="35" borderId="66" xfId="8" applyFont="1" applyFill="1" applyBorder="1" applyAlignment="1">
      <alignment horizontal="left"/>
    </xf>
    <xf numFmtId="0" fontId="2" fillId="0" borderId="0" xfId="0" applyFont="1" applyAlignment="1">
      <alignment horizontal="center"/>
    </xf>
    <xf numFmtId="44" fontId="23" fillId="0" borderId="66" xfId="8" applyFont="1" applyFill="1" applyBorder="1" applyAlignment="1">
      <alignment horizontal="left" vertical="center"/>
    </xf>
    <xf numFmtId="0" fontId="0" fillId="0" borderId="0" xfId="0" applyAlignment="1">
      <alignment horizontal="center" wrapText="1"/>
    </xf>
    <xf numFmtId="0" fontId="0" fillId="0" borderId="0" xfId="0" applyAlignment="1">
      <alignment vertical="center" wrapText="1"/>
    </xf>
    <xf numFmtId="44" fontId="19" fillId="20" borderId="71" xfId="8" applyFont="1" applyFill="1" applyBorder="1" applyAlignment="1">
      <alignment vertical="center"/>
    </xf>
    <xf numFmtId="44" fontId="19" fillId="20" borderId="66" xfId="8" applyFont="1" applyFill="1" applyBorder="1" applyAlignment="1">
      <alignment vertical="center"/>
    </xf>
    <xf numFmtId="0" fontId="30" fillId="0" borderId="66" xfId="0" applyFont="1" applyBorder="1" applyAlignment="1">
      <alignment horizontal="left" vertical="center" wrapText="1"/>
    </xf>
    <xf numFmtId="0" fontId="30" fillId="0" borderId="66" xfId="0" applyFont="1" applyBorder="1" applyAlignment="1">
      <alignment horizontal="center" vertical="center"/>
    </xf>
    <xf numFmtId="44" fontId="31" fillId="0" borderId="66" xfId="8" applyFont="1" applyBorder="1" applyAlignment="1" applyProtection="1">
      <alignment horizontal="center" vertical="center" wrapText="1"/>
      <protection locked="0"/>
    </xf>
    <xf numFmtId="0" fontId="31" fillId="0" borderId="66" xfId="2" applyFont="1" applyBorder="1" applyAlignment="1" applyProtection="1">
      <alignment horizontal="center" vertical="center" wrapText="1"/>
      <protection locked="0"/>
    </xf>
    <xf numFmtId="44" fontId="31" fillId="0" borderId="66" xfId="8" applyFont="1" applyFill="1" applyBorder="1" applyAlignment="1" applyProtection="1">
      <alignment horizontal="left" vertical="center" wrapText="1"/>
      <protection locked="0"/>
    </xf>
    <xf numFmtId="44" fontId="30" fillId="0" borderId="66" xfId="8" applyFont="1" applyBorder="1" applyAlignment="1">
      <alignment vertical="center"/>
    </xf>
    <xf numFmtId="44" fontId="30" fillId="0" borderId="66" xfId="8" applyFont="1" applyBorder="1" applyAlignment="1" applyProtection="1">
      <alignment horizontal="center" vertical="center"/>
      <protection locked="0"/>
    </xf>
    <xf numFmtId="0" fontId="30" fillId="0" borderId="66" xfId="2" applyFont="1" applyBorder="1" applyAlignment="1" applyProtection="1">
      <alignment horizontal="center" vertical="center"/>
      <protection locked="0"/>
    </xf>
    <xf numFmtId="44" fontId="30" fillId="0" borderId="66" xfId="8" applyFont="1" applyFill="1" applyBorder="1" applyAlignment="1" applyProtection="1">
      <alignment vertical="center"/>
      <protection locked="0"/>
    </xf>
    <xf numFmtId="0" fontId="32" fillId="0" borderId="0" xfId="0" applyFont="1"/>
    <xf numFmtId="0" fontId="33" fillId="0" borderId="0" xfId="0" applyFont="1"/>
    <xf numFmtId="0" fontId="29" fillId="0" borderId="0" xfId="0" applyFont="1"/>
    <xf numFmtId="0" fontId="30" fillId="0" borderId="0" xfId="0" applyFont="1"/>
    <xf numFmtId="0" fontId="34" fillId="0" borderId="0" xfId="0" applyFont="1"/>
    <xf numFmtId="44" fontId="30" fillId="0" borderId="0" xfId="8" applyFont="1"/>
    <xf numFmtId="44" fontId="35" fillId="0" borderId="0" xfId="0" applyNumberFormat="1" applyFont="1"/>
    <xf numFmtId="44" fontId="34" fillId="0" borderId="0" xfId="0" applyNumberFormat="1" applyFont="1"/>
    <xf numFmtId="44" fontId="30" fillId="0" borderId="0" xfId="0" applyNumberFormat="1" applyFont="1"/>
    <xf numFmtId="0" fontId="36" fillId="29" borderId="0" xfId="0" applyFont="1" applyFill="1"/>
    <xf numFmtId="0" fontId="30" fillId="36" borderId="66" xfId="0" applyFont="1" applyFill="1" applyBorder="1"/>
    <xf numFmtId="4" fontId="30" fillId="36" borderId="66" xfId="0" applyNumberFormat="1" applyFont="1" applyFill="1" applyBorder="1" applyAlignment="1">
      <alignment vertical="center"/>
    </xf>
    <xf numFmtId="9" fontId="30" fillId="36" borderId="66" xfId="1" applyFont="1" applyFill="1" applyBorder="1" applyAlignment="1">
      <alignment horizontal="center" vertical="center"/>
    </xf>
    <xf numFmtId="44" fontId="30" fillId="36" borderId="66" xfId="0" applyNumberFormat="1" applyFont="1" applyFill="1" applyBorder="1" applyAlignment="1">
      <alignment vertical="center"/>
    </xf>
    <xf numFmtId="0" fontId="34" fillId="36" borderId="66" xfId="0" applyFont="1" applyFill="1" applyBorder="1"/>
    <xf numFmtId="4" fontId="30" fillId="36" borderId="66" xfId="0" applyNumberFormat="1" applyFont="1" applyFill="1" applyBorder="1"/>
    <xf numFmtId="0" fontId="30" fillId="0" borderId="66" xfId="0" applyFont="1" applyBorder="1"/>
    <xf numFmtId="44" fontId="34" fillId="35" borderId="0" xfId="8" applyFont="1" applyFill="1"/>
    <xf numFmtId="4" fontId="30" fillId="0" borderId="0" xfId="0" applyNumberFormat="1" applyFont="1"/>
    <xf numFmtId="4" fontId="37" fillId="0" borderId="0" xfId="0" applyNumberFormat="1" applyFont="1"/>
    <xf numFmtId="17" fontId="30" fillId="0" borderId="66" xfId="0" applyNumberFormat="1" applyFont="1" applyBorder="1" applyAlignment="1">
      <alignment horizontal="center" vertical="center"/>
    </xf>
    <xf numFmtId="44" fontId="30" fillId="0" borderId="66" xfId="29" applyFont="1" applyBorder="1" applyAlignment="1">
      <alignment horizontal="center" vertical="center"/>
    </xf>
    <xf numFmtId="44" fontId="30" fillId="0" borderId="66" xfId="29" applyFont="1" applyBorder="1"/>
    <xf numFmtId="9" fontId="30" fillId="0" borderId="66" xfId="1" applyFont="1" applyBorder="1" applyAlignment="1">
      <alignment horizontal="center"/>
    </xf>
    <xf numFmtId="17" fontId="30" fillId="0" borderId="66" xfId="0" applyNumberFormat="1" applyFont="1" applyBorder="1" applyAlignment="1">
      <alignment horizontal="center"/>
    </xf>
    <xf numFmtId="44" fontId="30" fillId="0" borderId="66" xfId="29" applyFont="1" applyBorder="1" applyAlignment="1">
      <alignment horizontal="center"/>
    </xf>
    <xf numFmtId="0" fontId="30" fillId="0" borderId="66" xfId="0" applyFont="1" applyBorder="1" applyAlignment="1">
      <alignment horizontal="center"/>
    </xf>
    <xf numFmtId="9" fontId="30" fillId="36" borderId="66" xfId="1" applyFont="1" applyFill="1" applyBorder="1" applyAlignment="1">
      <alignment horizontal="center"/>
    </xf>
    <xf numFmtId="0" fontId="0" fillId="18" borderId="0" xfId="0" applyFill="1" applyAlignment="1">
      <alignment horizontal="center" vertical="center"/>
    </xf>
    <xf numFmtId="0" fontId="0" fillId="18" borderId="0" xfId="0" applyFill="1" applyAlignment="1">
      <alignment horizontal="center"/>
    </xf>
    <xf numFmtId="44" fontId="23" fillId="18" borderId="66" xfId="8" applyFont="1" applyFill="1" applyBorder="1" applyAlignment="1">
      <alignment horizontal="left"/>
    </xf>
    <xf numFmtId="170" fontId="0" fillId="0" borderId="0" xfId="0" applyNumberFormat="1"/>
    <xf numFmtId="4" fontId="0" fillId="18" borderId="0" xfId="0" applyNumberFormat="1" applyFill="1"/>
    <xf numFmtId="0" fontId="38" fillId="18" borderId="0" xfId="0" applyFont="1" applyFill="1"/>
    <xf numFmtId="170" fontId="39" fillId="11" borderId="92" xfId="8" applyNumberFormat="1" applyFont="1" applyFill="1" applyBorder="1" applyAlignment="1">
      <alignment horizontal="right"/>
    </xf>
    <xf numFmtId="9" fontId="20" fillId="12" borderId="125" xfId="1" applyFont="1" applyFill="1" applyBorder="1" applyAlignment="1">
      <alignment horizontal="center" vertical="center"/>
    </xf>
    <xf numFmtId="9" fontId="19" fillId="20" borderId="79" xfId="1" applyFont="1" applyFill="1" applyBorder="1" applyAlignment="1">
      <alignment vertical="center"/>
    </xf>
    <xf numFmtId="9" fontId="19" fillId="0" borderId="70" xfId="1" applyFont="1" applyBorder="1" applyAlignment="1">
      <alignment vertical="center"/>
    </xf>
    <xf numFmtId="9" fontId="21" fillId="11" borderId="126" xfId="1" applyFont="1" applyFill="1" applyBorder="1" applyAlignment="1">
      <alignment horizontal="right"/>
    </xf>
    <xf numFmtId="0" fontId="5" fillId="0" borderId="0" xfId="2" applyFont="1" applyAlignment="1">
      <alignment horizontal="left" vertical="center" wrapText="1"/>
    </xf>
    <xf numFmtId="0" fontId="41" fillId="0" borderId="0" xfId="0" applyFont="1"/>
    <xf numFmtId="49" fontId="5" fillId="0" borderId="0" xfId="2" applyNumberFormat="1" applyFont="1" applyAlignment="1">
      <alignment horizontal="left" vertical="center" wrapText="1"/>
    </xf>
    <xf numFmtId="0" fontId="41" fillId="0" borderId="0" xfId="0" applyFont="1" applyAlignment="1">
      <alignment horizontal="center"/>
    </xf>
    <xf numFmtId="0" fontId="42" fillId="0" borderId="0" xfId="0" applyFont="1" applyAlignment="1">
      <alignment horizontal="center"/>
    </xf>
    <xf numFmtId="164" fontId="5" fillId="0" borderId="0" xfId="2" applyNumberFormat="1" applyFont="1" applyAlignment="1">
      <alignment horizontal="left" vertical="center"/>
    </xf>
    <xf numFmtId="164" fontId="5" fillId="0" borderId="20" xfId="2" applyNumberFormat="1" applyFont="1" applyBorder="1" applyAlignment="1" applyProtection="1">
      <alignment horizontal="left" vertical="center"/>
      <protection locked="0"/>
    </xf>
    <xf numFmtId="164" fontId="5" fillId="0" borderId="22" xfId="2" applyNumberFormat="1" applyFont="1" applyBorder="1" applyAlignment="1" applyProtection="1">
      <alignment horizontal="left" vertical="center"/>
      <protection locked="0"/>
    </xf>
    <xf numFmtId="164" fontId="5" fillId="0" borderId="31" xfId="2" applyNumberFormat="1" applyFont="1" applyBorder="1" applyAlignment="1" applyProtection="1">
      <alignment horizontal="left" vertical="center"/>
      <protection locked="0"/>
    </xf>
    <xf numFmtId="164" fontId="5" fillId="0" borderId="32" xfId="2" applyNumberFormat="1" applyFont="1" applyBorder="1" applyAlignment="1" applyProtection="1">
      <alignment horizontal="left" vertical="center"/>
      <protection locked="0"/>
    </xf>
    <xf numFmtId="0" fontId="5" fillId="0" borderId="25" xfId="2" applyFont="1" applyBorder="1" applyAlignment="1" applyProtection="1">
      <alignment horizontal="left" vertical="center"/>
      <protection locked="0"/>
    </xf>
    <xf numFmtId="14" fontId="5" fillId="0" borderId="32" xfId="2" applyNumberFormat="1" applyFont="1" applyBorder="1" applyAlignment="1" applyProtection="1">
      <alignment horizontal="left" vertical="center"/>
      <protection locked="0"/>
    </xf>
    <xf numFmtId="164" fontId="5" fillId="0" borderId="39" xfId="2" applyNumberFormat="1" applyFont="1" applyBorder="1" applyAlignment="1" applyProtection="1">
      <alignment horizontal="left" vertical="center"/>
      <protection locked="0"/>
    </xf>
    <xf numFmtId="0" fontId="5" fillId="0" borderId="29" xfId="2" applyFont="1" applyBorder="1" applyAlignment="1" applyProtection="1">
      <alignment horizontal="left" vertical="center"/>
      <protection locked="0"/>
    </xf>
    <xf numFmtId="49" fontId="41" fillId="0" borderId="0" xfId="0" applyNumberFormat="1" applyFont="1"/>
    <xf numFmtId="9" fontId="41" fillId="0" borderId="0" xfId="0" applyNumberFormat="1" applyFont="1"/>
    <xf numFmtId="0" fontId="43" fillId="0" borderId="0" xfId="0" applyFont="1"/>
    <xf numFmtId="165" fontId="44" fillId="6" borderId="38" xfId="4" applyFont="1" applyFill="1" applyBorder="1" applyAlignment="1">
      <alignment horizontal="center" vertical="center" wrapText="1"/>
    </xf>
    <xf numFmtId="168" fontId="45" fillId="0" borderId="5" xfId="1" applyNumberFormat="1" applyFont="1" applyBorder="1"/>
    <xf numFmtId="166" fontId="44" fillId="0" borderId="40" xfId="4" applyNumberFormat="1" applyFont="1" applyBorder="1" applyAlignment="1">
      <alignment horizontal="center" vertical="center" wrapText="1"/>
    </xf>
    <xf numFmtId="0" fontId="46" fillId="5" borderId="0" xfId="0" applyFont="1" applyFill="1"/>
    <xf numFmtId="49" fontId="46" fillId="5" borderId="0" xfId="0" applyNumberFormat="1" applyFont="1" applyFill="1"/>
    <xf numFmtId="0" fontId="47" fillId="0" borderId="49" xfId="0" applyFont="1" applyBorder="1" applyAlignment="1">
      <alignment horizontal="left" vertical="center"/>
    </xf>
    <xf numFmtId="49" fontId="47" fillId="0" borderId="50" xfId="0" applyNumberFormat="1" applyFont="1" applyBorder="1" applyAlignment="1">
      <alignment horizontal="left" vertical="center"/>
    </xf>
    <xf numFmtId="0" fontId="47" fillId="0" borderId="51" xfId="0" applyFont="1" applyBorder="1" applyAlignment="1">
      <alignment horizontal="left" vertical="center"/>
    </xf>
    <xf numFmtId="0" fontId="47" fillId="0" borderId="49" xfId="0" applyFont="1" applyBorder="1" applyAlignment="1">
      <alignment horizontal="left" vertical="center" wrapText="1"/>
    </xf>
    <xf numFmtId="0" fontId="5" fillId="6" borderId="38" xfId="3" applyFont="1" applyFill="1" applyBorder="1" applyAlignment="1">
      <alignment horizontal="left" vertical="center"/>
    </xf>
    <xf numFmtId="0" fontId="5" fillId="6" borderId="69" xfId="3" applyFont="1" applyFill="1" applyBorder="1" applyAlignment="1">
      <alignment horizontal="center" vertical="center"/>
    </xf>
    <xf numFmtId="0" fontId="46" fillId="6" borderId="59" xfId="3" applyFont="1" applyFill="1" applyBorder="1" applyAlignment="1">
      <alignment horizontal="center" vertical="center"/>
    </xf>
    <xf numFmtId="169" fontId="46" fillId="6" borderId="59" xfId="3" applyNumberFormat="1" applyFont="1" applyFill="1" applyBorder="1" applyAlignment="1">
      <alignment horizontal="center" vertical="center" wrapText="1"/>
    </xf>
    <xf numFmtId="0" fontId="46" fillId="6" borderId="60" xfId="3" applyFont="1" applyFill="1" applyBorder="1" applyAlignment="1">
      <alignment horizontal="center" vertical="center" wrapText="1"/>
    </xf>
    <xf numFmtId="9" fontId="46" fillId="6" borderId="58" xfId="1" applyFont="1" applyFill="1" applyBorder="1" applyAlignment="1">
      <alignment horizontal="center" vertical="center" wrapText="1"/>
    </xf>
    <xf numFmtId="10" fontId="46" fillId="6" borderId="59" xfId="1" applyNumberFormat="1" applyFont="1" applyFill="1" applyBorder="1" applyAlignment="1">
      <alignment horizontal="center" vertical="center" wrapText="1"/>
    </xf>
    <xf numFmtId="0" fontId="46" fillId="6" borderId="61" xfId="3" applyFont="1" applyFill="1" applyBorder="1" applyAlignment="1">
      <alignment horizontal="center" vertical="center" wrapText="1"/>
    </xf>
    <xf numFmtId="0" fontId="46" fillId="6" borderId="12" xfId="3" applyFont="1" applyFill="1" applyBorder="1" applyAlignment="1">
      <alignment horizontal="center" vertical="center" wrapText="1"/>
    </xf>
    <xf numFmtId="37" fontId="44" fillId="6" borderId="58" xfId="3" applyNumberFormat="1" applyFont="1" applyFill="1" applyBorder="1" applyAlignment="1">
      <alignment horizontal="center" vertical="center"/>
    </xf>
    <xf numFmtId="37" fontId="44" fillId="6" borderId="59" xfId="3" applyNumberFormat="1" applyFont="1" applyFill="1" applyBorder="1" applyAlignment="1">
      <alignment horizontal="center" vertical="center"/>
    </xf>
    <xf numFmtId="40" fontId="44" fillId="6" borderId="59" xfId="4" applyNumberFormat="1" applyFont="1" applyFill="1" applyBorder="1" applyAlignment="1">
      <alignment horizontal="center" vertical="center"/>
    </xf>
    <xf numFmtId="165" fontId="44" fillId="6" borderId="59" xfId="4" applyFont="1" applyFill="1" applyBorder="1" applyAlignment="1">
      <alignment horizontal="right" vertical="center"/>
    </xf>
    <xf numFmtId="40" fontId="44" fillId="6" borderId="59" xfId="4" applyNumberFormat="1" applyFont="1" applyFill="1" applyBorder="1" applyAlignment="1">
      <alignment horizontal="center" vertical="center" wrapText="1"/>
    </xf>
    <xf numFmtId="10" fontId="44" fillId="6" borderId="59" xfId="5" applyNumberFormat="1" applyFont="1" applyFill="1" applyBorder="1" applyAlignment="1">
      <alignment horizontal="center" vertical="center" wrapText="1"/>
    </xf>
    <xf numFmtId="165" fontId="44" fillId="6" borderId="59" xfId="4" applyFont="1" applyFill="1" applyBorder="1" applyAlignment="1">
      <alignment horizontal="center" vertical="center" wrapText="1"/>
    </xf>
    <xf numFmtId="165" fontId="44" fillId="6" borderId="61" xfId="4" applyFont="1" applyFill="1" applyBorder="1" applyAlignment="1">
      <alignment horizontal="center" vertical="center" wrapText="1"/>
    </xf>
    <xf numFmtId="10" fontId="44" fillId="6" borderId="52" xfId="5" applyNumberFormat="1" applyFont="1" applyFill="1" applyBorder="1" applyAlignment="1">
      <alignment horizontal="center" vertical="center" wrapText="1"/>
    </xf>
    <xf numFmtId="10" fontId="44" fillId="6" borderId="53" xfId="5" applyNumberFormat="1" applyFont="1" applyFill="1" applyBorder="1" applyAlignment="1">
      <alignment horizontal="center" vertical="center" wrapText="1"/>
    </xf>
    <xf numFmtId="165" fontId="44" fillId="6" borderId="54" xfId="4" applyFont="1" applyFill="1" applyBorder="1" applyAlignment="1">
      <alignment horizontal="center" vertical="center" wrapText="1"/>
    </xf>
    <xf numFmtId="165" fontId="44" fillId="6" borderId="53" xfId="4" applyFont="1" applyFill="1" applyBorder="1" applyAlignment="1">
      <alignment horizontal="center" vertical="center" wrapText="1"/>
    </xf>
    <xf numFmtId="37" fontId="44" fillId="6" borderId="3" xfId="3" applyNumberFormat="1" applyFont="1" applyFill="1" applyBorder="1" applyAlignment="1">
      <alignment horizontal="center" vertical="center"/>
    </xf>
    <xf numFmtId="40" fontId="44" fillId="6" borderId="55" xfId="4" applyNumberFormat="1" applyFont="1" applyFill="1" applyBorder="1" applyAlignment="1">
      <alignment horizontal="center" vertical="center"/>
    </xf>
    <xf numFmtId="49" fontId="47" fillId="0" borderId="50" xfId="0" applyNumberFormat="1" applyFont="1" applyBorder="1" applyAlignment="1">
      <alignment horizontal="left" vertical="center" wrapText="1"/>
    </xf>
    <xf numFmtId="0" fontId="47" fillId="0" borderId="51" xfId="0" applyFont="1" applyBorder="1" applyAlignment="1">
      <alignment horizontal="left" vertical="center" wrapText="1"/>
    </xf>
    <xf numFmtId="0" fontId="49" fillId="10" borderId="12" xfId="0" applyFont="1" applyFill="1" applyBorder="1" applyAlignment="1">
      <alignment horizontal="center"/>
    </xf>
    <xf numFmtId="0" fontId="46" fillId="12" borderId="60" xfId="0" applyFont="1" applyFill="1" applyBorder="1" applyAlignment="1">
      <alignment horizontal="center" vertical="center"/>
    </xf>
    <xf numFmtId="0" fontId="46" fillId="12" borderId="59" xfId="0" applyFont="1" applyFill="1" applyBorder="1" applyAlignment="1">
      <alignment horizontal="center" vertical="center"/>
    </xf>
    <xf numFmtId="0" fontId="46" fillId="12" borderId="94" xfId="0" applyFont="1" applyFill="1" applyBorder="1" applyAlignment="1">
      <alignment horizontal="center" vertical="center"/>
    </xf>
    <xf numFmtId="0" fontId="46" fillId="12" borderId="12" xfId="0" applyFont="1" applyFill="1" applyBorder="1" applyAlignment="1">
      <alignment horizontal="center" vertical="center"/>
    </xf>
    <xf numFmtId="0" fontId="45" fillId="12" borderId="10" xfId="0" applyFont="1" applyFill="1" applyBorder="1" applyAlignment="1">
      <alignment horizontal="center" vertical="center"/>
    </xf>
    <xf numFmtId="0" fontId="45" fillId="12" borderId="66" xfId="0" applyFont="1" applyFill="1" applyBorder="1" applyAlignment="1">
      <alignment horizontal="center" vertical="center"/>
    </xf>
    <xf numFmtId="0" fontId="47" fillId="0" borderId="56" xfId="0" applyFont="1" applyBorder="1" applyAlignment="1">
      <alignment horizontal="left" vertical="center" wrapText="1"/>
    </xf>
    <xf numFmtId="0" fontId="47" fillId="0" borderId="67" xfId="0" applyFont="1" applyBorder="1" applyAlignment="1">
      <alignment horizontal="left" vertical="center" wrapText="1"/>
    </xf>
    <xf numFmtId="0" fontId="47" fillId="0" borderId="67" xfId="0" applyFont="1" applyBorder="1" applyAlignment="1">
      <alignment horizontal="center" vertical="center" wrapText="1"/>
    </xf>
    <xf numFmtId="44" fontId="47" fillId="0" borderId="67" xfId="8" applyFont="1" applyBorder="1" applyAlignment="1">
      <alignment vertical="center"/>
    </xf>
    <xf numFmtId="44" fontId="47" fillId="0" borderId="66" xfId="8" applyFont="1" applyBorder="1" applyAlignment="1">
      <alignment vertical="center"/>
    </xf>
    <xf numFmtId="44" fontId="47" fillId="0" borderId="70" xfId="8" applyFont="1" applyBorder="1" applyAlignment="1">
      <alignment vertical="center"/>
    </xf>
    <xf numFmtId="44" fontId="47" fillId="21" borderId="66" xfId="8" applyFont="1" applyFill="1" applyBorder="1" applyAlignment="1">
      <alignment vertical="center"/>
    </xf>
    <xf numFmtId="44" fontId="47" fillId="21" borderId="0" xfId="8" applyFont="1" applyFill="1" applyBorder="1" applyAlignment="1">
      <alignment vertical="center"/>
    </xf>
    <xf numFmtId="1" fontId="47" fillId="13" borderId="72" xfId="0" applyNumberFormat="1" applyFont="1" applyFill="1" applyBorder="1" applyAlignment="1">
      <alignment horizontal="center" vertical="center"/>
    </xf>
    <xf numFmtId="1" fontId="47" fillId="13" borderId="66" xfId="0" applyNumberFormat="1" applyFont="1" applyFill="1" applyBorder="1" applyAlignment="1">
      <alignment horizontal="center" vertical="center"/>
    </xf>
    <xf numFmtId="44" fontId="47" fillId="13" borderId="66" xfId="8" applyFont="1" applyFill="1" applyBorder="1" applyAlignment="1">
      <alignment vertical="center"/>
    </xf>
    <xf numFmtId="44" fontId="47" fillId="15" borderId="66" xfId="8" applyFont="1" applyFill="1" applyBorder="1" applyAlignment="1">
      <alignment vertical="center"/>
    </xf>
    <xf numFmtId="9" fontId="47" fillId="14" borderId="66" xfId="1" applyFont="1" applyFill="1" applyBorder="1" applyAlignment="1">
      <alignment vertical="center"/>
    </xf>
    <xf numFmtId="44" fontId="47" fillId="14" borderId="66" xfId="8" applyFont="1" applyFill="1" applyBorder="1" applyAlignment="1">
      <alignment vertical="center"/>
    </xf>
    <xf numFmtId="44" fontId="47" fillId="14" borderId="70" xfId="8" applyFont="1" applyFill="1" applyBorder="1" applyAlignment="1">
      <alignment vertical="center"/>
    </xf>
    <xf numFmtId="10" fontId="47" fillId="15" borderId="10" xfId="0" applyNumberFormat="1" applyFont="1" applyFill="1" applyBorder="1" applyAlignment="1">
      <alignment horizontal="center" vertical="center"/>
    </xf>
    <xf numFmtId="10" fontId="47" fillId="15" borderId="66" xfId="0" applyNumberFormat="1" applyFont="1" applyFill="1" applyBorder="1" applyAlignment="1">
      <alignment horizontal="center" vertical="center"/>
    </xf>
    <xf numFmtId="44" fontId="47" fillId="0" borderId="0" xfId="8" applyFont="1" applyFill="1" applyBorder="1" applyAlignment="1">
      <alignment vertical="center"/>
    </xf>
    <xf numFmtId="44" fontId="50" fillId="15" borderId="66" xfId="8" applyFont="1" applyFill="1" applyBorder="1" applyAlignment="1">
      <alignment vertical="center"/>
    </xf>
    <xf numFmtId="0" fontId="47" fillId="0" borderId="62" xfId="0" applyFont="1" applyBorder="1" applyAlignment="1">
      <alignment horizontal="left" vertical="center" wrapText="1"/>
    </xf>
    <xf numFmtId="0" fontId="47" fillId="0" borderId="0" xfId="0" applyFont="1" applyAlignment="1">
      <alignment horizontal="left" vertical="center" wrapText="1"/>
    </xf>
    <xf numFmtId="44" fontId="47" fillId="0" borderId="57" xfId="8" applyFont="1" applyBorder="1" applyAlignment="1">
      <alignment vertical="center"/>
    </xf>
    <xf numFmtId="44" fontId="51" fillId="21" borderId="66" xfId="8" applyFont="1" applyFill="1" applyBorder="1" applyAlignment="1">
      <alignment vertical="center"/>
    </xf>
    <xf numFmtId="44" fontId="51" fillId="21" borderId="0" xfId="8" applyFont="1" applyFill="1" applyBorder="1" applyAlignment="1">
      <alignment vertical="center"/>
    </xf>
    <xf numFmtId="1" fontId="47" fillId="13" borderId="56" xfId="0" applyNumberFormat="1" applyFont="1" applyFill="1" applyBorder="1" applyAlignment="1">
      <alignment horizontal="center" vertical="center"/>
    </xf>
    <xf numFmtId="1" fontId="47" fillId="13" borderId="67" xfId="0" applyNumberFormat="1" applyFont="1" applyFill="1" applyBorder="1" applyAlignment="1">
      <alignment horizontal="center" vertical="center"/>
    </xf>
    <xf numFmtId="44" fontId="47" fillId="13" borderId="67" xfId="8" applyFont="1" applyFill="1" applyBorder="1" applyAlignment="1">
      <alignment vertical="center"/>
    </xf>
    <xf numFmtId="44" fontId="47" fillId="15" borderId="67" xfId="8" applyFont="1" applyFill="1" applyBorder="1" applyAlignment="1">
      <alignment vertical="center"/>
    </xf>
    <xf numFmtId="9" fontId="47" fillId="14" borderId="67" xfId="1" applyFont="1" applyFill="1" applyBorder="1" applyAlignment="1">
      <alignment vertical="center"/>
    </xf>
    <xf numFmtId="44" fontId="47" fillId="14" borderId="67" xfId="8" applyFont="1" applyFill="1" applyBorder="1" applyAlignment="1">
      <alignment vertical="center"/>
    </xf>
    <xf numFmtId="44" fontId="47" fillId="14" borderId="57" xfId="8" applyFont="1" applyFill="1" applyBorder="1" applyAlignment="1">
      <alignment vertical="center"/>
    </xf>
    <xf numFmtId="1" fontId="47" fillId="13" borderId="88" xfId="0" applyNumberFormat="1" applyFont="1" applyFill="1" applyBorder="1" applyAlignment="1">
      <alignment horizontal="center" vertical="center"/>
    </xf>
    <xf numFmtId="1" fontId="47" fillId="13" borderId="65" xfId="0" applyNumberFormat="1" applyFont="1" applyFill="1" applyBorder="1" applyAlignment="1">
      <alignment horizontal="center" vertical="center"/>
    </xf>
    <xf numFmtId="44" fontId="47" fillId="13" borderId="65" xfId="8" applyFont="1" applyFill="1" applyBorder="1" applyAlignment="1">
      <alignment vertical="center"/>
    </xf>
    <xf numFmtId="44" fontId="47" fillId="15" borderId="65" xfId="8" applyFont="1" applyFill="1" applyBorder="1" applyAlignment="1">
      <alignment vertical="center"/>
    </xf>
    <xf numFmtId="9" fontId="47" fillId="14" borderId="65" xfId="1" applyFont="1" applyFill="1" applyBorder="1" applyAlignment="1">
      <alignment vertical="center"/>
    </xf>
    <xf numFmtId="44" fontId="47" fillId="14" borderId="65" xfId="8" applyFont="1" applyFill="1" applyBorder="1" applyAlignment="1">
      <alignment vertical="center"/>
    </xf>
    <xf numFmtId="0" fontId="47" fillId="0" borderId="63" xfId="0" applyFont="1" applyBorder="1" applyAlignment="1">
      <alignment horizontal="left" vertical="center" wrapText="1"/>
    </xf>
    <xf numFmtId="0" fontId="47" fillId="0" borderId="64" xfId="0" applyFont="1" applyBorder="1" applyAlignment="1">
      <alignment horizontal="left" vertical="center" wrapText="1"/>
    </xf>
    <xf numFmtId="1" fontId="47" fillId="13" borderId="96" xfId="0" applyNumberFormat="1" applyFont="1" applyFill="1" applyBorder="1" applyAlignment="1">
      <alignment horizontal="center" vertical="center"/>
    </xf>
    <xf numFmtId="1" fontId="47" fillId="13" borderId="7" xfId="0" applyNumberFormat="1" applyFont="1" applyFill="1" applyBorder="1" applyAlignment="1">
      <alignment horizontal="center" vertical="center"/>
    </xf>
    <xf numFmtId="44" fontId="47" fillId="13" borderId="7" xfId="8" applyFont="1" applyFill="1" applyBorder="1" applyAlignment="1">
      <alignment vertical="center"/>
    </xf>
    <xf numFmtId="44" fontId="50" fillId="15" borderId="7" xfId="8" applyFont="1" applyFill="1" applyBorder="1" applyAlignment="1">
      <alignment vertical="center"/>
    </xf>
    <xf numFmtId="9" fontId="47" fillId="14" borderId="7" xfId="1" applyFont="1" applyFill="1" applyBorder="1" applyAlignment="1">
      <alignment vertical="center"/>
    </xf>
    <xf numFmtId="44" fontId="47" fillId="14" borderId="7" xfId="8" applyFont="1" applyFill="1" applyBorder="1" applyAlignment="1">
      <alignment vertical="center"/>
    </xf>
    <xf numFmtId="0" fontId="47" fillId="0" borderId="80" xfId="0" applyFont="1" applyBorder="1" applyAlignment="1">
      <alignment horizontal="left" vertical="center" wrapText="1"/>
    </xf>
    <xf numFmtId="0" fontId="47" fillId="0" borderId="83" xfId="0" applyFont="1" applyBorder="1" applyAlignment="1">
      <alignment horizontal="left" vertical="center" wrapText="1"/>
    </xf>
    <xf numFmtId="0" fontId="47" fillId="0" borderId="67" xfId="0" applyFont="1" applyBorder="1" applyAlignment="1">
      <alignment horizontal="left" vertical="top" wrapText="1"/>
    </xf>
    <xf numFmtId="44" fontId="47" fillId="0" borderId="71" xfId="8" applyFont="1" applyBorder="1" applyAlignment="1">
      <alignment vertical="center"/>
    </xf>
    <xf numFmtId="44" fontId="47" fillId="0" borderId="79" xfId="8" applyFont="1" applyBorder="1" applyAlignment="1">
      <alignment vertical="center"/>
    </xf>
    <xf numFmtId="1" fontId="47" fillId="13" borderId="102" xfId="0" applyNumberFormat="1" applyFont="1" applyFill="1" applyBorder="1" applyAlignment="1">
      <alignment horizontal="center" vertical="center"/>
    </xf>
    <xf numFmtId="1" fontId="47" fillId="13" borderId="39" xfId="0" applyNumberFormat="1" applyFont="1" applyFill="1" applyBorder="1" applyAlignment="1">
      <alignment horizontal="center" vertical="center"/>
    </xf>
    <xf numFmtId="44" fontId="47" fillId="14" borderId="79" xfId="8" applyFont="1" applyFill="1" applyBorder="1" applyAlignment="1">
      <alignment vertical="center"/>
    </xf>
    <xf numFmtId="1" fontId="47" fillId="13" borderId="82" xfId="0" applyNumberFormat="1" applyFont="1" applyFill="1" applyBorder="1" applyAlignment="1">
      <alignment horizontal="center" vertical="center"/>
    </xf>
    <xf numFmtId="1" fontId="47" fillId="13" borderId="71" xfId="0" applyNumberFormat="1" applyFont="1" applyFill="1" applyBorder="1" applyAlignment="1">
      <alignment horizontal="center" vertical="center"/>
    </xf>
    <xf numFmtId="44" fontId="47" fillId="13" borderId="71" xfId="8" applyFont="1" applyFill="1" applyBorder="1" applyAlignment="1">
      <alignment vertical="center"/>
    </xf>
    <xf numFmtId="44" fontId="50" fillId="15" borderId="71" xfId="8" applyFont="1" applyFill="1" applyBorder="1" applyAlignment="1">
      <alignment vertical="center"/>
    </xf>
    <xf numFmtId="9" fontId="47" fillId="14" borderId="71" xfId="1" applyFont="1" applyFill="1" applyBorder="1" applyAlignment="1">
      <alignment vertical="center"/>
    </xf>
    <xf numFmtId="44" fontId="47" fillId="14" borderId="71" xfId="8" applyFont="1" applyFill="1" applyBorder="1" applyAlignment="1">
      <alignment vertical="center"/>
    </xf>
    <xf numFmtId="44" fontId="51" fillId="21" borderId="0" xfId="8" applyFont="1" applyFill="1" applyBorder="1" applyAlignment="1">
      <alignment vertical="center" wrapText="1"/>
    </xf>
    <xf numFmtId="44" fontId="49" fillId="10" borderId="15" xfId="8" applyFont="1" applyFill="1" applyBorder="1" applyAlignment="1">
      <alignment horizontal="right"/>
    </xf>
    <xf numFmtId="44" fontId="49" fillId="10" borderId="95" xfId="8" applyFont="1" applyFill="1" applyBorder="1" applyAlignment="1">
      <alignment horizontal="right"/>
    </xf>
    <xf numFmtId="44" fontId="49" fillId="10" borderId="92" xfId="8" applyFont="1" applyFill="1" applyBorder="1" applyAlignment="1">
      <alignment horizontal="right"/>
    </xf>
    <xf numFmtId="44" fontId="46" fillId="15" borderId="92" xfId="8" applyFont="1" applyFill="1" applyBorder="1" applyAlignment="1">
      <alignment vertical="center"/>
    </xf>
    <xf numFmtId="9" fontId="47" fillId="14" borderId="92" xfId="1" applyFont="1" applyFill="1" applyBorder="1" applyAlignment="1">
      <alignment vertical="center"/>
    </xf>
    <xf numFmtId="44" fontId="47" fillId="14" borderId="92" xfId="8" applyFont="1" applyFill="1" applyBorder="1" applyAlignment="1">
      <alignment vertical="center"/>
    </xf>
    <xf numFmtId="44" fontId="46" fillId="14" borderId="92" xfId="8" applyFont="1" applyFill="1" applyBorder="1" applyAlignment="1">
      <alignment vertical="center"/>
    </xf>
    <xf numFmtId="44" fontId="46" fillId="14" borderId="93" xfId="8" applyFont="1" applyFill="1" applyBorder="1" applyAlignment="1">
      <alignment vertical="center"/>
    </xf>
    <xf numFmtId="10" fontId="47" fillId="0" borderId="0" xfId="0" applyNumberFormat="1" applyFont="1" applyAlignment="1">
      <alignment horizontal="center" vertical="center"/>
    </xf>
    <xf numFmtId="0" fontId="47" fillId="23" borderId="49" xfId="0" applyFont="1" applyFill="1" applyBorder="1" applyAlignment="1">
      <alignment horizontal="left" vertical="center" wrapText="1"/>
    </xf>
    <xf numFmtId="0" fontId="52" fillId="0" borderId="66" xfId="2" applyFont="1" applyBorder="1" applyAlignment="1" applyProtection="1">
      <alignment horizontal="center" vertical="center" wrapText="1"/>
      <protection locked="0"/>
    </xf>
    <xf numFmtId="44" fontId="51" fillId="21" borderId="66" xfId="8" applyFont="1" applyFill="1" applyBorder="1" applyAlignment="1">
      <alignment vertical="center" wrapText="1"/>
    </xf>
    <xf numFmtId="44" fontId="46" fillId="18" borderId="0" xfId="8" applyFont="1" applyFill="1" applyBorder="1" applyAlignment="1">
      <alignment vertical="center"/>
    </xf>
    <xf numFmtId="44" fontId="51" fillId="18" borderId="66" xfId="8" applyFont="1" applyFill="1" applyBorder="1" applyAlignment="1">
      <alignment vertical="center"/>
    </xf>
    <xf numFmtId="44" fontId="47" fillId="18" borderId="0" xfId="8" applyFont="1" applyFill="1" applyBorder="1" applyAlignment="1">
      <alignment vertical="center"/>
    </xf>
    <xf numFmtId="44" fontId="50" fillId="15" borderId="65" xfId="8" applyFont="1" applyFill="1" applyBorder="1" applyAlignment="1">
      <alignment vertical="center"/>
    </xf>
    <xf numFmtId="0" fontId="46" fillId="0" borderId="67" xfId="0" applyFont="1" applyBorder="1" applyAlignment="1">
      <alignment horizontal="left" vertical="center" wrapText="1"/>
    </xf>
    <xf numFmtId="44" fontId="47" fillId="0" borderId="67" xfId="8" applyFont="1" applyFill="1" applyBorder="1" applyAlignment="1">
      <alignment vertical="center"/>
    </xf>
    <xf numFmtId="44" fontId="48" fillId="21" borderId="66" xfId="8" applyFont="1" applyFill="1" applyBorder="1" applyAlignment="1">
      <alignment vertical="center"/>
    </xf>
    <xf numFmtId="0" fontId="47" fillId="17" borderId="56" xfId="0" applyFont="1" applyFill="1" applyBorder="1" applyAlignment="1">
      <alignment horizontal="left" vertical="center" wrapText="1"/>
    </xf>
    <xf numFmtId="0" fontId="47" fillId="17" borderId="67" xfId="0" applyFont="1" applyFill="1" applyBorder="1" applyAlignment="1">
      <alignment horizontal="left" vertical="center" wrapText="1"/>
    </xf>
    <xf numFmtId="0" fontId="52" fillId="17" borderId="66" xfId="2" applyFont="1" applyFill="1" applyBorder="1" applyAlignment="1" applyProtection="1">
      <alignment horizontal="center" vertical="center" wrapText="1"/>
      <protection locked="0"/>
    </xf>
    <xf numFmtId="44" fontId="47" fillId="17" borderId="67" xfId="8" applyFont="1" applyFill="1" applyBorder="1" applyAlignment="1">
      <alignment vertical="center"/>
    </xf>
    <xf numFmtId="0" fontId="47" fillId="18" borderId="56" xfId="0" applyFont="1" applyFill="1" applyBorder="1" applyAlignment="1">
      <alignment horizontal="left" vertical="center" wrapText="1"/>
    </xf>
    <xf numFmtId="0" fontId="47" fillId="18" borderId="67" xfId="0" applyFont="1" applyFill="1" applyBorder="1" applyAlignment="1">
      <alignment horizontal="left" vertical="center" wrapText="1"/>
    </xf>
    <xf numFmtId="0" fontId="52" fillId="18" borderId="66" xfId="2" applyFont="1" applyFill="1" applyBorder="1" applyAlignment="1" applyProtection="1">
      <alignment horizontal="center" vertical="center" wrapText="1"/>
      <protection locked="0"/>
    </xf>
    <xf numFmtId="44" fontId="47" fillId="18" borderId="67" xfId="8" applyFont="1" applyFill="1" applyBorder="1" applyAlignment="1">
      <alignment vertical="center"/>
    </xf>
    <xf numFmtId="44" fontId="48" fillId="21" borderId="0" xfId="8" applyFont="1" applyFill="1" applyBorder="1" applyAlignment="1">
      <alignment vertical="center"/>
    </xf>
    <xf numFmtId="0" fontId="5" fillId="0" borderId="66" xfId="0" applyFont="1" applyBorder="1" applyAlignment="1">
      <alignment horizontal="left" vertical="center" wrapText="1"/>
    </xf>
    <xf numFmtId="0" fontId="46" fillId="0" borderId="66" xfId="0" applyFont="1" applyBorder="1" applyAlignment="1">
      <alignment horizontal="left" vertical="center" wrapText="1"/>
    </xf>
    <xf numFmtId="44" fontId="47" fillId="0" borderId="0" xfId="8" applyFont="1" applyBorder="1" applyAlignment="1">
      <alignment vertical="center"/>
    </xf>
    <xf numFmtId="0" fontId="47" fillId="0" borderId="72" xfId="0" applyFont="1" applyBorder="1" applyAlignment="1">
      <alignment horizontal="left" vertical="center" wrapText="1"/>
    </xf>
    <xf numFmtId="0" fontId="47" fillId="0" borderId="67" xfId="0" applyFont="1" applyBorder="1" applyAlignment="1">
      <alignment horizontal="center" vertical="center"/>
    </xf>
    <xf numFmtId="0" fontId="47" fillId="0" borderId="66" xfId="0" applyFont="1" applyBorder="1" applyAlignment="1">
      <alignment horizontal="center" vertical="center"/>
    </xf>
    <xf numFmtId="44" fontId="47" fillId="15" borderId="7" xfId="8" applyFont="1" applyFill="1" applyBorder="1" applyAlignment="1">
      <alignment vertical="center"/>
    </xf>
    <xf numFmtId="170" fontId="49" fillId="11" borderId="92" xfId="8" applyNumberFormat="1" applyFont="1" applyFill="1" applyBorder="1" applyAlignment="1">
      <alignment horizontal="right"/>
    </xf>
    <xf numFmtId="170" fontId="49" fillId="11" borderId="93" xfId="8" applyNumberFormat="1" applyFont="1" applyFill="1" applyBorder="1" applyAlignment="1">
      <alignment horizontal="right"/>
    </xf>
    <xf numFmtId="170" fontId="49" fillId="11" borderId="15" xfId="8" applyNumberFormat="1" applyFont="1" applyFill="1" applyBorder="1" applyAlignment="1">
      <alignment horizontal="right"/>
    </xf>
    <xf numFmtId="44" fontId="49" fillId="11" borderId="86" xfId="8" applyFont="1" applyFill="1" applyBorder="1" applyAlignment="1">
      <alignment horizontal="right"/>
    </xf>
    <xf numFmtId="44" fontId="46" fillId="15" borderId="86" xfId="8" applyFont="1" applyFill="1" applyBorder="1" applyAlignment="1">
      <alignment vertical="center"/>
    </xf>
    <xf numFmtId="9" fontId="47" fillId="14" borderId="86" xfId="1" applyFont="1" applyFill="1" applyBorder="1" applyAlignment="1">
      <alignment vertical="center"/>
    </xf>
    <xf numFmtId="44" fontId="47" fillId="14" borderId="86" xfId="8" applyFont="1" applyFill="1" applyBorder="1" applyAlignment="1">
      <alignment vertical="center"/>
    </xf>
    <xf numFmtId="44" fontId="46" fillId="14" borderId="86" xfId="8" applyFont="1" applyFill="1" applyBorder="1" applyAlignment="1">
      <alignment vertical="center"/>
    </xf>
    <xf numFmtId="44" fontId="46" fillId="14" borderId="98" xfId="8" applyFont="1" applyFill="1" applyBorder="1" applyAlignment="1">
      <alignment vertical="center"/>
    </xf>
    <xf numFmtId="10" fontId="47" fillId="0" borderId="10" xfId="0" applyNumberFormat="1" applyFont="1" applyBorder="1" applyAlignment="1">
      <alignment horizontal="center" vertical="center"/>
    </xf>
    <xf numFmtId="10" fontId="47" fillId="0" borderId="66" xfId="0" applyNumberFormat="1" applyFont="1" applyBorder="1" applyAlignment="1">
      <alignment horizontal="center" vertical="center"/>
    </xf>
    <xf numFmtId="0" fontId="52" fillId="0" borderId="67" xfId="0" applyFont="1" applyBorder="1" applyAlignment="1">
      <alignment vertical="center" wrapText="1"/>
    </xf>
    <xf numFmtId="44" fontId="52" fillId="0" borderId="66" xfId="8" applyFont="1" applyFill="1" applyBorder="1" applyAlignment="1" applyProtection="1">
      <alignment horizontal="left" vertical="center" wrapText="1"/>
      <protection locked="0"/>
    </xf>
    <xf numFmtId="44" fontId="47" fillId="0" borderId="8" xfId="8" applyFont="1" applyBorder="1" applyAlignment="1">
      <alignment vertical="center"/>
    </xf>
    <xf numFmtId="44" fontId="47" fillId="0" borderId="9" xfId="8" applyFont="1" applyBorder="1" applyAlignment="1">
      <alignment vertical="center"/>
    </xf>
    <xf numFmtId="170" fontId="49" fillId="11" borderId="0" xfId="0" applyNumberFormat="1" applyFont="1" applyFill="1" applyAlignment="1">
      <alignment horizontal="right"/>
    </xf>
    <xf numFmtId="170" fontId="49" fillId="11" borderId="18" xfId="0" applyNumberFormat="1" applyFont="1" applyFill="1" applyBorder="1" applyAlignment="1">
      <alignment horizontal="right"/>
    </xf>
    <xf numFmtId="44" fontId="49" fillId="11" borderId="67" xfId="0" applyNumberFormat="1" applyFont="1" applyFill="1" applyBorder="1" applyAlignment="1">
      <alignment horizontal="right"/>
    </xf>
    <xf numFmtId="44" fontId="46" fillId="15" borderId="67" xfId="0" applyNumberFormat="1" applyFont="1" applyFill="1" applyBorder="1"/>
    <xf numFmtId="9" fontId="41" fillId="14" borderId="67" xfId="0" applyNumberFormat="1" applyFont="1" applyFill="1" applyBorder="1"/>
    <xf numFmtId="0" fontId="41" fillId="14" borderId="67" xfId="0" applyFont="1" applyFill="1" applyBorder="1"/>
    <xf numFmtId="44" fontId="46" fillId="14" borderId="67" xfId="0" applyNumberFormat="1" applyFont="1" applyFill="1" applyBorder="1"/>
    <xf numFmtId="44" fontId="46" fillId="14" borderId="57" xfId="8" applyFont="1" applyFill="1" applyBorder="1"/>
    <xf numFmtId="0" fontId="46" fillId="12" borderId="74" xfId="0" applyFont="1" applyFill="1" applyBorder="1" applyAlignment="1">
      <alignment horizontal="center" vertical="center"/>
    </xf>
    <xf numFmtId="0" fontId="46" fillId="12" borderId="75" xfId="0" applyFont="1" applyFill="1" applyBorder="1" applyAlignment="1">
      <alignment horizontal="center" vertical="center"/>
    </xf>
    <xf numFmtId="0" fontId="46" fillId="12" borderId="108" xfId="0" applyFont="1" applyFill="1" applyBorder="1" applyAlignment="1">
      <alignment horizontal="center" vertical="center"/>
    </xf>
    <xf numFmtId="0" fontId="47" fillId="0" borderId="66" xfId="0" applyFont="1" applyBorder="1" applyAlignment="1">
      <alignment horizontal="left" vertical="center" wrapText="1"/>
    </xf>
    <xf numFmtId="44" fontId="47" fillId="18" borderId="66" xfId="8" applyFont="1" applyFill="1" applyBorder="1" applyAlignment="1">
      <alignment vertical="center"/>
    </xf>
    <xf numFmtId="44" fontId="48" fillId="21" borderId="67" xfId="8" applyFont="1" applyFill="1" applyBorder="1" applyAlignment="1">
      <alignment vertical="center"/>
    </xf>
    <xf numFmtId="44" fontId="52" fillId="18" borderId="66" xfId="8" applyFont="1" applyFill="1" applyBorder="1" applyAlignment="1">
      <alignment vertical="center"/>
    </xf>
    <xf numFmtId="44" fontId="48" fillId="21" borderId="71" xfId="8" applyFont="1" applyFill="1" applyBorder="1" applyAlignment="1">
      <alignment vertical="center"/>
    </xf>
    <xf numFmtId="44" fontId="47" fillId="15" borderId="71" xfId="8" applyFont="1" applyFill="1" applyBorder="1" applyAlignment="1">
      <alignment vertical="center"/>
    </xf>
    <xf numFmtId="170" fontId="49" fillId="11" borderId="86" xfId="0" applyNumberFormat="1" applyFont="1" applyFill="1" applyBorder="1" applyAlignment="1">
      <alignment horizontal="right"/>
    </xf>
    <xf numFmtId="170" fontId="49" fillId="11" borderId="89" xfId="0" applyNumberFormat="1" applyFont="1" applyFill="1" applyBorder="1" applyAlignment="1">
      <alignment horizontal="right"/>
    </xf>
    <xf numFmtId="44" fontId="46" fillId="15" borderId="86" xfId="0" applyNumberFormat="1" applyFont="1" applyFill="1" applyBorder="1"/>
    <xf numFmtId="9" fontId="41" fillId="14" borderId="86" xfId="0" applyNumberFormat="1" applyFont="1" applyFill="1" applyBorder="1"/>
    <xf numFmtId="0" fontId="41" fillId="14" borderId="86" xfId="0" applyFont="1" applyFill="1" applyBorder="1"/>
    <xf numFmtId="44" fontId="46" fillId="14" borderId="86" xfId="0" applyNumberFormat="1" applyFont="1" applyFill="1" applyBorder="1"/>
    <xf numFmtId="44" fontId="46" fillId="14" borderId="98" xfId="8" applyFont="1" applyFill="1" applyBorder="1"/>
    <xf numFmtId="44" fontId="41" fillId="0" borderId="0" xfId="0" applyNumberFormat="1" applyFont="1"/>
    <xf numFmtId="0" fontId="47" fillId="0" borderId="66" xfId="2" applyFont="1" applyBorder="1" applyAlignment="1" applyProtection="1">
      <alignment horizontal="center" vertical="center"/>
      <protection locked="0"/>
    </xf>
    <xf numFmtId="44" fontId="47" fillId="0" borderId="66" xfId="8" applyFont="1" applyFill="1" applyBorder="1" applyAlignment="1" applyProtection="1">
      <alignment vertical="center"/>
      <protection locked="0"/>
    </xf>
    <xf numFmtId="170" fontId="49" fillId="11" borderId="98" xfId="0" applyNumberFormat="1" applyFont="1" applyFill="1" applyBorder="1" applyAlignment="1">
      <alignment horizontal="right"/>
    </xf>
    <xf numFmtId="170" fontId="49" fillId="11" borderId="15" xfId="0" applyNumberFormat="1" applyFont="1" applyFill="1" applyBorder="1" applyAlignment="1">
      <alignment horizontal="right"/>
    </xf>
    <xf numFmtId="44" fontId="49" fillId="11" borderId="92" xfId="0" applyNumberFormat="1" applyFont="1" applyFill="1" applyBorder="1" applyAlignment="1">
      <alignment horizontal="right"/>
    </xf>
    <xf numFmtId="44" fontId="46" fillId="15" borderId="92" xfId="0" applyNumberFormat="1" applyFont="1" applyFill="1" applyBorder="1"/>
    <xf numFmtId="9" fontId="41" fillId="14" borderId="92" xfId="0" applyNumberFormat="1" applyFont="1" applyFill="1" applyBorder="1"/>
    <xf numFmtId="0" fontId="41" fillId="14" borderId="92" xfId="0" applyFont="1" applyFill="1" applyBorder="1"/>
    <xf numFmtId="44" fontId="46" fillId="14" borderId="92" xfId="0" applyNumberFormat="1" applyFont="1" applyFill="1" applyBorder="1"/>
    <xf numFmtId="44" fontId="46" fillId="14" borderId="93" xfId="8" applyFont="1" applyFill="1" applyBorder="1"/>
    <xf numFmtId="44" fontId="45" fillId="18" borderId="0" xfId="0" applyNumberFormat="1" applyFont="1" applyFill="1"/>
    <xf numFmtId="0" fontId="46" fillId="12" borderId="105" xfId="0" applyFont="1" applyFill="1" applyBorder="1" applyAlignment="1">
      <alignment horizontal="center" vertical="center"/>
    </xf>
    <xf numFmtId="0" fontId="46" fillId="12" borderId="0" xfId="0" applyFont="1" applyFill="1" applyAlignment="1">
      <alignment horizontal="center" vertical="center"/>
    </xf>
    <xf numFmtId="0" fontId="52" fillId="0" borderId="66" xfId="2" applyFont="1" applyBorder="1" applyAlignment="1" applyProtection="1">
      <alignment horizontal="right" vertical="center" wrapText="1"/>
      <protection locked="0"/>
    </xf>
    <xf numFmtId="1" fontId="47" fillId="13" borderId="73" xfId="0" applyNumberFormat="1" applyFont="1" applyFill="1" applyBorder="1" applyAlignment="1">
      <alignment horizontal="center" vertical="center"/>
    </xf>
    <xf numFmtId="1" fontId="47" fillId="13" borderId="74" xfId="0" applyNumberFormat="1" applyFont="1" applyFill="1" applyBorder="1" applyAlignment="1">
      <alignment horizontal="center" vertical="center"/>
    </xf>
    <xf numFmtId="44" fontId="47" fillId="13" borderId="74" xfId="8" applyFont="1" applyFill="1" applyBorder="1" applyAlignment="1">
      <alignment vertical="center"/>
    </xf>
    <xf numFmtId="44" fontId="47" fillId="15" borderId="74" xfId="8" applyFont="1" applyFill="1" applyBorder="1" applyAlignment="1">
      <alignment vertical="center"/>
    </xf>
    <xf numFmtId="9" fontId="47" fillId="14" borderId="74" xfId="1" applyFont="1" applyFill="1" applyBorder="1" applyAlignment="1">
      <alignment vertical="center"/>
    </xf>
    <xf numFmtId="44" fontId="47" fillId="14" borderId="74" xfId="8" applyFont="1" applyFill="1" applyBorder="1" applyAlignment="1">
      <alignment vertical="center"/>
    </xf>
    <xf numFmtId="44" fontId="47" fillId="14" borderId="75" xfId="8" applyFont="1" applyFill="1" applyBorder="1" applyAlignment="1">
      <alignment vertical="center"/>
    </xf>
    <xf numFmtId="44" fontId="47" fillId="0" borderId="68" xfId="8" applyFont="1" applyBorder="1" applyAlignment="1">
      <alignment vertical="center"/>
    </xf>
    <xf numFmtId="44" fontId="47" fillId="0" borderId="78" xfId="8" applyFont="1" applyBorder="1" applyAlignment="1">
      <alignment vertical="center"/>
    </xf>
    <xf numFmtId="0" fontId="52" fillId="0" borderId="67" xfId="2" applyFont="1" applyBorder="1" applyAlignment="1" applyProtection="1">
      <alignment horizontal="right" vertical="center" wrapText="1"/>
      <protection locked="0"/>
    </xf>
    <xf numFmtId="44" fontId="52" fillId="0" borderId="67" xfId="8" applyFont="1" applyFill="1" applyBorder="1" applyAlignment="1" applyProtection="1">
      <alignment horizontal="left" vertical="center" wrapText="1"/>
      <protection locked="0"/>
    </xf>
    <xf numFmtId="0" fontId="47" fillId="0" borderId="66" xfId="2" applyFont="1" applyBorder="1" applyAlignment="1" applyProtection="1">
      <alignment vertical="center"/>
      <protection locked="0"/>
    </xf>
    <xf numFmtId="44" fontId="47" fillId="0" borderId="7" xfId="8" applyFont="1" applyBorder="1" applyAlignment="1">
      <alignment vertical="center"/>
    </xf>
    <xf numFmtId="1" fontId="47" fillId="13" borderId="7" xfId="0" applyNumberFormat="1" applyFont="1" applyFill="1" applyBorder="1" applyAlignment="1">
      <alignment vertical="center"/>
    </xf>
    <xf numFmtId="0" fontId="47" fillId="17" borderId="72" xfId="0" applyFont="1" applyFill="1" applyBorder="1" applyAlignment="1">
      <alignment horizontal="left" vertical="center" wrapText="1"/>
    </xf>
    <xf numFmtId="1" fontId="47" fillId="13" borderId="77" xfId="0" applyNumberFormat="1" applyFont="1" applyFill="1" applyBorder="1" applyAlignment="1">
      <alignment horizontal="center" vertical="center"/>
    </xf>
    <xf numFmtId="1" fontId="47" fillId="13" borderId="68" xfId="0" applyNumberFormat="1" applyFont="1" applyFill="1" applyBorder="1" applyAlignment="1">
      <alignment horizontal="center" vertical="center"/>
    </xf>
    <xf numFmtId="44" fontId="47" fillId="15" borderId="68" xfId="8" applyFont="1" applyFill="1" applyBorder="1" applyAlignment="1">
      <alignment vertical="center"/>
    </xf>
    <xf numFmtId="9" fontId="47" fillId="14" borderId="68" xfId="1" applyFont="1" applyFill="1" applyBorder="1" applyAlignment="1">
      <alignment vertical="center"/>
    </xf>
    <xf numFmtId="44" fontId="47" fillId="14" borderId="68" xfId="8" applyFont="1" applyFill="1" applyBorder="1" applyAlignment="1">
      <alignment vertical="center"/>
    </xf>
    <xf numFmtId="44" fontId="47" fillId="14" borderId="78" xfId="8" applyFont="1" applyFill="1" applyBorder="1" applyAlignment="1">
      <alignment vertical="center"/>
    </xf>
    <xf numFmtId="0" fontId="46" fillId="12" borderId="121" xfId="0" applyFont="1" applyFill="1" applyBorder="1" applyAlignment="1">
      <alignment horizontal="center" vertical="center"/>
    </xf>
    <xf numFmtId="44" fontId="51" fillId="21" borderId="71" xfId="8" applyFont="1" applyFill="1" applyBorder="1" applyAlignment="1">
      <alignment vertical="center"/>
    </xf>
    <xf numFmtId="170" fontId="49" fillId="11" borderId="101" xfId="0" applyNumberFormat="1" applyFont="1" applyFill="1" applyBorder="1" applyAlignment="1">
      <alignment horizontal="right"/>
    </xf>
    <xf numFmtId="44" fontId="46" fillId="15" borderId="68" xfId="0" applyNumberFormat="1" applyFont="1" applyFill="1" applyBorder="1"/>
    <xf numFmtId="9" fontId="41" fillId="14" borderId="68" xfId="0" applyNumberFormat="1" applyFont="1" applyFill="1" applyBorder="1"/>
    <xf numFmtId="0" fontId="41" fillId="14" borderId="68" xfId="0" applyFont="1" applyFill="1" applyBorder="1"/>
    <xf numFmtId="44" fontId="46" fillId="14" borderId="68" xfId="0" applyNumberFormat="1" applyFont="1" applyFill="1" applyBorder="1"/>
    <xf numFmtId="44" fontId="46" fillId="14" borderId="78" xfId="8" applyFont="1" applyFill="1" applyBorder="1"/>
    <xf numFmtId="0" fontId="46" fillId="12" borderId="71" xfId="0" applyFont="1" applyFill="1" applyBorder="1" applyAlignment="1">
      <alignment horizontal="center" vertical="center"/>
    </xf>
    <xf numFmtId="0" fontId="46" fillId="12" borderId="79" xfId="0" applyFont="1" applyFill="1" applyBorder="1" applyAlignment="1">
      <alignment horizontal="center" vertical="center"/>
    </xf>
    <xf numFmtId="0" fontId="46" fillId="17" borderId="66" xfId="0" applyFont="1" applyFill="1" applyBorder="1" applyAlignment="1">
      <alignment horizontal="left" vertical="center" wrapText="1"/>
    </xf>
    <xf numFmtId="0" fontId="47" fillId="17" borderId="66" xfId="2" applyFont="1" applyFill="1" applyBorder="1" applyAlignment="1" applyProtection="1">
      <alignment horizontal="center" vertical="center"/>
      <protection locked="0"/>
    </xf>
    <xf numFmtId="44" fontId="47" fillId="17" borderId="66" xfId="8" applyFont="1" applyFill="1" applyBorder="1" applyAlignment="1" applyProtection="1">
      <alignment vertical="center"/>
      <protection locked="0"/>
    </xf>
    <xf numFmtId="44" fontId="51" fillId="21" borderId="67" xfId="8" applyFont="1" applyFill="1" applyBorder="1" applyAlignment="1">
      <alignment vertical="center"/>
    </xf>
    <xf numFmtId="170" fontId="49" fillId="11" borderId="33" xfId="0" applyNumberFormat="1" applyFont="1" applyFill="1" applyBorder="1" applyAlignment="1">
      <alignment horizontal="right"/>
    </xf>
    <xf numFmtId="0" fontId="47" fillId="0" borderId="82" xfId="0" applyFont="1" applyBorder="1" applyAlignment="1">
      <alignment horizontal="left" vertical="center" wrapText="1"/>
    </xf>
    <xf numFmtId="0" fontId="46" fillId="19" borderId="71" xfId="0" applyFont="1" applyFill="1" applyBorder="1" applyAlignment="1">
      <alignment horizontal="left" vertical="center" wrapText="1"/>
    </xf>
    <xf numFmtId="0" fontId="47" fillId="19" borderId="71" xfId="2" applyFont="1" applyFill="1" applyBorder="1" applyAlignment="1" applyProtection="1">
      <alignment horizontal="center" vertical="center"/>
      <protection locked="0"/>
    </xf>
    <xf numFmtId="44" fontId="47" fillId="19" borderId="71" xfId="8" applyFont="1" applyFill="1" applyBorder="1" applyAlignment="1" applyProtection="1">
      <alignment vertical="center"/>
      <protection locked="0"/>
    </xf>
    <xf numFmtId="44" fontId="47" fillId="0" borderId="66" xfId="8" applyFont="1" applyBorder="1" applyAlignment="1">
      <alignment horizontal="left" vertical="center"/>
    </xf>
    <xf numFmtId="0" fontId="53" fillId="0" borderId="66" xfId="0" applyFont="1" applyBorder="1" applyAlignment="1">
      <alignment horizontal="left" vertical="center" wrapText="1"/>
    </xf>
    <xf numFmtId="0" fontId="52" fillId="0" borderId="66" xfId="0" applyFont="1" applyBorder="1" applyAlignment="1">
      <alignment vertical="center" wrapText="1"/>
    </xf>
    <xf numFmtId="0" fontId="41" fillId="18" borderId="0" xfId="0" applyFont="1" applyFill="1"/>
    <xf numFmtId="1" fontId="47" fillId="13" borderId="72" xfId="0" applyNumberFormat="1" applyFont="1" applyFill="1" applyBorder="1" applyAlignment="1">
      <alignment vertical="center"/>
    </xf>
    <xf numFmtId="1" fontId="47" fillId="13" borderId="66" xfId="0" applyNumberFormat="1" applyFont="1" applyFill="1" applyBorder="1" applyAlignment="1">
      <alignment vertical="center"/>
    </xf>
    <xf numFmtId="0" fontId="47" fillId="17" borderId="82" xfId="0" applyFont="1" applyFill="1" applyBorder="1" applyAlignment="1">
      <alignment horizontal="left" vertical="center" wrapText="1"/>
    </xf>
    <xf numFmtId="3" fontId="52" fillId="0" borderId="66" xfId="2" applyNumberFormat="1" applyFont="1" applyBorder="1" applyAlignment="1" applyProtection="1">
      <alignment horizontal="center" vertical="center" wrapText="1"/>
      <protection locked="0"/>
    </xf>
    <xf numFmtId="3" fontId="52" fillId="0" borderId="67" xfId="2" applyNumberFormat="1" applyFont="1" applyBorder="1" applyAlignment="1" applyProtection="1">
      <alignment horizontal="center" vertical="center" wrapText="1"/>
      <protection locked="0"/>
    </xf>
    <xf numFmtId="0" fontId="52" fillId="0" borderId="67" xfId="2" applyFont="1" applyBorder="1" applyAlignment="1" applyProtection="1">
      <alignment horizontal="center" vertical="center" wrapText="1"/>
      <protection locked="0"/>
    </xf>
    <xf numFmtId="0" fontId="53" fillId="0" borderId="103" xfId="0" applyFont="1" applyBorder="1" applyAlignment="1">
      <alignment horizontal="left" vertical="center" wrapText="1"/>
    </xf>
    <xf numFmtId="0" fontId="40" fillId="21" borderId="66" xfId="0" applyFont="1" applyFill="1" applyBorder="1" applyAlignment="1">
      <alignment horizontal="center" vertical="center" wrapText="1"/>
    </xf>
    <xf numFmtId="1" fontId="50" fillId="13" borderId="96" xfId="0" applyNumberFormat="1" applyFont="1" applyFill="1" applyBorder="1" applyAlignment="1">
      <alignment vertical="center"/>
    </xf>
    <xf numFmtId="1" fontId="50" fillId="13" borderId="7" xfId="0" applyNumberFormat="1" applyFont="1" applyFill="1" applyBorder="1" applyAlignment="1">
      <alignment vertical="center"/>
    </xf>
    <xf numFmtId="44" fontId="50" fillId="13" borderId="7" xfId="8" applyFont="1" applyFill="1" applyBorder="1" applyAlignment="1">
      <alignment vertical="center"/>
    </xf>
    <xf numFmtId="0" fontId="53" fillId="0" borderId="71" xfId="0" applyFont="1" applyBorder="1" applyAlignment="1">
      <alignment horizontal="left" vertical="center" wrapText="1"/>
    </xf>
    <xf numFmtId="0" fontId="52" fillId="0" borderId="71" xfId="2" applyFont="1" applyBorder="1" applyAlignment="1" applyProtection="1">
      <alignment horizontal="center" vertical="center" wrapText="1"/>
      <protection locked="0"/>
    </xf>
    <xf numFmtId="0" fontId="47" fillId="17" borderId="66" xfId="0" applyFont="1" applyFill="1" applyBorder="1" applyAlignment="1">
      <alignment horizontal="left" vertical="center" wrapText="1"/>
    </xf>
    <xf numFmtId="0" fontId="47" fillId="17" borderId="66" xfId="2" applyFont="1" applyFill="1" applyBorder="1" applyAlignment="1" applyProtection="1">
      <alignment horizontal="center" vertical="center" wrapText="1"/>
      <protection locked="0"/>
    </xf>
    <xf numFmtId="44" fontId="47" fillId="17" borderId="66" xfId="8" applyFont="1" applyFill="1" applyBorder="1" applyAlignment="1" applyProtection="1">
      <alignment horizontal="left" vertical="center" wrapText="1"/>
      <protection locked="0"/>
    </xf>
    <xf numFmtId="44" fontId="47" fillId="17" borderId="57" xfId="8" applyFont="1" applyFill="1" applyBorder="1" applyAlignment="1">
      <alignment vertical="center"/>
    </xf>
    <xf numFmtId="44" fontId="46" fillId="18" borderId="66" xfId="8" applyFont="1" applyFill="1" applyBorder="1" applyAlignment="1">
      <alignment vertical="center"/>
    </xf>
    <xf numFmtId="44" fontId="46" fillId="18" borderId="66" xfId="8" applyFont="1" applyFill="1" applyBorder="1" applyAlignment="1">
      <alignment vertical="center" wrapText="1"/>
    </xf>
    <xf numFmtId="44" fontId="46" fillId="15" borderId="66" xfId="0" applyNumberFormat="1" applyFont="1" applyFill="1" applyBorder="1"/>
    <xf numFmtId="9" fontId="41" fillId="14" borderId="66" xfId="0" applyNumberFormat="1" applyFont="1" applyFill="1" applyBorder="1"/>
    <xf numFmtId="0" fontId="41" fillId="14" borderId="66" xfId="0" applyFont="1" applyFill="1" applyBorder="1"/>
    <xf numFmtId="44" fontId="46" fillId="14" borderId="66" xfId="0" applyNumberFormat="1" applyFont="1" applyFill="1" applyBorder="1"/>
    <xf numFmtId="44" fontId="46" fillId="14" borderId="70" xfId="8" applyFont="1" applyFill="1" applyBorder="1"/>
    <xf numFmtId="0" fontId="46" fillId="12" borderId="106" xfId="0" applyFont="1" applyFill="1" applyBorder="1" applyAlignment="1">
      <alignment horizontal="center" vertical="center"/>
    </xf>
    <xf numFmtId="0" fontId="53" fillId="17" borderId="66" xfId="0" applyFont="1" applyFill="1" applyBorder="1" applyAlignment="1">
      <alignment horizontal="left" vertical="center" wrapText="1"/>
    </xf>
    <xf numFmtId="44" fontId="47" fillId="0" borderId="10" xfId="8" applyFont="1" applyBorder="1" applyAlignment="1">
      <alignment vertical="center"/>
    </xf>
    <xf numFmtId="44" fontId="47" fillId="0" borderId="33" xfId="8" applyFont="1" applyBorder="1" applyAlignment="1">
      <alignment vertical="center"/>
    </xf>
    <xf numFmtId="44" fontId="47" fillId="0" borderId="106" xfId="8" applyFont="1" applyBorder="1" applyAlignment="1">
      <alignment vertical="center"/>
    </xf>
    <xf numFmtId="44" fontId="55" fillId="21" borderId="10" xfId="8" applyFont="1" applyFill="1" applyBorder="1" applyAlignment="1">
      <alignment vertical="center"/>
    </xf>
    <xf numFmtId="44" fontId="47" fillId="13" borderId="86" xfId="8" applyFont="1" applyFill="1" applyBorder="1" applyAlignment="1">
      <alignment vertical="center"/>
    </xf>
    <xf numFmtId="44" fontId="51" fillId="21" borderId="71" xfId="8" applyFont="1" applyFill="1" applyBorder="1" applyAlignment="1">
      <alignment vertical="center" wrapText="1"/>
    </xf>
    <xf numFmtId="0" fontId="41" fillId="0" borderId="0" xfId="0" applyFont="1" applyAlignment="1">
      <alignment vertical="center" wrapText="1"/>
    </xf>
    <xf numFmtId="44" fontId="47" fillId="0" borderId="66" xfId="8" applyFont="1" applyFill="1" applyBorder="1" applyAlignment="1">
      <alignment horizontal="left" vertical="center"/>
    </xf>
    <xf numFmtId="0" fontId="41" fillId="0" borderId="0" xfId="0" applyFont="1" applyAlignment="1">
      <alignment wrapText="1"/>
    </xf>
    <xf numFmtId="0" fontId="50" fillId="17" borderId="72" xfId="0" applyFont="1" applyFill="1" applyBorder="1" applyAlignment="1">
      <alignment horizontal="left" vertical="center" wrapText="1"/>
    </xf>
    <xf numFmtId="0" fontId="50" fillId="0" borderId="66" xfId="0" applyFont="1" applyBorder="1" applyAlignment="1">
      <alignment horizontal="left" vertical="center" wrapText="1"/>
    </xf>
    <xf numFmtId="0" fontId="50" fillId="0" borderId="66" xfId="0" applyFont="1" applyBorder="1" applyAlignment="1">
      <alignment horizontal="center" vertical="center"/>
    </xf>
    <xf numFmtId="44" fontId="50" fillId="0" borderId="66" xfId="8" applyFont="1" applyFill="1" applyBorder="1" applyAlignment="1">
      <alignment horizontal="left" vertical="center"/>
    </xf>
    <xf numFmtId="44" fontId="50" fillId="0" borderId="66" xfId="8" applyFont="1" applyBorder="1" applyAlignment="1">
      <alignment vertical="center"/>
    </xf>
    <xf numFmtId="44" fontId="50" fillId="0" borderId="70" xfId="8" applyFont="1" applyBorder="1" applyAlignment="1">
      <alignment vertical="center"/>
    </xf>
    <xf numFmtId="0" fontId="48" fillId="0" borderId="66" xfId="0" applyFont="1" applyBorder="1" applyAlignment="1">
      <alignment horizontal="left" vertical="center" wrapText="1"/>
    </xf>
    <xf numFmtId="44" fontId="50" fillId="0" borderId="66" xfId="8" applyFont="1" applyBorder="1" applyAlignment="1">
      <alignment horizontal="left" vertical="center"/>
    </xf>
    <xf numFmtId="170" fontId="49" fillId="11" borderId="67" xfId="8" applyNumberFormat="1" applyFont="1" applyFill="1" applyBorder="1" applyAlignment="1">
      <alignment horizontal="right"/>
    </xf>
    <xf numFmtId="170" fontId="49" fillId="11" borderId="33" xfId="8" applyNumberFormat="1" applyFont="1" applyFill="1" applyBorder="1" applyAlignment="1">
      <alignment horizontal="right"/>
    </xf>
    <xf numFmtId="44" fontId="46" fillId="14" borderId="67" xfId="8" applyFont="1" applyFill="1" applyBorder="1" applyAlignment="1">
      <alignment vertical="center"/>
    </xf>
    <xf numFmtId="44" fontId="46" fillId="14" borderId="57" xfId="8" applyFont="1" applyFill="1" applyBorder="1" applyAlignment="1">
      <alignment vertical="center"/>
    </xf>
    <xf numFmtId="44" fontId="46" fillId="15" borderId="71" xfId="0" applyNumberFormat="1" applyFont="1" applyFill="1" applyBorder="1"/>
    <xf numFmtId="9" fontId="41" fillId="14" borderId="71" xfId="0" applyNumberFormat="1" applyFont="1" applyFill="1" applyBorder="1"/>
    <xf numFmtId="0" fontId="41" fillId="14" borderId="71" xfId="0" applyFont="1" applyFill="1" applyBorder="1"/>
    <xf numFmtId="44" fontId="46" fillId="14" borderId="71" xfId="0" applyNumberFormat="1" applyFont="1" applyFill="1" applyBorder="1"/>
    <xf numFmtId="44" fontId="46" fillId="14" borderId="79" xfId="8" applyFont="1" applyFill="1" applyBorder="1"/>
    <xf numFmtId="0" fontId="46" fillId="12" borderId="100" xfId="0" applyFont="1" applyFill="1" applyBorder="1" applyAlignment="1">
      <alignment horizontal="center" vertical="center"/>
    </xf>
    <xf numFmtId="0" fontId="46" fillId="12" borderId="68" xfId="0" applyFont="1" applyFill="1" applyBorder="1" applyAlignment="1">
      <alignment horizontal="center" vertical="center"/>
    </xf>
    <xf numFmtId="0" fontId="46" fillId="12" borderId="18" xfId="0" applyFont="1" applyFill="1" applyBorder="1" applyAlignment="1">
      <alignment horizontal="center" vertical="center"/>
    </xf>
    <xf numFmtId="0" fontId="50" fillId="0" borderId="72" xfId="0" applyFont="1" applyBorder="1" applyAlignment="1">
      <alignment horizontal="left" vertical="center" wrapText="1"/>
    </xf>
    <xf numFmtId="44" fontId="50" fillId="0" borderId="67" xfId="8" applyFont="1" applyBorder="1" applyAlignment="1">
      <alignment vertical="center"/>
    </xf>
    <xf numFmtId="44" fontId="50" fillId="0" borderId="57" xfId="8" applyFont="1" applyBorder="1" applyAlignment="1">
      <alignment vertical="center"/>
    </xf>
    <xf numFmtId="1" fontId="47" fillId="27" borderId="72" xfId="0" applyNumberFormat="1" applyFont="1" applyFill="1" applyBorder="1" applyAlignment="1">
      <alignment horizontal="center" vertical="center"/>
    </xf>
    <xf numFmtId="0" fontId="56" fillId="20" borderId="56" xfId="0" applyFont="1" applyFill="1" applyBorder="1" applyAlignment="1">
      <alignment horizontal="left" vertical="center" wrapText="1"/>
    </xf>
    <xf numFmtId="0" fontId="56" fillId="20" borderId="67" xfId="0" applyFont="1" applyFill="1" applyBorder="1" applyAlignment="1">
      <alignment vertical="center" wrapText="1"/>
    </xf>
    <xf numFmtId="0" fontId="56" fillId="20" borderId="66" xfId="2" applyFont="1" applyFill="1" applyBorder="1" applyAlignment="1" applyProtection="1">
      <alignment horizontal="center" vertical="center" wrapText="1"/>
      <protection locked="0"/>
    </xf>
    <xf numFmtId="44" fontId="56" fillId="20" borderId="66" xfId="8" applyFont="1" applyFill="1" applyBorder="1" applyAlignment="1" applyProtection="1">
      <alignment horizontal="left" vertical="center" wrapText="1"/>
      <protection locked="0"/>
    </xf>
    <xf numFmtId="44" fontId="56" fillId="20" borderId="67" xfId="8" applyFont="1" applyFill="1" applyBorder="1" applyAlignment="1">
      <alignment vertical="center"/>
    </xf>
    <xf numFmtId="44" fontId="56" fillId="20" borderId="57" xfId="8" applyFont="1" applyFill="1" applyBorder="1" applyAlignment="1">
      <alignment vertical="center"/>
    </xf>
    <xf numFmtId="44" fontId="51" fillId="18" borderId="71" xfId="8" applyFont="1" applyFill="1" applyBorder="1" applyAlignment="1">
      <alignment vertical="center"/>
    </xf>
    <xf numFmtId="0" fontId="58" fillId="29" borderId="0" xfId="0" applyFont="1" applyFill="1" applyAlignment="1">
      <alignment wrapText="1"/>
    </xf>
    <xf numFmtId="0" fontId="50" fillId="0" borderId="56" xfId="0" applyFont="1" applyBorder="1" applyAlignment="1">
      <alignment horizontal="left" vertical="center" wrapText="1"/>
    </xf>
    <xf numFmtId="0" fontId="50" fillId="0" borderId="67" xfId="0" applyFont="1" applyBorder="1" applyAlignment="1">
      <alignment vertical="center" wrapText="1"/>
    </xf>
    <xf numFmtId="0" fontId="50" fillId="0" borderId="66" xfId="2" applyFont="1" applyBorder="1" applyAlignment="1" applyProtection="1">
      <alignment horizontal="center" vertical="center" wrapText="1"/>
      <protection locked="0"/>
    </xf>
    <xf numFmtId="44" fontId="50" fillId="0" borderId="66" xfId="8" applyFont="1" applyFill="1" applyBorder="1" applyAlignment="1" applyProtection="1">
      <alignment horizontal="left" vertical="center" wrapText="1"/>
      <protection locked="0"/>
    </xf>
    <xf numFmtId="0" fontId="59" fillId="0" borderId="0" xfId="0" applyFont="1"/>
    <xf numFmtId="1" fontId="50" fillId="13" borderId="72" xfId="0" applyNumberFormat="1" applyFont="1" applyFill="1" applyBorder="1" applyAlignment="1">
      <alignment horizontal="center" vertical="center"/>
    </xf>
    <xf numFmtId="1" fontId="50" fillId="13" borderId="66" xfId="0" applyNumberFormat="1" applyFont="1" applyFill="1" applyBorder="1" applyAlignment="1">
      <alignment horizontal="center" vertical="center"/>
    </xf>
    <xf numFmtId="44" fontId="50" fillId="13" borderId="66" xfId="8" applyFont="1" applyFill="1" applyBorder="1" applyAlignment="1">
      <alignment vertical="center"/>
    </xf>
    <xf numFmtId="0" fontId="48" fillId="0" borderId="56" xfId="0" applyFont="1" applyBorder="1" applyAlignment="1">
      <alignment horizontal="left" vertical="center" wrapText="1"/>
    </xf>
    <xf numFmtId="44" fontId="47" fillId="0" borderId="67" xfId="8" applyFont="1" applyFill="1" applyBorder="1" applyAlignment="1">
      <alignment horizontal="left" vertical="center"/>
    </xf>
    <xf numFmtId="0" fontId="51" fillId="0" borderId="66" xfId="0" applyFont="1" applyBorder="1" applyAlignment="1">
      <alignment horizontal="left" vertical="center" wrapText="1"/>
    </xf>
    <xf numFmtId="0" fontId="47" fillId="0" borderId="77" xfId="0" applyFont="1" applyBorder="1" applyAlignment="1">
      <alignment horizontal="left" vertical="center" wrapText="1"/>
    </xf>
    <xf numFmtId="0" fontId="47" fillId="0" borderId="71" xfId="0" applyFont="1" applyBorder="1" applyAlignment="1">
      <alignment horizontal="left" vertical="center" wrapText="1"/>
    </xf>
    <xf numFmtId="0" fontId="47" fillId="0" borderId="71" xfId="0" applyFont="1" applyBorder="1" applyAlignment="1">
      <alignment horizontal="center" vertical="center"/>
    </xf>
    <xf numFmtId="44" fontId="47" fillId="0" borderId="71" xfId="8" applyFont="1" applyFill="1" applyBorder="1" applyAlignment="1">
      <alignment horizontal="left" vertical="center"/>
    </xf>
    <xf numFmtId="44" fontId="47" fillId="18" borderId="66" xfId="8" applyFont="1" applyFill="1" applyBorder="1" applyAlignment="1">
      <alignment vertical="center" wrapText="1"/>
    </xf>
    <xf numFmtId="0" fontId="46" fillId="12" borderId="123" xfId="0" applyFont="1" applyFill="1" applyBorder="1" applyAlignment="1">
      <alignment horizontal="center" vertical="center"/>
    </xf>
    <xf numFmtId="44" fontId="47" fillId="0" borderId="65" xfId="8" applyFont="1" applyBorder="1" applyAlignment="1">
      <alignment vertical="center"/>
    </xf>
    <xf numFmtId="10" fontId="47" fillId="15" borderId="33" xfId="0" applyNumberFormat="1" applyFont="1" applyFill="1" applyBorder="1" applyAlignment="1">
      <alignment horizontal="center" vertical="center"/>
    </xf>
    <xf numFmtId="10" fontId="47" fillId="15" borderId="67" xfId="0" applyNumberFormat="1" applyFont="1" applyFill="1" applyBorder="1" applyAlignment="1">
      <alignment horizontal="center" vertical="center"/>
    </xf>
    <xf numFmtId="4" fontId="45" fillId="0" borderId="0" xfId="0" applyNumberFormat="1" applyFont="1"/>
    <xf numFmtId="44" fontId="49" fillId="11" borderId="0" xfId="0" applyNumberFormat="1" applyFont="1" applyFill="1" applyAlignment="1">
      <alignment horizontal="right"/>
    </xf>
    <xf numFmtId="44" fontId="46" fillId="15" borderId="0" xfId="0" applyNumberFormat="1" applyFont="1" applyFill="1"/>
    <xf numFmtId="9" fontId="41" fillId="14" borderId="0" xfId="0" applyNumberFormat="1" applyFont="1" applyFill="1"/>
    <xf numFmtId="0" fontId="41" fillId="14" borderId="0" xfId="0" applyFont="1" applyFill="1"/>
    <xf numFmtId="44" fontId="46" fillId="14" borderId="0" xfId="0" applyNumberFormat="1" applyFont="1" applyFill="1"/>
    <xf numFmtId="44" fontId="46" fillId="14" borderId="0" xfId="8" applyFont="1" applyFill="1" applyBorder="1"/>
    <xf numFmtId="44" fontId="49" fillId="16" borderId="11" xfId="8" applyFont="1" applyFill="1" applyBorder="1" applyAlignment="1">
      <alignment horizontal="center"/>
    </xf>
    <xf numFmtId="44" fontId="49" fillId="16" borderId="127" xfId="8" applyFont="1" applyFill="1" applyBorder="1" applyAlignment="1">
      <alignment horizontal="center"/>
    </xf>
    <xf numFmtId="0" fontId="47" fillId="0" borderId="99" xfId="0" applyFont="1" applyBorder="1" applyAlignment="1">
      <alignment horizontal="left" vertical="center" wrapText="1"/>
    </xf>
    <xf numFmtId="0" fontId="49" fillId="16" borderId="6" xfId="0" applyFont="1" applyFill="1" applyBorder="1"/>
    <xf numFmtId="0" fontId="49" fillId="16" borderId="37" xfId="0" applyFont="1" applyFill="1" applyBorder="1"/>
    <xf numFmtId="44" fontId="49" fillId="16" borderId="37" xfId="0" applyNumberFormat="1" applyFont="1" applyFill="1" applyBorder="1"/>
    <xf numFmtId="44" fontId="49" fillId="16" borderId="125" xfId="0" applyNumberFormat="1" applyFont="1" applyFill="1" applyBorder="1"/>
    <xf numFmtId="0" fontId="49" fillId="16" borderId="6" xfId="0" applyFont="1" applyFill="1" applyBorder="1" applyAlignment="1">
      <alignment horizontal="center"/>
    </xf>
    <xf numFmtId="1" fontId="49" fillId="16" borderId="37" xfId="0" applyNumberFormat="1" applyFont="1" applyFill="1" applyBorder="1" applyAlignment="1">
      <alignment horizontal="center"/>
    </xf>
    <xf numFmtId="9" fontId="49" fillId="16" borderId="37" xfId="0" applyNumberFormat="1" applyFont="1" applyFill="1" applyBorder="1"/>
    <xf numFmtId="9" fontId="49" fillId="16" borderId="14" xfId="1" applyFont="1" applyFill="1" applyBorder="1"/>
    <xf numFmtId="44" fontId="49" fillId="16" borderId="126" xfId="8" applyFont="1" applyFill="1" applyBorder="1"/>
    <xf numFmtId="0" fontId="60" fillId="0" borderId="0" xfId="0" applyFont="1"/>
    <xf numFmtId="49" fontId="61" fillId="0" borderId="0" xfId="2" applyNumberFormat="1" applyFont="1" applyAlignment="1">
      <alignment horizontal="left" vertical="center" wrapText="1"/>
    </xf>
    <xf numFmtId="0" fontId="61" fillId="0" borderId="0" xfId="2" applyFont="1" applyAlignment="1">
      <alignment horizontal="left" vertical="center" wrapText="1"/>
    </xf>
    <xf numFmtId="0" fontId="60" fillId="0" borderId="0" xfId="0" applyFont="1" applyAlignment="1">
      <alignment horizontal="center"/>
    </xf>
    <xf numFmtId="0" fontId="62" fillId="0" borderId="0" xfId="0" applyFont="1" applyAlignment="1">
      <alignment horizontal="center"/>
    </xf>
    <xf numFmtId="164" fontId="61" fillId="0" borderId="0" xfId="2" applyNumberFormat="1" applyFont="1" applyAlignment="1">
      <alignment horizontal="left" vertical="center"/>
    </xf>
    <xf numFmtId="164" fontId="61" fillId="0" borderId="20" xfId="2" applyNumberFormat="1" applyFont="1" applyBorder="1" applyAlignment="1" applyProtection="1">
      <alignment horizontal="left" vertical="center"/>
      <protection locked="0"/>
    </xf>
    <xf numFmtId="164" fontId="61" fillId="0" borderId="22" xfId="2" applyNumberFormat="1" applyFont="1" applyBorder="1" applyAlignment="1" applyProtection="1">
      <alignment horizontal="left" vertical="center"/>
      <protection locked="0"/>
    </xf>
    <xf numFmtId="164" fontId="61" fillId="0" borderId="31" xfId="2" applyNumberFormat="1" applyFont="1" applyBorder="1" applyAlignment="1" applyProtection="1">
      <alignment horizontal="left" vertical="center"/>
      <protection locked="0"/>
    </xf>
    <xf numFmtId="164" fontId="61" fillId="0" borderId="32" xfId="2" applyNumberFormat="1" applyFont="1" applyBorder="1" applyAlignment="1" applyProtection="1">
      <alignment horizontal="left" vertical="center"/>
      <protection locked="0"/>
    </xf>
    <xf numFmtId="0" fontId="61" fillId="0" borderId="25" xfId="2" applyFont="1" applyBorder="1" applyAlignment="1" applyProtection="1">
      <alignment horizontal="left" vertical="center"/>
      <protection locked="0"/>
    </xf>
    <xf numFmtId="14" fontId="61" fillId="0" borderId="32" xfId="2" applyNumberFormat="1" applyFont="1" applyBorder="1" applyAlignment="1" applyProtection="1">
      <alignment horizontal="left" vertical="center"/>
      <protection locked="0"/>
    </xf>
    <xf numFmtId="164" fontId="61" fillId="0" borderId="39" xfId="2" applyNumberFormat="1" applyFont="1" applyBorder="1" applyAlignment="1" applyProtection="1">
      <alignment horizontal="left" vertical="center"/>
      <protection locked="0"/>
    </xf>
    <xf numFmtId="0" fontId="61" fillId="0" borderId="29" xfId="2" applyFont="1" applyBorder="1" applyAlignment="1" applyProtection="1">
      <alignment horizontal="left" vertical="center"/>
      <protection locked="0"/>
    </xf>
    <xf numFmtId="49" fontId="60" fillId="0" borderId="0" xfId="0" applyNumberFormat="1" applyFont="1"/>
    <xf numFmtId="9" fontId="60" fillId="0" borderId="0" xfId="0" applyNumberFormat="1" applyFont="1"/>
    <xf numFmtId="0" fontId="63" fillId="0" borderId="0" xfId="0" applyFont="1"/>
    <xf numFmtId="165" fontId="64" fillId="6" borderId="38" xfId="4" applyFont="1" applyFill="1" applyBorder="1" applyAlignment="1">
      <alignment horizontal="center" vertical="center" wrapText="1"/>
    </xf>
    <xf numFmtId="168" fontId="65" fillId="0" borderId="125" xfId="1" applyNumberFormat="1" applyFont="1" applyBorder="1"/>
    <xf numFmtId="166" fontId="64" fillId="0" borderId="40" xfId="4" applyNumberFormat="1" applyFont="1" applyBorder="1" applyAlignment="1">
      <alignment horizontal="center" vertical="center" wrapText="1"/>
    </xf>
    <xf numFmtId="0" fontId="66" fillId="5" borderId="0" xfId="0" applyFont="1" applyFill="1"/>
    <xf numFmtId="49" fontId="66" fillId="5" borderId="0" xfId="0" applyNumberFormat="1" applyFont="1" applyFill="1"/>
    <xf numFmtId="0" fontId="67" fillId="0" borderId="49" xfId="0" applyFont="1" applyBorder="1" applyAlignment="1">
      <alignment horizontal="left" vertical="center"/>
    </xf>
    <xf numFmtId="49" fontId="67" fillId="0" borderId="50" xfId="0" applyNumberFormat="1" applyFont="1" applyBorder="1" applyAlignment="1">
      <alignment horizontal="left" vertical="center"/>
    </xf>
    <xf numFmtId="0" fontId="67" fillId="0" borderId="51" xfId="0" applyFont="1" applyBorder="1" applyAlignment="1">
      <alignment horizontal="left" vertical="center"/>
    </xf>
    <xf numFmtId="0" fontId="67" fillId="0" borderId="49" xfId="0" applyFont="1" applyBorder="1" applyAlignment="1">
      <alignment horizontal="left" vertical="center" wrapText="1"/>
    </xf>
    <xf numFmtId="0" fontId="61" fillId="6" borderId="38" xfId="3" applyFont="1" applyFill="1" applyBorder="1" applyAlignment="1">
      <alignment horizontal="left" vertical="center"/>
    </xf>
    <xf numFmtId="0" fontId="61" fillId="6" borderId="69" xfId="3" applyFont="1" applyFill="1" applyBorder="1" applyAlignment="1">
      <alignment horizontal="center" vertical="center"/>
    </xf>
    <xf numFmtId="0" fontId="66" fillId="6" borderId="59" xfId="3" applyFont="1" applyFill="1" applyBorder="1" applyAlignment="1">
      <alignment horizontal="center" vertical="center"/>
    </xf>
    <xf numFmtId="169" fontId="66" fillId="6" borderId="59" xfId="3" applyNumberFormat="1" applyFont="1" applyFill="1" applyBorder="1" applyAlignment="1">
      <alignment horizontal="center" vertical="center" wrapText="1"/>
    </xf>
    <xf numFmtId="0" fontId="66" fillId="6" borderId="60" xfId="3" applyFont="1" applyFill="1" applyBorder="1" applyAlignment="1">
      <alignment horizontal="center" vertical="center" wrapText="1"/>
    </xf>
    <xf numFmtId="9" fontId="66" fillId="6" borderId="58" xfId="1" applyFont="1" applyFill="1" applyBorder="1" applyAlignment="1">
      <alignment horizontal="center" vertical="center" wrapText="1"/>
    </xf>
    <xf numFmtId="10" fontId="66" fillId="6" borderId="59" xfId="1" applyNumberFormat="1" applyFont="1" applyFill="1" applyBorder="1" applyAlignment="1">
      <alignment horizontal="center" vertical="center" wrapText="1"/>
    </xf>
    <xf numFmtId="0" fontId="66" fillId="6" borderId="61" xfId="3" applyFont="1" applyFill="1" applyBorder="1" applyAlignment="1">
      <alignment horizontal="center" vertical="center" wrapText="1"/>
    </xf>
    <xf numFmtId="0" fontId="66" fillId="6" borderId="0" xfId="3" applyFont="1" applyFill="1" applyAlignment="1">
      <alignment horizontal="center" vertical="center" wrapText="1"/>
    </xf>
    <xf numFmtId="37" fontId="64" fillId="6" borderId="58" xfId="3" applyNumberFormat="1" applyFont="1" applyFill="1" applyBorder="1" applyAlignment="1">
      <alignment horizontal="center" vertical="center"/>
    </xf>
    <xf numFmtId="37" fontId="64" fillId="6" borderId="59" xfId="3" applyNumberFormat="1" applyFont="1" applyFill="1" applyBorder="1" applyAlignment="1">
      <alignment horizontal="center" vertical="center"/>
    </xf>
    <xf numFmtId="40" fontId="64" fillId="6" borderId="59" xfId="4" applyNumberFormat="1" applyFont="1" applyFill="1" applyBorder="1" applyAlignment="1">
      <alignment horizontal="center" vertical="center"/>
    </xf>
    <xf numFmtId="165" fontId="64" fillId="6" borderId="59" xfId="4" applyFont="1" applyFill="1" applyBorder="1" applyAlignment="1">
      <alignment horizontal="right" vertical="center"/>
    </xf>
    <xf numFmtId="40" fontId="64" fillId="6" borderId="59" xfId="4" applyNumberFormat="1" applyFont="1" applyFill="1" applyBorder="1" applyAlignment="1">
      <alignment horizontal="center" vertical="center" wrapText="1"/>
    </xf>
    <xf numFmtId="10" fontId="64" fillId="6" borderId="59" xfId="5" applyNumberFormat="1" applyFont="1" applyFill="1" applyBorder="1" applyAlignment="1">
      <alignment horizontal="center" vertical="center" wrapText="1"/>
    </xf>
    <xf numFmtId="165" fontId="64" fillId="6" borderId="59" xfId="4" applyFont="1" applyFill="1" applyBorder="1" applyAlignment="1">
      <alignment horizontal="center" vertical="center" wrapText="1"/>
    </xf>
    <xf numFmtId="165" fontId="64" fillId="6" borderId="61" xfId="4" applyFont="1" applyFill="1" applyBorder="1" applyAlignment="1">
      <alignment horizontal="center" vertical="center" wrapText="1"/>
    </xf>
    <xf numFmtId="10" fontId="64" fillId="6" borderId="52" xfId="5" applyNumberFormat="1" applyFont="1" applyFill="1" applyBorder="1" applyAlignment="1">
      <alignment horizontal="center" vertical="center" wrapText="1"/>
    </xf>
    <xf numFmtId="10" fontId="64" fillId="6" borderId="53" xfId="5" applyNumberFormat="1" applyFont="1" applyFill="1" applyBorder="1" applyAlignment="1">
      <alignment horizontal="center" vertical="center" wrapText="1"/>
    </xf>
    <xf numFmtId="165" fontId="64" fillId="6" borderId="54" xfId="4" applyFont="1" applyFill="1" applyBorder="1" applyAlignment="1">
      <alignment horizontal="center" vertical="center" wrapText="1"/>
    </xf>
    <xf numFmtId="165" fontId="64" fillId="6" borderId="53" xfId="4" applyFont="1" applyFill="1" applyBorder="1" applyAlignment="1">
      <alignment horizontal="center" vertical="center" wrapText="1"/>
    </xf>
    <xf numFmtId="37" fontId="64" fillId="6" borderId="3" xfId="3" applyNumberFormat="1" applyFont="1" applyFill="1" applyBorder="1" applyAlignment="1">
      <alignment horizontal="center" vertical="center"/>
    </xf>
    <xf numFmtId="40" fontId="64" fillId="6" borderId="55" xfId="4" applyNumberFormat="1" applyFont="1" applyFill="1" applyBorder="1" applyAlignment="1">
      <alignment horizontal="center" vertical="center"/>
    </xf>
    <xf numFmtId="49" fontId="67" fillId="0" borderId="50" xfId="0" applyNumberFormat="1" applyFont="1" applyBorder="1" applyAlignment="1">
      <alignment horizontal="left" vertical="center" wrapText="1"/>
    </xf>
    <xf numFmtId="0" fontId="67" fillId="0" borderId="51" xfId="0" applyFont="1" applyBorder="1" applyAlignment="1">
      <alignment horizontal="left" vertical="center" wrapText="1"/>
    </xf>
    <xf numFmtId="0" fontId="69" fillId="10" borderId="12" xfId="0" applyFont="1" applyFill="1" applyBorder="1" applyAlignment="1">
      <alignment horizontal="center"/>
    </xf>
    <xf numFmtId="0" fontId="69" fillId="10" borderId="0" xfId="0" applyFont="1" applyFill="1" applyAlignment="1">
      <alignment horizontal="center"/>
    </xf>
    <xf numFmtId="0" fontId="66" fillId="12" borderId="60" xfId="0" applyFont="1" applyFill="1" applyBorder="1" applyAlignment="1">
      <alignment horizontal="center" vertical="center"/>
    </xf>
    <xf numFmtId="0" fontId="66" fillId="12" borderId="59" xfId="0" applyFont="1" applyFill="1" applyBorder="1" applyAlignment="1">
      <alignment horizontal="center" vertical="center"/>
    </xf>
    <xf numFmtId="0" fontId="66" fillId="12" borderId="127" xfId="0" applyFont="1" applyFill="1" applyBorder="1" applyAlignment="1">
      <alignment horizontal="center" vertical="center"/>
    </xf>
    <xf numFmtId="0" fontId="66" fillId="12" borderId="0" xfId="0" applyFont="1" applyFill="1" applyAlignment="1">
      <alignment horizontal="center" vertical="center"/>
    </xf>
    <xf numFmtId="0" fontId="65" fillId="12" borderId="10" xfId="0" applyFont="1" applyFill="1" applyBorder="1" applyAlignment="1">
      <alignment horizontal="center" vertical="center"/>
    </xf>
    <xf numFmtId="0" fontId="65" fillId="12" borderId="66" xfId="0" applyFont="1" applyFill="1" applyBorder="1" applyAlignment="1">
      <alignment horizontal="center" vertical="center"/>
    </xf>
    <xf numFmtId="0" fontId="67" fillId="17" borderId="66" xfId="0" applyFont="1" applyFill="1" applyBorder="1" applyAlignment="1">
      <alignment horizontal="left" vertical="center" wrapText="1"/>
    </xf>
    <xf numFmtId="0" fontId="67" fillId="17" borderId="66" xfId="0" applyFont="1" applyFill="1" applyBorder="1" applyAlignment="1">
      <alignment horizontal="center" vertical="center" wrapText="1"/>
    </xf>
    <xf numFmtId="44" fontId="67" fillId="17" borderId="66" xfId="8" applyFont="1" applyFill="1" applyBorder="1" applyAlignment="1">
      <alignment vertical="center"/>
    </xf>
    <xf numFmtId="44" fontId="67" fillId="0" borderId="66" xfId="8" applyFont="1" applyBorder="1" applyAlignment="1">
      <alignment vertical="center"/>
    </xf>
    <xf numFmtId="44" fontId="67" fillId="0" borderId="70" xfId="8" applyFont="1" applyBorder="1" applyAlignment="1">
      <alignment vertical="center"/>
    </xf>
    <xf numFmtId="44" fontId="67" fillId="0" borderId="0" xfId="8" applyFont="1" applyBorder="1" applyAlignment="1">
      <alignment vertical="center"/>
    </xf>
    <xf numFmtId="1" fontId="67" fillId="13" borderId="72" xfId="0" applyNumberFormat="1" applyFont="1" applyFill="1" applyBorder="1" applyAlignment="1">
      <alignment horizontal="center" vertical="center"/>
    </xf>
    <xf numFmtId="1" fontId="67" fillId="13" borderId="66" xfId="0" applyNumberFormat="1" applyFont="1" applyFill="1" applyBorder="1" applyAlignment="1">
      <alignment horizontal="center" vertical="center"/>
    </xf>
    <xf numFmtId="44" fontId="67" fillId="13" borderId="66" xfId="8" applyFont="1" applyFill="1" applyBorder="1" applyAlignment="1">
      <alignment vertical="center"/>
    </xf>
    <xf numFmtId="44" fontId="67" fillId="15" borderId="66" xfId="8" applyFont="1" applyFill="1" applyBorder="1" applyAlignment="1">
      <alignment vertical="center"/>
    </xf>
    <xf numFmtId="9" fontId="67" fillId="14" borderId="66" xfId="1" applyFont="1" applyFill="1" applyBorder="1" applyAlignment="1">
      <alignment vertical="center"/>
    </xf>
    <xf numFmtId="44" fontId="67" fillId="14" borderId="66" xfId="8" applyFont="1" applyFill="1" applyBorder="1" applyAlignment="1">
      <alignment vertical="center"/>
    </xf>
    <xf numFmtId="44" fontId="67" fillId="14" borderId="70" xfId="8" applyFont="1" applyFill="1" applyBorder="1" applyAlignment="1">
      <alignment vertical="center"/>
    </xf>
    <xf numFmtId="10" fontId="67" fillId="15" borderId="10" xfId="0" applyNumberFormat="1" applyFont="1" applyFill="1" applyBorder="1" applyAlignment="1">
      <alignment horizontal="center" vertical="center"/>
    </xf>
    <xf numFmtId="10" fontId="67" fillId="15" borderId="66" xfId="0" applyNumberFormat="1" applyFont="1" applyFill="1" applyBorder="1" applyAlignment="1">
      <alignment horizontal="center" vertical="center"/>
    </xf>
    <xf numFmtId="0" fontId="67" fillId="0" borderId="62" xfId="0" applyFont="1" applyBorder="1" applyAlignment="1">
      <alignment horizontal="left" vertical="center" wrapText="1"/>
    </xf>
    <xf numFmtId="0" fontId="67" fillId="0" borderId="0" xfId="0" applyFont="1" applyAlignment="1">
      <alignment horizontal="left" vertical="center" wrapText="1"/>
    </xf>
    <xf numFmtId="44" fontId="67" fillId="0" borderId="57" xfId="8" applyFont="1" applyBorder="1" applyAlignment="1">
      <alignment vertical="center"/>
    </xf>
    <xf numFmtId="1" fontId="67" fillId="13" borderId="56" xfId="0" applyNumberFormat="1" applyFont="1" applyFill="1" applyBorder="1" applyAlignment="1">
      <alignment horizontal="center" vertical="center"/>
    </xf>
    <xf numFmtId="1" fontId="67" fillId="13" borderId="67" xfId="0" applyNumberFormat="1" applyFont="1" applyFill="1" applyBorder="1" applyAlignment="1">
      <alignment horizontal="center" vertical="center"/>
    </xf>
    <xf numFmtId="44" fontId="67" fillId="13" borderId="67" xfId="8" applyFont="1" applyFill="1" applyBorder="1" applyAlignment="1">
      <alignment vertical="center"/>
    </xf>
    <xf numFmtId="44" fontId="67" fillId="14" borderId="57" xfId="8" applyFont="1" applyFill="1" applyBorder="1" applyAlignment="1">
      <alignment vertical="center"/>
    </xf>
    <xf numFmtId="10" fontId="67" fillId="15" borderId="33" xfId="0" applyNumberFormat="1" applyFont="1" applyFill="1" applyBorder="1" applyAlignment="1">
      <alignment horizontal="center" vertical="center"/>
    </xf>
    <xf numFmtId="44" fontId="67" fillId="0" borderId="78" xfId="8" applyFont="1" applyBorder="1" applyAlignment="1">
      <alignment vertical="center"/>
    </xf>
    <xf numFmtId="1" fontId="67" fillId="13" borderId="88" xfId="0" applyNumberFormat="1" applyFont="1" applyFill="1" applyBorder="1" applyAlignment="1">
      <alignment horizontal="center" vertical="center"/>
    </xf>
    <xf numFmtId="44" fontId="67" fillId="13" borderId="71" xfId="8" applyFont="1" applyFill="1" applyBorder="1" applyAlignment="1">
      <alignment vertical="center"/>
    </xf>
    <xf numFmtId="44" fontId="67" fillId="14" borderId="78" xfId="8" applyFont="1" applyFill="1" applyBorder="1" applyAlignment="1">
      <alignment vertical="center"/>
    </xf>
    <xf numFmtId="10" fontId="67" fillId="15" borderId="106" xfId="0" applyNumberFormat="1" applyFont="1" applyFill="1" applyBorder="1" applyAlignment="1">
      <alignment horizontal="center" vertical="center"/>
    </xf>
    <xf numFmtId="0" fontId="67" fillId="0" borderId="63" xfId="0" applyFont="1" applyBorder="1" applyAlignment="1">
      <alignment horizontal="left" vertical="center" wrapText="1"/>
    </xf>
    <xf numFmtId="0" fontId="67" fillId="0" borderId="64" xfId="0" applyFont="1" applyBorder="1" applyAlignment="1">
      <alignment horizontal="left" vertical="center" wrapText="1"/>
    </xf>
    <xf numFmtId="1" fontId="67" fillId="13" borderId="96" xfId="0" applyNumberFormat="1" applyFont="1" applyFill="1" applyBorder="1" applyAlignment="1">
      <alignment horizontal="center" vertical="center"/>
    </xf>
    <xf numFmtId="1" fontId="67" fillId="13" borderId="7" xfId="0" applyNumberFormat="1" applyFont="1" applyFill="1" applyBorder="1" applyAlignment="1">
      <alignment horizontal="center" vertical="center"/>
    </xf>
    <xf numFmtId="44" fontId="67" fillId="13" borderId="7" xfId="8" applyFont="1" applyFill="1" applyBorder="1" applyAlignment="1">
      <alignment vertical="center"/>
    </xf>
    <xf numFmtId="44" fontId="67" fillId="15" borderId="7" xfId="8" applyFont="1" applyFill="1" applyBorder="1" applyAlignment="1">
      <alignment vertical="center"/>
    </xf>
    <xf numFmtId="9" fontId="67" fillId="14" borderId="7" xfId="1" applyFont="1" applyFill="1" applyBorder="1" applyAlignment="1">
      <alignment vertical="center"/>
    </xf>
    <xf numFmtId="44" fontId="67" fillId="14" borderId="7" xfId="8" applyFont="1" applyFill="1" applyBorder="1" applyAlignment="1">
      <alignment vertical="center"/>
    </xf>
    <xf numFmtId="0" fontId="67" fillId="0" borderId="80" xfId="0" applyFont="1" applyBorder="1" applyAlignment="1">
      <alignment horizontal="left" vertical="center" wrapText="1"/>
    </xf>
    <xf numFmtId="0" fontId="67" fillId="0" borderId="83" xfId="0" applyFont="1" applyBorder="1" applyAlignment="1">
      <alignment horizontal="left" vertical="center" wrapText="1"/>
    </xf>
    <xf numFmtId="0" fontId="67" fillId="17" borderId="66" xfId="0" applyFont="1" applyFill="1" applyBorder="1" applyAlignment="1">
      <alignment horizontal="left" vertical="top" wrapText="1"/>
    </xf>
    <xf numFmtId="44" fontId="67" fillId="0" borderId="79" xfId="8" applyFont="1" applyBorder="1" applyAlignment="1">
      <alignment vertical="center"/>
    </xf>
    <xf numFmtId="1" fontId="67" fillId="13" borderId="102" xfId="0" applyNumberFormat="1" applyFont="1" applyFill="1" applyBorder="1" applyAlignment="1">
      <alignment horizontal="center" vertical="center"/>
    </xf>
    <xf numFmtId="1" fontId="67" fillId="13" borderId="39" xfId="0" applyNumberFormat="1" applyFont="1" applyFill="1" applyBorder="1" applyAlignment="1">
      <alignment horizontal="center" vertical="center"/>
    </xf>
    <xf numFmtId="44" fontId="67" fillId="13" borderId="39" xfId="8" applyFont="1" applyFill="1" applyBorder="1" applyAlignment="1">
      <alignment vertical="center"/>
    </xf>
    <xf numFmtId="44" fontId="67" fillId="15" borderId="39" xfId="8" applyFont="1" applyFill="1" applyBorder="1" applyAlignment="1">
      <alignment vertical="center"/>
    </xf>
    <xf numFmtId="9" fontId="67" fillId="14" borderId="39" xfId="1" applyFont="1" applyFill="1" applyBorder="1" applyAlignment="1">
      <alignment vertical="center"/>
    </xf>
    <xf numFmtId="44" fontId="67" fillId="14" borderId="39" xfId="8" applyFont="1" applyFill="1" applyBorder="1" applyAlignment="1">
      <alignment vertical="center"/>
    </xf>
    <xf numFmtId="44" fontId="67" fillId="14" borderId="79" xfId="8" applyFont="1" applyFill="1" applyBorder="1" applyAlignment="1">
      <alignment vertical="center"/>
    </xf>
    <xf numFmtId="1" fontId="67" fillId="13" borderId="82" xfId="0" applyNumberFormat="1" applyFont="1" applyFill="1" applyBorder="1" applyAlignment="1">
      <alignment horizontal="center" vertical="center"/>
    </xf>
    <xf numFmtId="1" fontId="67" fillId="13" borderId="71" xfId="0" applyNumberFormat="1" applyFont="1" applyFill="1" applyBorder="1" applyAlignment="1">
      <alignment horizontal="center" vertical="center"/>
    </xf>
    <xf numFmtId="44" fontId="67" fillId="15" borderId="71" xfId="8" applyFont="1" applyFill="1" applyBorder="1" applyAlignment="1">
      <alignment vertical="center"/>
    </xf>
    <xf numFmtId="9" fontId="67" fillId="14" borderId="71" xfId="1" applyFont="1" applyFill="1" applyBorder="1" applyAlignment="1">
      <alignment vertical="center"/>
    </xf>
    <xf numFmtId="44" fontId="67" fillId="14" borderId="71" xfId="8" applyFont="1" applyFill="1" applyBorder="1" applyAlignment="1">
      <alignment vertical="center"/>
    </xf>
    <xf numFmtId="170" fontId="69" fillId="11" borderId="15" xfId="8" applyNumberFormat="1" applyFont="1" applyFill="1" applyBorder="1" applyAlignment="1">
      <alignment horizontal="right"/>
    </xf>
    <xf numFmtId="170" fontId="69" fillId="11" borderId="126" xfId="8" applyNumberFormat="1" applyFont="1" applyFill="1" applyBorder="1" applyAlignment="1">
      <alignment horizontal="right"/>
    </xf>
    <xf numFmtId="170" fontId="69" fillId="11" borderId="0" xfId="8" applyNumberFormat="1" applyFont="1" applyFill="1" applyBorder="1" applyAlignment="1">
      <alignment horizontal="right"/>
    </xf>
    <xf numFmtId="44" fontId="69" fillId="11" borderId="86" xfId="8" applyFont="1" applyFill="1" applyBorder="1" applyAlignment="1">
      <alignment horizontal="right"/>
    </xf>
    <xf numFmtId="44" fontId="66" fillId="15" borderId="86" xfId="8" applyFont="1" applyFill="1" applyBorder="1" applyAlignment="1">
      <alignment vertical="center"/>
    </xf>
    <xf numFmtId="9" fontId="67" fillId="14" borderId="86" xfId="1" applyFont="1" applyFill="1" applyBorder="1" applyAlignment="1">
      <alignment vertical="center"/>
    </xf>
    <xf numFmtId="44" fontId="67" fillId="14" borderId="86" xfId="8" applyFont="1" applyFill="1" applyBorder="1" applyAlignment="1">
      <alignment vertical="center"/>
    </xf>
    <xf numFmtId="44" fontId="66" fillId="14" borderId="86" xfId="8" applyFont="1" applyFill="1" applyBorder="1" applyAlignment="1">
      <alignment vertical="center"/>
    </xf>
    <xf numFmtId="44" fontId="66" fillId="14" borderId="98" xfId="8" applyFont="1" applyFill="1" applyBorder="1" applyAlignment="1">
      <alignment vertical="center"/>
    </xf>
    <xf numFmtId="10" fontId="67" fillId="15" borderId="0" xfId="0" applyNumberFormat="1" applyFont="1" applyFill="1" applyAlignment="1">
      <alignment horizontal="center" vertical="center"/>
    </xf>
    <xf numFmtId="44" fontId="69" fillId="10" borderId="15" xfId="8" applyFont="1" applyFill="1" applyBorder="1" applyAlignment="1">
      <alignment horizontal="right"/>
    </xf>
    <xf numFmtId="44" fontId="69" fillId="10" borderId="126" xfId="8" applyFont="1" applyFill="1" applyBorder="1" applyAlignment="1">
      <alignment horizontal="right"/>
    </xf>
    <xf numFmtId="44" fontId="69" fillId="10" borderId="0" xfId="8" applyFont="1" applyFill="1" applyBorder="1" applyAlignment="1">
      <alignment horizontal="right"/>
    </xf>
    <xf numFmtId="44" fontId="69" fillId="10" borderId="92" xfId="8" applyFont="1" applyFill="1" applyBorder="1" applyAlignment="1">
      <alignment horizontal="right"/>
    </xf>
    <xf numFmtId="44" fontId="66" fillId="15" borderId="92" xfId="8" applyFont="1" applyFill="1" applyBorder="1" applyAlignment="1">
      <alignment vertical="center"/>
    </xf>
    <xf numFmtId="9" fontId="67" fillId="14" borderId="92" xfId="1" applyFont="1" applyFill="1" applyBorder="1" applyAlignment="1">
      <alignment vertical="center"/>
    </xf>
    <xf numFmtId="44" fontId="67" fillId="14" borderId="92" xfId="8" applyFont="1" applyFill="1" applyBorder="1" applyAlignment="1">
      <alignment vertical="center"/>
    </xf>
    <xf numFmtId="44" fontId="66" fillId="14" borderId="92" xfId="8" applyFont="1" applyFill="1" applyBorder="1" applyAlignment="1">
      <alignment vertical="center"/>
    </xf>
    <xf numFmtId="44" fontId="66" fillId="14" borderId="93" xfId="8" applyFont="1" applyFill="1" applyBorder="1" applyAlignment="1">
      <alignment vertical="center"/>
    </xf>
    <xf numFmtId="10" fontId="67" fillId="0" borderId="0" xfId="0" applyNumberFormat="1" applyFont="1" applyAlignment="1">
      <alignment horizontal="center" vertical="center"/>
    </xf>
    <xf numFmtId="0" fontId="67" fillId="23" borderId="49" xfId="0" applyFont="1" applyFill="1" applyBorder="1" applyAlignment="1">
      <alignment horizontal="left" vertical="center" wrapText="1"/>
    </xf>
    <xf numFmtId="0" fontId="67" fillId="17" borderId="56" xfId="0" applyFont="1" applyFill="1" applyBorder="1" applyAlignment="1">
      <alignment horizontal="left" vertical="center" wrapText="1"/>
    </xf>
    <xf numFmtId="0" fontId="67" fillId="17" borderId="67" xfId="0" applyFont="1" applyFill="1" applyBorder="1" applyAlignment="1">
      <alignment horizontal="left" vertical="center" wrapText="1"/>
    </xf>
    <xf numFmtId="0" fontId="67" fillId="17" borderId="67" xfId="0" applyFont="1" applyFill="1" applyBorder="1" applyAlignment="1">
      <alignment horizontal="center" vertical="center" wrapText="1"/>
    </xf>
    <xf numFmtId="44" fontId="67" fillId="17" borderId="67" xfId="8" applyFont="1" applyFill="1" applyBorder="1" applyAlignment="1">
      <alignment vertical="center"/>
    </xf>
    <xf numFmtId="44" fontId="67" fillId="0" borderId="67" xfId="8" applyFont="1" applyBorder="1" applyAlignment="1">
      <alignment vertical="center"/>
    </xf>
    <xf numFmtId="1" fontId="67" fillId="13" borderId="65" xfId="0" applyNumberFormat="1" applyFont="1" applyFill="1" applyBorder="1" applyAlignment="1">
      <alignment horizontal="center" vertical="center"/>
    </xf>
    <xf numFmtId="44" fontId="67" fillId="13" borderId="65" xfId="8" applyFont="1" applyFill="1" applyBorder="1" applyAlignment="1">
      <alignment vertical="center"/>
    </xf>
    <xf numFmtId="44" fontId="67" fillId="15" borderId="65" xfId="8" applyFont="1" applyFill="1" applyBorder="1" applyAlignment="1">
      <alignment vertical="center"/>
    </xf>
    <xf numFmtId="9" fontId="67" fillId="14" borderId="65" xfId="1" applyFont="1" applyFill="1" applyBorder="1" applyAlignment="1">
      <alignment vertical="center"/>
    </xf>
    <xf numFmtId="44" fontId="67" fillId="14" borderId="65" xfId="8" applyFont="1" applyFill="1" applyBorder="1" applyAlignment="1">
      <alignment vertical="center"/>
    </xf>
    <xf numFmtId="44" fontId="67" fillId="14" borderId="67" xfId="8" applyFont="1" applyFill="1" applyBorder="1" applyAlignment="1">
      <alignment vertical="center"/>
    </xf>
    <xf numFmtId="0" fontId="72" fillId="17" borderId="66" xfId="2" applyFont="1" applyFill="1" applyBorder="1" applyAlignment="1" applyProtection="1">
      <alignment horizontal="center" vertical="center" wrapText="1"/>
      <protection locked="0"/>
    </xf>
    <xf numFmtId="0" fontId="66" fillId="17" borderId="67" xfId="0" applyFont="1" applyFill="1" applyBorder="1" applyAlignment="1">
      <alignment horizontal="left" vertical="center" wrapText="1"/>
    </xf>
    <xf numFmtId="44" fontId="67" fillId="17" borderId="57" xfId="8" applyFont="1" applyFill="1" applyBorder="1" applyAlignment="1">
      <alignment vertical="center"/>
    </xf>
    <xf numFmtId="44" fontId="67" fillId="17" borderId="0" xfId="8" applyFont="1" applyFill="1" applyBorder="1" applyAlignment="1">
      <alignment vertical="center"/>
    </xf>
    <xf numFmtId="0" fontId="67" fillId="17" borderId="66" xfId="0" applyFont="1" applyFill="1" applyBorder="1" applyAlignment="1">
      <alignment horizontal="center" vertical="center"/>
    </xf>
    <xf numFmtId="170" fontId="69" fillId="11" borderId="92" xfId="8" applyNumberFormat="1" applyFont="1" applyFill="1" applyBorder="1" applyAlignment="1">
      <alignment horizontal="right"/>
    </xf>
    <xf numFmtId="170" fontId="69" fillId="11" borderId="93" xfId="8" applyNumberFormat="1" applyFont="1" applyFill="1" applyBorder="1" applyAlignment="1">
      <alignment horizontal="right"/>
    </xf>
    <xf numFmtId="10" fontId="67" fillId="0" borderId="10" xfId="0" applyNumberFormat="1" applyFont="1" applyBorder="1" applyAlignment="1">
      <alignment horizontal="center" vertical="center"/>
    </xf>
    <xf numFmtId="10" fontId="67" fillId="0" borderId="66" xfId="0" applyNumberFormat="1" applyFont="1" applyBorder="1" applyAlignment="1">
      <alignment horizontal="center" vertical="center"/>
    </xf>
    <xf numFmtId="44" fontId="69" fillId="10" borderId="0" xfId="0" applyNumberFormat="1" applyFont="1" applyFill="1" applyAlignment="1">
      <alignment horizontal="right"/>
    </xf>
    <xf numFmtId="44" fontId="66" fillId="15" borderId="67" xfId="0" applyNumberFormat="1" applyFont="1" applyFill="1" applyBorder="1"/>
    <xf numFmtId="0" fontId="60" fillId="14" borderId="67" xfId="0" applyFont="1" applyFill="1" applyBorder="1"/>
    <xf numFmtId="44" fontId="66" fillId="14" borderId="67" xfId="0" applyNumberFormat="1" applyFont="1" applyFill="1" applyBorder="1"/>
    <xf numFmtId="44" fontId="66" fillId="14" borderId="57" xfId="8" applyFont="1" applyFill="1" applyBorder="1"/>
    <xf numFmtId="0" fontId="66" fillId="12" borderId="74" xfId="0" applyFont="1" applyFill="1" applyBorder="1" applyAlignment="1">
      <alignment horizontal="center" vertical="center"/>
    </xf>
    <xf numFmtId="0" fontId="66" fillId="12" borderId="75" xfId="0" applyFont="1" applyFill="1" applyBorder="1" applyAlignment="1">
      <alignment horizontal="center" vertical="center"/>
    </xf>
    <xf numFmtId="0" fontId="67" fillId="17" borderId="72" xfId="0" applyFont="1" applyFill="1" applyBorder="1" applyAlignment="1">
      <alignment horizontal="left" vertical="center" wrapText="1"/>
    </xf>
    <xf numFmtId="44" fontId="72" fillId="17" borderId="66" xfId="8" applyFont="1" applyFill="1" applyBorder="1" applyAlignment="1" applyProtection="1">
      <alignment horizontal="left" vertical="center" wrapText="1"/>
      <protection locked="0"/>
    </xf>
    <xf numFmtId="44" fontId="67" fillId="15" borderId="67" xfId="8" applyFont="1" applyFill="1" applyBorder="1" applyAlignment="1">
      <alignment vertical="center"/>
    </xf>
    <xf numFmtId="9" fontId="67" fillId="14" borderId="67" xfId="1" applyFont="1" applyFill="1" applyBorder="1" applyAlignment="1">
      <alignment vertical="center"/>
    </xf>
    <xf numFmtId="170" fontId="69" fillId="11" borderId="86" xfId="0" applyNumberFormat="1" applyFont="1" applyFill="1" applyBorder="1" applyAlignment="1">
      <alignment horizontal="right"/>
    </xf>
    <xf numFmtId="170" fontId="69" fillId="11" borderId="0" xfId="0" applyNumberFormat="1" applyFont="1" applyFill="1" applyAlignment="1">
      <alignment horizontal="right"/>
    </xf>
    <xf numFmtId="44" fontId="66" fillId="15" borderId="86" xfId="0" applyNumberFormat="1" applyFont="1" applyFill="1" applyBorder="1"/>
    <xf numFmtId="0" fontId="60" fillId="14" borderId="86" xfId="0" applyFont="1" applyFill="1" applyBorder="1"/>
    <xf numFmtId="44" fontId="66" fillId="14" borderId="86" xfId="0" applyNumberFormat="1" applyFont="1" applyFill="1" applyBorder="1"/>
    <xf numFmtId="44" fontId="66" fillId="14" borderId="98" xfId="8" applyFont="1" applyFill="1" applyBorder="1"/>
    <xf numFmtId="44" fontId="60" fillId="0" borderId="0" xfId="0" applyNumberFormat="1" applyFont="1"/>
    <xf numFmtId="170" fontId="69" fillId="11" borderId="98" xfId="0" applyNumberFormat="1" applyFont="1" applyFill="1" applyBorder="1" applyAlignment="1">
      <alignment horizontal="right"/>
    </xf>
    <xf numFmtId="44" fontId="69" fillId="11" borderId="92" xfId="0" applyNumberFormat="1" applyFont="1" applyFill="1" applyBorder="1" applyAlignment="1">
      <alignment horizontal="right"/>
    </xf>
    <xf numFmtId="44" fontId="66" fillId="15" borderId="92" xfId="0" applyNumberFormat="1" applyFont="1" applyFill="1" applyBorder="1"/>
    <xf numFmtId="0" fontId="60" fillId="14" borderId="92" xfId="0" applyFont="1" applyFill="1" applyBorder="1"/>
    <xf numFmtId="44" fontId="66" fillId="14" borderId="92" xfId="0" applyNumberFormat="1" applyFont="1" applyFill="1" applyBorder="1"/>
    <xf numFmtId="44" fontId="66" fillId="14" borderId="93" xfId="8" applyFont="1" applyFill="1" applyBorder="1"/>
    <xf numFmtId="44" fontId="65" fillId="18" borderId="0" xfId="0" applyNumberFormat="1" applyFont="1" applyFill="1"/>
    <xf numFmtId="0" fontId="66" fillId="17" borderId="66" xfId="0" applyFont="1" applyFill="1" applyBorder="1" applyAlignment="1">
      <alignment horizontal="left" vertical="center" wrapText="1"/>
    </xf>
    <xf numFmtId="0" fontId="67" fillId="17" borderId="66" xfId="2" applyFont="1" applyFill="1" applyBorder="1" applyAlignment="1" applyProtection="1">
      <alignment horizontal="center" vertical="center"/>
      <protection locked="0"/>
    </xf>
    <xf numFmtId="44" fontId="67" fillId="17" borderId="66" xfId="8" applyFont="1" applyFill="1" applyBorder="1" applyAlignment="1" applyProtection="1">
      <alignment vertical="center"/>
      <protection locked="0"/>
    </xf>
    <xf numFmtId="1" fontId="67" fillId="13" borderId="7" xfId="0" applyNumberFormat="1" applyFont="1" applyFill="1" applyBorder="1" applyAlignment="1">
      <alignment vertical="center"/>
    </xf>
    <xf numFmtId="170" fontId="69" fillId="11" borderId="15" xfId="0" applyNumberFormat="1" applyFont="1" applyFill="1" applyBorder="1" applyAlignment="1">
      <alignment horizontal="right"/>
    </xf>
    <xf numFmtId="0" fontId="66" fillId="12" borderId="61" xfId="0" applyFont="1" applyFill="1" applyBorder="1" applyAlignment="1">
      <alignment horizontal="center" vertical="center"/>
    </xf>
    <xf numFmtId="0" fontId="67" fillId="17" borderId="73" xfId="0" applyFont="1" applyFill="1" applyBorder="1" applyAlignment="1">
      <alignment horizontal="left" vertical="center" wrapText="1"/>
    </xf>
    <xf numFmtId="0" fontId="67" fillId="17" borderId="74" xfId="0" applyFont="1" applyFill="1" applyBorder="1" applyAlignment="1">
      <alignment horizontal="left" vertical="center" wrapText="1"/>
    </xf>
    <xf numFmtId="0" fontId="67" fillId="17" borderId="74" xfId="2" applyFont="1" applyFill="1" applyBorder="1" applyAlignment="1" applyProtection="1">
      <alignment horizontal="center" vertical="center"/>
      <protection locked="0"/>
    </xf>
    <xf numFmtId="44" fontId="67" fillId="17" borderId="74" xfId="8" applyFont="1" applyFill="1" applyBorder="1" applyAlignment="1" applyProtection="1">
      <alignment vertical="center"/>
      <protection locked="0"/>
    </xf>
    <xf numFmtId="44" fontId="67" fillId="17" borderId="74" xfId="8" applyFont="1" applyFill="1" applyBorder="1" applyAlignment="1">
      <alignment vertical="center"/>
    </xf>
    <xf numFmtId="44" fontId="67" fillId="0" borderId="74" xfId="8" applyFont="1" applyBorder="1" applyAlignment="1">
      <alignment vertical="center"/>
    </xf>
    <xf numFmtId="44" fontId="67" fillId="0" borderId="75" xfId="8" applyFont="1" applyBorder="1" applyAlignment="1">
      <alignment vertical="center"/>
    </xf>
    <xf numFmtId="0" fontId="67" fillId="17" borderId="66" xfId="2" applyFont="1" applyFill="1" applyBorder="1" applyAlignment="1" applyProtection="1">
      <alignment vertical="center"/>
      <protection locked="0"/>
    </xf>
    <xf numFmtId="44" fontId="66" fillId="14" borderId="70" xfId="8" applyFont="1" applyFill="1" applyBorder="1"/>
    <xf numFmtId="0" fontId="69" fillId="10" borderId="73" xfId="0" applyFont="1" applyFill="1" applyBorder="1" applyAlignment="1">
      <alignment horizontal="center"/>
    </xf>
    <xf numFmtId="0" fontId="69" fillId="10" borderId="74" xfId="0" applyFont="1" applyFill="1" applyBorder="1" applyAlignment="1">
      <alignment horizontal="center"/>
    </xf>
    <xf numFmtId="0" fontId="69" fillId="11" borderId="72" xfId="0" applyFont="1" applyFill="1" applyBorder="1" applyAlignment="1">
      <alignment horizontal="left"/>
    </xf>
    <xf numFmtId="0" fontId="69" fillId="11" borderId="66" xfId="0" applyFont="1" applyFill="1" applyBorder="1" applyAlignment="1">
      <alignment horizontal="left"/>
    </xf>
    <xf numFmtId="44" fontId="66" fillId="15" borderId="68" xfId="0" applyNumberFormat="1" applyFont="1" applyFill="1" applyBorder="1"/>
    <xf numFmtId="0" fontId="60" fillId="14" borderId="68" xfId="0" applyFont="1" applyFill="1" applyBorder="1"/>
    <xf numFmtId="44" fontId="66" fillId="14" borderId="68" xfId="0" applyNumberFormat="1" applyFont="1" applyFill="1" applyBorder="1"/>
    <xf numFmtId="44" fontId="66" fillId="14" borderId="78" xfId="8" applyFont="1" applyFill="1" applyBorder="1"/>
    <xf numFmtId="44" fontId="66" fillId="14" borderId="65" xfId="8" applyFont="1" applyFill="1" applyBorder="1"/>
    <xf numFmtId="0" fontId="67" fillId="17" borderId="49" xfId="0" applyFont="1" applyFill="1" applyBorder="1" applyAlignment="1">
      <alignment horizontal="left" vertical="center" wrapText="1"/>
    </xf>
    <xf numFmtId="44" fontId="66" fillId="13" borderId="66" xfId="8" applyFont="1" applyFill="1" applyBorder="1" applyAlignment="1">
      <alignment vertical="center"/>
    </xf>
    <xf numFmtId="44" fontId="66" fillId="15" borderId="66" xfId="0" applyNumberFormat="1" applyFont="1" applyFill="1" applyBorder="1"/>
    <xf numFmtId="0" fontId="60" fillId="14" borderId="66" xfId="0" applyFont="1" applyFill="1" applyBorder="1"/>
    <xf numFmtId="44" fontId="66" fillId="14" borderId="66" xfId="0" applyNumberFormat="1" applyFont="1" applyFill="1" applyBorder="1"/>
    <xf numFmtId="0" fontId="67" fillId="17" borderId="74" xfId="0" applyFont="1" applyFill="1" applyBorder="1" applyAlignment="1">
      <alignment horizontal="center" vertical="center"/>
    </xf>
    <xf numFmtId="44" fontId="67" fillId="17" borderId="74" xfId="8" applyFont="1" applyFill="1" applyBorder="1" applyAlignment="1">
      <alignment horizontal="left" vertical="center"/>
    </xf>
    <xf numFmtId="44" fontId="67" fillId="17" borderId="66" xfId="8" applyFont="1" applyFill="1" applyBorder="1" applyAlignment="1">
      <alignment horizontal="left" vertical="center"/>
    </xf>
    <xf numFmtId="0" fontId="72" fillId="17" borderId="72" xfId="0" applyFont="1" applyFill="1" applyBorder="1" applyAlignment="1">
      <alignment horizontal="left" vertical="center" wrapText="1"/>
    </xf>
    <xf numFmtId="0" fontId="72" fillId="17" borderId="66" xfId="0" applyFont="1" applyFill="1" applyBorder="1" applyAlignment="1">
      <alignment horizontal="left" vertical="center" wrapText="1"/>
    </xf>
    <xf numFmtId="0" fontId="72" fillId="17" borderId="66" xfId="0" applyFont="1" applyFill="1" applyBorder="1" applyAlignment="1">
      <alignment horizontal="center" vertical="center"/>
    </xf>
    <xf numFmtId="44" fontId="72" fillId="17" borderId="66" xfId="8" applyFont="1" applyFill="1" applyBorder="1" applyAlignment="1">
      <alignment vertical="center"/>
    </xf>
    <xf numFmtId="0" fontId="72" fillId="17" borderId="85" xfId="0" applyFont="1" applyFill="1" applyBorder="1" applyAlignment="1">
      <alignment horizontal="left" vertical="center" wrapText="1"/>
    </xf>
    <xf numFmtId="0" fontId="72" fillId="17" borderId="86" xfId="0" applyFont="1" applyFill="1" applyBorder="1" applyAlignment="1">
      <alignment horizontal="left" vertical="center" wrapText="1"/>
    </xf>
    <xf numFmtId="0" fontId="72" fillId="17" borderId="86" xfId="0" applyFont="1" applyFill="1" applyBorder="1" applyAlignment="1">
      <alignment horizontal="center" vertical="center"/>
    </xf>
    <xf numFmtId="44" fontId="72" fillId="17" borderId="86" xfId="8" applyFont="1" applyFill="1" applyBorder="1" applyAlignment="1">
      <alignment vertical="center"/>
    </xf>
    <xf numFmtId="44" fontId="67" fillId="0" borderId="86" xfId="8" applyFont="1" applyBorder="1" applyAlignment="1">
      <alignment vertical="center"/>
    </xf>
    <xf numFmtId="44" fontId="67" fillId="0" borderId="98" xfId="8" applyFont="1" applyBorder="1" applyAlignment="1">
      <alignment vertical="center"/>
    </xf>
    <xf numFmtId="44" fontId="73" fillId="21" borderId="66" xfId="8" applyFont="1" applyFill="1" applyBorder="1" applyAlignment="1">
      <alignment vertical="center"/>
    </xf>
    <xf numFmtId="0" fontId="74" fillId="21" borderId="66" xfId="0" applyFont="1" applyFill="1" applyBorder="1" applyAlignment="1">
      <alignment vertical="center" wrapText="1"/>
    </xf>
    <xf numFmtId="0" fontId="75" fillId="29" borderId="0" xfId="0" applyFont="1" applyFill="1" applyAlignment="1">
      <alignment wrapText="1"/>
    </xf>
    <xf numFmtId="170" fontId="69" fillId="11" borderId="67" xfId="8" applyNumberFormat="1" applyFont="1" applyFill="1" applyBorder="1" applyAlignment="1">
      <alignment horizontal="right"/>
    </xf>
    <xf numFmtId="44" fontId="66" fillId="14" borderId="67" xfId="8" applyFont="1" applyFill="1" applyBorder="1" applyAlignment="1">
      <alignment vertical="center"/>
    </xf>
    <xf numFmtId="44" fontId="66" fillId="14" borderId="57" xfId="8" applyFont="1" applyFill="1" applyBorder="1" applyAlignment="1">
      <alignment vertical="center"/>
    </xf>
    <xf numFmtId="0" fontId="66" fillId="12" borderId="120" xfId="0" applyFont="1" applyFill="1" applyBorder="1" applyAlignment="1">
      <alignment horizontal="center" vertical="center"/>
    </xf>
    <xf numFmtId="0" fontId="66" fillId="12" borderId="53" xfId="0" applyFont="1" applyFill="1" applyBorder="1" applyAlignment="1">
      <alignment horizontal="center" vertical="center"/>
    </xf>
    <xf numFmtId="0" fontId="67" fillId="17" borderId="77" xfId="0" applyFont="1" applyFill="1" applyBorder="1" applyAlignment="1">
      <alignment horizontal="left" vertical="center" wrapText="1"/>
    </xf>
    <xf numFmtId="0" fontId="72" fillId="17" borderId="68" xfId="0" applyFont="1" applyFill="1" applyBorder="1" applyAlignment="1">
      <alignment vertical="center" wrapText="1"/>
    </xf>
    <xf numFmtId="0" fontId="72" fillId="17" borderId="71" xfId="2" applyFont="1" applyFill="1" applyBorder="1" applyAlignment="1" applyProtection="1">
      <alignment horizontal="center" vertical="center" wrapText="1"/>
      <protection locked="0"/>
    </xf>
    <xf numFmtId="44" fontId="72" fillId="17" borderId="71" xfId="8" applyFont="1" applyFill="1" applyBorder="1" applyAlignment="1" applyProtection="1">
      <alignment horizontal="left" vertical="center" wrapText="1"/>
      <protection locked="0"/>
    </xf>
    <xf numFmtId="44" fontId="67" fillId="17" borderId="68" xfId="8" applyFont="1" applyFill="1" applyBorder="1" applyAlignment="1">
      <alignment vertical="center"/>
    </xf>
    <xf numFmtId="44" fontId="67" fillId="0" borderId="68" xfId="8" applyFont="1" applyBorder="1" applyAlignment="1">
      <alignment vertical="center"/>
    </xf>
    <xf numFmtId="44" fontId="73" fillId="21" borderId="0" xfId="8" applyFont="1" applyFill="1" applyBorder="1" applyAlignment="1">
      <alignment vertical="center"/>
    </xf>
    <xf numFmtId="44" fontId="73" fillId="21" borderId="71" xfId="8" applyFont="1" applyFill="1" applyBorder="1" applyAlignment="1">
      <alignment vertical="center" wrapText="1"/>
    </xf>
    <xf numFmtId="0" fontId="72" fillId="17" borderId="67" xfId="0" applyFont="1" applyFill="1" applyBorder="1" applyAlignment="1">
      <alignment vertical="center" wrapText="1"/>
    </xf>
    <xf numFmtId="44" fontId="67" fillId="21" borderId="57" xfId="8" applyFont="1" applyFill="1" applyBorder="1" applyAlignment="1">
      <alignment vertical="center"/>
    </xf>
    <xf numFmtId="44" fontId="73" fillId="27" borderId="0" xfId="8" applyFont="1" applyFill="1" applyBorder="1" applyAlignment="1">
      <alignment vertical="center"/>
    </xf>
    <xf numFmtId="0" fontId="60" fillId="21" borderId="0" xfId="0" applyFont="1" applyFill="1"/>
    <xf numFmtId="0" fontId="67" fillId="17" borderId="71" xfId="0" applyFont="1" applyFill="1" applyBorder="1" applyAlignment="1">
      <alignment horizontal="left" vertical="center" wrapText="1"/>
    </xf>
    <xf numFmtId="0" fontId="67" fillId="17" borderId="71" xfId="0" applyFont="1" applyFill="1" applyBorder="1" applyAlignment="1">
      <alignment horizontal="center" vertical="center"/>
    </xf>
    <xf numFmtId="44" fontId="67" fillId="17" borderId="71" xfId="8" applyFont="1" applyFill="1" applyBorder="1" applyAlignment="1">
      <alignment horizontal="left" vertical="center"/>
    </xf>
    <xf numFmtId="44" fontId="69" fillId="11" borderId="66" xfId="0" applyNumberFormat="1" applyFont="1" applyFill="1" applyBorder="1" applyAlignment="1">
      <alignment horizontal="right"/>
    </xf>
    <xf numFmtId="44" fontId="69" fillId="10" borderId="18" xfId="0" applyNumberFormat="1" applyFont="1" applyFill="1" applyBorder="1" applyAlignment="1">
      <alignment horizontal="right"/>
    </xf>
    <xf numFmtId="44" fontId="69" fillId="10" borderId="67" xfId="0" applyNumberFormat="1" applyFont="1" applyFill="1" applyBorder="1" applyAlignment="1">
      <alignment horizontal="right"/>
    </xf>
    <xf numFmtId="0" fontId="60" fillId="0" borderId="74" xfId="0" applyFont="1" applyBorder="1"/>
    <xf numFmtId="0" fontId="60" fillId="0" borderId="66" xfId="0" applyFont="1" applyBorder="1"/>
    <xf numFmtId="0" fontId="72" fillId="17" borderId="67" xfId="2" applyFont="1" applyFill="1" applyBorder="1" applyAlignment="1" applyProtection="1">
      <alignment horizontal="center" vertical="center" wrapText="1"/>
      <protection locked="0"/>
    </xf>
    <xf numFmtId="44" fontId="72" fillId="17" borderId="67" xfId="8" applyFont="1" applyFill="1" applyBorder="1" applyAlignment="1" applyProtection="1">
      <alignment horizontal="left" vertical="center" wrapText="1"/>
      <protection locked="0"/>
    </xf>
    <xf numFmtId="0" fontId="60" fillId="18" borderId="66" xfId="0" applyFont="1" applyFill="1" applyBorder="1"/>
    <xf numFmtId="10" fontId="67" fillId="15" borderId="57" xfId="8" applyNumberFormat="1" applyFont="1" applyFill="1" applyBorder="1" applyAlignment="1">
      <alignment horizontal="center" vertical="center"/>
    </xf>
    <xf numFmtId="170" fontId="69" fillId="11" borderId="126" xfId="0" applyNumberFormat="1" applyFont="1" applyFill="1" applyBorder="1" applyAlignment="1">
      <alignment horizontal="right"/>
    </xf>
    <xf numFmtId="10" fontId="66" fillId="15" borderId="70" xfId="8" applyNumberFormat="1" applyFont="1" applyFill="1" applyBorder="1" applyAlignment="1">
      <alignment horizontal="center" vertical="center"/>
    </xf>
    <xf numFmtId="44" fontId="69" fillId="10" borderId="66" xfId="0" applyNumberFormat="1" applyFont="1" applyFill="1" applyBorder="1" applyAlignment="1">
      <alignment horizontal="right"/>
    </xf>
    <xf numFmtId="44" fontId="69" fillId="16" borderId="12" xfId="8" applyFont="1" applyFill="1" applyBorder="1" applyAlignment="1">
      <alignment horizontal="center"/>
    </xf>
    <xf numFmtId="44" fontId="69" fillId="16" borderId="127" xfId="8" applyFont="1" applyFill="1" applyBorder="1" applyAlignment="1">
      <alignment horizontal="center"/>
    </xf>
    <xf numFmtId="49" fontId="67" fillId="0" borderId="99" xfId="0" applyNumberFormat="1" applyFont="1" applyBorder="1" applyAlignment="1">
      <alignment horizontal="left" vertical="center" wrapText="1"/>
    </xf>
    <xf numFmtId="0" fontId="69" fillId="16" borderId="11" xfId="0" applyFont="1" applyFill="1" applyBorder="1"/>
    <xf numFmtId="0" fontId="69" fillId="16" borderId="12" xfId="0" applyFont="1" applyFill="1" applyBorder="1"/>
    <xf numFmtId="44" fontId="69" fillId="16" borderId="12" xfId="0" applyNumberFormat="1" applyFont="1" applyFill="1" applyBorder="1"/>
    <xf numFmtId="44" fontId="69" fillId="16" borderId="0" xfId="0" applyNumberFormat="1" applyFont="1" applyFill="1"/>
    <xf numFmtId="0" fontId="69" fillId="16" borderId="66" xfId="0" applyFont="1" applyFill="1" applyBorder="1" applyAlignment="1">
      <alignment horizontal="center"/>
    </xf>
    <xf numFmtId="0" fontId="69" fillId="16" borderId="66" xfId="0" applyFont="1" applyFill="1" applyBorder="1"/>
    <xf numFmtId="44" fontId="69" fillId="16" borderId="66" xfId="0" applyNumberFormat="1" applyFont="1" applyFill="1" applyBorder="1"/>
    <xf numFmtId="10" fontId="69" fillId="15" borderId="70" xfId="0" applyNumberFormat="1" applyFont="1" applyFill="1" applyBorder="1" applyAlignment="1">
      <alignment horizontal="center" vertical="center"/>
    </xf>
    <xf numFmtId="9" fontId="69" fillId="16" borderId="0" xfId="1" applyFont="1" applyFill="1" applyBorder="1"/>
    <xf numFmtId="44" fontId="69" fillId="16" borderId="126" xfId="8" applyFont="1" applyFill="1" applyBorder="1"/>
    <xf numFmtId="168" fontId="65" fillId="0" borderId="5" xfId="1" applyNumberFormat="1" applyFont="1" applyBorder="1"/>
    <xf numFmtId="0" fontId="66" fillId="12" borderId="110" xfId="0" applyFont="1" applyFill="1" applyBorder="1" applyAlignment="1">
      <alignment horizontal="center" vertical="center"/>
    </xf>
    <xf numFmtId="0" fontId="72" fillId="0" borderId="56" xfId="0" applyFont="1" applyBorder="1" applyAlignment="1">
      <alignment horizontal="left" vertical="center" wrapText="1"/>
    </xf>
    <xf numFmtId="0" fontId="72" fillId="0" borderId="67" xfId="0" applyFont="1" applyBorder="1" applyAlignment="1">
      <alignment vertical="center" wrapText="1"/>
    </xf>
    <xf numFmtId="0" fontId="72" fillId="0" borderId="66" xfId="2" applyFont="1" applyBorder="1" applyAlignment="1" applyProtection="1">
      <alignment horizontal="center" vertical="center" wrapText="1"/>
      <protection locked="0"/>
    </xf>
    <xf numFmtId="44" fontId="72" fillId="0" borderId="66" xfId="8" applyFont="1" applyFill="1" applyBorder="1" applyAlignment="1" applyProtection="1">
      <alignment horizontal="left" vertical="center" wrapText="1"/>
      <protection locked="0"/>
    </xf>
    <xf numFmtId="44" fontId="72" fillId="0" borderId="67" xfId="8" applyFont="1" applyBorder="1" applyAlignment="1">
      <alignment vertical="center"/>
    </xf>
    <xf numFmtId="44" fontId="72" fillId="0" borderId="66" xfId="8" applyFont="1" applyBorder="1" applyAlignment="1">
      <alignment vertical="center"/>
    </xf>
    <xf numFmtId="1" fontId="67" fillId="13" borderId="96" xfId="0" applyNumberFormat="1" applyFont="1" applyFill="1" applyBorder="1" applyAlignment="1">
      <alignment vertical="center"/>
    </xf>
    <xf numFmtId="170" fontId="69" fillId="11" borderId="111" xfId="0" applyNumberFormat="1" applyFont="1" applyFill="1" applyBorder="1" applyAlignment="1">
      <alignment horizontal="right"/>
    </xf>
    <xf numFmtId="9" fontId="60" fillId="14" borderId="92" xfId="0" applyNumberFormat="1" applyFont="1" applyFill="1" applyBorder="1"/>
    <xf numFmtId="9" fontId="60" fillId="14" borderId="67" xfId="0" applyNumberFormat="1" applyFont="1" applyFill="1" applyBorder="1"/>
    <xf numFmtId="0" fontId="67" fillId="0" borderId="72" xfId="0" applyFont="1" applyBorder="1" applyAlignment="1">
      <alignment horizontal="left" vertical="center" wrapText="1"/>
    </xf>
    <xf numFmtId="0" fontId="67" fillId="18" borderId="72" xfId="0" applyFont="1" applyFill="1" applyBorder="1" applyAlignment="1">
      <alignment horizontal="left" vertical="center" wrapText="1"/>
    </xf>
    <xf numFmtId="0" fontId="66" fillId="18" borderId="66" xfId="0" applyFont="1" applyFill="1" applyBorder="1" applyAlignment="1">
      <alignment horizontal="left" vertical="center" wrapText="1"/>
    </xf>
    <xf numFmtId="0" fontId="67" fillId="18" borderId="66" xfId="2" applyFont="1" applyFill="1" applyBorder="1" applyAlignment="1" applyProtection="1">
      <alignment vertical="center"/>
      <protection locked="0"/>
    </xf>
    <xf numFmtId="44" fontId="67" fillId="18" borderId="66" xfId="8" applyFont="1" applyFill="1" applyBorder="1" applyAlignment="1" applyProtection="1">
      <alignment vertical="center"/>
      <protection locked="0"/>
    </xf>
    <xf numFmtId="44" fontId="67" fillId="18" borderId="66" xfId="8" applyFont="1" applyFill="1" applyBorder="1" applyAlignment="1">
      <alignment vertical="center"/>
    </xf>
    <xf numFmtId="0" fontId="74" fillId="18" borderId="0" xfId="0" applyFont="1" applyFill="1"/>
    <xf numFmtId="0" fontId="72" fillId="0" borderId="72" xfId="0" applyFont="1" applyBorder="1" applyAlignment="1">
      <alignment horizontal="left" vertical="center" wrapText="1"/>
    </xf>
    <xf numFmtId="0" fontId="72" fillId="0" borderId="66" xfId="0" applyFont="1" applyBorder="1" applyAlignment="1">
      <alignment horizontal="left" vertical="center" wrapText="1"/>
    </xf>
    <xf numFmtId="0" fontId="72" fillId="0" borderId="66" xfId="2" applyFont="1" applyBorder="1" applyAlignment="1" applyProtection="1">
      <alignment horizontal="center" vertical="center"/>
      <protection locked="0"/>
    </xf>
    <xf numFmtId="44" fontId="72" fillId="17" borderId="66" xfId="8" applyFont="1" applyFill="1" applyBorder="1" applyAlignment="1" applyProtection="1">
      <alignment vertical="center"/>
      <protection locked="0"/>
    </xf>
    <xf numFmtId="44" fontId="72" fillId="0" borderId="70" xfId="8" applyFont="1" applyBorder="1" applyAlignment="1">
      <alignment vertical="center"/>
    </xf>
    <xf numFmtId="44" fontId="72" fillId="0" borderId="0" xfId="8" applyFont="1" applyBorder="1" applyAlignment="1">
      <alignment vertical="center"/>
    </xf>
    <xf numFmtId="44" fontId="72" fillId="0" borderId="66" xfId="8" applyFont="1" applyFill="1" applyBorder="1" applyAlignment="1" applyProtection="1">
      <alignment vertical="center"/>
      <protection locked="0"/>
    </xf>
    <xf numFmtId="0" fontId="74" fillId="0" borderId="0" xfId="0" applyFont="1"/>
    <xf numFmtId="1" fontId="67" fillId="13" borderId="72" xfId="0" applyNumberFormat="1" applyFont="1" applyFill="1" applyBorder="1" applyAlignment="1">
      <alignment vertical="center"/>
    </xf>
    <xf numFmtId="1" fontId="67" fillId="13" borderId="66" xfId="0" applyNumberFormat="1" applyFont="1" applyFill="1" applyBorder="1" applyAlignment="1">
      <alignment vertical="center"/>
    </xf>
    <xf numFmtId="9" fontId="60" fillId="14" borderId="66" xfId="0" applyNumberFormat="1" applyFont="1" applyFill="1" applyBorder="1"/>
    <xf numFmtId="170" fontId="69" fillId="10" borderId="0" xfId="0" applyNumberFormat="1" applyFont="1" applyFill="1" applyAlignment="1">
      <alignment horizontal="right"/>
    </xf>
    <xf numFmtId="170" fontId="69" fillId="10" borderId="18" xfId="0" applyNumberFormat="1" applyFont="1" applyFill="1" applyBorder="1" applyAlignment="1">
      <alignment horizontal="right"/>
    </xf>
    <xf numFmtId="0" fontId="67" fillId="0" borderId="73" xfId="0" applyFont="1" applyBorder="1" applyAlignment="1">
      <alignment horizontal="left" vertical="center" wrapText="1"/>
    </xf>
    <xf numFmtId="0" fontId="66" fillId="0" borderId="74" xfId="0" applyFont="1" applyBorder="1" applyAlignment="1">
      <alignment horizontal="left" vertical="center" wrapText="1"/>
    </xf>
    <xf numFmtId="0" fontId="67" fillId="0" borderId="74" xfId="2" applyFont="1" applyBorder="1" applyAlignment="1" applyProtection="1">
      <alignment horizontal="center" vertical="center"/>
      <protection locked="0"/>
    </xf>
    <xf numFmtId="44" fontId="67" fillId="0" borderId="74" xfId="8" applyFont="1" applyFill="1" applyBorder="1" applyAlignment="1" applyProtection="1">
      <alignment vertical="center"/>
      <protection locked="0"/>
    </xf>
    <xf numFmtId="44" fontId="67" fillId="21" borderId="75" xfId="8" applyFont="1" applyFill="1" applyBorder="1" applyAlignment="1">
      <alignment vertical="center"/>
    </xf>
    <xf numFmtId="166" fontId="67" fillId="13" borderId="66" xfId="8" applyNumberFormat="1" applyFont="1" applyFill="1" applyBorder="1" applyAlignment="1">
      <alignment vertical="center"/>
    </xf>
    <xf numFmtId="166" fontId="67" fillId="15" borderId="66" xfId="8" applyNumberFormat="1" applyFont="1" applyFill="1" applyBorder="1" applyAlignment="1">
      <alignment vertical="center"/>
    </xf>
    <xf numFmtId="166" fontId="67" fillId="14" borderId="66" xfId="1" applyNumberFormat="1" applyFont="1" applyFill="1" applyBorder="1" applyAlignment="1">
      <alignment vertical="center"/>
    </xf>
    <xf numFmtId="166" fontId="67" fillId="14" borderId="66" xfId="8" applyNumberFormat="1" applyFont="1" applyFill="1" applyBorder="1" applyAlignment="1">
      <alignment vertical="center"/>
    </xf>
    <xf numFmtId="166" fontId="67" fillId="14" borderId="70" xfId="8" applyNumberFormat="1" applyFont="1" applyFill="1" applyBorder="1" applyAlignment="1">
      <alignment vertical="center"/>
    </xf>
    <xf numFmtId="0" fontId="66" fillId="0" borderId="66" xfId="0" applyFont="1" applyBorder="1" applyAlignment="1">
      <alignment horizontal="left" vertical="center" wrapText="1"/>
    </xf>
    <xf numFmtId="0" fontId="60" fillId="0" borderId="66" xfId="0" applyFont="1" applyBorder="1" applyAlignment="1">
      <alignment vertical="center"/>
    </xf>
    <xf numFmtId="166" fontId="60" fillId="0" borderId="66" xfId="8" applyNumberFormat="1" applyFont="1" applyBorder="1" applyAlignment="1">
      <alignment vertical="center"/>
    </xf>
    <xf numFmtId="166" fontId="67" fillId="21" borderId="70" xfId="8" applyNumberFormat="1" applyFont="1" applyFill="1" applyBorder="1" applyAlignment="1">
      <alignment vertical="center"/>
    </xf>
    <xf numFmtId="44" fontId="67" fillId="0" borderId="0" xfId="8" applyFont="1" applyBorder="1" applyAlignment="1">
      <alignment vertical="center" wrapText="1"/>
    </xf>
    <xf numFmtId="1" fontId="60" fillId="13" borderId="72" xfId="0" applyNumberFormat="1" applyFont="1" applyFill="1" applyBorder="1" applyAlignment="1">
      <alignment vertical="center"/>
    </xf>
    <xf numFmtId="1" fontId="60" fillId="13" borderId="66" xfId="0" applyNumberFormat="1" applyFont="1" applyFill="1" applyBorder="1" applyAlignment="1">
      <alignment vertical="center"/>
    </xf>
    <xf numFmtId="166" fontId="60" fillId="13" borderId="66" xfId="8" applyNumberFormat="1" applyFont="1" applyFill="1" applyBorder="1" applyAlignment="1">
      <alignment vertical="center"/>
    </xf>
    <xf numFmtId="166" fontId="60" fillId="15" borderId="66" xfId="8" applyNumberFormat="1" applyFont="1" applyFill="1" applyBorder="1" applyAlignment="1">
      <alignment vertical="center"/>
    </xf>
    <xf numFmtId="166" fontId="60" fillId="14" borderId="66" xfId="1" applyNumberFormat="1" applyFont="1" applyFill="1" applyBorder="1" applyAlignment="1">
      <alignment vertical="center"/>
    </xf>
    <xf numFmtId="166" fontId="60" fillId="14" borderId="66" xfId="8" applyNumberFormat="1" applyFont="1" applyFill="1" applyBorder="1" applyAlignment="1">
      <alignment vertical="center"/>
    </xf>
    <xf numFmtId="166" fontId="60" fillId="14" borderId="70" xfId="8" applyNumberFormat="1" applyFont="1" applyFill="1" applyBorder="1" applyAlignment="1">
      <alignment vertical="center"/>
    </xf>
    <xf numFmtId="0" fontId="67" fillId="0" borderId="66" xfId="2" applyFont="1" applyBorder="1" applyAlignment="1" applyProtection="1">
      <alignment vertical="center"/>
      <protection locked="0"/>
    </xf>
    <xf numFmtId="44" fontId="67" fillId="0" borderId="66" xfId="8" applyFont="1" applyFill="1" applyBorder="1" applyAlignment="1" applyProtection="1">
      <alignment vertical="center"/>
      <protection locked="0"/>
    </xf>
    <xf numFmtId="166" fontId="60" fillId="14" borderId="66" xfId="0" applyNumberFormat="1" applyFont="1" applyFill="1" applyBorder="1"/>
    <xf numFmtId="10" fontId="67" fillId="17" borderId="0" xfId="0" applyNumberFormat="1" applyFont="1" applyFill="1" applyAlignment="1">
      <alignment horizontal="center" vertical="center"/>
    </xf>
    <xf numFmtId="44" fontId="69" fillId="10" borderId="86" xfId="0" applyNumberFormat="1" applyFont="1" applyFill="1" applyBorder="1" applyAlignment="1">
      <alignment horizontal="right"/>
    </xf>
    <xf numFmtId="166" fontId="60" fillId="14" borderId="86" xfId="0" applyNumberFormat="1" applyFont="1" applyFill="1" applyBorder="1"/>
    <xf numFmtId="0" fontId="76" fillId="0" borderId="66" xfId="0" applyFont="1" applyBorder="1" applyAlignment="1">
      <alignment horizontal="left" vertical="center" wrapText="1"/>
    </xf>
    <xf numFmtId="44" fontId="67" fillId="21" borderId="70" xfId="8" applyFont="1" applyFill="1" applyBorder="1" applyAlignment="1">
      <alignment vertical="center"/>
    </xf>
    <xf numFmtId="44" fontId="67" fillId="21" borderId="0" xfId="8" applyFont="1" applyFill="1" applyBorder="1" applyAlignment="1">
      <alignment vertical="center"/>
    </xf>
    <xf numFmtId="44" fontId="66" fillId="15" borderId="66" xfId="8" applyFont="1" applyFill="1" applyBorder="1" applyAlignment="1">
      <alignment vertical="center"/>
    </xf>
    <xf numFmtId="9" fontId="66" fillId="14" borderId="66" xfId="1" applyFont="1" applyFill="1" applyBorder="1" applyAlignment="1">
      <alignment vertical="center"/>
    </xf>
    <xf numFmtId="44" fontId="66" fillId="14" borderId="66" xfId="8" applyFont="1" applyFill="1" applyBorder="1" applyAlignment="1">
      <alignment vertical="center"/>
    </xf>
    <xf numFmtId="0" fontId="76" fillId="18" borderId="66" xfId="0" applyFont="1" applyFill="1" applyBorder="1" applyAlignment="1">
      <alignment horizontal="left" vertical="center" wrapText="1"/>
    </xf>
    <xf numFmtId="0" fontId="72" fillId="18" borderId="66" xfId="2" applyFont="1" applyFill="1" applyBorder="1" applyAlignment="1" applyProtection="1">
      <alignment horizontal="center" vertical="center" wrapText="1"/>
      <protection locked="0"/>
    </xf>
    <xf numFmtId="44" fontId="67" fillId="17" borderId="70" xfId="8" applyFont="1" applyFill="1" applyBorder="1" applyAlignment="1">
      <alignment vertical="center"/>
    </xf>
    <xf numFmtId="170" fontId="78" fillId="11" borderId="15" xfId="0" applyNumberFormat="1" applyFont="1" applyFill="1" applyBorder="1" applyAlignment="1">
      <alignment horizontal="right"/>
    </xf>
    <xf numFmtId="170" fontId="78" fillId="11" borderId="111" xfId="0" applyNumberFormat="1" applyFont="1" applyFill="1" applyBorder="1" applyAlignment="1">
      <alignment horizontal="right"/>
    </xf>
    <xf numFmtId="170" fontId="78" fillId="11" borderId="0" xfId="0" applyNumberFormat="1" applyFont="1" applyFill="1" applyAlignment="1">
      <alignment horizontal="right"/>
    </xf>
    <xf numFmtId="44" fontId="61" fillId="11" borderId="66" xfId="0" applyNumberFormat="1" applyFont="1" applyFill="1" applyBorder="1" applyAlignment="1">
      <alignment horizontal="right"/>
    </xf>
    <xf numFmtId="44" fontId="61" fillId="15" borderId="66" xfId="0" applyNumberFormat="1" applyFont="1" applyFill="1" applyBorder="1" applyAlignment="1">
      <alignment horizontal="center"/>
    </xf>
    <xf numFmtId="9" fontId="61" fillId="14" borderId="66" xfId="0" applyNumberFormat="1" applyFont="1" applyFill="1" applyBorder="1" applyAlignment="1">
      <alignment horizontal="center"/>
    </xf>
    <xf numFmtId="0" fontId="61" fillId="14" borderId="66" xfId="0" applyFont="1" applyFill="1" applyBorder="1" applyAlignment="1">
      <alignment horizontal="center"/>
    </xf>
    <xf numFmtId="44" fontId="61" fillId="14" borderId="66" xfId="0" applyNumberFormat="1" applyFont="1" applyFill="1" applyBorder="1" applyAlignment="1">
      <alignment horizontal="center"/>
    </xf>
    <xf numFmtId="44" fontId="61" fillId="14" borderId="70" xfId="8" applyFont="1" applyFill="1" applyBorder="1" applyAlignment="1">
      <alignment horizontal="center"/>
    </xf>
    <xf numFmtId="44" fontId="61" fillId="10" borderId="67" xfId="0" applyNumberFormat="1" applyFont="1" applyFill="1" applyBorder="1" applyAlignment="1">
      <alignment horizontal="right"/>
    </xf>
    <xf numFmtId="44" fontId="61" fillId="15" borderId="67" xfId="0" applyNumberFormat="1" applyFont="1" applyFill="1" applyBorder="1" applyAlignment="1">
      <alignment horizontal="center"/>
    </xf>
    <xf numFmtId="9" fontId="61" fillId="14" borderId="67" xfId="0" applyNumberFormat="1" applyFont="1" applyFill="1" applyBorder="1" applyAlignment="1">
      <alignment horizontal="center"/>
    </xf>
    <xf numFmtId="0" fontId="61" fillId="14" borderId="67" xfId="0" applyFont="1" applyFill="1" applyBorder="1" applyAlignment="1">
      <alignment horizontal="center"/>
    </xf>
    <xf numFmtId="44" fontId="61" fillId="14" borderId="67" xfId="0" applyNumberFormat="1" applyFont="1" applyFill="1" applyBorder="1" applyAlignment="1">
      <alignment horizontal="center"/>
    </xf>
    <xf numFmtId="44" fontId="61" fillId="14" borderId="57" xfId="8" applyFont="1" applyFill="1" applyBorder="1" applyAlignment="1">
      <alignment horizontal="center"/>
    </xf>
    <xf numFmtId="44" fontId="66" fillId="12" borderId="59" xfId="0" applyNumberFormat="1" applyFont="1" applyFill="1" applyBorder="1" applyAlignment="1">
      <alignment horizontal="center" vertical="center"/>
    </xf>
    <xf numFmtId="44" fontId="69" fillId="12" borderId="61" xfId="0" applyNumberFormat="1" applyFont="1" applyFill="1" applyBorder="1" applyAlignment="1">
      <alignment horizontal="center" vertical="center"/>
    </xf>
    <xf numFmtId="44" fontId="69" fillId="12" borderId="0" xfId="0" applyNumberFormat="1" applyFont="1" applyFill="1" applyAlignment="1">
      <alignment horizontal="center" vertical="center"/>
    </xf>
    <xf numFmtId="10" fontId="66" fillId="12" borderId="66" xfId="0" applyNumberFormat="1" applyFont="1" applyFill="1" applyBorder="1" applyAlignment="1">
      <alignment horizontal="center" vertical="center"/>
    </xf>
    <xf numFmtId="44" fontId="73" fillId="21" borderId="10" xfId="8" applyFont="1" applyFill="1" applyBorder="1" applyAlignment="1">
      <alignment vertical="center"/>
    </xf>
    <xf numFmtId="44" fontId="79" fillId="21" borderId="0" xfId="8" applyFont="1" applyFill="1" applyBorder="1" applyAlignment="1">
      <alignment vertical="center" wrapText="1"/>
    </xf>
    <xf numFmtId="1" fontId="67" fillId="13" borderId="65" xfId="0" applyNumberFormat="1" applyFont="1" applyFill="1" applyBorder="1" applyAlignment="1">
      <alignment vertical="center"/>
    </xf>
    <xf numFmtId="44" fontId="66" fillId="15" borderId="65" xfId="8" applyFont="1" applyFill="1" applyBorder="1" applyAlignment="1">
      <alignment vertical="center"/>
    </xf>
    <xf numFmtId="9" fontId="66" fillId="14" borderId="65" xfId="1" applyFont="1" applyFill="1" applyBorder="1" applyAlignment="1">
      <alignment vertical="center"/>
    </xf>
    <xf numFmtId="44" fontId="66" fillId="14" borderId="65" xfId="8" applyFont="1" applyFill="1" applyBorder="1" applyAlignment="1">
      <alignment vertical="center"/>
    </xf>
    <xf numFmtId="44" fontId="73" fillId="21" borderId="10" xfId="8" applyFont="1" applyFill="1" applyBorder="1" applyAlignment="1">
      <alignment vertical="center" wrapText="1"/>
    </xf>
    <xf numFmtId="44" fontId="66" fillId="15" borderId="7" xfId="8" applyFont="1" applyFill="1" applyBorder="1" applyAlignment="1">
      <alignment vertical="center"/>
    </xf>
    <xf numFmtId="9" fontId="66" fillId="14" borderId="7" xfId="1" applyFont="1" applyFill="1" applyBorder="1" applyAlignment="1">
      <alignment vertical="center"/>
    </xf>
    <xf numFmtId="44" fontId="66" fillId="14" borderId="7" xfId="8" applyFont="1" applyFill="1" applyBorder="1" applyAlignment="1">
      <alignment vertical="center"/>
    </xf>
    <xf numFmtId="44" fontId="69" fillId="11" borderId="71" xfId="0" applyNumberFormat="1" applyFont="1" applyFill="1" applyBorder="1" applyAlignment="1">
      <alignment horizontal="right"/>
    </xf>
    <xf numFmtId="44" fontId="61" fillId="15" borderId="71" xfId="0" applyNumberFormat="1" applyFont="1" applyFill="1" applyBorder="1" applyAlignment="1">
      <alignment horizontal="center"/>
    </xf>
    <xf numFmtId="9" fontId="61" fillId="14" borderId="71" xfId="0" applyNumberFormat="1" applyFont="1" applyFill="1" applyBorder="1" applyAlignment="1">
      <alignment horizontal="center"/>
    </xf>
    <xf numFmtId="0" fontId="61" fillId="14" borderId="71" xfId="0" applyFont="1" applyFill="1" applyBorder="1" applyAlignment="1">
      <alignment horizontal="center"/>
    </xf>
    <xf numFmtId="44" fontId="61" fillId="14" borderId="71" xfId="0" applyNumberFormat="1" applyFont="1" applyFill="1" applyBorder="1" applyAlignment="1">
      <alignment horizontal="center"/>
    </xf>
    <xf numFmtId="44" fontId="61" fillId="14" borderId="79" xfId="8" applyFont="1" applyFill="1" applyBorder="1" applyAlignment="1">
      <alignment horizontal="center"/>
    </xf>
    <xf numFmtId="44" fontId="69" fillId="10" borderId="15" xfId="0" applyNumberFormat="1" applyFont="1" applyFill="1" applyBorder="1" applyAlignment="1">
      <alignment horizontal="right"/>
    </xf>
    <xf numFmtId="44" fontId="69" fillId="10" borderId="113" xfId="0" applyNumberFormat="1" applyFont="1" applyFill="1" applyBorder="1" applyAlignment="1">
      <alignment horizontal="right"/>
    </xf>
    <xf numFmtId="44" fontId="61" fillId="15" borderId="86" xfId="0" applyNumberFormat="1" applyFont="1" applyFill="1" applyBorder="1" applyAlignment="1">
      <alignment horizontal="center"/>
    </xf>
    <xf numFmtId="9" fontId="61" fillId="14" borderId="86" xfId="0" applyNumberFormat="1" applyFont="1" applyFill="1" applyBorder="1" applyAlignment="1">
      <alignment horizontal="center"/>
    </xf>
    <xf numFmtId="0" fontId="61" fillId="14" borderId="86" xfId="0" applyFont="1" applyFill="1" applyBorder="1" applyAlignment="1">
      <alignment horizontal="center"/>
    </xf>
    <xf numFmtId="44" fontId="61" fillId="14" borderId="86" xfId="0" applyNumberFormat="1" applyFont="1" applyFill="1" applyBorder="1" applyAlignment="1">
      <alignment horizontal="center"/>
    </xf>
    <xf numFmtId="44" fontId="61" fillId="14" borderId="98" xfId="8" applyFont="1" applyFill="1" applyBorder="1" applyAlignment="1">
      <alignment horizontal="center"/>
    </xf>
    <xf numFmtId="0" fontId="66" fillId="12" borderId="114" xfId="0" applyFont="1" applyFill="1" applyBorder="1" applyAlignment="1">
      <alignment horizontal="center" vertical="center"/>
    </xf>
    <xf numFmtId="0" fontId="66" fillId="12" borderId="117" xfId="0" applyFont="1" applyFill="1" applyBorder="1" applyAlignment="1">
      <alignment horizontal="center" vertical="center"/>
    </xf>
    <xf numFmtId="10" fontId="66" fillId="15" borderId="66" xfId="0" applyNumberFormat="1" applyFont="1" applyFill="1" applyBorder="1" applyAlignment="1">
      <alignment horizontal="center" vertical="center"/>
    </xf>
    <xf numFmtId="0" fontId="67" fillId="0" borderId="66" xfId="0" applyFont="1" applyBorder="1" applyAlignment="1">
      <alignment horizontal="left" vertical="center" wrapText="1"/>
    </xf>
    <xf numFmtId="1" fontId="67" fillId="13" borderId="88" xfId="0" applyNumberFormat="1" applyFont="1" applyFill="1" applyBorder="1" applyAlignment="1">
      <alignment vertical="center"/>
    </xf>
    <xf numFmtId="10" fontId="67" fillId="15" borderId="67" xfId="0" applyNumberFormat="1" applyFont="1" applyFill="1" applyBorder="1" applyAlignment="1">
      <alignment horizontal="center" vertical="center"/>
    </xf>
    <xf numFmtId="0" fontId="60" fillId="0" borderId="66" xfId="0" applyFont="1" applyBorder="1" applyAlignment="1">
      <alignment horizontal="center" vertical="center"/>
    </xf>
    <xf numFmtId="166" fontId="60" fillId="0" borderId="70" xfId="8" applyNumberFormat="1" applyFont="1" applyBorder="1" applyAlignment="1">
      <alignment vertical="center"/>
    </xf>
    <xf numFmtId="171" fontId="60" fillId="0" borderId="0" xfId="8" applyNumberFormat="1" applyFont="1" applyBorder="1" applyAlignment="1">
      <alignment vertical="center"/>
    </xf>
    <xf numFmtId="1" fontId="60" fillId="13" borderId="7" xfId="0" applyNumberFormat="1" applyFont="1" applyFill="1" applyBorder="1" applyAlignment="1">
      <alignment vertical="center"/>
    </xf>
    <xf numFmtId="166" fontId="60" fillId="13" borderId="7" xfId="8" applyNumberFormat="1" applyFont="1" applyFill="1" applyBorder="1" applyAlignment="1">
      <alignment vertical="center"/>
    </xf>
    <xf numFmtId="166" fontId="60" fillId="15" borderId="7" xfId="8" applyNumberFormat="1" applyFont="1" applyFill="1" applyBorder="1" applyAlignment="1">
      <alignment vertical="center"/>
    </xf>
    <xf numFmtId="166" fontId="60" fillId="14" borderId="7" xfId="1" applyNumberFormat="1" applyFont="1" applyFill="1" applyBorder="1" applyAlignment="1">
      <alignment vertical="center"/>
    </xf>
    <xf numFmtId="166" fontId="60" fillId="14" borderId="7" xfId="8" applyNumberFormat="1" applyFont="1" applyFill="1" applyBorder="1" applyAlignment="1">
      <alignment vertical="center"/>
    </xf>
    <xf numFmtId="0" fontId="67" fillId="0" borderId="66" xfId="0" applyFont="1" applyBorder="1" applyAlignment="1">
      <alignment horizontal="center" vertical="center"/>
    </xf>
    <xf numFmtId="1" fontId="67" fillId="13" borderId="39" xfId="0" applyNumberFormat="1" applyFont="1" applyFill="1" applyBorder="1" applyAlignment="1">
      <alignment vertical="center"/>
    </xf>
    <xf numFmtId="10" fontId="67" fillId="15" borderId="71" xfId="0" applyNumberFormat="1" applyFont="1" applyFill="1" applyBorder="1" applyAlignment="1">
      <alignment horizontal="center" vertical="center"/>
    </xf>
    <xf numFmtId="44" fontId="73" fillId="18" borderId="10" xfId="8" applyFont="1" applyFill="1" applyBorder="1" applyAlignment="1">
      <alignment vertical="center"/>
    </xf>
    <xf numFmtId="1" fontId="67" fillId="13" borderId="102" xfId="0" applyNumberFormat="1" applyFont="1" applyFill="1" applyBorder="1" applyAlignment="1">
      <alignment vertical="center"/>
    </xf>
    <xf numFmtId="44" fontId="66" fillId="15" borderId="71" xfId="0" applyNumberFormat="1" applyFont="1" applyFill="1" applyBorder="1"/>
    <xf numFmtId="44" fontId="66" fillId="14" borderId="71" xfId="0" applyNumberFormat="1" applyFont="1" applyFill="1" applyBorder="1"/>
    <xf numFmtId="0" fontId="66" fillId="12" borderId="115" xfId="0" applyFont="1" applyFill="1" applyBorder="1" applyAlignment="1">
      <alignment horizontal="center" vertical="center"/>
    </xf>
    <xf numFmtId="0" fontId="67" fillId="31" borderId="49" xfId="0" applyFont="1" applyFill="1" applyBorder="1" applyAlignment="1">
      <alignment horizontal="left" vertical="center" wrapText="1"/>
    </xf>
    <xf numFmtId="0" fontId="61" fillId="18" borderId="66" xfId="0" applyFont="1" applyFill="1" applyBorder="1" applyAlignment="1">
      <alignment horizontal="left" vertical="center" wrapText="1"/>
    </xf>
    <xf numFmtId="0" fontId="67" fillId="18" borderId="66" xfId="0" applyFont="1" applyFill="1" applyBorder="1" applyAlignment="1">
      <alignment horizontal="center" vertical="center"/>
    </xf>
    <xf numFmtId="44" fontId="73" fillId="18" borderId="66" xfId="8" applyFont="1" applyFill="1" applyBorder="1" applyAlignment="1">
      <alignment vertical="center"/>
    </xf>
    <xf numFmtId="0" fontId="67" fillId="18" borderId="66" xfId="0" applyFont="1" applyFill="1" applyBorder="1" applyAlignment="1">
      <alignment horizontal="left" vertical="center" wrapText="1"/>
    </xf>
    <xf numFmtId="0" fontId="74" fillId="18" borderId="66" xfId="0" applyFont="1" applyFill="1" applyBorder="1" applyAlignment="1">
      <alignment vertical="center"/>
    </xf>
    <xf numFmtId="0" fontId="60" fillId="18" borderId="66" xfId="0" applyFont="1" applyFill="1" applyBorder="1" applyAlignment="1">
      <alignment horizontal="center" vertical="center"/>
    </xf>
    <xf numFmtId="166" fontId="60" fillId="18" borderId="66" xfId="8" applyNumberFormat="1" applyFont="1" applyFill="1" applyBorder="1" applyAlignment="1">
      <alignment vertical="center"/>
    </xf>
    <xf numFmtId="166" fontId="67" fillId="0" borderId="66" xfId="8" applyNumberFormat="1" applyFont="1" applyBorder="1" applyAlignment="1">
      <alignment vertical="center"/>
    </xf>
    <xf numFmtId="1" fontId="60" fillId="13" borderId="72" xfId="0" applyNumberFormat="1" applyFont="1" applyFill="1" applyBorder="1" applyAlignment="1">
      <alignment horizontal="center" vertical="center"/>
    </xf>
    <xf numFmtId="1" fontId="60" fillId="13" borderId="66" xfId="0" applyNumberFormat="1" applyFont="1" applyFill="1" applyBorder="1" applyAlignment="1">
      <alignment horizontal="center" vertical="center"/>
    </xf>
    <xf numFmtId="44" fontId="69" fillId="11" borderId="86" xfId="0" applyNumberFormat="1" applyFont="1" applyFill="1" applyBorder="1" applyAlignment="1">
      <alignment horizontal="right"/>
    </xf>
    <xf numFmtId="0" fontId="66" fillId="12" borderId="105" xfId="0" applyFont="1" applyFill="1" applyBorder="1" applyAlignment="1">
      <alignment horizontal="center" vertical="center"/>
    </xf>
    <xf numFmtId="0" fontId="72" fillId="0" borderId="73" xfId="0" applyFont="1" applyBorder="1" applyAlignment="1">
      <alignment horizontal="left" vertical="center" wrapText="1"/>
    </xf>
    <xf numFmtId="0" fontId="72" fillId="0" borderId="74" xfId="0" applyFont="1" applyBorder="1" applyAlignment="1">
      <alignment vertical="center" wrapText="1"/>
    </xf>
    <xf numFmtId="0" fontId="72" fillId="0" borderId="74" xfId="2" applyFont="1" applyBorder="1" applyAlignment="1" applyProtection="1">
      <alignment horizontal="center" vertical="center" wrapText="1"/>
      <protection locked="0"/>
    </xf>
    <xf numFmtId="44" fontId="72" fillId="0" borderId="74" xfId="8" applyFont="1" applyFill="1" applyBorder="1" applyAlignment="1" applyProtection="1">
      <alignment horizontal="left" vertical="center" wrapText="1"/>
      <protection locked="0"/>
    </xf>
    <xf numFmtId="44" fontId="72" fillId="0" borderId="74" xfId="8" applyFont="1" applyBorder="1" applyAlignment="1">
      <alignment vertical="center"/>
    </xf>
    <xf numFmtId="0" fontId="80" fillId="0" borderId="66" xfId="0" applyFont="1" applyBorder="1" applyAlignment="1">
      <alignment horizontal="center" vertical="center"/>
    </xf>
    <xf numFmtId="166" fontId="80" fillId="17" borderId="66" xfId="8" applyNumberFormat="1" applyFont="1" applyFill="1" applyBorder="1" applyAlignment="1">
      <alignment vertical="center"/>
    </xf>
    <xf numFmtId="166" fontId="80" fillId="0" borderId="66" xfId="8" applyNumberFormat="1" applyFont="1" applyBorder="1" applyAlignment="1">
      <alignment vertical="center"/>
    </xf>
    <xf numFmtId="166" fontId="60" fillId="0" borderId="0" xfId="8" applyNumberFormat="1" applyFont="1" applyBorder="1" applyAlignment="1">
      <alignment vertical="center"/>
    </xf>
    <xf numFmtId="44" fontId="81" fillId="13" borderId="66" xfId="8" applyFont="1" applyFill="1" applyBorder="1" applyAlignment="1">
      <alignment vertical="center"/>
    </xf>
    <xf numFmtId="170" fontId="61" fillId="11" borderId="15" xfId="0" applyNumberFormat="1" applyFont="1" applyFill="1" applyBorder="1" applyAlignment="1">
      <alignment horizontal="right"/>
    </xf>
    <xf numFmtId="170" fontId="69" fillId="11" borderId="104" xfId="0" applyNumberFormat="1" applyFont="1" applyFill="1" applyBorder="1" applyAlignment="1">
      <alignment horizontal="right"/>
    </xf>
    <xf numFmtId="166" fontId="69" fillId="11" borderId="86" xfId="0" applyNumberFormat="1" applyFont="1" applyFill="1" applyBorder="1" applyAlignment="1">
      <alignment horizontal="right"/>
    </xf>
    <xf numFmtId="166" fontId="66" fillId="15" borderId="86" xfId="0" applyNumberFormat="1" applyFont="1" applyFill="1" applyBorder="1"/>
    <xf numFmtId="166" fontId="66" fillId="14" borderId="86" xfId="0" applyNumberFormat="1" applyFont="1" applyFill="1" applyBorder="1"/>
    <xf numFmtId="166" fontId="66" fillId="14" borderId="98" xfId="8" applyNumberFormat="1" applyFont="1" applyFill="1" applyBorder="1"/>
    <xf numFmtId="44" fontId="69" fillId="10" borderId="68" xfId="0" applyNumberFormat="1" applyFont="1" applyFill="1" applyBorder="1" applyAlignment="1">
      <alignment horizontal="right"/>
    </xf>
    <xf numFmtId="9" fontId="60" fillId="14" borderId="68" xfId="0" applyNumberFormat="1" applyFont="1" applyFill="1" applyBorder="1"/>
    <xf numFmtId="44" fontId="66" fillId="14" borderId="100" xfId="8" applyFont="1" applyFill="1" applyBorder="1"/>
    <xf numFmtId="44" fontId="69" fillId="16" borderId="11" xfId="8" applyFont="1" applyFill="1" applyBorder="1" applyAlignment="1">
      <alignment horizontal="center"/>
    </xf>
    <xf numFmtId="44" fontId="69" fillId="16" borderId="118" xfId="8" applyFont="1" applyFill="1" applyBorder="1" applyAlignment="1">
      <alignment horizontal="center"/>
    </xf>
    <xf numFmtId="0" fontId="69" fillId="10" borderId="100" xfId="0" applyFont="1" applyFill="1" applyBorder="1" applyAlignment="1">
      <alignment horizontal="center"/>
    </xf>
    <xf numFmtId="0" fontId="60" fillId="0" borderId="75" xfId="0" applyFont="1" applyBorder="1"/>
    <xf numFmtId="44" fontId="69" fillId="16" borderId="0" xfId="8" applyFont="1" applyFill="1" applyBorder="1" applyAlignment="1">
      <alignment horizontal="center"/>
    </xf>
    <xf numFmtId="44" fontId="66" fillId="12" borderId="60" xfId="0" applyNumberFormat="1" applyFont="1" applyFill="1" applyBorder="1" applyAlignment="1">
      <alignment horizontal="center" vertical="center"/>
    </xf>
    <xf numFmtId="44" fontId="69" fillId="12" borderId="118" xfId="0" applyNumberFormat="1" applyFont="1" applyFill="1" applyBorder="1" applyAlignment="1">
      <alignment horizontal="center" vertical="center"/>
    </xf>
    <xf numFmtId="0" fontId="69" fillId="11" borderId="100" xfId="0" applyFont="1" applyFill="1" applyBorder="1" applyAlignment="1">
      <alignment horizontal="left"/>
    </xf>
    <xf numFmtId="44" fontId="69" fillId="12" borderId="10" xfId="8" applyFont="1" applyFill="1" applyBorder="1" applyAlignment="1">
      <alignment horizontal="center" vertical="center"/>
    </xf>
    <xf numFmtId="0" fontId="66" fillId="17" borderId="56" xfId="0" applyFont="1" applyFill="1" applyBorder="1" applyAlignment="1">
      <alignment horizontal="left" vertical="center" wrapText="1"/>
    </xf>
    <xf numFmtId="0" fontId="67" fillId="17" borderId="67" xfId="0" applyFont="1" applyFill="1" applyBorder="1" applyAlignment="1">
      <alignment vertical="center"/>
    </xf>
    <xf numFmtId="1" fontId="67" fillId="13" borderId="82" xfId="0" applyNumberFormat="1" applyFont="1" applyFill="1" applyBorder="1" applyAlignment="1">
      <alignment vertical="center"/>
    </xf>
    <xf numFmtId="1" fontId="67" fillId="13" borderId="71" xfId="0" applyNumberFormat="1" applyFont="1" applyFill="1" applyBorder="1" applyAlignment="1">
      <alignment vertical="center"/>
    </xf>
    <xf numFmtId="0" fontId="66" fillId="18" borderId="56" xfId="0" applyFont="1" applyFill="1" applyBorder="1" applyAlignment="1">
      <alignment horizontal="left" vertical="center" wrapText="1"/>
    </xf>
    <xf numFmtId="0" fontId="66" fillId="18" borderId="67" xfId="0" applyFont="1" applyFill="1" applyBorder="1" applyAlignment="1">
      <alignment horizontal="left" vertical="center" wrapText="1"/>
    </xf>
    <xf numFmtId="0" fontId="67" fillId="18" borderId="67" xfId="0" applyFont="1" applyFill="1" applyBorder="1" applyAlignment="1">
      <alignment vertical="center"/>
    </xf>
    <xf numFmtId="44" fontId="67" fillId="18" borderId="67" xfId="8" applyFont="1" applyFill="1" applyBorder="1" applyAlignment="1">
      <alignment vertical="center"/>
    </xf>
    <xf numFmtId="44" fontId="67" fillId="18" borderId="57" xfId="8" applyFont="1" applyFill="1" applyBorder="1" applyAlignment="1">
      <alignment vertical="center"/>
    </xf>
    <xf numFmtId="44" fontId="67" fillId="18" borderId="0" xfId="8" applyFont="1" applyFill="1" applyBorder="1" applyAlignment="1">
      <alignment vertical="center"/>
    </xf>
    <xf numFmtId="0" fontId="67" fillId="18" borderId="67" xfId="0" applyFont="1" applyFill="1" applyBorder="1" applyAlignment="1">
      <alignment horizontal="left" vertical="center" wrapText="1"/>
    </xf>
    <xf numFmtId="0" fontId="66" fillId="18" borderId="72" xfId="0" applyFont="1" applyFill="1" applyBorder="1" applyAlignment="1">
      <alignment horizontal="left" vertical="center" wrapText="1"/>
    </xf>
    <xf numFmtId="0" fontId="67" fillId="18" borderId="66" xfId="0" applyFont="1" applyFill="1" applyBorder="1" applyAlignment="1">
      <alignment vertical="center"/>
    </xf>
    <xf numFmtId="44" fontId="67" fillId="18" borderId="70" xfId="8" applyFont="1" applyFill="1" applyBorder="1" applyAlignment="1">
      <alignment vertical="center"/>
    </xf>
    <xf numFmtId="49" fontId="67" fillId="0" borderId="63" xfId="0" applyNumberFormat="1" applyFont="1" applyBorder="1" applyAlignment="1">
      <alignment horizontal="left" vertical="center" wrapText="1"/>
    </xf>
    <xf numFmtId="170" fontId="69" fillId="11" borderId="119" xfId="0" applyNumberFormat="1" applyFont="1" applyFill="1" applyBorder="1" applyAlignment="1">
      <alignment horizontal="right"/>
    </xf>
    <xf numFmtId="9" fontId="60" fillId="14" borderId="86" xfId="0" applyNumberFormat="1" applyFont="1" applyFill="1" applyBorder="1"/>
    <xf numFmtId="44" fontId="69" fillId="14" borderId="70" xfId="8" applyFont="1" applyFill="1" applyBorder="1" applyAlignment="1">
      <alignment horizontal="center"/>
    </xf>
    <xf numFmtId="0" fontId="67" fillId="0" borderId="50" xfId="0" applyFont="1" applyBorder="1" applyAlignment="1">
      <alignment horizontal="left" vertical="center" wrapText="1"/>
    </xf>
    <xf numFmtId="49" fontId="67" fillId="0" borderId="0" xfId="0" applyNumberFormat="1" applyFont="1" applyAlignment="1">
      <alignment horizontal="left" vertical="center" wrapText="1"/>
    </xf>
    <xf numFmtId="44" fontId="69" fillId="16" borderId="123" xfId="8" applyFont="1" applyFill="1" applyBorder="1" applyAlignment="1">
      <alignment horizontal="center"/>
    </xf>
    <xf numFmtId="0" fontId="67" fillId="0" borderId="99" xfId="0" applyFont="1" applyBorder="1" applyAlignment="1">
      <alignment horizontal="left" vertical="center" wrapText="1"/>
    </xf>
    <xf numFmtId="49" fontId="67" fillId="0" borderId="51" xfId="0" applyNumberFormat="1" applyFont="1" applyBorder="1" applyAlignment="1">
      <alignment horizontal="left" vertical="center" wrapText="1"/>
    </xf>
    <xf numFmtId="0" fontId="69" fillId="16" borderId="6" xfId="0" applyFont="1" applyFill="1" applyBorder="1" applyAlignment="1">
      <alignment horizontal="left"/>
    </xf>
    <xf numFmtId="0" fontId="69" fillId="16" borderId="37" xfId="0" applyFont="1" applyFill="1" applyBorder="1" applyAlignment="1">
      <alignment horizontal="left"/>
    </xf>
    <xf numFmtId="44" fontId="69" fillId="16" borderId="37" xfId="0" applyNumberFormat="1" applyFont="1" applyFill="1" applyBorder="1" applyAlignment="1">
      <alignment horizontal="right"/>
    </xf>
    <xf numFmtId="44" fontId="69" fillId="16" borderId="0" xfId="0" applyNumberFormat="1" applyFont="1" applyFill="1" applyAlignment="1">
      <alignment horizontal="right"/>
    </xf>
    <xf numFmtId="1" fontId="69" fillId="16" borderId="122" xfId="0" applyNumberFormat="1" applyFont="1" applyFill="1" applyBorder="1" applyAlignment="1">
      <alignment horizontal="left"/>
    </xf>
    <xf numFmtId="44" fontId="69" fillId="16" borderId="122" xfId="0" applyNumberFormat="1" applyFont="1" applyFill="1" applyBorder="1" applyAlignment="1">
      <alignment horizontal="right"/>
    </xf>
    <xf numFmtId="44" fontId="69" fillId="16" borderId="122" xfId="0" applyNumberFormat="1" applyFont="1" applyFill="1" applyBorder="1"/>
    <xf numFmtId="9" fontId="69" fillId="16" borderId="14" xfId="1" applyFont="1" applyFill="1" applyBorder="1" applyAlignment="1">
      <alignment horizontal="center"/>
    </xf>
    <xf numFmtId="44" fontId="69" fillId="16" borderId="124" xfId="8" applyFont="1" applyFill="1" applyBorder="1"/>
    <xf numFmtId="0" fontId="67" fillId="17" borderId="62" xfId="0" applyFont="1" applyFill="1" applyBorder="1" applyAlignment="1">
      <alignment horizontal="left" vertical="center" wrapText="1"/>
    </xf>
    <xf numFmtId="49" fontId="67" fillId="17" borderId="50" xfId="0" applyNumberFormat="1" applyFont="1" applyFill="1" applyBorder="1" applyAlignment="1">
      <alignment horizontal="left" vertical="center" wrapText="1"/>
    </xf>
    <xf numFmtId="0" fontId="67" fillId="17" borderId="0" xfId="0" applyFont="1" applyFill="1" applyAlignment="1">
      <alignment horizontal="left" vertical="center" wrapText="1"/>
    </xf>
    <xf numFmtId="0" fontId="69" fillId="17" borderId="0" xfId="0" applyFont="1" applyFill="1" applyAlignment="1">
      <alignment horizontal="left"/>
    </xf>
    <xf numFmtId="44" fontId="69" fillId="17" borderId="0" xfId="0" applyNumberFormat="1" applyFont="1" applyFill="1" applyAlignment="1">
      <alignment horizontal="right"/>
    </xf>
    <xf numFmtId="0" fontId="60" fillId="17" borderId="0" xfId="0" applyFont="1" applyFill="1"/>
    <xf numFmtId="0" fontId="69" fillId="17" borderId="100" xfId="0" applyFont="1" applyFill="1" applyBorder="1" applyAlignment="1">
      <alignment horizontal="left"/>
    </xf>
    <xf numFmtId="44" fontId="69" fillId="17" borderId="100" xfId="0" applyNumberFormat="1" applyFont="1" applyFill="1" applyBorder="1" applyAlignment="1">
      <alignment horizontal="right"/>
    </xf>
    <xf numFmtId="44" fontId="66" fillId="17" borderId="100" xfId="0" applyNumberFormat="1" applyFont="1" applyFill="1" applyBorder="1"/>
    <xf numFmtId="0" fontId="60" fillId="17" borderId="100" xfId="0" applyFont="1" applyFill="1" applyBorder="1"/>
    <xf numFmtId="44" fontId="66" fillId="17" borderId="100" xfId="8" applyFont="1" applyFill="1" applyBorder="1"/>
    <xf numFmtId="44" fontId="69" fillId="17" borderId="0" xfId="8" applyFont="1" applyFill="1" applyBorder="1" applyAlignment="1">
      <alignment horizontal="center"/>
    </xf>
    <xf numFmtId="44" fontId="73" fillId="18" borderId="10" xfId="8" applyFont="1" applyFill="1" applyBorder="1" applyAlignment="1">
      <alignment vertical="center" wrapText="1"/>
    </xf>
    <xf numFmtId="1" fontId="67" fillId="13" borderId="58" xfId="0" applyNumberFormat="1" applyFont="1" applyFill="1" applyBorder="1" applyAlignment="1">
      <alignment vertical="center"/>
    </xf>
    <xf numFmtId="1" fontId="67" fillId="13" borderId="59" xfId="0" applyNumberFormat="1" applyFont="1" applyFill="1" applyBorder="1" applyAlignment="1">
      <alignment vertical="center"/>
    </xf>
    <xf numFmtId="44" fontId="67" fillId="13" borderId="59" xfId="8" applyFont="1" applyFill="1" applyBorder="1" applyAlignment="1">
      <alignment vertical="center"/>
    </xf>
    <xf numFmtId="44" fontId="66" fillId="15" borderId="59" xfId="8" applyFont="1" applyFill="1" applyBorder="1" applyAlignment="1">
      <alignment vertical="center"/>
    </xf>
    <xf numFmtId="9" fontId="66" fillId="14" borderId="59" xfId="1" applyFont="1" applyFill="1" applyBorder="1" applyAlignment="1">
      <alignment vertical="center"/>
    </xf>
    <xf numFmtId="44" fontId="66" fillId="14" borderId="59" xfId="8" applyFont="1" applyFill="1" applyBorder="1" applyAlignment="1">
      <alignment vertical="center"/>
    </xf>
    <xf numFmtId="44" fontId="66" fillId="14" borderId="61" xfId="8" applyFont="1" applyFill="1" applyBorder="1" applyAlignment="1">
      <alignment vertical="center"/>
    </xf>
    <xf numFmtId="0" fontId="61" fillId="17" borderId="66" xfId="0" applyFont="1" applyFill="1" applyBorder="1" applyAlignment="1">
      <alignment horizontal="left" vertical="center" wrapText="1"/>
    </xf>
    <xf numFmtId="0" fontId="61" fillId="0" borderId="66" xfId="0" applyFont="1" applyBorder="1" applyAlignment="1">
      <alignment horizontal="left" vertical="center" wrapText="1"/>
    </xf>
    <xf numFmtId="44" fontId="72" fillId="17" borderId="0" xfId="8" applyFont="1" applyFill="1" applyBorder="1" applyAlignment="1">
      <alignment vertical="center"/>
    </xf>
    <xf numFmtId="1" fontId="67" fillId="13" borderId="97" xfId="0" applyNumberFormat="1" applyFont="1" applyFill="1" applyBorder="1" applyAlignment="1">
      <alignment vertical="center"/>
    </xf>
    <xf numFmtId="1" fontId="67" fillId="13" borderId="92" xfId="0" applyNumberFormat="1" applyFont="1" applyFill="1" applyBorder="1" applyAlignment="1">
      <alignment vertical="center"/>
    </xf>
    <xf numFmtId="44" fontId="67" fillId="13" borderId="92" xfId="8" applyFont="1" applyFill="1" applyBorder="1" applyAlignment="1">
      <alignment vertical="center"/>
    </xf>
    <xf numFmtId="9" fontId="66" fillId="14" borderId="92" xfId="1" applyFont="1" applyFill="1" applyBorder="1" applyAlignment="1">
      <alignment vertical="center"/>
    </xf>
    <xf numFmtId="0" fontId="72" fillId="17" borderId="73" xfId="0" applyFont="1" applyFill="1" applyBorder="1" applyAlignment="1">
      <alignment horizontal="left" vertical="center" wrapText="1"/>
    </xf>
    <xf numFmtId="0" fontId="61" fillId="17" borderId="74" xfId="0" applyFont="1" applyFill="1" applyBorder="1" applyAlignment="1">
      <alignment horizontal="left" vertical="center" wrapText="1"/>
    </xf>
    <xf numFmtId="0" fontId="72" fillId="17" borderId="74" xfId="0" applyFont="1" applyFill="1" applyBorder="1" applyAlignment="1">
      <alignment horizontal="center" vertical="center"/>
    </xf>
    <xf numFmtId="44" fontId="72" fillId="17" borderId="74" xfId="8" applyFont="1" applyFill="1" applyBorder="1" applyAlignment="1">
      <alignment vertical="center"/>
    </xf>
    <xf numFmtId="44" fontId="72" fillId="17" borderId="75" xfId="8" applyFont="1" applyFill="1" applyBorder="1" applyAlignment="1">
      <alignment vertical="center"/>
    </xf>
    <xf numFmtId="0" fontId="74" fillId="21" borderId="66" xfId="0" applyFont="1" applyFill="1" applyBorder="1" applyAlignment="1">
      <alignment vertical="center"/>
    </xf>
    <xf numFmtId="0" fontId="60" fillId="0" borderId="0" xfId="0" applyFont="1" applyAlignment="1">
      <alignment horizontal="center" vertical="center"/>
    </xf>
    <xf numFmtId="1" fontId="67" fillId="13" borderId="73" xfId="0" applyNumberFormat="1" applyFont="1" applyFill="1" applyBorder="1" applyAlignment="1">
      <alignment vertical="center"/>
    </xf>
    <xf numFmtId="1" fontId="67" fillId="13" borderId="74" xfId="0" applyNumberFormat="1" applyFont="1" applyFill="1" applyBorder="1" applyAlignment="1">
      <alignment vertical="center"/>
    </xf>
    <xf numFmtId="44" fontId="67" fillId="13" borderId="74" xfId="8" applyFont="1" applyFill="1" applyBorder="1" applyAlignment="1">
      <alignment vertical="center"/>
    </xf>
    <xf numFmtId="44" fontId="67" fillId="15" borderId="74" xfId="8" applyFont="1" applyFill="1" applyBorder="1" applyAlignment="1">
      <alignment vertical="center"/>
    </xf>
    <xf numFmtId="9" fontId="67" fillId="14" borderId="74" xfId="1" applyFont="1" applyFill="1" applyBorder="1" applyAlignment="1">
      <alignment vertical="center"/>
    </xf>
    <xf numFmtId="44" fontId="67" fillId="14" borderId="74" xfId="8" applyFont="1" applyFill="1" applyBorder="1" applyAlignment="1">
      <alignment vertical="center"/>
    </xf>
    <xf numFmtId="44" fontId="67" fillId="14" borderId="75" xfId="8" applyFont="1" applyFill="1" applyBorder="1" applyAlignment="1">
      <alignment vertical="center"/>
    </xf>
    <xf numFmtId="44" fontId="72" fillId="17" borderId="70" xfId="8" applyFont="1" applyFill="1" applyBorder="1" applyAlignment="1">
      <alignment vertical="center"/>
    </xf>
    <xf numFmtId="44" fontId="81" fillId="15" borderId="66" xfId="8" applyFont="1" applyFill="1" applyBorder="1" applyAlignment="1">
      <alignment vertical="center"/>
    </xf>
    <xf numFmtId="44" fontId="67" fillId="0" borderId="66" xfId="8" applyFont="1" applyBorder="1" applyAlignment="1">
      <alignment horizontal="left" vertical="center"/>
    </xf>
    <xf numFmtId="0" fontId="72" fillId="0" borderId="66" xfId="0" applyFont="1" applyBorder="1" applyAlignment="1">
      <alignment horizontal="center" vertical="center"/>
    </xf>
    <xf numFmtId="44" fontId="72" fillId="0" borderId="66" xfId="8" applyFont="1" applyFill="1" applyBorder="1" applyAlignment="1">
      <alignment vertical="center"/>
    </xf>
    <xf numFmtId="166" fontId="67" fillId="0" borderId="66" xfId="8" applyNumberFormat="1" applyFont="1" applyFill="1" applyBorder="1" applyAlignment="1">
      <alignment vertical="center"/>
    </xf>
    <xf numFmtId="166" fontId="67" fillId="0" borderId="70" xfId="8" applyNumberFormat="1" applyFont="1" applyBorder="1" applyAlignment="1">
      <alignment vertical="center"/>
    </xf>
    <xf numFmtId="44" fontId="67" fillId="0" borderId="66" xfId="8" applyFont="1" applyFill="1" applyBorder="1" applyAlignment="1">
      <alignment vertical="center"/>
    </xf>
    <xf numFmtId="0" fontId="72" fillId="0" borderId="85" xfId="0" applyFont="1" applyBorder="1" applyAlignment="1">
      <alignment horizontal="left" vertical="center" wrapText="1"/>
    </xf>
    <xf numFmtId="0" fontId="72" fillId="0" borderId="86" xfId="0" applyFont="1" applyBorder="1" applyAlignment="1">
      <alignment vertical="center" wrapText="1"/>
    </xf>
    <xf numFmtId="0" fontId="72" fillId="0" borderId="86" xfId="2" applyFont="1" applyBorder="1" applyAlignment="1" applyProtection="1">
      <alignment horizontal="center" vertical="center" wrapText="1"/>
      <protection locked="0"/>
    </xf>
    <xf numFmtId="44" fontId="72" fillId="0" borderId="86" xfId="8" applyFont="1" applyFill="1" applyBorder="1" applyAlignment="1" applyProtection="1">
      <alignment horizontal="left" vertical="center" wrapText="1"/>
      <protection locked="0"/>
    </xf>
    <xf numFmtId="44" fontId="72" fillId="0" borderId="86" xfId="8" applyFont="1" applyBorder="1" applyAlignment="1">
      <alignment vertical="center"/>
    </xf>
    <xf numFmtId="9" fontId="69" fillId="16" borderId="122" xfId="0" applyNumberFormat="1" applyFont="1" applyFill="1" applyBorder="1"/>
    <xf numFmtId="49" fontId="67" fillId="17" borderId="128" xfId="0" applyNumberFormat="1" applyFont="1" applyFill="1" applyBorder="1" applyAlignment="1">
      <alignment horizontal="left" vertical="center" wrapText="1"/>
    </xf>
    <xf numFmtId="0" fontId="67" fillId="34" borderId="80" xfId="0" applyFont="1" applyFill="1" applyBorder="1" applyAlignment="1">
      <alignment horizontal="left" vertical="center" wrapText="1"/>
    </xf>
    <xf numFmtId="0" fontId="67" fillId="34" borderId="83" xfId="0" applyFont="1" applyFill="1" applyBorder="1" applyAlignment="1">
      <alignment horizontal="left" vertical="center" wrapText="1"/>
    </xf>
    <xf numFmtId="0" fontId="66" fillId="34" borderId="71" xfId="0" applyFont="1" applyFill="1" applyBorder="1" applyAlignment="1">
      <alignment horizontal="left" vertical="center" wrapText="1"/>
    </xf>
    <xf numFmtId="0" fontId="66" fillId="34" borderId="71" xfId="0" applyFont="1" applyFill="1" applyBorder="1" applyAlignment="1">
      <alignment vertical="center"/>
    </xf>
    <xf numFmtId="44" fontId="66" fillId="34" borderId="71" xfId="8" applyFont="1" applyFill="1" applyBorder="1" applyAlignment="1">
      <alignment vertical="center"/>
    </xf>
    <xf numFmtId="44" fontId="66" fillId="34" borderId="0" xfId="8" applyFont="1" applyFill="1" applyBorder="1" applyAlignment="1">
      <alignment vertical="center"/>
    </xf>
    <xf numFmtId="1" fontId="66" fillId="13" borderId="121" xfId="0" applyNumberFormat="1" applyFont="1" applyFill="1" applyBorder="1" applyAlignment="1">
      <alignment vertical="center"/>
    </xf>
    <xf numFmtId="1" fontId="66" fillId="13" borderId="39" xfId="0" applyNumberFormat="1" applyFont="1" applyFill="1" applyBorder="1" applyAlignment="1">
      <alignment vertical="center"/>
    </xf>
    <xf numFmtId="44" fontId="66" fillId="13" borderId="39" xfId="8" applyFont="1" applyFill="1" applyBorder="1" applyAlignment="1">
      <alignment vertical="center"/>
    </xf>
    <xf numFmtId="44" fontId="66" fillId="15" borderId="39" xfId="8" applyFont="1" applyFill="1" applyBorder="1" applyAlignment="1">
      <alignment vertical="center"/>
    </xf>
    <xf numFmtId="9" fontId="66" fillId="14" borderId="39" xfId="1" applyFont="1" applyFill="1" applyBorder="1" applyAlignment="1">
      <alignment vertical="center"/>
    </xf>
    <xf numFmtId="44" fontId="66" fillId="14" borderId="39" xfId="8" applyFont="1" applyFill="1" applyBorder="1" applyAlignment="1">
      <alignment vertical="center"/>
    </xf>
    <xf numFmtId="44" fontId="66" fillId="14" borderId="71" xfId="8" applyFont="1" applyFill="1" applyBorder="1" applyAlignment="1">
      <alignment vertical="center"/>
    </xf>
    <xf numFmtId="10" fontId="69" fillId="15" borderId="66" xfId="1" applyNumberFormat="1" applyFont="1" applyFill="1" applyBorder="1" applyAlignment="1">
      <alignment horizontal="center" vertical="center"/>
    </xf>
    <xf numFmtId="44" fontId="69" fillId="34" borderId="0" xfId="8" applyFont="1" applyFill="1" applyBorder="1"/>
    <xf numFmtId="0" fontId="60" fillId="34" borderId="0" xfId="0" applyFont="1" applyFill="1"/>
    <xf numFmtId="44" fontId="82" fillId="34" borderId="0" xfId="0" applyNumberFormat="1" applyFont="1" applyFill="1"/>
    <xf numFmtId="0" fontId="81" fillId="0" borderId="66" xfId="0" applyFont="1" applyBorder="1" applyAlignment="1">
      <alignment horizontal="left" vertical="center" wrapText="1"/>
    </xf>
    <xf numFmtId="0" fontId="81" fillId="0" borderId="66" xfId="0" applyFont="1" applyBorder="1" applyAlignment="1">
      <alignment vertical="center"/>
    </xf>
    <xf numFmtId="44" fontId="81" fillId="0" borderId="66" xfId="8" applyFont="1" applyFill="1" applyBorder="1" applyAlignment="1">
      <alignment vertical="center"/>
    </xf>
    <xf numFmtId="44" fontId="81" fillId="0" borderId="66" xfId="8" applyFont="1" applyBorder="1" applyAlignment="1">
      <alignment vertical="center"/>
    </xf>
    <xf numFmtId="44" fontId="81" fillId="0" borderId="0" xfId="8" applyFont="1" applyBorder="1" applyAlignment="1">
      <alignment vertical="center"/>
    </xf>
    <xf numFmtId="1" fontId="67" fillId="13" borderId="9" xfId="0" applyNumberFormat="1" applyFont="1" applyFill="1" applyBorder="1" applyAlignment="1">
      <alignment vertical="center"/>
    </xf>
    <xf numFmtId="0" fontId="83" fillId="0" borderId="71" xfId="0" applyFont="1" applyBorder="1" applyAlignment="1">
      <alignment horizontal="left" vertical="center" wrapText="1"/>
    </xf>
    <xf numFmtId="0" fontId="83" fillId="0" borderId="71" xfId="0" applyFont="1" applyBorder="1" applyAlignment="1">
      <alignment horizontal="center" vertical="center"/>
    </xf>
    <xf numFmtId="44" fontId="83" fillId="0" borderId="71" xfId="8" applyFont="1" applyBorder="1" applyAlignment="1">
      <alignment vertical="center"/>
    </xf>
    <xf numFmtId="44" fontId="83" fillId="0" borderId="0" xfId="8" applyFont="1" applyBorder="1" applyAlignment="1">
      <alignment vertical="center"/>
    </xf>
    <xf numFmtId="1" fontId="67" fillId="13" borderId="101" xfId="0" applyNumberFormat="1" applyFont="1" applyFill="1" applyBorder="1" applyAlignment="1">
      <alignment horizontal="center" vertical="center"/>
    </xf>
    <xf numFmtId="49" fontId="67" fillId="0" borderId="128" xfId="0" applyNumberFormat="1" applyFont="1" applyBorder="1" applyAlignment="1">
      <alignment horizontal="left" vertical="center" wrapText="1"/>
    </xf>
    <xf numFmtId="0" fontId="60" fillId="0" borderId="0" xfId="0" applyFont="1" applyAlignment="1">
      <alignment vertical="center"/>
    </xf>
    <xf numFmtId="0" fontId="80" fillId="0" borderId="0" xfId="0" applyFont="1" applyAlignment="1">
      <alignment horizontal="center" vertical="center" wrapText="1"/>
    </xf>
    <xf numFmtId="0" fontId="62" fillId="0" borderId="0" xfId="0" applyFont="1" applyAlignment="1">
      <alignment horizontal="center" vertical="center"/>
    </xf>
    <xf numFmtId="49" fontId="60" fillId="0" borderId="0" xfId="0" applyNumberFormat="1" applyFont="1" applyAlignment="1">
      <alignment vertical="center"/>
    </xf>
    <xf numFmtId="9" fontId="60" fillId="0" borderId="0" xfId="0" applyNumberFormat="1" applyFont="1" applyAlignment="1">
      <alignment horizontal="center" vertical="center"/>
    </xf>
    <xf numFmtId="0" fontId="63" fillId="0" borderId="0" xfId="0" applyFont="1" applyAlignment="1">
      <alignment vertical="center"/>
    </xf>
    <xf numFmtId="168" fontId="65" fillId="0" borderId="5" xfId="1" applyNumberFormat="1" applyFont="1" applyBorder="1" applyAlignment="1">
      <alignment vertical="center"/>
    </xf>
    <xf numFmtId="0" fontId="66" fillId="5" borderId="0" xfId="0" applyFont="1" applyFill="1" applyAlignment="1">
      <alignment vertical="center"/>
    </xf>
    <xf numFmtId="49" fontId="66" fillId="5" borderId="0" xfId="0" applyNumberFormat="1" applyFont="1" applyFill="1" applyAlignment="1">
      <alignment vertical="center"/>
    </xf>
    <xf numFmtId="0" fontId="84" fillId="22" borderId="10" xfId="0" applyFont="1" applyFill="1" applyBorder="1" applyAlignment="1">
      <alignment horizontal="center" vertical="center" wrapText="1"/>
    </xf>
    <xf numFmtId="0" fontId="84" fillId="22" borderId="66" xfId="0" applyFont="1" applyFill="1" applyBorder="1" applyAlignment="1">
      <alignment horizontal="center" vertical="center" wrapText="1"/>
    </xf>
    <xf numFmtId="0" fontId="67" fillId="0" borderId="56" xfId="0" applyFont="1" applyBorder="1" applyAlignment="1">
      <alignment horizontal="left" vertical="center" wrapText="1"/>
    </xf>
    <xf numFmtId="0" fontId="67" fillId="0" borderId="67" xfId="0" applyFont="1" applyBorder="1" applyAlignment="1">
      <alignment horizontal="left" vertical="center" wrapText="1"/>
    </xf>
    <xf numFmtId="0" fontId="67" fillId="0" borderId="67" xfId="0" applyFont="1" applyBorder="1" applyAlignment="1">
      <alignment horizontal="center" vertical="center" wrapText="1"/>
    </xf>
    <xf numFmtId="0" fontId="71" fillId="0" borderId="10" xfId="0" applyFont="1" applyBorder="1" applyAlignment="1">
      <alignment horizontal="center" vertical="center" wrapText="1"/>
    </xf>
    <xf numFmtId="0" fontId="74" fillId="0" borderId="66" xfId="0" applyFont="1" applyBorder="1" applyAlignment="1">
      <alignment horizontal="center" vertical="center" wrapText="1"/>
    </xf>
    <xf numFmtId="0" fontId="80" fillId="0" borderId="66" xfId="0" applyFont="1" applyBorder="1" applyAlignment="1">
      <alignment horizontal="center" vertical="center" wrapText="1"/>
    </xf>
    <xf numFmtId="9" fontId="67" fillId="14" borderId="66" xfId="1" applyFont="1" applyFill="1" applyBorder="1" applyAlignment="1">
      <alignment horizontal="center" vertical="center"/>
    </xf>
    <xf numFmtId="44" fontId="73" fillId="21" borderId="66" xfId="8" applyFont="1" applyFill="1" applyBorder="1" applyAlignment="1">
      <alignment horizontal="center" vertical="center"/>
    </xf>
    <xf numFmtId="0" fontId="74" fillId="21" borderId="66" xfId="0" applyFont="1" applyFill="1" applyBorder="1" applyAlignment="1">
      <alignment horizontal="center" vertical="center" wrapText="1"/>
    </xf>
    <xf numFmtId="9" fontId="67" fillId="14" borderId="67" xfId="1" applyFont="1" applyFill="1" applyBorder="1" applyAlignment="1">
      <alignment horizontal="center" vertical="center"/>
    </xf>
    <xf numFmtId="9" fontId="67" fillId="14" borderId="65" xfId="1" applyFont="1" applyFill="1" applyBorder="1" applyAlignment="1">
      <alignment horizontal="center" vertical="center"/>
    </xf>
    <xf numFmtId="9" fontId="67" fillId="14" borderId="7" xfId="1" applyFont="1" applyFill="1" applyBorder="1" applyAlignment="1">
      <alignment horizontal="center" vertical="center"/>
    </xf>
    <xf numFmtId="44" fontId="67" fillId="0" borderId="71" xfId="8" applyFont="1" applyBorder="1" applyAlignment="1">
      <alignment vertical="center"/>
    </xf>
    <xf numFmtId="0" fontId="71" fillId="18" borderId="10" xfId="0" applyFont="1" applyFill="1" applyBorder="1" applyAlignment="1">
      <alignment horizontal="center" vertical="center" wrapText="1"/>
    </xf>
    <xf numFmtId="44" fontId="73" fillId="21" borderId="0" xfId="8" applyFont="1" applyFill="1" applyAlignment="1">
      <alignment horizontal="center" vertical="center"/>
    </xf>
    <xf numFmtId="9" fontId="67" fillId="14" borderId="39" xfId="1" applyFont="1" applyFill="1" applyBorder="1" applyAlignment="1">
      <alignment horizontal="center" vertical="center"/>
    </xf>
    <xf numFmtId="9" fontId="67" fillId="14" borderId="71" xfId="1" applyFont="1" applyFill="1" applyBorder="1" applyAlignment="1">
      <alignment horizontal="center" vertical="center"/>
    </xf>
    <xf numFmtId="0" fontId="74" fillId="18" borderId="66" xfId="0" applyFont="1" applyFill="1" applyBorder="1" applyAlignment="1">
      <alignment horizontal="center" vertical="center" wrapText="1"/>
    </xf>
    <xf numFmtId="0" fontId="80" fillId="18" borderId="66" xfId="0" applyFont="1" applyFill="1" applyBorder="1" applyAlignment="1">
      <alignment horizontal="center" vertical="center" wrapText="1"/>
    </xf>
    <xf numFmtId="170" fontId="69" fillId="11" borderId="15" xfId="8" applyNumberFormat="1" applyFont="1" applyFill="1" applyBorder="1" applyAlignment="1">
      <alignment horizontal="right" vertical="center"/>
    </xf>
    <xf numFmtId="170" fontId="69" fillId="11" borderId="104" xfId="8" applyNumberFormat="1" applyFont="1" applyFill="1" applyBorder="1" applyAlignment="1">
      <alignment horizontal="right" vertical="center"/>
    </xf>
    <xf numFmtId="44" fontId="69" fillId="11" borderId="86" xfId="8" applyFont="1" applyFill="1" applyBorder="1" applyAlignment="1">
      <alignment horizontal="right" vertical="center"/>
    </xf>
    <xf numFmtId="9" fontId="67" fillId="14" borderId="86" xfId="1" applyFont="1" applyFill="1" applyBorder="1" applyAlignment="1">
      <alignment horizontal="center" vertical="center"/>
    </xf>
    <xf numFmtId="44" fontId="69" fillId="10" borderId="15" xfId="8" applyFont="1" applyFill="1" applyBorder="1" applyAlignment="1">
      <alignment horizontal="right" vertical="center"/>
    </xf>
    <xf numFmtId="44" fontId="69" fillId="10" borderId="104" xfId="8" applyFont="1" applyFill="1" applyBorder="1" applyAlignment="1">
      <alignment horizontal="right" vertical="center"/>
    </xf>
    <xf numFmtId="44" fontId="69" fillId="10" borderId="92" xfId="8" applyFont="1" applyFill="1" applyBorder="1" applyAlignment="1">
      <alignment horizontal="right" vertical="center"/>
    </xf>
    <xf numFmtId="9" fontId="67" fillId="14" borderId="92" xfId="1" applyFont="1" applyFill="1" applyBorder="1" applyAlignment="1">
      <alignment horizontal="center" vertical="center"/>
    </xf>
    <xf numFmtId="0" fontId="67" fillId="0" borderId="66" xfId="2" applyFont="1" applyBorder="1" applyAlignment="1" applyProtection="1">
      <alignment horizontal="center" vertical="center" wrapText="1"/>
      <protection locked="0"/>
    </xf>
    <xf numFmtId="44" fontId="73" fillId="21" borderId="0" xfId="8" applyFont="1" applyFill="1" applyBorder="1" applyAlignment="1">
      <alignment horizontal="center" vertical="center" wrapText="1"/>
    </xf>
    <xf numFmtId="0" fontId="66" fillId="0" borderId="67" xfId="0" applyFont="1" applyBorder="1" applyAlignment="1">
      <alignment horizontal="left" vertical="center" wrapText="1"/>
    </xf>
    <xf numFmtId="0" fontId="70" fillId="0" borderId="66" xfId="0" applyFont="1" applyBorder="1" applyAlignment="1">
      <alignment horizontal="center" vertical="center" wrapText="1"/>
    </xf>
    <xf numFmtId="0" fontId="67" fillId="17" borderId="66" xfId="2" applyFont="1" applyFill="1" applyBorder="1" applyAlignment="1" applyProtection="1">
      <alignment horizontal="center" vertical="center" wrapText="1"/>
      <protection locked="0"/>
    </xf>
    <xf numFmtId="0" fontId="67" fillId="18" borderId="56" xfId="0" applyFont="1" applyFill="1" applyBorder="1" applyAlignment="1">
      <alignment horizontal="left" vertical="center" wrapText="1"/>
    </xf>
    <xf numFmtId="0" fontId="67" fillId="18" borderId="66" xfId="2" applyFont="1" applyFill="1" applyBorder="1" applyAlignment="1" applyProtection="1">
      <alignment horizontal="center" vertical="center" wrapText="1"/>
      <protection locked="0"/>
    </xf>
    <xf numFmtId="44" fontId="73" fillId="21" borderId="66" xfId="8" applyFont="1" applyFill="1" applyBorder="1" applyAlignment="1">
      <alignment horizontal="center" vertical="center" wrapText="1"/>
    </xf>
    <xf numFmtId="0" fontId="67" fillId="0" borderId="67" xfId="0" applyFont="1" applyBorder="1" applyAlignment="1">
      <alignment horizontal="center" vertical="center"/>
    </xf>
    <xf numFmtId="44" fontId="67" fillId="0" borderId="0" xfId="8" applyFont="1" applyAlignment="1">
      <alignment vertical="center"/>
    </xf>
    <xf numFmtId="170" fontId="69" fillId="11" borderId="92" xfId="8" applyNumberFormat="1" applyFont="1" applyFill="1" applyBorder="1" applyAlignment="1">
      <alignment horizontal="right" vertical="center"/>
    </xf>
    <xf numFmtId="44" fontId="69" fillId="10" borderId="0" xfId="0" applyNumberFormat="1" applyFont="1" applyFill="1" applyAlignment="1">
      <alignment horizontal="right" vertical="center"/>
    </xf>
    <xf numFmtId="44" fontId="66" fillId="15" borderId="67" xfId="0" applyNumberFormat="1" applyFont="1" applyFill="1" applyBorder="1" applyAlignment="1">
      <alignment vertical="center"/>
    </xf>
    <xf numFmtId="0" fontId="60" fillId="14" borderId="67" xfId="0" applyFont="1" applyFill="1" applyBorder="1" applyAlignment="1">
      <alignment horizontal="center" vertical="center"/>
    </xf>
    <xf numFmtId="0" fontId="60" fillId="14" borderId="67" xfId="0" applyFont="1" applyFill="1" applyBorder="1" applyAlignment="1">
      <alignment vertical="center"/>
    </xf>
    <xf numFmtId="44" fontId="66" fillId="14" borderId="67" xfId="0" applyNumberFormat="1" applyFont="1" applyFill="1" applyBorder="1" applyAlignment="1">
      <alignment vertical="center"/>
    </xf>
    <xf numFmtId="44" fontId="72" fillId="0" borderId="66" xfId="8" applyFont="1" applyBorder="1" applyAlignment="1" applyProtection="1">
      <alignment horizontal="left" vertical="center" wrapText="1"/>
      <protection locked="0"/>
    </xf>
    <xf numFmtId="0" fontId="70" fillId="0" borderId="10" xfId="0" applyFont="1" applyBorder="1" applyAlignment="1">
      <alignment horizontal="center" vertical="center" wrapText="1"/>
    </xf>
    <xf numFmtId="170" fontId="69" fillId="11" borderId="86" xfId="0" applyNumberFormat="1" applyFont="1" applyFill="1" applyBorder="1" applyAlignment="1">
      <alignment horizontal="right" vertical="center"/>
    </xf>
    <xf numFmtId="170" fontId="69" fillId="11" borderId="98" xfId="0" applyNumberFormat="1" applyFont="1" applyFill="1" applyBorder="1" applyAlignment="1">
      <alignment horizontal="right" vertical="center"/>
    </xf>
    <xf numFmtId="44" fontId="69" fillId="11" borderId="66" xfId="0" applyNumberFormat="1" applyFont="1" applyFill="1" applyBorder="1" applyAlignment="1">
      <alignment horizontal="right" vertical="center"/>
    </xf>
    <xf numFmtId="44" fontId="66" fillId="15" borderId="66" xfId="0" applyNumberFormat="1" applyFont="1" applyFill="1" applyBorder="1" applyAlignment="1">
      <alignment vertical="center"/>
    </xf>
    <xf numFmtId="0" fontId="60" fillId="14" borderId="66" xfId="0" applyFont="1" applyFill="1" applyBorder="1" applyAlignment="1">
      <alignment horizontal="center" vertical="center"/>
    </xf>
    <xf numFmtId="0" fontId="60" fillId="14" borderId="66" xfId="0" applyFont="1" applyFill="1" applyBorder="1" applyAlignment="1">
      <alignment vertical="center"/>
    </xf>
    <xf numFmtId="44" fontId="66" fillId="14" borderId="66" xfId="0" applyNumberFormat="1" applyFont="1" applyFill="1" applyBorder="1" applyAlignment="1">
      <alignment vertical="center"/>
    </xf>
    <xf numFmtId="44" fontId="66" fillId="14" borderId="70" xfId="8" applyFont="1" applyFill="1" applyBorder="1" applyAlignment="1">
      <alignment vertical="center"/>
    </xf>
    <xf numFmtId="44" fontId="66" fillId="15" borderId="68" xfId="0" applyNumberFormat="1" applyFont="1" applyFill="1" applyBorder="1" applyAlignment="1">
      <alignment vertical="center"/>
    </xf>
    <xf numFmtId="0" fontId="60" fillId="14" borderId="68" xfId="0" applyFont="1" applyFill="1" applyBorder="1" applyAlignment="1">
      <alignment horizontal="center" vertical="center"/>
    </xf>
    <xf numFmtId="0" fontId="60" fillId="14" borderId="68" xfId="0" applyFont="1" applyFill="1" applyBorder="1" applyAlignment="1">
      <alignment vertical="center"/>
    </xf>
    <xf numFmtId="44" fontId="66" fillId="14" borderId="68" xfId="0" applyNumberFormat="1" applyFont="1" applyFill="1" applyBorder="1" applyAlignment="1">
      <alignment vertical="center"/>
    </xf>
    <xf numFmtId="44" fontId="66" fillId="14" borderId="78" xfId="8" applyFont="1" applyFill="1" applyBorder="1" applyAlignment="1">
      <alignment vertical="center"/>
    </xf>
    <xf numFmtId="44" fontId="60" fillId="0" borderId="0" xfId="0" applyNumberFormat="1" applyFont="1" applyAlignment="1">
      <alignment vertical="center"/>
    </xf>
    <xf numFmtId="44" fontId="69" fillId="11" borderId="86" xfId="0" applyNumberFormat="1" applyFont="1" applyFill="1" applyBorder="1" applyAlignment="1">
      <alignment horizontal="right" vertical="center"/>
    </xf>
    <xf numFmtId="44" fontId="66" fillId="15" borderId="86" xfId="0" applyNumberFormat="1" applyFont="1" applyFill="1" applyBorder="1" applyAlignment="1">
      <alignment vertical="center"/>
    </xf>
    <xf numFmtId="0" fontId="60" fillId="14" borderId="86" xfId="0" applyFont="1" applyFill="1" applyBorder="1" applyAlignment="1">
      <alignment horizontal="center" vertical="center"/>
    </xf>
    <xf numFmtId="0" fontId="60" fillId="14" borderId="86" xfId="0" applyFont="1" applyFill="1" applyBorder="1" applyAlignment="1">
      <alignment vertical="center"/>
    </xf>
    <xf numFmtId="44" fontId="66" fillId="14" borderId="86" xfId="0" applyNumberFormat="1" applyFont="1" applyFill="1" applyBorder="1" applyAlignment="1">
      <alignment vertical="center"/>
    </xf>
    <xf numFmtId="44" fontId="65" fillId="18" borderId="0" xfId="0" applyNumberFormat="1" applyFont="1" applyFill="1" applyAlignment="1">
      <alignment vertical="center"/>
    </xf>
    <xf numFmtId="0" fontId="66" fillId="12" borderId="100" xfId="0" applyFont="1" applyFill="1" applyBorder="1" applyAlignment="1">
      <alignment horizontal="center" vertical="center"/>
    </xf>
    <xf numFmtId="0" fontId="66" fillId="12" borderId="68" xfId="0" applyFont="1" applyFill="1" applyBorder="1" applyAlignment="1">
      <alignment horizontal="center" vertical="center"/>
    </xf>
    <xf numFmtId="0" fontId="66" fillId="12" borderId="18" xfId="0" applyFont="1" applyFill="1" applyBorder="1" applyAlignment="1">
      <alignment horizontal="center" vertical="center"/>
    </xf>
    <xf numFmtId="0" fontId="80" fillId="0" borderId="10" xfId="0" applyFont="1" applyBorder="1" applyAlignment="1">
      <alignment horizontal="center" vertical="center" wrapText="1"/>
    </xf>
    <xf numFmtId="170" fontId="69" fillId="11" borderId="0" xfId="0" applyNumberFormat="1" applyFont="1" applyFill="1" applyAlignment="1">
      <alignment horizontal="right" vertical="center"/>
    </xf>
    <xf numFmtId="170" fontId="69" fillId="11" borderId="18" xfId="0" applyNumberFormat="1" applyFont="1" applyFill="1" applyBorder="1" applyAlignment="1">
      <alignment horizontal="right" vertical="center"/>
    </xf>
    <xf numFmtId="44" fontId="69" fillId="11" borderId="67" xfId="0" applyNumberFormat="1" applyFont="1" applyFill="1" applyBorder="1" applyAlignment="1">
      <alignment horizontal="right" vertical="center"/>
    </xf>
    <xf numFmtId="0" fontId="67" fillId="17" borderId="67" xfId="2" applyFont="1" applyFill="1" applyBorder="1" applyAlignment="1" applyProtection="1">
      <alignment horizontal="center" vertical="center"/>
      <protection locked="0"/>
    </xf>
    <xf numFmtId="44" fontId="67" fillId="17" borderId="67" xfId="8" applyFont="1" applyFill="1" applyBorder="1" applyAlignment="1" applyProtection="1">
      <alignment vertical="center"/>
      <protection locked="0"/>
    </xf>
    <xf numFmtId="0" fontId="67" fillId="18" borderId="67" xfId="2" applyFont="1" applyFill="1" applyBorder="1" applyAlignment="1" applyProtection="1">
      <alignment horizontal="center" vertical="center"/>
      <protection locked="0"/>
    </xf>
    <xf numFmtId="44" fontId="67" fillId="18" borderId="67" xfId="8" applyFont="1" applyFill="1" applyBorder="1" applyAlignment="1" applyProtection="1">
      <alignment vertical="center"/>
      <protection locked="0"/>
    </xf>
    <xf numFmtId="0" fontId="67" fillId="0" borderId="66" xfId="2" applyFont="1" applyBorder="1" applyAlignment="1" applyProtection="1">
      <alignment horizontal="center" vertical="center"/>
      <protection locked="0"/>
    </xf>
    <xf numFmtId="44" fontId="67" fillId="0" borderId="66" xfId="8" applyFont="1" applyBorder="1" applyAlignment="1" applyProtection="1">
      <alignment vertical="center"/>
      <protection locked="0"/>
    </xf>
    <xf numFmtId="0" fontId="67" fillId="0" borderId="77" xfId="0" applyFont="1" applyBorder="1" applyAlignment="1">
      <alignment horizontal="left" vertical="center" wrapText="1"/>
    </xf>
    <xf numFmtId="0" fontId="67" fillId="17" borderId="68" xfId="0" applyFont="1" applyFill="1" applyBorder="1" applyAlignment="1">
      <alignment horizontal="left" vertical="center" wrapText="1"/>
    </xf>
    <xf numFmtId="0" fontId="67" fillId="17" borderId="68" xfId="2" applyFont="1" applyFill="1" applyBorder="1" applyAlignment="1" applyProtection="1">
      <alignment horizontal="center" vertical="center"/>
      <protection locked="0"/>
    </xf>
    <xf numFmtId="44" fontId="67" fillId="17" borderId="68" xfId="8" applyFont="1" applyFill="1" applyBorder="1" applyAlignment="1" applyProtection="1">
      <alignment vertical="center"/>
      <protection locked="0"/>
    </xf>
    <xf numFmtId="1" fontId="67" fillId="13" borderId="77" xfId="0" applyNumberFormat="1" applyFont="1" applyFill="1" applyBorder="1" applyAlignment="1">
      <alignment horizontal="center" vertical="center"/>
    </xf>
    <xf numFmtId="1" fontId="67" fillId="13" borderId="68" xfId="0" applyNumberFormat="1" applyFont="1" applyFill="1" applyBorder="1" applyAlignment="1">
      <alignment horizontal="center" vertical="center"/>
    </xf>
    <xf numFmtId="44" fontId="67" fillId="13" borderId="68" xfId="8" applyFont="1" applyFill="1" applyBorder="1" applyAlignment="1">
      <alignment vertical="center"/>
    </xf>
    <xf numFmtId="44" fontId="67" fillId="15" borderId="68" xfId="8" applyFont="1" applyFill="1" applyBorder="1" applyAlignment="1">
      <alignment vertical="center"/>
    </xf>
    <xf numFmtId="9" fontId="67" fillId="14" borderId="68" xfId="1" applyFont="1" applyFill="1" applyBorder="1" applyAlignment="1">
      <alignment horizontal="center" vertical="center"/>
    </xf>
    <xf numFmtId="44" fontId="67" fillId="14" borderId="68" xfId="8" applyFont="1" applyFill="1" applyBorder="1" applyAlignment="1">
      <alignment vertical="center"/>
    </xf>
    <xf numFmtId="170" fontId="69" fillId="11" borderId="15" xfId="0" applyNumberFormat="1" applyFont="1" applyFill="1" applyBorder="1" applyAlignment="1">
      <alignment horizontal="right" vertical="center"/>
    </xf>
    <xf numFmtId="170" fontId="69" fillId="11" borderId="104" xfId="0" applyNumberFormat="1" applyFont="1" applyFill="1" applyBorder="1" applyAlignment="1">
      <alignment horizontal="right" vertical="center"/>
    </xf>
    <xf numFmtId="0" fontId="67" fillId="18" borderId="49" xfId="0" applyFont="1" applyFill="1" applyBorder="1" applyAlignment="1">
      <alignment horizontal="left" vertical="center" wrapText="1"/>
    </xf>
    <xf numFmtId="1" fontId="67" fillId="27" borderId="65" xfId="0" applyNumberFormat="1" applyFont="1" applyFill="1" applyBorder="1" applyAlignment="1">
      <alignment horizontal="center" vertical="center"/>
    </xf>
    <xf numFmtId="44" fontId="66" fillId="13" borderId="65" xfId="8" applyFont="1" applyFill="1" applyBorder="1" applyAlignment="1">
      <alignment vertical="center"/>
    </xf>
    <xf numFmtId="44" fontId="73" fillId="18" borderId="66" xfId="8" applyFont="1" applyFill="1" applyBorder="1" applyAlignment="1">
      <alignment horizontal="center" vertical="center" wrapText="1"/>
    </xf>
    <xf numFmtId="170" fontId="69" fillId="11" borderId="92" xfId="0" applyNumberFormat="1" applyFont="1" applyFill="1" applyBorder="1" applyAlignment="1">
      <alignment horizontal="right" vertical="center"/>
    </xf>
    <xf numFmtId="170" fontId="69" fillId="11" borderId="93" xfId="0" applyNumberFormat="1" applyFont="1" applyFill="1" applyBorder="1" applyAlignment="1">
      <alignment horizontal="right" vertical="center"/>
    </xf>
    <xf numFmtId="44" fontId="69" fillId="11" borderId="92" xfId="0" applyNumberFormat="1" applyFont="1" applyFill="1" applyBorder="1" applyAlignment="1">
      <alignment horizontal="right" vertical="center"/>
    </xf>
    <xf numFmtId="44" fontId="66" fillId="15" borderId="92" xfId="0" applyNumberFormat="1" applyFont="1" applyFill="1" applyBorder="1" applyAlignment="1">
      <alignment vertical="center"/>
    </xf>
    <xf numFmtId="0" fontId="60" fillId="14" borderId="92" xfId="0" applyFont="1" applyFill="1" applyBorder="1" applyAlignment="1">
      <alignment horizontal="center" vertical="center"/>
    </xf>
    <xf numFmtId="0" fontId="60" fillId="14" borderId="92" xfId="0" applyFont="1" applyFill="1" applyBorder="1" applyAlignment="1">
      <alignment vertical="center"/>
    </xf>
    <xf numFmtId="44" fontId="66" fillId="14" borderId="92" xfId="0" applyNumberFormat="1" applyFont="1" applyFill="1" applyBorder="1" applyAlignment="1">
      <alignment vertical="center"/>
    </xf>
    <xf numFmtId="44" fontId="69" fillId="10" borderId="18" xfId="0" applyNumberFormat="1" applyFont="1" applyFill="1" applyBorder="1" applyAlignment="1">
      <alignment horizontal="right" vertical="center"/>
    </xf>
    <xf numFmtId="44" fontId="69" fillId="10" borderId="68" xfId="0" applyNumberFormat="1" applyFont="1" applyFill="1" applyBorder="1" applyAlignment="1">
      <alignment horizontal="right" vertical="center"/>
    </xf>
    <xf numFmtId="44" fontId="69" fillId="16" borderId="12" xfId="8" applyFont="1" applyFill="1" applyBorder="1" applyAlignment="1">
      <alignment horizontal="center" vertical="center"/>
    </xf>
    <xf numFmtId="44" fontId="72" fillId="18" borderId="66" xfId="8" applyFont="1" applyFill="1" applyBorder="1" applyAlignment="1" applyProtection="1">
      <alignment horizontal="left" vertical="center" wrapText="1"/>
      <protection locked="0"/>
    </xf>
    <xf numFmtId="0" fontId="60" fillId="0" borderId="66" xfId="0" applyFont="1" applyBorder="1" applyAlignment="1">
      <alignment horizontal="center" vertical="center" wrapText="1"/>
    </xf>
    <xf numFmtId="0" fontId="76" fillId="17" borderId="66" xfId="0" applyFont="1" applyFill="1" applyBorder="1" applyAlignment="1">
      <alignment horizontal="left" vertical="center" wrapText="1"/>
    </xf>
    <xf numFmtId="0" fontId="76" fillId="0" borderId="67" xfId="0" applyFont="1" applyBorder="1" applyAlignment="1">
      <alignment horizontal="left" vertical="center" wrapText="1"/>
    </xf>
    <xf numFmtId="0" fontId="67" fillId="0" borderId="97" xfId="0" applyFont="1" applyBorder="1" applyAlignment="1">
      <alignment horizontal="left" vertical="center" wrapText="1"/>
    </xf>
    <xf numFmtId="0" fontId="76" fillId="0" borderId="92" xfId="0" applyFont="1" applyBorder="1" applyAlignment="1">
      <alignment horizontal="left" vertical="center" wrapText="1"/>
    </xf>
    <xf numFmtId="0" fontId="72" fillId="0" borderId="92" xfId="2" applyFont="1" applyBorder="1" applyAlignment="1" applyProtection="1">
      <alignment horizontal="center" vertical="center" wrapText="1"/>
      <protection locked="0"/>
    </xf>
    <xf numFmtId="44" fontId="72" fillId="0" borderId="92" xfId="8" applyFont="1" applyBorder="1" applyAlignment="1" applyProtection="1">
      <alignment horizontal="left" vertical="center" wrapText="1"/>
      <protection locked="0"/>
    </xf>
    <xf numFmtId="44" fontId="67" fillId="0" borderId="92" xfId="8" applyFont="1" applyBorder="1" applyAlignment="1">
      <alignment vertical="center"/>
    </xf>
    <xf numFmtId="44" fontId="67" fillId="0" borderId="93" xfId="8" applyFont="1" applyBorder="1" applyAlignment="1">
      <alignment vertical="center"/>
    </xf>
    <xf numFmtId="44" fontId="69" fillId="10" borderId="67" xfId="0" applyNumberFormat="1" applyFont="1" applyFill="1" applyBorder="1" applyAlignment="1">
      <alignment horizontal="right" vertical="center"/>
    </xf>
    <xf numFmtId="0" fontId="65" fillId="12" borderId="33" xfId="0" applyFont="1" applyFill="1" applyBorder="1" applyAlignment="1">
      <alignment horizontal="center" vertical="center"/>
    </xf>
    <xf numFmtId="0" fontId="65" fillId="12" borderId="67" xfId="0" applyFont="1" applyFill="1" applyBorder="1" applyAlignment="1">
      <alignment horizontal="center" vertical="center"/>
    </xf>
    <xf numFmtId="1" fontId="67" fillId="13" borderId="73" xfId="0" applyNumberFormat="1" applyFont="1" applyFill="1" applyBorder="1" applyAlignment="1">
      <alignment horizontal="center" vertical="center"/>
    </xf>
    <xf numFmtId="1" fontId="67" fillId="13" borderId="74" xfId="0" applyNumberFormat="1" applyFont="1" applyFill="1" applyBorder="1" applyAlignment="1">
      <alignment horizontal="center" vertical="center"/>
    </xf>
    <xf numFmtId="9" fontId="67" fillId="14" borderId="74" xfId="1" applyFont="1" applyFill="1" applyBorder="1" applyAlignment="1">
      <alignment horizontal="center" vertical="center"/>
    </xf>
    <xf numFmtId="10" fontId="67" fillId="15" borderId="74" xfId="0" applyNumberFormat="1" applyFont="1" applyFill="1" applyBorder="1" applyAlignment="1">
      <alignment horizontal="center" vertical="center"/>
    </xf>
    <xf numFmtId="10" fontId="67" fillId="15" borderId="75" xfId="0" applyNumberFormat="1" applyFont="1" applyFill="1" applyBorder="1" applyAlignment="1">
      <alignment horizontal="center" vertical="center"/>
    </xf>
    <xf numFmtId="44" fontId="73" fillId="21" borderId="71" xfId="8" applyFont="1" applyFill="1" applyBorder="1" applyAlignment="1">
      <alignment horizontal="center" vertical="center"/>
    </xf>
    <xf numFmtId="10" fontId="67" fillId="15" borderId="70" xfId="0" applyNumberFormat="1" applyFont="1" applyFill="1" applyBorder="1" applyAlignment="1">
      <alignment horizontal="center" vertical="center"/>
    </xf>
    <xf numFmtId="170" fontId="69" fillId="11" borderId="101" xfId="8" applyNumberFormat="1" applyFont="1" applyFill="1" applyBorder="1" applyAlignment="1">
      <alignment horizontal="right" vertical="center"/>
    </xf>
    <xf numFmtId="170" fontId="69" fillId="11" borderId="100" xfId="8" applyNumberFormat="1" applyFont="1" applyFill="1" applyBorder="1" applyAlignment="1">
      <alignment horizontal="right" vertical="center"/>
    </xf>
    <xf numFmtId="170" fontId="69" fillId="11" borderId="68" xfId="8" applyNumberFormat="1" applyFont="1" applyFill="1" applyBorder="1" applyAlignment="1">
      <alignment horizontal="right" vertical="center"/>
    </xf>
    <xf numFmtId="170" fontId="69" fillId="11" borderId="18" xfId="8" applyNumberFormat="1" applyFont="1" applyFill="1" applyBorder="1" applyAlignment="1">
      <alignment horizontal="right" vertical="center"/>
    </xf>
    <xf numFmtId="44" fontId="69" fillId="11" borderId="71" xfId="8" applyFont="1" applyFill="1" applyBorder="1" applyAlignment="1">
      <alignment horizontal="right" vertical="center"/>
    </xf>
    <xf numFmtId="44" fontId="66" fillId="15" borderId="71" xfId="8" applyFont="1" applyFill="1" applyBorder="1" applyAlignment="1">
      <alignment vertical="center"/>
    </xf>
    <xf numFmtId="44" fontId="66" fillId="14" borderId="79" xfId="8" applyFont="1" applyFill="1" applyBorder="1" applyAlignment="1">
      <alignment vertical="center"/>
    </xf>
    <xf numFmtId="44" fontId="67" fillId="0" borderId="66" xfId="8" applyFont="1" applyBorder="1" applyAlignment="1" applyProtection="1">
      <alignment horizontal="left" vertical="center" wrapText="1"/>
      <protection locked="0"/>
    </xf>
    <xf numFmtId="0" fontId="67" fillId="17" borderId="82" xfId="0" applyFont="1" applyFill="1" applyBorder="1" applyAlignment="1">
      <alignment horizontal="left" vertical="center" wrapText="1"/>
    </xf>
    <xf numFmtId="0" fontId="66" fillId="17" borderId="71" xfId="0" applyFont="1" applyFill="1" applyBorder="1" applyAlignment="1">
      <alignment horizontal="left" vertical="center" wrapText="1"/>
    </xf>
    <xf numFmtId="0" fontId="67" fillId="17" borderId="71" xfId="2" applyFont="1" applyFill="1" applyBorder="1" applyAlignment="1" applyProtection="1">
      <alignment horizontal="center" vertical="center" wrapText="1"/>
      <protection locked="0"/>
    </xf>
    <xf numFmtId="44" fontId="67" fillId="17" borderId="71" xfId="8" applyFont="1" applyFill="1" applyBorder="1" applyAlignment="1" applyProtection="1">
      <alignment horizontal="left" vertical="center" wrapText="1"/>
      <protection locked="0"/>
    </xf>
    <xf numFmtId="0" fontId="67" fillId="17" borderId="67" xfId="2" applyFont="1" applyFill="1" applyBorder="1" applyAlignment="1" applyProtection="1">
      <alignment horizontal="center" vertical="center" wrapText="1"/>
      <protection locked="0"/>
    </xf>
    <xf numFmtId="44" fontId="67" fillId="17" borderId="66" xfId="8" applyFont="1" applyFill="1" applyBorder="1" applyAlignment="1" applyProtection="1">
      <alignment horizontal="left" vertical="center" wrapText="1"/>
      <protection locked="0"/>
    </xf>
    <xf numFmtId="0" fontId="84" fillId="0" borderId="66" xfId="0" applyFont="1" applyBorder="1" applyAlignment="1">
      <alignment horizontal="center" vertical="center" wrapText="1"/>
    </xf>
    <xf numFmtId="0" fontId="84" fillId="18" borderId="66" xfId="0" applyFont="1" applyFill="1" applyBorder="1" applyAlignment="1">
      <alignment horizontal="center" vertical="center" wrapText="1"/>
    </xf>
    <xf numFmtId="44" fontId="69" fillId="10" borderId="86" xfId="0" applyNumberFormat="1" applyFont="1" applyFill="1" applyBorder="1" applyAlignment="1">
      <alignment horizontal="right" vertical="center"/>
    </xf>
    <xf numFmtId="0" fontId="69" fillId="16" borderId="11" xfId="0" applyFont="1" applyFill="1" applyBorder="1" applyAlignment="1">
      <alignment vertical="center"/>
    </xf>
    <xf numFmtId="0" fontId="69" fillId="16" borderId="12" xfId="0" applyFont="1" applyFill="1" applyBorder="1" applyAlignment="1">
      <alignment vertical="center"/>
    </xf>
    <xf numFmtId="44" fontId="69" fillId="16" borderId="12" xfId="0" applyNumberFormat="1" applyFont="1" applyFill="1" applyBorder="1" applyAlignment="1">
      <alignment vertical="center"/>
    </xf>
    <xf numFmtId="0" fontId="69" fillId="16" borderId="11" xfId="0" applyFont="1" applyFill="1" applyBorder="1" applyAlignment="1">
      <alignment horizontal="center" vertical="center"/>
    </xf>
    <xf numFmtId="0" fontId="69" fillId="16" borderId="12" xfId="0" applyFont="1" applyFill="1" applyBorder="1" applyAlignment="1">
      <alignment horizontal="center" vertical="center"/>
    </xf>
    <xf numFmtId="44" fontId="69" fillId="16" borderId="12" xfId="0" applyNumberFormat="1" applyFont="1" applyFill="1" applyBorder="1" applyAlignment="1">
      <alignment horizontal="center" vertical="center"/>
    </xf>
    <xf numFmtId="9" fontId="69" fillId="16" borderId="17" xfId="1" applyFont="1" applyFill="1" applyBorder="1" applyAlignment="1">
      <alignment vertical="center"/>
    </xf>
    <xf numFmtId="44" fontId="69" fillId="16" borderId="126" xfId="8" applyFont="1" applyFill="1" applyBorder="1" applyAlignment="1">
      <alignment vertical="center"/>
    </xf>
    <xf numFmtId="168" fontId="65" fillId="0" borderId="125" xfId="1" applyNumberFormat="1" applyFont="1" applyBorder="1" applyAlignment="1">
      <alignment vertical="center"/>
    </xf>
    <xf numFmtId="170" fontId="69" fillId="11" borderId="126" xfId="0" applyNumberFormat="1" applyFont="1" applyFill="1" applyBorder="1" applyAlignment="1">
      <alignment horizontal="right" vertical="center"/>
    </xf>
    <xf numFmtId="0" fontId="60" fillId="0" borderId="0" xfId="0" applyFont="1" applyAlignment="1">
      <alignment horizontal="center" vertical="center" wrapText="1"/>
    </xf>
    <xf numFmtId="0" fontId="60" fillId="17" borderId="0" xfId="0" applyFont="1" applyFill="1" applyAlignment="1">
      <alignment vertical="center"/>
    </xf>
    <xf numFmtId="9" fontId="60" fillId="0" borderId="0" xfId="0" applyNumberFormat="1" applyFont="1" applyAlignment="1">
      <alignment vertical="center"/>
    </xf>
    <xf numFmtId="0" fontId="61" fillId="6" borderId="66" xfId="3" applyFont="1" applyFill="1" applyBorder="1" applyAlignment="1">
      <alignment horizontal="left" vertical="center"/>
    </xf>
    <xf numFmtId="0" fontId="61" fillId="6" borderId="66" xfId="3" applyFont="1" applyFill="1" applyBorder="1" applyAlignment="1">
      <alignment horizontal="center" vertical="center"/>
    </xf>
    <xf numFmtId="0" fontId="66" fillId="6" borderId="66" xfId="3" applyFont="1" applyFill="1" applyBorder="1" applyAlignment="1">
      <alignment horizontal="center" vertical="center"/>
    </xf>
    <xf numFmtId="169" fontId="66" fillId="6" borderId="66" xfId="3" applyNumberFormat="1" applyFont="1" applyFill="1" applyBorder="1" applyAlignment="1">
      <alignment horizontal="center" vertical="center" wrapText="1"/>
    </xf>
    <xf numFmtId="0" fontId="66" fillId="6" borderId="66" xfId="3" applyFont="1" applyFill="1" applyBorder="1" applyAlignment="1">
      <alignment horizontal="center" vertical="center" wrapText="1"/>
    </xf>
    <xf numFmtId="9" fontId="66" fillId="6" borderId="66" xfId="1" applyFont="1" applyFill="1" applyBorder="1" applyAlignment="1">
      <alignment horizontal="center" vertical="center" wrapText="1"/>
    </xf>
    <xf numFmtId="10" fontId="66" fillId="6" borderId="66" xfId="1" applyNumberFormat="1" applyFont="1" applyFill="1" applyBorder="1" applyAlignment="1">
      <alignment horizontal="center" vertical="center" wrapText="1"/>
    </xf>
    <xf numFmtId="37" fontId="64" fillId="6" borderId="66" xfId="3" applyNumberFormat="1" applyFont="1" applyFill="1" applyBorder="1" applyAlignment="1">
      <alignment horizontal="center" vertical="center"/>
    </xf>
    <xf numFmtId="40" fontId="64" fillId="6" borderId="66" xfId="4" applyNumberFormat="1" applyFont="1" applyFill="1" applyBorder="1" applyAlignment="1">
      <alignment horizontal="center" vertical="center"/>
    </xf>
    <xf numFmtId="165" fontId="64" fillId="6" borderId="66" xfId="4" applyFont="1" applyFill="1" applyBorder="1" applyAlignment="1">
      <alignment horizontal="right" vertical="center"/>
    </xf>
    <xf numFmtId="40" fontId="64" fillId="6" borderId="66" xfId="4" applyNumberFormat="1" applyFont="1" applyFill="1" applyBorder="1" applyAlignment="1">
      <alignment horizontal="center" vertical="center" wrapText="1"/>
    </xf>
    <xf numFmtId="10" fontId="64" fillId="6" borderId="66" xfId="5" applyNumberFormat="1" applyFont="1" applyFill="1" applyBorder="1" applyAlignment="1">
      <alignment horizontal="center" vertical="center" wrapText="1"/>
    </xf>
    <xf numFmtId="165" fontId="64" fillId="6" borderId="66" xfId="4" applyFont="1" applyFill="1" applyBorder="1" applyAlignment="1">
      <alignment horizontal="center" vertical="center" wrapText="1"/>
    </xf>
    <xf numFmtId="165" fontId="64" fillId="6" borderId="7" xfId="4" applyFont="1" applyFill="1" applyBorder="1" applyAlignment="1">
      <alignment horizontal="center" vertical="center" wrapText="1"/>
    </xf>
    <xf numFmtId="0" fontId="66" fillId="12" borderId="66" xfId="0" applyFont="1" applyFill="1" applyBorder="1" applyAlignment="1">
      <alignment horizontal="center" vertical="center"/>
    </xf>
    <xf numFmtId="0" fontId="67" fillId="0" borderId="66" xfId="0" applyFont="1" applyBorder="1" applyAlignment="1">
      <alignment horizontal="center" vertical="center" wrapText="1"/>
    </xf>
    <xf numFmtId="0" fontId="60" fillId="18" borderId="67" xfId="0" applyFont="1" applyFill="1" applyBorder="1" applyAlignment="1">
      <alignment horizontal="center" vertical="center" wrapText="1"/>
    </xf>
    <xf numFmtId="44" fontId="73" fillId="21" borderId="7" xfId="8" applyFont="1" applyFill="1" applyBorder="1" applyAlignment="1">
      <alignment horizontal="center" vertical="center"/>
    </xf>
    <xf numFmtId="44" fontId="73" fillId="17" borderId="66" xfId="8" applyFont="1" applyFill="1" applyBorder="1" applyAlignment="1">
      <alignment vertical="center"/>
    </xf>
    <xf numFmtId="0" fontId="80" fillId="18" borderId="71" xfId="0" applyFont="1" applyFill="1" applyBorder="1" applyAlignment="1">
      <alignment horizontal="center" vertical="center" wrapText="1"/>
    </xf>
    <xf numFmtId="170" fontId="69" fillId="11" borderId="66" xfId="8" applyNumberFormat="1" applyFont="1" applyFill="1" applyBorder="1" applyAlignment="1">
      <alignment horizontal="right" vertical="center"/>
    </xf>
    <xf numFmtId="44" fontId="69" fillId="11" borderId="66" xfId="8" applyFont="1" applyFill="1" applyBorder="1" applyAlignment="1">
      <alignment horizontal="right" vertical="center"/>
    </xf>
    <xf numFmtId="44" fontId="69" fillId="10" borderId="66" xfId="8" applyFont="1" applyFill="1" applyBorder="1" applyAlignment="1">
      <alignment horizontal="right" vertical="center"/>
    </xf>
    <xf numFmtId="0" fontId="71" fillId="0" borderId="66" xfId="0" applyFont="1" applyBorder="1" applyAlignment="1">
      <alignment horizontal="center" vertical="center" wrapText="1"/>
    </xf>
    <xf numFmtId="44" fontId="72" fillId="15" borderId="66" xfId="8" applyFont="1" applyFill="1" applyBorder="1" applyAlignment="1">
      <alignment vertical="center"/>
    </xf>
    <xf numFmtId="0" fontId="65" fillId="18" borderId="66" xfId="0" applyFont="1" applyFill="1" applyBorder="1" applyAlignment="1">
      <alignment horizontal="center" vertical="center" wrapText="1"/>
    </xf>
    <xf numFmtId="0" fontId="67" fillId="18" borderId="66" xfId="2" quotePrefix="1" applyFont="1" applyFill="1" applyBorder="1" applyAlignment="1" applyProtection="1">
      <alignment horizontal="center" vertical="center" wrapText="1"/>
      <protection locked="0"/>
    </xf>
    <xf numFmtId="0" fontId="60" fillId="18" borderId="0" xfId="0" applyFont="1" applyFill="1" applyAlignment="1">
      <alignment vertical="center"/>
    </xf>
    <xf numFmtId="0" fontId="65" fillId="17" borderId="0" xfId="0" applyFont="1" applyFill="1" applyAlignment="1">
      <alignment vertical="center"/>
    </xf>
    <xf numFmtId="44" fontId="69" fillId="10" borderId="66" xfId="0" applyNumberFormat="1" applyFont="1" applyFill="1" applyBorder="1" applyAlignment="1">
      <alignment horizontal="right" vertical="center"/>
    </xf>
    <xf numFmtId="9" fontId="60" fillId="14" borderId="66" xfId="0" applyNumberFormat="1" applyFont="1" applyFill="1" applyBorder="1" applyAlignment="1">
      <alignment horizontal="center" vertical="center"/>
    </xf>
    <xf numFmtId="0" fontId="72" fillId="0" borderId="66" xfId="0" applyFont="1" applyBorder="1" applyAlignment="1">
      <alignment vertical="center" wrapText="1"/>
    </xf>
    <xf numFmtId="170" fontId="69" fillId="11" borderId="66" xfId="0" applyNumberFormat="1" applyFont="1" applyFill="1" applyBorder="1" applyAlignment="1">
      <alignment horizontal="right" vertical="center"/>
    </xf>
    <xf numFmtId="1" fontId="67" fillId="27" borderId="66" xfId="0" applyNumberFormat="1" applyFont="1" applyFill="1" applyBorder="1" applyAlignment="1">
      <alignment horizontal="center" vertical="center"/>
    </xf>
    <xf numFmtId="4" fontId="60" fillId="0" borderId="0" xfId="0" applyNumberFormat="1" applyFont="1" applyAlignment="1">
      <alignment horizontal="center" vertical="center" wrapText="1"/>
    </xf>
    <xf numFmtId="4" fontId="60" fillId="0" borderId="0" xfId="0" applyNumberFormat="1" applyFont="1" applyAlignment="1">
      <alignment vertical="center"/>
    </xf>
    <xf numFmtId="0" fontId="60" fillId="17" borderId="66" xfId="0" applyFont="1" applyFill="1" applyBorder="1" applyAlignment="1">
      <alignment horizontal="center" vertical="center" wrapText="1"/>
    </xf>
    <xf numFmtId="44" fontId="67" fillId="0" borderId="65" xfId="8" applyFont="1" applyBorder="1" applyAlignment="1">
      <alignment vertical="center"/>
    </xf>
    <xf numFmtId="0" fontId="81" fillId="17" borderId="66" xfId="0" applyFont="1" applyFill="1" applyBorder="1" applyAlignment="1">
      <alignment horizontal="left" vertical="center" wrapText="1"/>
    </xf>
    <xf numFmtId="0" fontId="68" fillId="17" borderId="66" xfId="0" applyFont="1" applyFill="1" applyBorder="1" applyAlignment="1">
      <alignment horizontal="left" vertical="center" wrapText="1"/>
    </xf>
    <xf numFmtId="0" fontId="81" fillId="0" borderId="66" xfId="2" applyFont="1" applyBorder="1" applyAlignment="1" applyProtection="1">
      <alignment horizontal="center" vertical="center"/>
      <protection locked="0"/>
    </xf>
    <xf numFmtId="44" fontId="81" fillId="0" borderId="66" xfId="8" applyFont="1" applyBorder="1" applyAlignment="1" applyProtection="1">
      <alignment vertical="center"/>
      <protection locked="0"/>
    </xf>
    <xf numFmtId="3" fontId="72" fillId="17" borderId="66" xfId="2" applyNumberFormat="1" applyFont="1" applyFill="1" applyBorder="1" applyAlignment="1" applyProtection="1">
      <alignment horizontal="center" vertical="center" wrapText="1"/>
      <protection locked="0"/>
    </xf>
    <xf numFmtId="0" fontId="60" fillId="18" borderId="66" xfId="0" applyFont="1" applyFill="1" applyBorder="1" applyAlignment="1">
      <alignment horizontal="center" vertical="center" wrapText="1"/>
    </xf>
    <xf numFmtId="0" fontId="70" fillId="17" borderId="66" xfId="0" applyFont="1" applyFill="1" applyBorder="1" applyAlignment="1">
      <alignment horizontal="center" vertical="center" wrapText="1"/>
    </xf>
    <xf numFmtId="0" fontId="71" fillId="17" borderId="10" xfId="0" applyFont="1" applyFill="1" applyBorder="1" applyAlignment="1">
      <alignment horizontal="center" vertical="center" wrapText="1"/>
    </xf>
    <xf numFmtId="44" fontId="73" fillId="21" borderId="71" xfId="8" applyFont="1" applyFill="1" applyBorder="1" applyAlignment="1">
      <alignment vertical="center"/>
    </xf>
    <xf numFmtId="0" fontId="74" fillId="17" borderId="66" xfId="0" applyFont="1" applyFill="1" applyBorder="1" applyAlignment="1">
      <alignment horizontal="center" vertical="center" wrapText="1"/>
    </xf>
    <xf numFmtId="0" fontId="72" fillId="17" borderId="66" xfId="0" applyFont="1" applyFill="1" applyBorder="1" applyAlignment="1">
      <alignment vertical="center" wrapText="1"/>
    </xf>
    <xf numFmtId="0" fontId="70" fillId="18" borderId="66" xfId="0" applyFont="1" applyFill="1" applyBorder="1" applyAlignment="1">
      <alignment horizontal="center" vertical="center" wrapText="1"/>
    </xf>
    <xf numFmtId="44" fontId="69" fillId="16" borderId="105" xfId="8" applyFont="1" applyFill="1" applyBorder="1" applyAlignment="1">
      <alignment horizontal="center" vertical="center"/>
    </xf>
    <xf numFmtId="0" fontId="69" fillId="16" borderId="66" xfId="0" applyFont="1" applyFill="1" applyBorder="1" applyAlignment="1">
      <alignment vertical="center"/>
    </xf>
    <xf numFmtId="44" fontId="69" fillId="16" borderId="66" xfId="0" applyNumberFormat="1" applyFont="1" applyFill="1" applyBorder="1" applyAlignment="1">
      <alignment vertical="center"/>
    </xf>
    <xf numFmtId="0" fontId="67" fillId="17" borderId="66" xfId="2" quotePrefix="1" applyFont="1" applyFill="1" applyBorder="1" applyAlignment="1" applyProtection="1">
      <alignment horizontal="center" vertical="center" wrapText="1"/>
      <protection locked="0"/>
    </xf>
    <xf numFmtId="0" fontId="71" fillId="17" borderId="66" xfId="0" applyFont="1" applyFill="1" applyBorder="1" applyAlignment="1">
      <alignment horizontal="center" vertical="center" wrapText="1"/>
    </xf>
    <xf numFmtId="44" fontId="73" fillId="17" borderId="66" xfId="8" applyFont="1" applyFill="1" applyBorder="1" applyAlignment="1">
      <alignment horizontal="center" vertical="center"/>
    </xf>
    <xf numFmtId="44" fontId="73" fillId="17" borderId="66" xfId="8" applyFont="1" applyFill="1" applyBorder="1" applyAlignment="1">
      <alignment horizontal="center" vertical="center" wrapText="1"/>
    </xf>
    <xf numFmtId="0" fontId="87" fillId="37" borderId="0" xfId="0" applyFont="1" applyFill="1"/>
    <xf numFmtId="44" fontId="87" fillId="37" borderId="0" xfId="8" applyFont="1" applyFill="1"/>
    <xf numFmtId="0" fontId="19" fillId="0" borderId="0" xfId="0" applyFont="1"/>
    <xf numFmtId="0" fontId="19" fillId="0" borderId="0" xfId="0" applyFont="1" applyAlignment="1">
      <alignment horizontal="center"/>
    </xf>
    <xf numFmtId="16" fontId="19" fillId="32" borderId="11" xfId="0" applyNumberFormat="1" applyFont="1" applyFill="1" applyBorder="1"/>
    <xf numFmtId="16" fontId="19" fillId="32" borderId="12" xfId="0" applyNumberFormat="1" applyFont="1" applyFill="1" applyBorder="1"/>
    <xf numFmtId="16" fontId="19" fillId="38" borderId="14" xfId="0" applyNumberFormat="1" applyFont="1" applyFill="1" applyBorder="1"/>
    <xf numFmtId="16" fontId="19" fillId="38" borderId="15" xfId="0" applyNumberFormat="1" applyFont="1" applyFill="1" applyBorder="1"/>
    <xf numFmtId="0" fontId="19" fillId="33" borderId="17" xfId="0" applyFont="1" applyFill="1" applyBorder="1" applyAlignment="1">
      <alignment horizontal="right"/>
    </xf>
    <xf numFmtId="0" fontId="19" fillId="33" borderId="0" xfId="0" applyFont="1" applyFill="1" applyAlignment="1">
      <alignment horizontal="right"/>
    </xf>
    <xf numFmtId="0" fontId="88" fillId="29" borderId="14" xfId="0" applyFont="1" applyFill="1" applyBorder="1"/>
    <xf numFmtId="0" fontId="88" fillId="29" borderId="15" xfId="0" applyFont="1" applyFill="1" applyBorder="1"/>
    <xf numFmtId="164" fontId="4" fillId="0" borderId="0" xfId="2" applyNumberFormat="1" applyFont="1" applyAlignment="1" applyProtection="1">
      <alignment horizontal="left" vertical="center"/>
      <protection locked="0"/>
    </xf>
    <xf numFmtId="0" fontId="4" fillId="0" borderId="0" xfId="2" applyFont="1" applyAlignment="1" applyProtection="1">
      <alignment horizontal="left" vertical="center"/>
      <protection locked="0"/>
    </xf>
    <xf numFmtId="14" fontId="4" fillId="0" borderId="0" xfId="2" applyNumberFormat="1" applyFont="1" applyAlignment="1" applyProtection="1">
      <alignment horizontal="left" vertical="center"/>
      <protection locked="0"/>
    </xf>
    <xf numFmtId="0" fontId="20" fillId="39" borderId="66" xfId="0" applyFont="1" applyFill="1" applyBorder="1" applyAlignment="1">
      <alignment horizontal="center"/>
    </xf>
    <xf numFmtId="164" fontId="4" fillId="0" borderId="66" xfId="2" applyNumberFormat="1" applyFont="1" applyBorder="1" applyAlignment="1" applyProtection="1">
      <alignment horizontal="left" vertical="center"/>
      <protection locked="0"/>
    </xf>
    <xf numFmtId="44" fontId="20" fillId="0" borderId="66" xfId="0" applyNumberFormat="1" applyFont="1" applyBorder="1"/>
    <xf numFmtId="9" fontId="20" fillId="0" borderId="66" xfId="1" applyFont="1" applyBorder="1" applyAlignment="1">
      <alignment horizontal="center"/>
    </xf>
    <xf numFmtId="44" fontId="20" fillId="39" borderId="66" xfId="0" applyNumberFormat="1" applyFont="1" applyFill="1" applyBorder="1" applyAlignment="1">
      <alignment horizontal="center"/>
    </xf>
    <xf numFmtId="0" fontId="20" fillId="0" borderId="54" xfId="0" applyFont="1" applyBorder="1"/>
    <xf numFmtId="170" fontId="20" fillId="0" borderId="120" xfId="0" applyNumberFormat="1" applyFont="1" applyBorder="1" applyAlignment="1">
      <alignment horizontal="center"/>
    </xf>
    <xf numFmtId="9" fontId="20" fillId="0" borderId="53" xfId="1" applyFont="1" applyBorder="1" applyAlignment="1">
      <alignment horizontal="center"/>
    </xf>
    <xf numFmtId="0" fontId="20" fillId="0" borderId="0" xfId="0" applyFont="1"/>
    <xf numFmtId="170" fontId="20" fillId="39" borderId="71" xfId="0" applyNumberFormat="1" applyFont="1" applyFill="1" applyBorder="1" applyAlignment="1">
      <alignment horizontal="center"/>
    </xf>
    <xf numFmtId="170" fontId="20" fillId="39" borderId="66" xfId="0" applyNumberFormat="1" applyFont="1" applyFill="1" applyBorder="1"/>
    <xf numFmtId="164" fontId="89" fillId="0" borderId="20" xfId="2" applyNumberFormat="1" applyFont="1" applyBorder="1" applyAlignment="1" applyProtection="1">
      <alignment horizontal="left" vertical="center"/>
      <protection locked="0"/>
    </xf>
    <xf numFmtId="164" fontId="89" fillId="0" borderId="22" xfId="2" applyNumberFormat="1" applyFont="1" applyBorder="1" applyAlignment="1" applyProtection="1">
      <alignment horizontal="left" vertical="center"/>
      <protection locked="0"/>
    </xf>
    <xf numFmtId="164" fontId="89" fillId="0" borderId="31" xfId="2" applyNumberFormat="1" applyFont="1" applyBorder="1" applyAlignment="1" applyProtection="1">
      <alignment horizontal="left" vertical="center"/>
      <protection locked="0"/>
    </xf>
    <xf numFmtId="164" fontId="89" fillId="0" borderId="32" xfId="2" applyNumberFormat="1" applyFont="1" applyBorder="1" applyAlignment="1" applyProtection="1">
      <alignment horizontal="left" vertical="center"/>
      <protection locked="0"/>
    </xf>
    <xf numFmtId="0" fontId="89" fillId="0" borderId="25" xfId="2" applyFont="1" applyBorder="1" applyAlignment="1" applyProtection="1">
      <alignment horizontal="left" vertical="center"/>
      <protection locked="0"/>
    </xf>
    <xf numFmtId="14" fontId="89" fillId="0" borderId="32" xfId="2" applyNumberFormat="1" applyFont="1" applyBorder="1" applyAlignment="1" applyProtection="1">
      <alignment horizontal="left" vertical="center"/>
      <protection locked="0"/>
    </xf>
    <xf numFmtId="164" fontId="89" fillId="0" borderId="39" xfId="2" applyNumberFormat="1" applyFont="1" applyBorder="1" applyAlignment="1" applyProtection="1">
      <alignment horizontal="left" vertical="center"/>
      <protection locked="0"/>
    </xf>
    <xf numFmtId="0" fontId="89" fillId="0" borderId="29" xfId="2" applyFont="1" applyBorder="1" applyAlignment="1" applyProtection="1">
      <alignment horizontal="left" vertical="center"/>
      <protection locked="0"/>
    </xf>
    <xf numFmtId="44" fontId="2" fillId="0" borderId="0" xfId="8" applyFont="1"/>
    <xf numFmtId="170" fontId="19" fillId="0" borderId="0" xfId="0" applyNumberFormat="1" applyFont="1"/>
    <xf numFmtId="0" fontId="69" fillId="11" borderId="14" xfId="0" applyFont="1" applyFill="1" applyBorder="1" applyAlignment="1">
      <alignment horizontal="left" vertical="center"/>
    </xf>
    <xf numFmtId="0" fontId="69" fillId="11" borderId="15" xfId="0" applyFont="1" applyFill="1" applyBorder="1" applyAlignment="1">
      <alignment horizontal="left" vertical="center"/>
    </xf>
    <xf numFmtId="0" fontId="69" fillId="11" borderId="91" xfId="0" applyFont="1" applyFill="1" applyBorder="1" applyAlignment="1">
      <alignment horizontal="left" vertical="center"/>
    </xf>
    <xf numFmtId="0" fontId="69" fillId="10" borderId="17" xfId="0" applyFont="1" applyFill="1" applyBorder="1" applyAlignment="1">
      <alignment horizontal="left" vertical="center"/>
    </xf>
    <xf numFmtId="0" fontId="69" fillId="10" borderId="0" xfId="0" applyFont="1" applyFill="1" applyAlignment="1">
      <alignment horizontal="left" vertical="center"/>
    </xf>
    <xf numFmtId="0" fontId="69" fillId="10" borderId="11" xfId="0" applyFont="1" applyFill="1" applyBorder="1" applyAlignment="1">
      <alignment horizontal="center" vertical="center"/>
    </xf>
    <xf numFmtId="0" fontId="69" fillId="10" borderId="12" xfId="0" applyFont="1" applyFill="1" applyBorder="1" applyAlignment="1">
      <alignment horizontal="center" vertical="center"/>
    </xf>
    <xf numFmtId="0" fontId="69" fillId="10" borderId="105" xfId="0" applyFont="1" applyFill="1" applyBorder="1" applyAlignment="1">
      <alignment horizontal="center" vertical="center"/>
    </xf>
    <xf numFmtId="1" fontId="69" fillId="11" borderId="85" xfId="0" applyNumberFormat="1" applyFont="1" applyFill="1" applyBorder="1" applyAlignment="1">
      <alignment horizontal="left" vertical="center"/>
    </xf>
    <xf numFmtId="1" fontId="69" fillId="11" borderId="86" xfId="0" applyNumberFormat="1" applyFont="1" applyFill="1" applyBorder="1" applyAlignment="1">
      <alignment horizontal="left" vertical="center"/>
    </xf>
    <xf numFmtId="1" fontId="69" fillId="10" borderId="56" xfId="0" applyNumberFormat="1" applyFont="1" applyFill="1" applyBorder="1" applyAlignment="1">
      <alignment horizontal="left" vertical="center"/>
    </xf>
    <xf numFmtId="0" fontId="69" fillId="10" borderId="67" xfId="0" applyFont="1" applyFill="1" applyBorder="1" applyAlignment="1">
      <alignment horizontal="left" vertical="center"/>
    </xf>
    <xf numFmtId="0" fontId="69" fillId="10" borderId="58" xfId="0" applyFont="1" applyFill="1" applyBorder="1" applyAlignment="1">
      <alignment horizontal="center" vertical="center"/>
    </xf>
    <xf numFmtId="0" fontId="69" fillId="10" borderId="59" xfId="0" applyFont="1" applyFill="1" applyBorder="1" applyAlignment="1">
      <alignment horizontal="center" vertical="center"/>
    </xf>
    <xf numFmtId="0" fontId="69" fillId="10" borderId="61" xfId="0" applyFont="1" applyFill="1" applyBorder="1" applyAlignment="1">
      <alignment horizontal="center" vertical="center"/>
    </xf>
    <xf numFmtId="166" fontId="64" fillId="4" borderId="17" xfId="4" applyNumberFormat="1" applyFont="1" applyFill="1" applyBorder="1" applyAlignment="1">
      <alignment horizontal="center" vertical="center" wrapText="1"/>
    </xf>
    <xf numFmtId="166" fontId="64" fillId="4" borderId="0" xfId="4" applyNumberFormat="1" applyFont="1" applyFill="1" applyAlignment="1">
      <alignment horizontal="center" vertical="center" wrapText="1"/>
    </xf>
    <xf numFmtId="166" fontId="64" fillId="4" borderId="6" xfId="4" applyNumberFormat="1" applyFont="1" applyFill="1" applyBorder="1" applyAlignment="1">
      <alignment horizontal="center" vertical="center" wrapText="1"/>
    </xf>
    <xf numFmtId="166" fontId="64" fillId="4" borderId="37" xfId="4" applyNumberFormat="1" applyFont="1" applyFill="1" applyBorder="1" applyAlignment="1">
      <alignment horizontal="center" vertical="center" wrapText="1"/>
    </xf>
    <xf numFmtId="166" fontId="64" fillId="4" borderId="5" xfId="4" applyNumberFormat="1" applyFont="1" applyFill="1" applyBorder="1" applyAlignment="1">
      <alignment horizontal="center" vertical="center" wrapText="1"/>
    </xf>
    <xf numFmtId="0" fontId="69" fillId="10" borderId="58" xfId="0" applyFont="1" applyFill="1" applyBorder="1" applyAlignment="1">
      <alignment horizontal="center"/>
    </xf>
    <xf numFmtId="0" fontId="69" fillId="10" borderId="59" xfId="0" applyFont="1" applyFill="1" applyBorder="1" applyAlignment="1">
      <alignment horizontal="center"/>
    </xf>
    <xf numFmtId="0" fontId="69" fillId="11" borderId="73" xfId="0" applyFont="1" applyFill="1" applyBorder="1" applyAlignment="1">
      <alignment horizontal="left"/>
    </xf>
    <xf numFmtId="0" fontId="69" fillId="11" borderId="74" xfId="0" applyFont="1" applyFill="1" applyBorder="1" applyAlignment="1">
      <alignment horizontal="left"/>
    </xf>
    <xf numFmtId="0" fontId="61" fillId="0" borderId="0" xfId="2" applyFont="1" applyAlignment="1">
      <alignment horizontal="left" vertical="center" wrapText="1"/>
    </xf>
    <xf numFmtId="0" fontId="61" fillId="0" borderId="0" xfId="2" applyFont="1" applyAlignment="1">
      <alignment horizontal="left" vertical="center"/>
    </xf>
    <xf numFmtId="0" fontId="69" fillId="10" borderId="14" xfId="0" applyFont="1" applyFill="1" applyBorder="1" applyAlignment="1">
      <alignment horizontal="left" vertical="center"/>
    </xf>
    <xf numFmtId="0" fontId="69" fillId="10" borderId="15" xfId="0" applyFont="1" applyFill="1" applyBorder="1" applyAlignment="1">
      <alignment horizontal="left" vertical="center"/>
    </xf>
    <xf numFmtId="0" fontId="69" fillId="11" borderId="11" xfId="0" applyFont="1" applyFill="1" applyBorder="1" applyAlignment="1">
      <alignment horizontal="left" vertical="center"/>
    </xf>
    <xf numFmtId="0" fontId="69" fillId="11" borderId="12" xfId="0" applyFont="1" applyFill="1" applyBorder="1" applyAlignment="1">
      <alignment horizontal="left" vertical="center"/>
    </xf>
    <xf numFmtId="0" fontId="69" fillId="11" borderId="69" xfId="0" applyFont="1" applyFill="1" applyBorder="1" applyAlignment="1">
      <alignment horizontal="left" vertical="center"/>
    </xf>
    <xf numFmtId="0" fontId="69" fillId="11" borderId="73" xfId="0" applyFont="1" applyFill="1" applyBorder="1" applyAlignment="1">
      <alignment horizontal="left" vertical="center"/>
    </xf>
    <xf numFmtId="0" fontId="69" fillId="11" borderId="74" xfId="0" applyFont="1" applyFill="1" applyBorder="1" applyAlignment="1">
      <alignment horizontal="left" vertical="center"/>
    </xf>
    <xf numFmtId="0" fontId="69" fillId="11" borderId="75" xfId="0" applyFont="1" applyFill="1" applyBorder="1" applyAlignment="1">
      <alignment horizontal="left" vertical="center"/>
    </xf>
    <xf numFmtId="0" fontId="64" fillId="2" borderId="3" xfId="3" applyFont="1" applyFill="1" applyBorder="1" applyAlignment="1">
      <alignment horizontal="center" vertical="center"/>
    </xf>
    <xf numFmtId="0" fontId="64" fillId="2" borderId="4" xfId="3" applyFont="1" applyFill="1" applyBorder="1" applyAlignment="1">
      <alignment horizontal="center" vertical="center"/>
    </xf>
    <xf numFmtId="0" fontId="64" fillId="2" borderId="5" xfId="3" applyFont="1" applyFill="1" applyBorder="1" applyAlignment="1">
      <alignment horizontal="center" vertical="center"/>
    </xf>
    <xf numFmtId="0" fontId="64" fillId="3" borderId="6" xfId="0" applyFont="1" applyFill="1" applyBorder="1" applyAlignment="1">
      <alignment horizontal="center" vertical="center" wrapText="1"/>
    </xf>
    <xf numFmtId="0" fontId="64" fillId="3" borderId="37" xfId="0" applyFont="1" applyFill="1" applyBorder="1" applyAlignment="1">
      <alignment horizontal="center" vertical="center" wrapText="1"/>
    </xf>
    <xf numFmtId="0" fontId="64" fillId="3" borderId="5" xfId="0" applyFont="1" applyFill="1" applyBorder="1" applyAlignment="1">
      <alignment horizontal="center" vertical="center" wrapText="1"/>
    </xf>
    <xf numFmtId="1" fontId="69" fillId="11" borderId="76" xfId="0" applyNumberFormat="1" applyFont="1" applyFill="1" applyBorder="1" applyAlignment="1">
      <alignment horizontal="left" vertical="center"/>
    </xf>
    <xf numFmtId="1" fontId="69" fillId="11" borderId="81" xfId="0" applyNumberFormat="1" applyFont="1" applyFill="1" applyBorder="1" applyAlignment="1">
      <alignment horizontal="left" vertical="center"/>
    </xf>
    <xf numFmtId="1" fontId="69" fillId="11" borderId="89" xfId="0" applyNumberFormat="1" applyFont="1" applyFill="1" applyBorder="1" applyAlignment="1">
      <alignment horizontal="left" vertical="center"/>
    </xf>
    <xf numFmtId="1" fontId="69" fillId="10" borderId="97" xfId="0" applyNumberFormat="1" applyFont="1" applyFill="1" applyBorder="1" applyAlignment="1">
      <alignment horizontal="left" vertical="center"/>
    </xf>
    <xf numFmtId="1" fontId="69" fillId="10" borderId="92" xfId="0" applyNumberFormat="1" applyFont="1" applyFill="1" applyBorder="1" applyAlignment="1">
      <alignment horizontal="left" vertical="center"/>
    </xf>
    <xf numFmtId="0" fontId="69" fillId="11" borderId="85" xfId="0" applyFont="1" applyFill="1" applyBorder="1" applyAlignment="1">
      <alignment horizontal="left" vertical="center"/>
    </xf>
    <xf numFmtId="0" fontId="69" fillId="11" borderId="86" xfId="0" applyFont="1" applyFill="1" applyBorder="1" applyAlignment="1">
      <alignment horizontal="left" vertical="center"/>
    </xf>
    <xf numFmtId="1" fontId="69" fillId="11" borderId="72" xfId="0" applyNumberFormat="1" applyFont="1" applyFill="1" applyBorder="1" applyAlignment="1">
      <alignment horizontal="left" vertical="center"/>
    </xf>
    <xf numFmtId="0" fontId="69" fillId="11" borderId="66" xfId="0" applyFont="1" applyFill="1" applyBorder="1" applyAlignment="1">
      <alignment horizontal="left" vertical="center"/>
    </xf>
    <xf numFmtId="1" fontId="69" fillId="10" borderId="77" xfId="0" applyNumberFormat="1" applyFont="1" applyFill="1" applyBorder="1" applyAlignment="1">
      <alignment horizontal="left" vertical="center"/>
    </xf>
    <xf numFmtId="0" fontId="69" fillId="10" borderId="68" xfId="0" applyFont="1" applyFill="1" applyBorder="1" applyAlignment="1">
      <alignment horizontal="left" vertical="center"/>
    </xf>
    <xf numFmtId="0" fontId="69" fillId="10" borderId="11" xfId="0" applyFont="1" applyFill="1" applyBorder="1" applyAlignment="1">
      <alignment horizontal="left" vertical="center"/>
    </xf>
    <xf numFmtId="0" fontId="69" fillId="10" borderId="12" xfId="0" applyFont="1" applyFill="1" applyBorder="1" applyAlignment="1">
      <alignment horizontal="left" vertical="center"/>
    </xf>
    <xf numFmtId="1" fontId="69" fillId="11" borderId="56" xfId="0" applyNumberFormat="1" applyFont="1" applyFill="1" applyBorder="1" applyAlignment="1">
      <alignment horizontal="left" vertical="center"/>
    </xf>
    <xf numFmtId="0" fontId="69" fillId="11" borderId="67" xfId="0" applyFont="1" applyFill="1" applyBorder="1" applyAlignment="1">
      <alignment horizontal="left" vertical="center"/>
    </xf>
    <xf numFmtId="0" fontId="69" fillId="11" borderId="107" xfId="0" applyFont="1" applyFill="1" applyBorder="1" applyAlignment="1">
      <alignment horizontal="left" vertical="center"/>
    </xf>
    <xf numFmtId="0" fontId="69" fillId="11" borderId="108" xfId="0" applyFont="1" applyFill="1" applyBorder="1" applyAlignment="1">
      <alignment horizontal="left" vertical="center"/>
    </xf>
    <xf numFmtId="0" fontId="69" fillId="11" borderId="109" xfId="0" applyFont="1" applyFill="1" applyBorder="1" applyAlignment="1">
      <alignment horizontal="left" vertical="center"/>
    </xf>
    <xf numFmtId="0" fontId="69" fillId="11" borderId="76" xfId="0" applyFont="1" applyFill="1" applyBorder="1" applyAlignment="1">
      <alignment horizontal="left" vertical="center"/>
    </xf>
    <xf numFmtId="0" fontId="69" fillId="11" borderId="81" xfId="0" applyFont="1" applyFill="1" applyBorder="1" applyAlignment="1">
      <alignment horizontal="left" vertical="center"/>
    </xf>
    <xf numFmtId="0" fontId="69" fillId="11" borderId="105" xfId="0" applyFont="1" applyFill="1" applyBorder="1" applyAlignment="1">
      <alignment horizontal="left" vertical="center"/>
    </xf>
    <xf numFmtId="0" fontId="69" fillId="11" borderId="89" xfId="0" applyFont="1" applyFill="1" applyBorder="1" applyAlignment="1">
      <alignment horizontal="left" vertical="center"/>
    </xf>
    <xf numFmtId="0" fontId="69" fillId="11" borderId="82" xfId="0" applyFont="1" applyFill="1" applyBorder="1" applyAlignment="1">
      <alignment horizontal="left" vertical="center"/>
    </xf>
    <xf numFmtId="0" fontId="69" fillId="11" borderId="71" xfId="0" applyFont="1" applyFill="1" applyBorder="1" applyAlignment="1">
      <alignment horizontal="left" vertical="center"/>
    </xf>
    <xf numFmtId="0" fontId="69" fillId="11" borderId="79" xfId="0" applyFont="1" applyFill="1" applyBorder="1" applyAlignment="1">
      <alignment horizontal="left" vertical="center"/>
    </xf>
    <xf numFmtId="0" fontId="69" fillId="11" borderId="72" xfId="0" applyFont="1" applyFill="1" applyBorder="1" applyAlignment="1">
      <alignment horizontal="left" vertical="center"/>
    </xf>
    <xf numFmtId="0" fontId="69" fillId="11" borderId="70" xfId="0" applyFont="1" applyFill="1" applyBorder="1" applyAlignment="1">
      <alignment horizontal="left" vertical="center"/>
    </xf>
    <xf numFmtId="0" fontId="69" fillId="10" borderId="73" xfId="0" applyFont="1" applyFill="1" applyBorder="1" applyAlignment="1">
      <alignment horizontal="center" vertical="center"/>
    </xf>
    <xf numFmtId="0" fontId="69" fillId="10" borderId="74" xfId="0" applyFont="1" applyFill="1" applyBorder="1" applyAlignment="1">
      <alignment horizontal="center" vertical="center"/>
    </xf>
    <xf numFmtId="0" fontId="69" fillId="10" borderId="75" xfId="0" applyFont="1" applyFill="1" applyBorder="1" applyAlignment="1">
      <alignment horizontal="center" vertical="center"/>
    </xf>
    <xf numFmtId="0" fontId="69" fillId="11" borderId="97" xfId="0" applyFont="1" applyFill="1" applyBorder="1" applyAlignment="1">
      <alignment horizontal="left" vertical="center"/>
    </xf>
    <xf numFmtId="0" fontId="69" fillId="11" borderId="92" xfId="0" applyFont="1" applyFill="1" applyBorder="1" applyAlignment="1">
      <alignment horizontal="left" vertical="center"/>
    </xf>
    <xf numFmtId="1" fontId="69" fillId="11" borderId="97" xfId="0" applyNumberFormat="1" applyFont="1" applyFill="1" applyBorder="1" applyAlignment="1">
      <alignment horizontal="left" vertical="center"/>
    </xf>
    <xf numFmtId="0" fontId="69" fillId="11" borderId="17" xfId="0" applyFont="1" applyFill="1" applyBorder="1" applyAlignment="1">
      <alignment horizontal="left" vertical="center"/>
    </xf>
    <xf numFmtId="0" fontId="69" fillId="11" borderId="0" xfId="0" applyFont="1" applyFill="1" applyAlignment="1">
      <alignment horizontal="left" vertical="center"/>
    </xf>
    <xf numFmtId="0" fontId="69" fillId="11" borderId="56" xfId="0" applyFont="1" applyFill="1" applyBorder="1" applyAlignment="1">
      <alignment horizontal="left" vertical="center"/>
    </xf>
    <xf numFmtId="0" fontId="69" fillId="11" borderId="57" xfId="0" applyFont="1" applyFill="1" applyBorder="1" applyAlignment="1">
      <alignment horizontal="left" vertical="center"/>
    </xf>
    <xf numFmtId="1" fontId="69" fillId="11" borderId="82" xfId="0" applyNumberFormat="1" applyFont="1" applyFill="1" applyBorder="1" applyAlignment="1">
      <alignment horizontal="left" vertical="center"/>
    </xf>
    <xf numFmtId="1" fontId="69" fillId="11" borderId="71" xfId="0" applyNumberFormat="1" applyFont="1" applyFill="1" applyBorder="1" applyAlignment="1">
      <alignment horizontal="left" vertical="center"/>
    </xf>
    <xf numFmtId="1" fontId="69" fillId="10" borderId="85" xfId="0" applyNumberFormat="1" applyFont="1" applyFill="1" applyBorder="1" applyAlignment="1">
      <alignment horizontal="left" vertical="center"/>
    </xf>
    <xf numFmtId="0" fontId="69" fillId="10" borderId="86" xfId="0" applyFont="1" applyFill="1" applyBorder="1" applyAlignment="1">
      <alignment horizontal="left" vertical="center"/>
    </xf>
    <xf numFmtId="0" fontId="69" fillId="11" borderId="101" xfId="0" applyFont="1" applyFill="1" applyBorder="1" applyAlignment="1">
      <alignment horizontal="left" vertical="center"/>
    </xf>
    <xf numFmtId="44" fontId="19" fillId="0" borderId="127" xfId="0" applyNumberFormat="1" applyFont="1" applyBorder="1" applyAlignment="1">
      <alignment horizontal="center" vertical="center"/>
    </xf>
    <xf numFmtId="0" fontId="19" fillId="0" borderId="126" xfId="0" applyFont="1" applyBorder="1" applyAlignment="1">
      <alignment horizontal="center" vertical="center"/>
    </xf>
    <xf numFmtId="0" fontId="49" fillId="11" borderId="17" xfId="0" applyFont="1" applyFill="1" applyBorder="1" applyAlignment="1">
      <alignment horizontal="left"/>
    </xf>
    <xf numFmtId="0" fontId="49" fillId="11" borderId="0" xfId="0" applyFont="1" applyFill="1" applyAlignment="1">
      <alignment horizontal="left"/>
    </xf>
    <xf numFmtId="1" fontId="49" fillId="11" borderId="88" xfId="0" applyNumberFormat="1" applyFont="1" applyFill="1" applyBorder="1" applyAlignment="1">
      <alignment horizontal="left"/>
    </xf>
    <xf numFmtId="0" fontId="49" fillId="11" borderId="8" xfId="0" applyFont="1" applyFill="1" applyBorder="1" applyAlignment="1">
      <alignment horizontal="left"/>
    </xf>
    <xf numFmtId="0" fontId="49" fillId="10" borderId="11" xfId="0" applyFont="1" applyFill="1" applyBorder="1" applyAlignment="1">
      <alignment horizontal="center"/>
    </xf>
    <xf numFmtId="0" fontId="49" fillId="10" borderId="12" xfId="0" applyFont="1" applyFill="1" applyBorder="1" applyAlignment="1">
      <alignment horizontal="center"/>
    </xf>
    <xf numFmtId="0" fontId="49" fillId="10" borderId="123" xfId="0" applyFont="1" applyFill="1" applyBorder="1" applyAlignment="1">
      <alignment horizontal="center"/>
    </xf>
    <xf numFmtId="0" fontId="49" fillId="10" borderId="58" xfId="0" applyFont="1" applyFill="1" applyBorder="1" applyAlignment="1">
      <alignment horizontal="center"/>
    </xf>
    <xf numFmtId="0" fontId="49" fillId="10" borderId="59" xfId="0" applyFont="1" applyFill="1" applyBorder="1" applyAlignment="1">
      <alignment horizontal="center"/>
    </xf>
    <xf numFmtId="0" fontId="49" fillId="10" borderId="61" xfId="0" applyFont="1" applyFill="1" applyBorder="1" applyAlignment="1">
      <alignment horizontal="center"/>
    </xf>
    <xf numFmtId="0" fontId="49" fillId="11" borderId="11" xfId="0" applyFont="1" applyFill="1" applyBorder="1" applyAlignment="1">
      <alignment horizontal="left"/>
    </xf>
    <xf numFmtId="0" fontId="49" fillId="11" borderId="12" xfId="0" applyFont="1" applyFill="1" applyBorder="1" applyAlignment="1">
      <alignment horizontal="left"/>
    </xf>
    <xf numFmtId="0" fontId="49" fillId="11" borderId="69" xfId="0" applyFont="1" applyFill="1" applyBorder="1" applyAlignment="1">
      <alignment horizontal="left"/>
    </xf>
    <xf numFmtId="0" fontId="49" fillId="11" borderId="73" xfId="0" applyFont="1" applyFill="1" applyBorder="1" applyAlignment="1">
      <alignment horizontal="left"/>
    </xf>
    <xf numFmtId="0" fontId="49" fillId="11" borderId="74" xfId="0" applyFont="1" applyFill="1" applyBorder="1" applyAlignment="1">
      <alignment horizontal="left"/>
    </xf>
    <xf numFmtId="0" fontId="49" fillId="11" borderId="75" xfId="0" applyFont="1" applyFill="1" applyBorder="1" applyAlignment="1">
      <alignment horizontal="left"/>
    </xf>
    <xf numFmtId="0" fontId="49" fillId="10" borderId="94" xfId="0" applyFont="1" applyFill="1" applyBorder="1" applyAlignment="1">
      <alignment horizontal="center"/>
    </xf>
    <xf numFmtId="0" fontId="49" fillId="10" borderId="73" xfId="0" applyFont="1" applyFill="1" applyBorder="1" applyAlignment="1">
      <alignment horizontal="center"/>
    </xf>
    <xf numFmtId="0" fontId="49" fillId="10" borderId="74" xfId="0" applyFont="1" applyFill="1" applyBorder="1" applyAlignment="1">
      <alignment horizontal="center"/>
    </xf>
    <xf numFmtId="0" fontId="49" fillId="10" borderId="75" xfId="0" applyFont="1" applyFill="1" applyBorder="1" applyAlignment="1">
      <alignment horizontal="center"/>
    </xf>
    <xf numFmtId="0" fontId="49" fillId="11" borderId="72" xfId="0" applyFont="1" applyFill="1" applyBorder="1" applyAlignment="1">
      <alignment horizontal="left"/>
    </xf>
    <xf numFmtId="0" fontId="49" fillId="11" borderId="66" xfId="0" applyFont="1" applyFill="1" applyBorder="1" applyAlignment="1">
      <alignment horizontal="left"/>
    </xf>
    <xf numFmtId="0" fontId="49" fillId="11" borderId="70" xfId="0" applyFont="1" applyFill="1" applyBorder="1" applyAlignment="1">
      <alignment horizontal="left"/>
    </xf>
    <xf numFmtId="1" fontId="49" fillId="11" borderId="56" xfId="0" applyNumberFormat="1" applyFont="1" applyFill="1" applyBorder="1" applyAlignment="1">
      <alignment horizontal="left"/>
    </xf>
    <xf numFmtId="0" fontId="49" fillId="11" borderId="67" xfId="0" applyFont="1" applyFill="1" applyBorder="1" applyAlignment="1">
      <alignment horizontal="left"/>
    </xf>
    <xf numFmtId="0" fontId="49" fillId="11" borderId="56" xfId="0" applyFont="1" applyFill="1" applyBorder="1" applyAlignment="1">
      <alignment horizontal="left"/>
    </xf>
    <xf numFmtId="1" fontId="49" fillId="11" borderId="67" xfId="0" applyNumberFormat="1" applyFont="1" applyFill="1" applyBorder="1" applyAlignment="1">
      <alignment horizontal="left"/>
    </xf>
    <xf numFmtId="0" fontId="49" fillId="11" borderId="85" xfId="0" applyFont="1" applyFill="1" applyBorder="1" applyAlignment="1">
      <alignment horizontal="left"/>
    </xf>
    <xf numFmtId="0" fontId="49" fillId="11" borderId="86" xfId="0" applyFont="1" applyFill="1" applyBorder="1" applyAlignment="1">
      <alignment horizontal="left"/>
    </xf>
    <xf numFmtId="1" fontId="49" fillId="11" borderId="82" xfId="0" applyNumberFormat="1" applyFont="1" applyFill="1" applyBorder="1" applyAlignment="1">
      <alignment horizontal="left"/>
    </xf>
    <xf numFmtId="0" fontId="49" fillId="11" borderId="71" xfId="0" applyFont="1" applyFill="1" applyBorder="1" applyAlignment="1">
      <alignment horizontal="left"/>
    </xf>
    <xf numFmtId="0" fontId="49" fillId="11" borderId="101" xfId="0" applyFont="1" applyFill="1" applyBorder="1" applyAlignment="1">
      <alignment horizontal="left"/>
    </xf>
    <xf numFmtId="0" fontId="49" fillId="11" borderId="14" xfId="0" applyFont="1" applyFill="1" applyBorder="1" applyAlignment="1">
      <alignment horizontal="left"/>
    </xf>
    <xf numFmtId="0" fontId="49" fillId="11" borderId="15" xfId="0" applyFont="1" applyFill="1" applyBorder="1" applyAlignment="1">
      <alignment horizontal="left"/>
    </xf>
    <xf numFmtId="1" fontId="49" fillId="11" borderId="72" xfId="0" applyNumberFormat="1" applyFont="1" applyFill="1" applyBorder="1" applyAlignment="1">
      <alignment horizontal="left"/>
    </xf>
    <xf numFmtId="0" fontId="49" fillId="10" borderId="90" xfId="0" applyFont="1" applyFill="1" applyBorder="1" applyAlignment="1">
      <alignment horizontal="center"/>
    </xf>
    <xf numFmtId="1" fontId="49" fillId="11" borderId="85" xfId="0" applyNumberFormat="1" applyFont="1" applyFill="1" applyBorder="1" applyAlignment="1">
      <alignment horizontal="left"/>
    </xf>
    <xf numFmtId="1" fontId="49" fillId="11" borderId="77" xfId="0" applyNumberFormat="1" applyFont="1" applyFill="1" applyBorder="1" applyAlignment="1">
      <alignment horizontal="left"/>
    </xf>
    <xf numFmtId="0" fontId="49" fillId="11" borderId="68" xfId="0" applyFont="1" applyFill="1" applyBorder="1" applyAlignment="1">
      <alignment horizontal="left"/>
    </xf>
    <xf numFmtId="0" fontId="49" fillId="11" borderId="82" xfId="0" applyFont="1" applyFill="1" applyBorder="1" applyAlignment="1">
      <alignment horizontal="left"/>
    </xf>
    <xf numFmtId="0" fontId="49" fillId="11" borderId="76" xfId="0" applyFont="1" applyFill="1" applyBorder="1" applyAlignment="1">
      <alignment horizontal="left"/>
    </xf>
    <xf numFmtId="0" fontId="49" fillId="11" borderId="81" xfId="0" applyFont="1" applyFill="1" applyBorder="1" applyAlignment="1">
      <alignment horizontal="left"/>
    </xf>
    <xf numFmtId="1" fontId="49" fillId="11" borderId="97" xfId="0" applyNumberFormat="1" applyFont="1" applyFill="1" applyBorder="1" applyAlignment="1">
      <alignment horizontal="left"/>
    </xf>
    <xf numFmtId="0" fontId="49" fillId="11" borderId="92" xfId="0" applyFont="1" applyFill="1" applyBorder="1" applyAlignment="1">
      <alignment horizontal="left"/>
    </xf>
    <xf numFmtId="0" fontId="49" fillId="11" borderId="77" xfId="0" applyFont="1" applyFill="1" applyBorder="1" applyAlignment="1">
      <alignment horizontal="left"/>
    </xf>
    <xf numFmtId="0" fontId="49" fillId="11" borderId="78" xfId="0" applyFont="1" applyFill="1" applyBorder="1" applyAlignment="1">
      <alignment horizontal="left"/>
    </xf>
    <xf numFmtId="0" fontId="49" fillId="10" borderId="84" xfId="0" applyFont="1" applyFill="1" applyBorder="1" applyAlignment="1">
      <alignment horizontal="center"/>
    </xf>
    <xf numFmtId="0" fontId="49" fillId="11" borderId="91" xfId="0" applyFont="1" applyFill="1" applyBorder="1" applyAlignment="1">
      <alignment horizontal="left"/>
    </xf>
    <xf numFmtId="1" fontId="49" fillId="11" borderId="86" xfId="0" applyNumberFormat="1" applyFont="1" applyFill="1" applyBorder="1" applyAlignment="1">
      <alignment horizontal="left"/>
    </xf>
    <xf numFmtId="0" fontId="49" fillId="10" borderId="87" xfId="0" applyFont="1" applyFill="1" applyBorder="1" applyAlignment="1">
      <alignment horizontal="center"/>
    </xf>
    <xf numFmtId="166" fontId="44" fillId="4" borderId="17" xfId="4" applyNumberFormat="1" applyFont="1" applyFill="1" applyBorder="1" applyAlignment="1">
      <alignment horizontal="center" vertical="center" wrapText="1"/>
    </xf>
    <xf numFmtId="166" fontId="44" fillId="4" borderId="0" xfId="4" applyNumberFormat="1" applyFont="1" applyFill="1" applyBorder="1" applyAlignment="1">
      <alignment horizontal="center" vertical="center" wrapText="1"/>
    </xf>
    <xf numFmtId="0" fontId="5" fillId="0" borderId="0" xfId="2" applyFont="1" applyAlignment="1">
      <alignment horizontal="left" vertical="center" wrapText="1"/>
    </xf>
    <xf numFmtId="0" fontId="5" fillId="0" borderId="0" xfId="2" applyFont="1" applyAlignment="1">
      <alignment horizontal="left" vertical="top"/>
    </xf>
    <xf numFmtId="0" fontId="44" fillId="2" borderId="3" xfId="3" applyFont="1" applyFill="1" applyBorder="1" applyAlignment="1">
      <alignment horizontal="center" vertical="center"/>
    </xf>
    <xf numFmtId="0" fontId="44" fillId="2" borderId="4" xfId="3" applyFont="1" applyFill="1" applyBorder="1" applyAlignment="1">
      <alignment horizontal="center" vertical="center"/>
    </xf>
    <xf numFmtId="0" fontId="44" fillId="2" borderId="5" xfId="3" applyFont="1" applyFill="1" applyBorder="1" applyAlignment="1">
      <alignment horizontal="center" vertical="center"/>
    </xf>
    <xf numFmtId="0" fontId="44" fillId="3" borderId="6" xfId="0" applyFont="1" applyFill="1" applyBorder="1" applyAlignment="1">
      <alignment horizontal="center" vertical="center" wrapText="1"/>
    </xf>
    <xf numFmtId="0" fontId="44" fillId="3" borderId="37" xfId="0" applyFont="1" applyFill="1" applyBorder="1" applyAlignment="1">
      <alignment horizontal="center" vertical="center" wrapText="1"/>
    </xf>
    <xf numFmtId="0" fontId="44" fillId="3" borderId="5" xfId="0" applyFont="1" applyFill="1" applyBorder="1" applyAlignment="1">
      <alignment horizontal="center" vertical="center" wrapText="1"/>
    </xf>
    <xf numFmtId="166" fontId="44" fillId="4" borderId="6" xfId="4" applyNumberFormat="1" applyFont="1" applyFill="1" applyBorder="1" applyAlignment="1">
      <alignment horizontal="center" vertical="center" wrapText="1"/>
    </xf>
    <xf numFmtId="166" fontId="44" fillId="4" borderId="37" xfId="4" applyNumberFormat="1" applyFont="1" applyFill="1" applyBorder="1" applyAlignment="1">
      <alignment horizontal="center" vertical="center" wrapText="1"/>
    </xf>
    <xf numFmtId="166" fontId="44" fillId="4" borderId="5" xfId="4" applyNumberFormat="1" applyFont="1" applyFill="1" applyBorder="1" applyAlignment="1">
      <alignment horizontal="center" vertical="center" wrapText="1"/>
    </xf>
    <xf numFmtId="0" fontId="49" fillId="10" borderId="14" xfId="0" applyFont="1" applyFill="1" applyBorder="1" applyAlignment="1">
      <alignment horizontal="left"/>
    </xf>
    <xf numFmtId="0" fontId="49" fillId="10" borderId="15" xfId="0" applyFont="1" applyFill="1" applyBorder="1" applyAlignment="1">
      <alignment horizontal="left"/>
    </xf>
    <xf numFmtId="1" fontId="49" fillId="10" borderId="97" xfId="0" applyNumberFormat="1" applyFont="1" applyFill="1" applyBorder="1" applyAlignment="1">
      <alignment horizontal="left"/>
    </xf>
    <xf numFmtId="1" fontId="49" fillId="10" borderId="92" xfId="0" applyNumberFormat="1" applyFont="1" applyFill="1" applyBorder="1" applyAlignment="1">
      <alignment horizontal="left"/>
    </xf>
    <xf numFmtId="0" fontId="69" fillId="11" borderId="14" xfId="0" applyFont="1" applyFill="1" applyBorder="1" applyAlignment="1">
      <alignment horizontal="left"/>
    </xf>
    <xf numFmtId="0" fontId="69" fillId="11" borderId="15" xfId="0" applyFont="1" applyFill="1" applyBorder="1" applyAlignment="1">
      <alignment horizontal="left"/>
    </xf>
    <xf numFmtId="0" fontId="69" fillId="11" borderId="66" xfId="0" applyFont="1" applyFill="1" applyBorder="1" applyAlignment="1">
      <alignment horizontal="left"/>
    </xf>
    <xf numFmtId="0" fontId="69" fillId="10" borderId="11" xfId="0" applyFont="1" applyFill="1" applyBorder="1" applyAlignment="1">
      <alignment horizontal="left"/>
    </xf>
    <xf numFmtId="0" fontId="69" fillId="10" borderId="12" xfId="0" applyFont="1" applyFill="1" applyBorder="1" applyAlignment="1">
      <alignment horizontal="left"/>
    </xf>
    <xf numFmtId="0" fontId="69" fillId="10" borderId="66" xfId="0" applyFont="1" applyFill="1" applyBorder="1" applyAlignment="1">
      <alignment horizontal="left"/>
    </xf>
    <xf numFmtId="0" fontId="69" fillId="10" borderId="56" xfId="0" applyFont="1" applyFill="1" applyBorder="1" applyAlignment="1">
      <alignment horizontal="left"/>
    </xf>
    <xf numFmtId="0" fontId="69" fillId="10" borderId="67" xfId="0" applyFont="1" applyFill="1" applyBorder="1" applyAlignment="1">
      <alignment horizontal="left"/>
    </xf>
    <xf numFmtId="0" fontId="69" fillId="10" borderId="11" xfId="0" applyFont="1" applyFill="1" applyBorder="1" applyAlignment="1">
      <alignment horizontal="center"/>
    </xf>
    <xf numFmtId="0" fontId="69" fillId="10" borderId="12" xfId="0" applyFont="1" applyFill="1" applyBorder="1" applyAlignment="1">
      <alignment horizontal="center"/>
    </xf>
    <xf numFmtId="0" fontId="69" fillId="10" borderId="127" xfId="0" applyFont="1" applyFill="1" applyBorder="1" applyAlignment="1">
      <alignment horizontal="center"/>
    </xf>
    <xf numFmtId="0" fontId="69" fillId="10" borderId="74" xfId="0" applyFont="1" applyFill="1" applyBorder="1" applyAlignment="1">
      <alignment horizontal="center"/>
    </xf>
    <xf numFmtId="0" fontId="69" fillId="10" borderId="75" xfId="0" applyFont="1" applyFill="1" applyBorder="1" applyAlignment="1">
      <alignment horizontal="center"/>
    </xf>
    <xf numFmtId="0" fontId="69" fillId="11" borderId="11" xfId="0" applyFont="1" applyFill="1" applyBorder="1" applyAlignment="1">
      <alignment horizontal="left"/>
    </xf>
    <xf numFmtId="0" fontId="69" fillId="11" borderId="12" xfId="0" applyFont="1" applyFill="1" applyBorder="1" applyAlignment="1">
      <alignment horizontal="left"/>
    </xf>
    <xf numFmtId="0" fontId="69" fillId="11" borderId="69" xfId="0" applyFont="1" applyFill="1" applyBorder="1" applyAlignment="1">
      <alignment horizontal="left"/>
    </xf>
    <xf numFmtId="0" fontId="69" fillId="11" borderId="70" xfId="0" applyFont="1" applyFill="1" applyBorder="1" applyAlignment="1">
      <alignment horizontal="left"/>
    </xf>
    <xf numFmtId="0" fontId="69" fillId="10" borderId="73" xfId="0" applyFont="1" applyFill="1" applyBorder="1" applyAlignment="1">
      <alignment horizontal="center"/>
    </xf>
    <xf numFmtId="0" fontId="69" fillId="11" borderId="72" xfId="0" applyFont="1" applyFill="1" applyBorder="1" applyAlignment="1">
      <alignment horizontal="left"/>
    </xf>
    <xf numFmtId="0" fontId="69" fillId="11" borderId="54" xfId="0" applyFont="1" applyFill="1" applyBorder="1" applyAlignment="1">
      <alignment horizontal="left"/>
    </xf>
    <xf numFmtId="0" fontId="69" fillId="11" borderId="120" xfId="0" applyFont="1" applyFill="1" applyBorder="1" applyAlignment="1">
      <alignment horizontal="left"/>
    </xf>
    <xf numFmtId="0" fontId="69" fillId="11" borderId="58" xfId="0" applyFont="1" applyFill="1" applyBorder="1" applyAlignment="1">
      <alignment horizontal="left"/>
    </xf>
    <xf numFmtId="0" fontId="69" fillId="11" borderId="59" xfId="0" applyFont="1" applyFill="1" applyBorder="1" applyAlignment="1">
      <alignment horizontal="left"/>
    </xf>
    <xf numFmtId="0" fontId="69" fillId="11" borderId="97" xfId="0" applyFont="1" applyFill="1" applyBorder="1" applyAlignment="1">
      <alignment horizontal="left"/>
    </xf>
    <xf numFmtId="0" fontId="69" fillId="11" borderId="92" xfId="0" applyFont="1" applyFill="1" applyBorder="1" applyAlignment="1">
      <alignment horizontal="left"/>
    </xf>
    <xf numFmtId="1" fontId="69" fillId="11" borderId="56" xfId="0" applyNumberFormat="1" applyFont="1" applyFill="1" applyBorder="1" applyAlignment="1">
      <alignment horizontal="left"/>
    </xf>
    <xf numFmtId="1" fontId="69" fillId="11" borderId="67" xfId="0" applyNumberFormat="1" applyFont="1" applyFill="1" applyBorder="1" applyAlignment="1">
      <alignment horizontal="left"/>
    </xf>
    <xf numFmtId="0" fontId="69" fillId="11" borderId="85" xfId="0" applyFont="1" applyFill="1" applyBorder="1" applyAlignment="1">
      <alignment horizontal="left"/>
    </xf>
    <xf numFmtId="0" fontId="69" fillId="11" borderId="86" xfId="0" applyFont="1" applyFill="1" applyBorder="1" applyAlignment="1">
      <alignment horizontal="left"/>
    </xf>
    <xf numFmtId="0" fontId="69" fillId="11" borderId="77" xfId="0" applyFont="1" applyFill="1" applyBorder="1" applyAlignment="1">
      <alignment horizontal="left"/>
    </xf>
    <xf numFmtId="0" fontId="69" fillId="11" borderId="68" xfId="0" applyFont="1" applyFill="1" applyBorder="1" applyAlignment="1">
      <alignment horizontal="left"/>
    </xf>
    <xf numFmtId="0" fontId="69" fillId="10" borderId="17" xfId="0" applyFont="1" applyFill="1" applyBorder="1" applyAlignment="1">
      <alignment horizontal="left"/>
    </xf>
    <xf numFmtId="0" fontId="69" fillId="10" borderId="0" xfId="0" applyFont="1" applyFill="1" applyAlignment="1">
      <alignment horizontal="left"/>
    </xf>
    <xf numFmtId="0" fontId="69" fillId="11" borderId="76" xfId="0" applyFont="1" applyFill="1" applyBorder="1" applyAlignment="1">
      <alignment horizontal="left"/>
    </xf>
    <xf numFmtId="0" fontId="69" fillId="11" borderId="81" xfId="0" applyFont="1" applyFill="1" applyBorder="1" applyAlignment="1">
      <alignment horizontal="left"/>
    </xf>
    <xf numFmtId="0" fontId="69" fillId="11" borderId="75" xfId="0" applyFont="1" applyFill="1" applyBorder="1" applyAlignment="1">
      <alignment horizontal="left"/>
    </xf>
    <xf numFmtId="0" fontId="69" fillId="11" borderId="78" xfId="0" applyFont="1" applyFill="1" applyBorder="1" applyAlignment="1">
      <alignment horizontal="left"/>
    </xf>
    <xf numFmtId="0" fontId="69" fillId="10" borderId="61" xfId="0" applyFont="1" applyFill="1" applyBorder="1" applyAlignment="1">
      <alignment horizontal="center"/>
    </xf>
    <xf numFmtId="0" fontId="69" fillId="11" borderId="91" xfId="0" applyFont="1" applyFill="1" applyBorder="1" applyAlignment="1">
      <alignment horizontal="left"/>
    </xf>
    <xf numFmtId="1" fontId="69" fillId="11" borderId="85" xfId="0" applyNumberFormat="1" applyFont="1" applyFill="1" applyBorder="1" applyAlignment="1">
      <alignment horizontal="left"/>
    </xf>
    <xf numFmtId="1" fontId="69" fillId="11" borderId="86" xfId="0" applyNumberFormat="1" applyFont="1" applyFill="1" applyBorder="1" applyAlignment="1">
      <alignment horizontal="left"/>
    </xf>
    <xf numFmtId="0" fontId="69" fillId="10" borderId="14" xfId="0" applyFont="1" applyFill="1" applyBorder="1" applyAlignment="1">
      <alignment horizontal="left"/>
    </xf>
    <xf numFmtId="0" fontId="69" fillId="10" borderId="15" xfId="0" applyFont="1" applyFill="1" applyBorder="1" applyAlignment="1">
      <alignment horizontal="left"/>
    </xf>
    <xf numFmtId="1" fontId="69" fillId="10" borderId="97" xfId="0" applyNumberFormat="1" applyFont="1" applyFill="1" applyBorder="1" applyAlignment="1">
      <alignment horizontal="left"/>
    </xf>
    <xf numFmtId="1" fontId="69" fillId="10" borderId="92" xfId="0" applyNumberFormat="1" applyFont="1" applyFill="1" applyBorder="1" applyAlignment="1">
      <alignment horizontal="left"/>
    </xf>
    <xf numFmtId="0" fontId="64" fillId="3" borderId="125" xfId="0" applyFont="1" applyFill="1" applyBorder="1" applyAlignment="1">
      <alignment horizontal="center" vertical="center" wrapText="1"/>
    </xf>
    <xf numFmtId="166" fontId="64" fillId="4" borderId="125" xfId="4" applyNumberFormat="1" applyFont="1" applyFill="1" applyBorder="1" applyAlignment="1">
      <alignment horizontal="center" vertical="center" wrapText="1"/>
    </xf>
    <xf numFmtId="166" fontId="64" fillId="4" borderId="0" xfId="4" applyNumberFormat="1" applyFont="1" applyFill="1" applyBorder="1" applyAlignment="1">
      <alignment horizontal="center" vertical="center" wrapText="1"/>
    </xf>
    <xf numFmtId="1" fontId="69" fillId="11" borderId="76" xfId="0" applyNumberFormat="1" applyFont="1" applyFill="1" applyBorder="1" applyAlignment="1">
      <alignment horizontal="left"/>
    </xf>
    <xf numFmtId="1" fontId="69" fillId="11" borderId="81" xfId="0" applyNumberFormat="1" applyFont="1" applyFill="1" applyBorder="1" applyAlignment="1">
      <alignment horizontal="left"/>
    </xf>
    <xf numFmtId="1" fontId="69" fillId="11" borderId="89" xfId="0" applyNumberFormat="1" applyFont="1" applyFill="1" applyBorder="1" applyAlignment="1">
      <alignment horizontal="left"/>
    </xf>
    <xf numFmtId="0" fontId="61" fillId="0" borderId="0" xfId="2" applyFont="1" applyAlignment="1">
      <alignment horizontal="left" vertical="top"/>
    </xf>
    <xf numFmtId="0" fontId="64" fillId="2" borderId="125" xfId="3" applyFont="1" applyFill="1" applyBorder="1" applyAlignment="1">
      <alignment horizontal="center" vertical="center"/>
    </xf>
    <xf numFmtId="0" fontId="69" fillId="11" borderId="61" xfId="0" applyFont="1" applyFill="1" applyBorder="1" applyAlignment="1">
      <alignment horizontal="left"/>
    </xf>
    <xf numFmtId="0" fontId="69" fillId="10" borderId="77" xfId="0" applyFont="1" applyFill="1" applyBorder="1" applyAlignment="1">
      <alignment horizontal="left"/>
    </xf>
    <xf numFmtId="0" fontId="69" fillId="10" borderId="68" xfId="0" applyFont="1" applyFill="1" applyBorder="1" applyAlignment="1">
      <alignment horizontal="left"/>
    </xf>
    <xf numFmtId="0" fontId="69" fillId="11" borderId="116" xfId="0" applyFont="1" applyFill="1" applyBorder="1" applyAlignment="1">
      <alignment horizontal="left"/>
    </xf>
    <xf numFmtId="0" fontId="69" fillId="11" borderId="114" xfId="0" applyFont="1" applyFill="1" applyBorder="1" applyAlignment="1">
      <alignment horizontal="left"/>
    </xf>
    <xf numFmtId="4" fontId="69" fillId="11" borderId="85" xfId="0" applyNumberFormat="1" applyFont="1" applyFill="1" applyBorder="1" applyAlignment="1">
      <alignment horizontal="left"/>
    </xf>
    <xf numFmtId="1" fontId="69" fillId="10" borderId="77" xfId="0" applyNumberFormat="1" applyFont="1" applyFill="1" applyBorder="1" applyAlignment="1">
      <alignment horizontal="left"/>
    </xf>
    <xf numFmtId="1" fontId="69" fillId="10" borderId="56" xfId="0" applyNumberFormat="1" applyFont="1" applyFill="1" applyBorder="1" applyAlignment="1">
      <alignment horizontal="left"/>
    </xf>
    <xf numFmtId="0" fontId="69" fillId="10" borderId="82" xfId="0" applyFont="1" applyFill="1" applyBorder="1" applyAlignment="1">
      <alignment horizontal="center"/>
    </xf>
    <xf numFmtId="0" fontId="69" fillId="10" borderId="71" xfId="0" applyFont="1" applyFill="1" applyBorder="1" applyAlignment="1">
      <alignment horizontal="center"/>
    </xf>
    <xf numFmtId="0" fontId="69" fillId="10" borderId="79" xfId="0" applyFont="1" applyFill="1" applyBorder="1" applyAlignment="1">
      <alignment horizontal="center"/>
    </xf>
    <xf numFmtId="1" fontId="61" fillId="11" borderId="72" xfId="0" applyNumberFormat="1" applyFont="1" applyFill="1" applyBorder="1" applyAlignment="1">
      <alignment horizontal="left"/>
    </xf>
    <xf numFmtId="0" fontId="61" fillId="11" borderId="66" xfId="0" applyFont="1" applyFill="1" applyBorder="1" applyAlignment="1">
      <alignment horizontal="left"/>
    </xf>
    <xf numFmtId="0" fontId="69" fillId="10" borderId="112" xfId="0" applyFont="1" applyFill="1" applyBorder="1" applyAlignment="1">
      <alignment horizontal="center"/>
    </xf>
    <xf numFmtId="1" fontId="69" fillId="10" borderId="85" xfId="0" applyNumberFormat="1" applyFont="1" applyFill="1" applyBorder="1" applyAlignment="1">
      <alignment horizontal="left"/>
    </xf>
    <xf numFmtId="0" fontId="69" fillId="10" borderId="86" xfId="0" applyFont="1" applyFill="1" applyBorder="1" applyAlignment="1">
      <alignment horizontal="left"/>
    </xf>
    <xf numFmtId="0" fontId="69" fillId="10" borderId="110" xfId="0" applyFont="1" applyFill="1" applyBorder="1" applyAlignment="1">
      <alignment horizontal="center"/>
    </xf>
    <xf numFmtId="1" fontId="61" fillId="10" borderId="56" xfId="0" applyNumberFormat="1" applyFont="1" applyFill="1" applyBorder="1" applyAlignment="1">
      <alignment horizontal="left"/>
    </xf>
    <xf numFmtId="0" fontId="61" fillId="10" borderId="67" xfId="0" applyFont="1" applyFill="1" applyBorder="1" applyAlignment="1">
      <alignment horizontal="left"/>
    </xf>
    <xf numFmtId="0" fontId="61" fillId="11" borderId="14" xfId="0" applyFont="1" applyFill="1" applyBorder="1" applyAlignment="1">
      <alignment horizontal="left"/>
    </xf>
    <xf numFmtId="0" fontId="61" fillId="11" borderId="15" xfId="0" applyFont="1" applyFill="1" applyBorder="1" applyAlignment="1">
      <alignment horizontal="left"/>
    </xf>
    <xf numFmtId="166" fontId="69" fillId="11" borderId="85" xfId="0" applyNumberFormat="1" applyFont="1" applyFill="1" applyBorder="1" applyAlignment="1">
      <alignment horizontal="left"/>
    </xf>
    <xf numFmtId="166" fontId="69" fillId="11" borderId="86" xfId="0" applyNumberFormat="1" applyFont="1" applyFill="1" applyBorder="1" applyAlignment="1">
      <alignment horizontal="left"/>
    </xf>
    <xf numFmtId="0" fontId="69" fillId="11" borderId="56" xfId="0" applyFont="1" applyFill="1" applyBorder="1" applyAlignment="1">
      <alignment horizontal="left"/>
    </xf>
    <xf numFmtId="0" fontId="69" fillId="11" borderId="67" xfId="0" applyFont="1" applyFill="1" applyBorder="1" applyAlignment="1">
      <alignment horizontal="left"/>
    </xf>
    <xf numFmtId="0" fontId="69" fillId="11" borderId="57" xfId="0" applyFont="1" applyFill="1" applyBorder="1" applyAlignment="1">
      <alignment horizontal="left"/>
    </xf>
    <xf numFmtId="1" fontId="69" fillId="11" borderId="82" xfId="0" applyNumberFormat="1" applyFont="1" applyFill="1" applyBorder="1" applyAlignment="1">
      <alignment horizontal="left"/>
    </xf>
    <xf numFmtId="0" fontId="69" fillId="11" borderId="71" xfId="0" applyFont="1" applyFill="1" applyBorder="1" applyAlignment="1">
      <alignment horizontal="left"/>
    </xf>
    <xf numFmtId="0" fontId="69" fillId="10" borderId="17" xfId="0" applyFont="1" applyFill="1" applyBorder="1" applyAlignment="1">
      <alignment horizontal="center"/>
    </xf>
    <xf numFmtId="0" fontId="69" fillId="10" borderId="0" xfId="0" applyFont="1" applyFill="1" applyAlignment="1">
      <alignment horizontal="center"/>
    </xf>
    <xf numFmtId="0" fontId="69" fillId="10" borderId="18" xfId="0" applyFont="1" applyFill="1" applyBorder="1" applyAlignment="1">
      <alignment horizontal="center"/>
    </xf>
    <xf numFmtId="0" fontId="69" fillId="10" borderId="105" xfId="0" applyFont="1" applyFill="1" applyBorder="1" applyAlignment="1">
      <alignment horizontal="center"/>
    </xf>
    <xf numFmtId="1" fontId="69" fillId="11" borderId="72" xfId="0" applyNumberFormat="1" applyFont="1" applyFill="1" applyBorder="1" applyAlignment="1">
      <alignment horizontal="left"/>
    </xf>
    <xf numFmtId="0" fontId="69" fillId="10" borderId="94" xfId="0" applyFont="1" applyFill="1" applyBorder="1" applyAlignment="1">
      <alignment horizontal="center"/>
    </xf>
    <xf numFmtId="0" fontId="69" fillId="10" borderId="118" xfId="0" applyFont="1" applyFill="1" applyBorder="1" applyAlignment="1">
      <alignment horizontal="center"/>
    </xf>
    <xf numFmtId="1" fontId="69" fillId="11" borderId="97" xfId="0" applyNumberFormat="1" applyFont="1" applyFill="1" applyBorder="1" applyAlignment="1">
      <alignment horizontal="left"/>
    </xf>
    <xf numFmtId="9" fontId="30" fillId="36" borderId="67" xfId="1" applyFont="1" applyFill="1" applyBorder="1" applyAlignment="1">
      <alignment horizontal="center" vertical="center"/>
    </xf>
    <xf numFmtId="9" fontId="30" fillId="36" borderId="71" xfId="1" applyFont="1" applyFill="1" applyBorder="1" applyAlignment="1">
      <alignment horizontal="center" vertical="center"/>
    </xf>
    <xf numFmtId="0" fontId="30" fillId="36" borderId="67" xfId="0" applyFont="1" applyFill="1" applyBorder="1" applyAlignment="1">
      <alignment horizontal="left" vertical="center"/>
    </xf>
    <xf numFmtId="0" fontId="30" fillId="36" borderId="71" xfId="0" applyFont="1" applyFill="1" applyBorder="1" applyAlignment="1">
      <alignment horizontal="left" vertical="center"/>
    </xf>
    <xf numFmtId="44" fontId="30" fillId="36" borderId="67" xfId="0" applyNumberFormat="1" applyFont="1" applyFill="1" applyBorder="1" applyAlignment="1">
      <alignment horizontal="center" vertical="center"/>
    </xf>
    <xf numFmtId="44" fontId="30" fillId="36" borderId="71" xfId="0" applyNumberFormat="1" applyFont="1" applyFill="1" applyBorder="1" applyAlignment="1">
      <alignment horizontal="center" vertical="center"/>
    </xf>
    <xf numFmtId="0" fontId="30" fillId="0" borderId="66" xfId="0" applyFont="1" applyBorder="1" applyAlignment="1">
      <alignment horizontal="center" vertical="center"/>
    </xf>
    <xf numFmtId="0" fontId="69" fillId="10" borderId="127" xfId="0" applyFont="1" applyFill="1" applyBorder="1" applyAlignment="1">
      <alignment horizontal="center" vertical="center"/>
    </xf>
    <xf numFmtId="0" fontId="69" fillId="10" borderId="66" xfId="0" applyFont="1" applyFill="1" applyBorder="1" applyAlignment="1">
      <alignment horizontal="left" vertical="center"/>
    </xf>
    <xf numFmtId="1" fontId="69" fillId="10" borderId="66" xfId="0" applyNumberFormat="1" applyFont="1" applyFill="1" applyBorder="1" applyAlignment="1">
      <alignment horizontal="left" vertical="center"/>
    </xf>
    <xf numFmtId="1" fontId="69" fillId="11" borderId="66" xfId="0" applyNumberFormat="1" applyFont="1" applyFill="1" applyBorder="1" applyAlignment="1">
      <alignment horizontal="left" vertical="center"/>
    </xf>
    <xf numFmtId="0" fontId="69" fillId="10" borderId="66" xfId="0" applyFont="1" applyFill="1" applyBorder="1" applyAlignment="1">
      <alignment horizontal="center" vertical="center"/>
    </xf>
    <xf numFmtId="0" fontId="2" fillId="24" borderId="6" xfId="0" applyFont="1" applyFill="1" applyBorder="1" applyAlignment="1">
      <alignment horizontal="center"/>
    </xf>
    <xf numFmtId="0" fontId="2" fillId="24" borderId="5" xfId="0" applyFont="1" applyFill="1" applyBorder="1" applyAlignment="1">
      <alignment horizontal="center"/>
    </xf>
    <xf numFmtId="0" fontId="2" fillId="32" borderId="0" xfId="0" applyFont="1" applyFill="1" applyAlignment="1">
      <alignment horizontal="center"/>
    </xf>
    <xf numFmtId="0" fontId="0" fillId="0" borderId="110" xfId="0" applyBorder="1" applyAlignment="1">
      <alignment horizontal="center"/>
    </xf>
    <xf numFmtId="0" fontId="0" fillId="0" borderId="111" xfId="0" applyBorder="1" applyAlignment="1">
      <alignment horizontal="center"/>
    </xf>
    <xf numFmtId="0" fontId="2" fillId="24" borderId="11" xfId="0" applyFont="1" applyFill="1" applyBorder="1" applyAlignment="1">
      <alignment horizontal="center"/>
    </xf>
    <xf numFmtId="0" fontId="2" fillId="24" borderId="110" xfId="0" applyFont="1" applyFill="1" applyBorder="1" applyAlignment="1">
      <alignment horizontal="center"/>
    </xf>
    <xf numFmtId="0" fontId="2" fillId="24" borderId="37" xfId="0" applyFont="1" applyFill="1" applyBorder="1" applyAlignment="1">
      <alignment horizontal="center"/>
    </xf>
    <xf numFmtId="0" fontId="2" fillId="24" borderId="0" xfId="0" applyFont="1" applyFill="1" applyAlignment="1">
      <alignment horizontal="center"/>
    </xf>
    <xf numFmtId="0" fontId="0" fillId="24" borderId="15" xfId="0" applyFill="1" applyBorder="1" applyAlignment="1">
      <alignment horizontal="center"/>
    </xf>
    <xf numFmtId="0" fontId="0" fillId="24" borderId="11" xfId="0" applyFill="1" applyBorder="1" applyAlignment="1">
      <alignment horizontal="center"/>
    </xf>
    <xf numFmtId="0" fontId="0" fillId="24" borderId="12" xfId="0" applyFill="1" applyBorder="1" applyAlignment="1">
      <alignment horizontal="center"/>
    </xf>
    <xf numFmtId="0" fontId="0" fillId="24" borderId="110" xfId="0" applyFill="1" applyBorder="1" applyAlignment="1">
      <alignment horizontal="center"/>
    </xf>
    <xf numFmtId="0" fontId="0" fillId="0" borderId="11" xfId="0" applyBorder="1" applyAlignment="1">
      <alignment horizontal="center"/>
    </xf>
    <xf numFmtId="0" fontId="0" fillId="0" borderId="17" xfId="0" applyBorder="1" applyAlignment="1">
      <alignment horizontal="center"/>
    </xf>
    <xf numFmtId="0" fontId="0" fillId="0" borderId="0" xfId="0" applyAlignment="1">
      <alignment horizontal="center"/>
    </xf>
    <xf numFmtId="0" fontId="0" fillId="0" borderId="18" xfId="0" applyBorder="1" applyAlignment="1">
      <alignment horizontal="center"/>
    </xf>
    <xf numFmtId="0" fontId="0" fillId="17" borderId="17" xfId="0" applyFill="1" applyBorder="1" applyAlignment="1">
      <alignment horizontal="center"/>
    </xf>
    <xf numFmtId="0" fontId="0" fillId="17" borderId="18" xfId="0" applyFill="1" applyBorder="1" applyAlignment="1">
      <alignment horizontal="center"/>
    </xf>
    <xf numFmtId="0" fontId="13" fillId="8" borderId="42" xfId="0" applyFont="1" applyFill="1" applyBorder="1" applyAlignment="1">
      <alignment horizontal="left" vertical="center"/>
    </xf>
    <xf numFmtId="0" fontId="13" fillId="8" borderId="42" xfId="0" applyFont="1" applyFill="1" applyBorder="1" applyAlignment="1">
      <alignment vertical="center"/>
    </xf>
    <xf numFmtId="0" fontId="13" fillId="8" borderId="0" xfId="0" applyFont="1" applyFill="1" applyAlignment="1">
      <alignment vertical="center"/>
    </xf>
    <xf numFmtId="0" fontId="14" fillId="8" borderId="42" xfId="0" applyFont="1" applyFill="1" applyBorder="1" applyAlignment="1">
      <alignment horizontal="left" vertical="top"/>
    </xf>
    <xf numFmtId="0" fontId="16" fillId="8" borderId="42" xfId="0" applyFont="1" applyFill="1" applyBorder="1" applyAlignment="1">
      <alignment horizontal="center" vertical="center" wrapText="1"/>
    </xf>
    <xf numFmtId="0" fontId="16" fillId="8" borderId="0" xfId="0" applyFont="1" applyFill="1" applyAlignment="1">
      <alignment horizontal="center" vertical="center" wrapText="1"/>
    </xf>
    <xf numFmtId="0" fontId="0" fillId="0" borderId="24" xfId="0" applyBorder="1" applyAlignment="1">
      <alignment horizontal="left"/>
    </xf>
    <xf numFmtId="0" fontId="0" fillId="0" borderId="2" xfId="0" applyBorder="1" applyAlignment="1">
      <alignment horizontal="left"/>
    </xf>
    <xf numFmtId="0" fontId="0" fillId="0" borderId="25" xfId="0" applyBorder="1" applyAlignment="1">
      <alignment horizontal="left"/>
    </xf>
    <xf numFmtId="0" fontId="8" fillId="0" borderId="11" xfId="0" applyFont="1" applyBorder="1" applyAlignment="1">
      <alignment horizontal="center"/>
    </xf>
    <xf numFmtId="0" fontId="8" fillId="0" borderId="12" xfId="0" applyFont="1" applyBorder="1" applyAlignment="1">
      <alignment horizontal="center"/>
    </xf>
    <xf numFmtId="0" fontId="8" fillId="0" borderId="13" xfId="0" applyFont="1" applyBorder="1" applyAlignment="1">
      <alignment horizontal="center"/>
    </xf>
    <xf numFmtId="0" fontId="9" fillId="0" borderId="14" xfId="0" applyFont="1" applyBorder="1" applyAlignment="1">
      <alignment horizontal="center" vertical="center"/>
    </xf>
    <xf numFmtId="0" fontId="9" fillId="0" borderId="15" xfId="0" applyFont="1" applyBorder="1" applyAlignment="1">
      <alignment horizontal="center" vertical="center"/>
    </xf>
    <xf numFmtId="0" fontId="9" fillId="0" borderId="16" xfId="0" applyFont="1" applyBorder="1" applyAlignment="1">
      <alignment horizontal="center" vertical="center"/>
    </xf>
    <xf numFmtId="0" fontId="2" fillId="7" borderId="0" xfId="0" applyFont="1" applyFill="1" applyAlignment="1">
      <alignment horizontal="center"/>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0" fontId="0" fillId="0" borderId="27" xfId="0" applyBorder="1" applyAlignment="1">
      <alignment horizontal="left"/>
    </xf>
    <xf numFmtId="0" fontId="0" fillId="0" borderId="28" xfId="0" applyBorder="1" applyAlignment="1">
      <alignment horizontal="left"/>
    </xf>
    <xf numFmtId="0" fontId="0" fillId="0" borderId="29" xfId="0" applyBorder="1" applyAlignment="1">
      <alignment horizontal="left"/>
    </xf>
    <xf numFmtId="0" fontId="2" fillId="0" borderId="21" xfId="0" applyFont="1" applyBorder="1" applyAlignment="1">
      <alignment horizontal="center"/>
    </xf>
    <xf numFmtId="0" fontId="2" fillId="0" borderId="22" xfId="0" applyFont="1" applyBorder="1" applyAlignment="1">
      <alignment horizontal="center"/>
    </xf>
    <xf numFmtId="0" fontId="0" fillId="0" borderId="31" xfId="0" applyBorder="1" applyAlignment="1">
      <alignment horizontal="left"/>
    </xf>
    <xf numFmtId="0" fontId="0" fillId="0" borderId="1" xfId="0" applyBorder="1" applyAlignment="1">
      <alignment horizontal="left"/>
    </xf>
    <xf numFmtId="0" fontId="0" fillId="0" borderId="32" xfId="0" applyBorder="1" applyAlignment="1">
      <alignment horizontal="left"/>
    </xf>
    <xf numFmtId="0" fontId="2" fillId="0" borderId="20" xfId="0" applyFont="1" applyBorder="1" applyAlignment="1">
      <alignment horizontal="center"/>
    </xf>
    <xf numFmtId="0" fontId="2" fillId="0" borderId="8" xfId="0" applyFont="1" applyBorder="1" applyAlignment="1">
      <alignment horizontal="center"/>
    </xf>
    <xf numFmtId="0" fontId="2" fillId="0" borderId="33" xfId="0" applyFont="1"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44" fontId="0" fillId="0" borderId="24" xfId="8" applyFont="1" applyBorder="1" applyAlignment="1">
      <alignment horizontal="center"/>
    </xf>
    <xf numFmtId="44" fontId="0" fillId="0" borderId="25" xfId="8" applyFont="1" applyBorder="1" applyAlignment="1">
      <alignment horizontal="center"/>
    </xf>
    <xf numFmtId="44" fontId="0" fillId="0" borderId="27" xfId="8" applyFont="1" applyBorder="1" applyAlignment="1">
      <alignment horizontal="center"/>
    </xf>
    <xf numFmtId="44" fontId="0" fillId="0" borderId="29" xfId="8" applyFont="1" applyBorder="1" applyAlignment="1">
      <alignment horizontal="center"/>
    </xf>
    <xf numFmtId="0" fontId="2" fillId="0" borderId="24" xfId="0" applyFont="1" applyBorder="1" applyAlignment="1">
      <alignment horizontal="center"/>
    </xf>
    <xf numFmtId="0" fontId="2" fillId="0" borderId="25"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0" fillId="0" borderId="7" xfId="0" applyBorder="1" applyAlignment="1">
      <alignment horizontal="center"/>
    </xf>
    <xf numFmtId="0" fontId="0" fillId="0" borderId="10" xfId="0" applyBorder="1" applyAlignment="1">
      <alignment horizontal="center"/>
    </xf>
    <xf numFmtId="0" fontId="2" fillId="0" borderId="11" xfId="0" applyFont="1" applyBorder="1" applyAlignment="1">
      <alignment horizontal="left"/>
    </xf>
    <xf numFmtId="0" fontId="2" fillId="0" borderId="12" xfId="0" applyFont="1" applyBorder="1" applyAlignment="1">
      <alignment horizontal="left"/>
    </xf>
    <xf numFmtId="0" fontId="0" fillId="0" borderId="0" xfId="0" applyAlignment="1">
      <alignment horizontal="left" vertical="top" wrapText="1"/>
    </xf>
    <xf numFmtId="0" fontId="0" fillId="0" borderId="1" xfId="0" applyBorder="1" applyAlignment="1">
      <alignment horizontal="left" vertical="top" wrapText="1"/>
    </xf>
    <xf numFmtId="44" fontId="90" fillId="0" borderId="0" xfId="8" applyFont="1"/>
    <xf numFmtId="44" fontId="91" fillId="0" borderId="0" xfId="8" applyFont="1" applyFill="1"/>
    <xf numFmtId="0" fontId="92" fillId="0" borderId="0" xfId="0" applyFont="1"/>
    <xf numFmtId="166" fontId="93" fillId="0" borderId="40" xfId="4" applyNumberFormat="1" applyFont="1" applyBorder="1" applyAlignment="1">
      <alignment horizontal="center" vertical="center" wrapText="1"/>
    </xf>
    <xf numFmtId="166" fontId="93" fillId="0" borderId="41" xfId="4" applyNumberFormat="1" applyFont="1" applyBorder="1" applyAlignment="1">
      <alignment horizontal="center" vertical="center" wrapText="1"/>
    </xf>
    <xf numFmtId="44" fontId="94" fillId="6" borderId="56" xfId="8" applyFont="1" applyFill="1" applyBorder="1" applyAlignment="1">
      <alignment horizontal="center" vertical="center" wrapText="1"/>
    </xf>
    <xf numFmtId="0" fontId="95" fillId="10" borderId="58" xfId="0" applyFont="1" applyFill="1" applyBorder="1" applyAlignment="1">
      <alignment horizontal="center"/>
    </xf>
    <xf numFmtId="0" fontId="95" fillId="10" borderId="59" xfId="0" applyFont="1" applyFill="1" applyBorder="1" applyAlignment="1">
      <alignment horizontal="center"/>
    </xf>
    <xf numFmtId="0" fontId="95" fillId="11" borderId="73" xfId="0" applyFont="1" applyFill="1" applyBorder="1" applyAlignment="1">
      <alignment horizontal="left"/>
    </xf>
    <xf numFmtId="0" fontId="95" fillId="11" borderId="74" xfId="0" applyFont="1" applyFill="1" applyBorder="1" applyAlignment="1">
      <alignment horizontal="left"/>
    </xf>
    <xf numFmtId="44" fontId="90" fillId="0" borderId="66" xfId="8" applyFont="1" applyBorder="1"/>
    <xf numFmtId="44" fontId="91" fillId="0" borderId="66" xfId="8" applyFont="1" applyFill="1" applyBorder="1"/>
    <xf numFmtId="0" fontId="90" fillId="0" borderId="0" xfId="0" applyFont="1"/>
    <xf numFmtId="44" fontId="90" fillId="0" borderId="0" xfId="0" applyNumberFormat="1" applyFont="1" applyAlignment="1">
      <alignment vertical="center"/>
    </xf>
    <xf numFmtId="0" fontId="90" fillId="0" borderId="0" xfId="0" applyFont="1" applyAlignment="1">
      <alignment vertical="center"/>
    </xf>
    <xf numFmtId="44" fontId="92" fillId="0" borderId="0" xfId="0" applyNumberFormat="1" applyFont="1" applyAlignment="1">
      <alignment vertical="center"/>
    </xf>
    <xf numFmtId="0" fontId="92" fillId="0" borderId="0" xfId="0" applyFont="1" applyAlignment="1">
      <alignment vertical="center"/>
    </xf>
    <xf numFmtId="9" fontId="92" fillId="0" borderId="0" xfId="1" applyFont="1" applyFill="1" applyAlignment="1">
      <alignment vertical="center"/>
    </xf>
    <xf numFmtId="0" fontId="96" fillId="0" borderId="0" xfId="0" applyFont="1"/>
    <xf numFmtId="44" fontId="97" fillId="6" borderId="57" xfId="8" applyFont="1" applyFill="1" applyBorder="1" applyAlignment="1">
      <alignment horizontal="center" vertical="center" wrapText="1"/>
    </xf>
    <xf numFmtId="44" fontId="91" fillId="0" borderId="66" xfId="8" applyFont="1" applyBorder="1"/>
    <xf numFmtId="9" fontId="92" fillId="0" borderId="0" xfId="1" applyFont="1" applyAlignment="1">
      <alignment vertical="center"/>
    </xf>
    <xf numFmtId="0" fontId="92" fillId="17" borderId="0" xfId="0" applyFont="1" applyFill="1"/>
    <xf numFmtId="0" fontId="96" fillId="17" borderId="0" xfId="0" applyFont="1" applyFill="1"/>
    <xf numFmtId="0" fontId="96" fillId="34" borderId="0" xfId="0" applyFont="1" applyFill="1"/>
    <xf numFmtId="0" fontId="92" fillId="34" borderId="0" xfId="0" applyFont="1" applyFill="1"/>
    <xf numFmtId="0" fontId="96" fillId="0" borderId="0" xfId="0" applyFont="1" applyAlignment="1">
      <alignment vertical="center"/>
    </xf>
    <xf numFmtId="0" fontId="92" fillId="0" borderId="0" xfId="0" applyFont="1" applyAlignment="1">
      <alignment horizontal="center" vertical="center"/>
    </xf>
    <xf numFmtId="9" fontId="20" fillId="0" borderId="0" xfId="1" applyFont="1" applyAlignment="1">
      <alignment horizontal="center"/>
    </xf>
    <xf numFmtId="0" fontId="10" fillId="0" borderId="0" xfId="0" applyFont="1" applyAlignment="1">
      <alignment horizontal="right"/>
    </xf>
    <xf numFmtId="170" fontId="10" fillId="0" borderId="0" xfId="0" applyNumberFormat="1" applyFont="1" applyAlignment="1">
      <alignment horizontal="left"/>
    </xf>
    <xf numFmtId="44" fontId="20" fillId="0" borderId="66" xfId="0" applyNumberFormat="1" applyFont="1" applyBorder="1" applyAlignment="1">
      <alignment horizontal="center"/>
    </xf>
    <xf numFmtId="170" fontId="20" fillId="39" borderId="66" xfId="0" applyNumberFormat="1" applyFont="1" applyFill="1" applyBorder="1" applyAlignment="1">
      <alignment horizontal="center"/>
    </xf>
    <xf numFmtId="0" fontId="20" fillId="39" borderId="73" xfId="0" applyFont="1" applyFill="1" applyBorder="1" applyAlignment="1">
      <alignment horizontal="center"/>
    </xf>
    <xf numFmtId="0" fontId="20" fillId="39" borderId="74" xfId="0" applyFont="1" applyFill="1" applyBorder="1" applyAlignment="1">
      <alignment horizontal="center"/>
    </xf>
    <xf numFmtId="0" fontId="20" fillId="39" borderId="75" xfId="0" applyFont="1" applyFill="1" applyBorder="1" applyAlignment="1">
      <alignment horizontal="center"/>
    </xf>
    <xf numFmtId="0" fontId="20" fillId="17" borderId="54" xfId="0" applyFont="1" applyFill="1" applyBorder="1"/>
    <xf numFmtId="170" fontId="20" fillId="17" borderId="120" xfId="0" applyNumberFormat="1" applyFont="1" applyFill="1" applyBorder="1" applyAlignment="1">
      <alignment horizontal="center"/>
    </xf>
    <xf numFmtId="170" fontId="20" fillId="17" borderId="59" xfId="0" applyNumberFormat="1" applyFont="1" applyFill="1" applyBorder="1" applyAlignment="1">
      <alignment horizontal="center" vertical="center"/>
    </xf>
    <xf numFmtId="9" fontId="20" fillId="17" borderId="61" xfId="1" applyFont="1" applyFill="1" applyBorder="1" applyAlignment="1">
      <alignment horizontal="center" vertical="center"/>
    </xf>
    <xf numFmtId="170" fontId="20" fillId="17" borderId="68" xfId="0" applyNumberFormat="1" applyFont="1" applyFill="1" applyBorder="1" applyAlignment="1">
      <alignment horizontal="center" vertical="center"/>
    </xf>
    <xf numFmtId="9" fontId="20" fillId="17" borderId="78" xfId="1" applyFont="1" applyFill="1" applyBorder="1" applyAlignment="1">
      <alignment horizontal="center" vertical="center"/>
    </xf>
    <xf numFmtId="170" fontId="20" fillId="17" borderId="92" xfId="0" applyNumberFormat="1" applyFont="1" applyFill="1" applyBorder="1" applyAlignment="1">
      <alignment horizontal="center" vertical="center"/>
    </xf>
    <xf numFmtId="9" fontId="20" fillId="17" borderId="93" xfId="1" applyFont="1" applyFill="1" applyBorder="1" applyAlignment="1">
      <alignment horizontal="center" vertical="center"/>
    </xf>
  </cellXfs>
  <cellStyles count="30">
    <cellStyle name="Moeda" xfId="8" builtinId="4"/>
    <cellStyle name="Moeda 2" xfId="4" xr:uid="{88D8EF41-8435-41DD-B95B-CB2197D8CF8B}"/>
    <cellStyle name="Moeda 3" xfId="9" xr:uid="{18A079E9-578A-4840-BD6F-5C55BE5AE376}"/>
    <cellStyle name="Moeda 3 2" xfId="15" xr:uid="{53D7C568-CC58-4B15-B9DD-1867C128147F}"/>
    <cellStyle name="Moeda 3 2 2" xfId="24" xr:uid="{C5955958-4BA3-414F-BCD3-92453379BE67}"/>
    <cellStyle name="Moeda 3 3" xfId="20" xr:uid="{5222D12B-247C-4CAA-9BD0-CA3B993D153C}"/>
    <cellStyle name="Moeda 4" xfId="6" xr:uid="{87039FAF-445E-422B-A516-66BA7E305CF9}"/>
    <cellStyle name="Moeda 4 2" xfId="10" xr:uid="{636A40C2-255F-46EF-84CA-98953AE8866B}"/>
    <cellStyle name="Moeda 4 2 2" xfId="16" xr:uid="{7BDB4489-6168-4BE0-A964-5DE628ED1876}"/>
    <cellStyle name="Moeda 4 2 2 2" xfId="25" xr:uid="{F7B50AA5-CF4F-4B3A-BFE3-E79C17AEA0A3}"/>
    <cellStyle name="Moeda 4 2 3" xfId="21" xr:uid="{E1E0E756-0D33-4518-81DA-87A2AE8F5D8E}"/>
    <cellStyle name="Moeda 5" xfId="11" xr:uid="{2124AE60-0557-4AC3-B48A-633CB17E3340}"/>
    <cellStyle name="Moeda 5 2" xfId="17" xr:uid="{0C993D40-EFA9-480A-9766-C4BE8F04E4F7}"/>
    <cellStyle name="Moeda 5 2 2" xfId="26" xr:uid="{9995797A-B73E-4A2E-80AE-C3E195C256ED}"/>
    <cellStyle name="Moeda 5 3" xfId="22" xr:uid="{9F4D8D2F-BC63-4A70-A8E3-735431D1B573}"/>
    <cellStyle name="Moeda 6" xfId="14" xr:uid="{574A822A-71B7-46B2-A0C3-1C5E8591DADA}"/>
    <cellStyle name="Moeda 6 2" xfId="23" xr:uid="{1B4D49DA-67CE-401F-AA88-D0E5ECCC7DD3}"/>
    <cellStyle name="Moeda 7" xfId="18" xr:uid="{9B0707B7-FE79-480F-A7D6-5ECAFAA1B9D0}"/>
    <cellStyle name="Moeda 7 2" xfId="27" xr:uid="{20A42AB1-340E-4BE3-BCB1-E4E204EE1727}"/>
    <cellStyle name="Moeda 8" xfId="19" xr:uid="{02208ACA-EB8F-4467-A1DF-FEBF19C9B6B5}"/>
    <cellStyle name="Moeda 9" xfId="29" xr:uid="{342906D4-6118-4073-B555-4EADDFB2FB9B}"/>
    <cellStyle name="Normal" xfId="0" builtinId="0"/>
    <cellStyle name="Normal 2" xfId="2" xr:uid="{BD42359E-6099-413E-81D2-0E0BA4C03DB2}"/>
    <cellStyle name="Normal 3" xfId="7" xr:uid="{68151FFA-A329-4F7F-B412-27BE57253D9C}"/>
    <cellStyle name="Normal 3 2" xfId="13" xr:uid="{EDD1A25C-4E09-47DE-9478-AA6861AFB48F}"/>
    <cellStyle name="Normal 6" xfId="12" xr:uid="{2888F636-9924-454F-857E-E38553BD81CD}"/>
    <cellStyle name="Normal_Plan1" xfId="3" xr:uid="{ABCD160A-D73A-4213-9DF3-17A45862579B}"/>
    <cellStyle name="Porcentagem" xfId="1" builtinId="5"/>
    <cellStyle name="Porcentagem 2" xfId="5" xr:uid="{58C97418-D6D1-4F2E-95E9-1B0ADE8B90D4}"/>
    <cellStyle name="Vírgula" xfId="28" builtinId="3"/>
  </cellStyles>
  <dxfs count="0"/>
  <tableStyles count="0" defaultTableStyle="TableStyleMedium2" defaultPivotStyle="PivotStyleLight16"/>
  <colors>
    <mruColors>
      <color rgb="FFFFFFFF"/>
      <color rgb="FF0476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1</xdr:col>
      <xdr:colOff>686311</xdr:colOff>
      <xdr:row>0</xdr:row>
      <xdr:rowOff>152400</xdr:rowOff>
    </xdr:from>
    <xdr:to>
      <xdr:col>5</xdr:col>
      <xdr:colOff>530481</xdr:colOff>
      <xdr:row>1</xdr:row>
      <xdr:rowOff>60325</xdr:rowOff>
    </xdr:to>
    <xdr:sp macro="" textlink="">
      <xdr:nvSpPr>
        <xdr:cNvPr id="23553" name="Label1" hidden="1">
          <a:extLst>
            <a:ext uri="{63B3BB69-23CF-44E3-9099-C40C66FF867C}">
              <a14:compatExt xmlns:a14="http://schemas.microsoft.com/office/drawing/2010/main"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244316</xdr:colOff>
      <xdr:row>0</xdr:row>
      <xdr:rowOff>136686</xdr:rowOff>
    </xdr:from>
    <xdr:to>
      <xdr:col>1</xdr:col>
      <xdr:colOff>549625</xdr:colOff>
      <xdr:row>0</xdr:row>
      <xdr:rowOff>498158</xdr:rowOff>
    </xdr:to>
    <xdr:pic macro="[0]!ChamaForm_Menu">
      <xdr:nvPicPr>
        <xdr:cNvPr id="2" name="Imagem 1">
          <a:extLst>
            <a:ext uri="{FF2B5EF4-FFF2-40B4-BE49-F238E27FC236}">
              <a16:creationId xmlns:a16="http://schemas.microsoft.com/office/drawing/2014/main" id="{EF5DD17D-65E5-40CB-9B3E-4FA7C71BCB8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031" y="130971"/>
          <a:ext cx="372267" cy="372267"/>
        </a:xfrm>
        <a:prstGeom prst="rect">
          <a:avLst/>
        </a:prstGeom>
      </xdr:spPr>
    </xdr:pic>
    <xdr:clientData/>
  </xdr:twoCellAnchor>
  <xdr:twoCellAnchor editAs="absolute">
    <xdr:from>
      <xdr:col>21</xdr:col>
      <xdr:colOff>2607755</xdr:colOff>
      <xdr:row>0</xdr:row>
      <xdr:rowOff>190500</xdr:rowOff>
    </xdr:from>
    <xdr:to>
      <xdr:col>25</xdr:col>
      <xdr:colOff>168623</xdr:colOff>
      <xdr:row>1</xdr:row>
      <xdr:rowOff>114300</xdr:rowOff>
    </xdr:to>
    <xdr:sp macro="" textlink="">
      <xdr:nvSpPr>
        <xdr:cNvPr id="23554" name="Label2" hidden="1">
          <a:extLst>
            <a:ext uri="{63B3BB69-23CF-44E3-9099-C40C66FF867C}">
              <a14:compatExt xmlns:a14="http://schemas.microsoft.com/office/drawing/2010/main"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21</xdr:col>
      <xdr:colOff>2607328</xdr:colOff>
      <xdr:row>0</xdr:row>
      <xdr:rowOff>187011</xdr:rowOff>
    </xdr:from>
    <xdr:to>
      <xdr:col>21</xdr:col>
      <xdr:colOff>2609014</xdr:colOff>
      <xdr:row>0</xdr:row>
      <xdr:rowOff>537053</xdr:rowOff>
    </xdr:to>
    <xdr:pic macro="[0]!ChamaForm_Menu">
      <xdr:nvPicPr>
        <xdr:cNvPr id="3" name="Imagem 2">
          <a:extLst>
            <a:ext uri="{FF2B5EF4-FFF2-40B4-BE49-F238E27FC236}">
              <a16:creationId xmlns:a16="http://schemas.microsoft.com/office/drawing/2014/main" id="{F88C1B43-5247-450D-B9B4-B0686500EE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25873" y="179391"/>
          <a:ext cx="365917" cy="362742"/>
        </a:xfrm>
        <a:prstGeom prst="rect">
          <a:avLst/>
        </a:prstGeom>
      </xdr:spPr>
    </xdr:pic>
    <xdr:clientData/>
  </xdr:twoCellAnchor>
  <xdr:twoCellAnchor editAs="absolute">
    <xdr:from>
      <xdr:col>1</xdr:col>
      <xdr:colOff>686311</xdr:colOff>
      <xdr:row>0</xdr:row>
      <xdr:rowOff>152400</xdr:rowOff>
    </xdr:from>
    <xdr:to>
      <xdr:col>5</xdr:col>
      <xdr:colOff>530481</xdr:colOff>
      <xdr:row>1</xdr:row>
      <xdr:rowOff>60325</xdr:rowOff>
    </xdr:to>
    <xdr:pic>
      <xdr:nvPicPr>
        <xdr:cNvPr id="4" name="Label1">
          <a:extLst>
            <a:ext uri="{FF2B5EF4-FFF2-40B4-BE49-F238E27FC236}">
              <a16:creationId xmlns:a16="http://schemas.microsoft.com/office/drawing/2014/main" id="{B5E093B0-A987-8D33-17C5-5D1BB100C24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3900" y="152400"/>
          <a:ext cx="965200" cy="533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21</xdr:col>
      <xdr:colOff>2593593</xdr:colOff>
      <xdr:row>0</xdr:row>
      <xdr:rowOff>154940</xdr:rowOff>
    </xdr:from>
    <xdr:to>
      <xdr:col>25</xdr:col>
      <xdr:colOff>338661</xdr:colOff>
      <xdr:row>1</xdr:row>
      <xdr:rowOff>78740</xdr:rowOff>
    </xdr:to>
    <xdr:pic>
      <xdr:nvPicPr>
        <xdr:cNvPr id="5" name="Label2">
          <a:extLst>
            <a:ext uri="{FF2B5EF4-FFF2-40B4-BE49-F238E27FC236}">
              <a16:creationId xmlns:a16="http://schemas.microsoft.com/office/drawing/2014/main" id="{0AD8D66D-7D6B-16DE-87AA-3D8507E3569A}"/>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786156" y="158750"/>
          <a:ext cx="1142007" cy="558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689778</xdr:colOff>
      <xdr:row>0</xdr:row>
      <xdr:rowOff>152400</xdr:rowOff>
    </xdr:from>
    <xdr:to>
      <xdr:col>5</xdr:col>
      <xdr:colOff>632493</xdr:colOff>
      <xdr:row>1</xdr:row>
      <xdr:rowOff>59055</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CB014DC2-34AD-4DF8-B69A-1E1C7ED4E1D1}"/>
            </a:ext>
          </a:extLst>
        </xdr:cNvPr>
        <xdr:cNvSpPr/>
      </xdr:nvSpPr>
      <xdr:spPr bwMode="auto">
        <a:xfrm>
          <a:off x="702478" y="152400"/>
          <a:ext cx="885055" cy="5397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246856</xdr:colOff>
      <xdr:row>0</xdr:row>
      <xdr:rowOff>134146</xdr:rowOff>
    </xdr:from>
    <xdr:to>
      <xdr:col>1</xdr:col>
      <xdr:colOff>555632</xdr:colOff>
      <xdr:row>0</xdr:row>
      <xdr:rowOff>515303</xdr:rowOff>
    </xdr:to>
    <xdr:pic macro="[0]!ChamaForm_Menu">
      <xdr:nvPicPr>
        <xdr:cNvPr id="3" name="Imagem 2">
          <a:extLst>
            <a:ext uri="{FF2B5EF4-FFF2-40B4-BE49-F238E27FC236}">
              <a16:creationId xmlns:a16="http://schemas.microsoft.com/office/drawing/2014/main" id="{5E56620A-B48C-4D09-B138-8955824E27F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031" y="130971"/>
          <a:ext cx="321476" cy="372267"/>
        </a:xfrm>
        <a:prstGeom prst="rect">
          <a:avLst/>
        </a:prstGeom>
      </xdr:spPr>
    </xdr:pic>
    <xdr:clientData/>
  </xdr:twoCellAnchor>
  <xdr:twoCellAnchor editAs="absolute">
    <xdr:from>
      <xdr:col>38</xdr:col>
      <xdr:colOff>1199291</xdr:colOff>
      <xdr:row>0</xdr:row>
      <xdr:rowOff>190500</xdr:rowOff>
    </xdr:from>
    <xdr:to>
      <xdr:col>38</xdr:col>
      <xdr:colOff>2225136</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1A036D22-253B-4270-A80C-671C0C063CEC}"/>
            </a:ext>
          </a:extLst>
        </xdr:cNvPr>
        <xdr:cNvSpPr/>
      </xdr:nvSpPr>
      <xdr:spPr bwMode="auto">
        <a:xfrm>
          <a:off x="29609896" y="190500"/>
          <a:ext cx="1154126" cy="552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38</xdr:col>
      <xdr:colOff>738874</xdr:colOff>
      <xdr:row>0</xdr:row>
      <xdr:rowOff>169231</xdr:rowOff>
    </xdr:from>
    <xdr:to>
      <xdr:col>38</xdr:col>
      <xdr:colOff>1122850</xdr:colOff>
      <xdr:row>0</xdr:row>
      <xdr:rowOff>554198</xdr:rowOff>
    </xdr:to>
    <xdr:pic macro="[0]!ChamaForm_Menu">
      <xdr:nvPicPr>
        <xdr:cNvPr id="5" name="Imagem 4">
          <a:extLst>
            <a:ext uri="{FF2B5EF4-FFF2-40B4-BE49-F238E27FC236}">
              <a16:creationId xmlns:a16="http://schemas.microsoft.com/office/drawing/2014/main" id="{3131ACA3-2FE1-4D8A-8C44-3CD22D87AC6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09256" y="179391"/>
          <a:ext cx="335859" cy="362742"/>
        </a:xfrm>
        <a:prstGeom prst="rect">
          <a:avLst/>
        </a:prstGeom>
      </xdr:spPr>
    </xdr:pic>
    <xdr:clientData/>
  </xdr:twoCellAnchor>
  <xdr:twoCellAnchor editAs="absolute">
    <xdr:from>
      <xdr:col>1</xdr:col>
      <xdr:colOff>689778</xdr:colOff>
      <xdr:row>0</xdr:row>
      <xdr:rowOff>152400</xdr:rowOff>
    </xdr:from>
    <xdr:to>
      <xdr:col>5</xdr:col>
      <xdr:colOff>632493</xdr:colOff>
      <xdr:row>1</xdr:row>
      <xdr:rowOff>59055</xdr:rowOff>
    </xdr:to>
    <xdr:pic>
      <xdr:nvPicPr>
        <xdr:cNvPr id="6" name="Label1">
          <a:extLst>
            <a:ext uri="{FF2B5EF4-FFF2-40B4-BE49-F238E27FC236}">
              <a16:creationId xmlns:a16="http://schemas.microsoft.com/office/drawing/2014/main" id="{7120AC58-8887-4E8F-9744-A2B1000705A3}"/>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2478" y="152400"/>
          <a:ext cx="885055" cy="539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38</xdr:col>
      <xdr:colOff>1463088</xdr:colOff>
      <xdr:row>0</xdr:row>
      <xdr:rowOff>168910</xdr:rowOff>
    </xdr:from>
    <xdr:to>
      <xdr:col>38</xdr:col>
      <xdr:colOff>2494275</xdr:colOff>
      <xdr:row>1</xdr:row>
      <xdr:rowOff>92710</xdr:rowOff>
    </xdr:to>
    <xdr:pic>
      <xdr:nvPicPr>
        <xdr:cNvPr id="7" name="Label2">
          <a:extLst>
            <a:ext uri="{FF2B5EF4-FFF2-40B4-BE49-F238E27FC236}">
              <a16:creationId xmlns:a16="http://schemas.microsoft.com/office/drawing/2014/main" id="{5C0F4773-E6E2-4214-B563-0A48114803A8}"/>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867724" y="158750"/>
          <a:ext cx="1162998"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689778</xdr:colOff>
      <xdr:row>0</xdr:row>
      <xdr:rowOff>152400</xdr:rowOff>
    </xdr:from>
    <xdr:to>
      <xdr:col>5</xdr:col>
      <xdr:colOff>186935</xdr:colOff>
      <xdr:row>1</xdr:row>
      <xdr:rowOff>59055</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293FC337-4CE1-4EAE-A81E-B960B72F5ECC}"/>
            </a:ext>
          </a:extLst>
        </xdr:cNvPr>
        <xdr:cNvSpPr/>
      </xdr:nvSpPr>
      <xdr:spPr bwMode="auto">
        <a:xfrm>
          <a:off x="705653" y="152400"/>
          <a:ext cx="892040" cy="53530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246856</xdr:colOff>
      <xdr:row>0</xdr:row>
      <xdr:rowOff>134146</xdr:rowOff>
    </xdr:from>
    <xdr:to>
      <xdr:col>1</xdr:col>
      <xdr:colOff>555632</xdr:colOff>
      <xdr:row>0</xdr:row>
      <xdr:rowOff>515303</xdr:rowOff>
    </xdr:to>
    <xdr:pic macro="[0]!ChamaForm_Menu">
      <xdr:nvPicPr>
        <xdr:cNvPr id="3" name="Imagem 2">
          <a:extLst>
            <a:ext uri="{FF2B5EF4-FFF2-40B4-BE49-F238E27FC236}">
              <a16:creationId xmlns:a16="http://schemas.microsoft.com/office/drawing/2014/main" id="{A927827E-9718-4633-893C-D4E4BA5FA76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6856" y="134146"/>
          <a:ext cx="324651" cy="381157"/>
        </a:xfrm>
        <a:prstGeom prst="rect">
          <a:avLst/>
        </a:prstGeom>
      </xdr:spPr>
    </xdr:pic>
    <xdr:clientData/>
  </xdr:twoCellAnchor>
  <xdr:twoCellAnchor editAs="absolute">
    <xdr:from>
      <xdr:col>38</xdr:col>
      <xdr:colOff>1723469</xdr:colOff>
      <xdr:row>0</xdr:row>
      <xdr:rowOff>190500</xdr:rowOff>
    </xdr:from>
    <xdr:to>
      <xdr:col>38</xdr:col>
      <xdr:colOff>2757327</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2924E136-A50F-44CA-8742-E1972D134631}"/>
            </a:ext>
          </a:extLst>
        </xdr:cNvPr>
        <xdr:cNvSpPr/>
      </xdr:nvSpPr>
      <xdr:spPr bwMode="auto">
        <a:xfrm>
          <a:off x="29705500" y="190500"/>
          <a:ext cx="1141203" cy="552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38</xdr:col>
      <xdr:colOff>1246119</xdr:colOff>
      <xdr:row>0</xdr:row>
      <xdr:rowOff>169231</xdr:rowOff>
    </xdr:from>
    <xdr:to>
      <xdr:col>38</xdr:col>
      <xdr:colOff>1647028</xdr:colOff>
      <xdr:row>0</xdr:row>
      <xdr:rowOff>554198</xdr:rowOff>
    </xdr:to>
    <xdr:pic macro="[0]!ChamaForm_Menu">
      <xdr:nvPicPr>
        <xdr:cNvPr id="5" name="Imagem 4">
          <a:extLst>
            <a:ext uri="{FF2B5EF4-FFF2-40B4-BE49-F238E27FC236}">
              <a16:creationId xmlns:a16="http://schemas.microsoft.com/office/drawing/2014/main" id="{7ECF5965-C0F8-4AC8-87F1-55BC9E37D9D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45083" y="169231"/>
          <a:ext cx="383976" cy="384967"/>
        </a:xfrm>
        <a:prstGeom prst="rect">
          <a:avLst/>
        </a:prstGeom>
      </xdr:spPr>
    </xdr:pic>
    <xdr:clientData/>
  </xdr:twoCellAnchor>
  <xdr:twoCellAnchor editAs="absolute">
    <xdr:from>
      <xdr:col>1</xdr:col>
      <xdr:colOff>689778</xdr:colOff>
      <xdr:row>0</xdr:row>
      <xdr:rowOff>152400</xdr:rowOff>
    </xdr:from>
    <xdr:to>
      <xdr:col>5</xdr:col>
      <xdr:colOff>186935</xdr:colOff>
      <xdr:row>1</xdr:row>
      <xdr:rowOff>59055</xdr:rowOff>
    </xdr:to>
    <xdr:pic>
      <xdr:nvPicPr>
        <xdr:cNvPr id="6" name="Label1">
          <a:extLst>
            <a:ext uri="{FF2B5EF4-FFF2-40B4-BE49-F238E27FC236}">
              <a16:creationId xmlns:a16="http://schemas.microsoft.com/office/drawing/2014/main" id="{4693523F-F0C7-41ED-9458-2AC52D73FE8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5653" y="152400"/>
          <a:ext cx="892040" cy="53530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38</xdr:col>
      <xdr:colOff>1974112</xdr:colOff>
      <xdr:row>0</xdr:row>
      <xdr:rowOff>168910</xdr:rowOff>
    </xdr:from>
    <xdr:to>
      <xdr:col>39</xdr:col>
      <xdr:colOff>32895</xdr:colOff>
      <xdr:row>1</xdr:row>
      <xdr:rowOff>92710</xdr:rowOff>
    </xdr:to>
    <xdr:pic>
      <xdr:nvPicPr>
        <xdr:cNvPr id="7" name="Label2">
          <a:extLst>
            <a:ext uri="{FF2B5EF4-FFF2-40B4-BE49-F238E27FC236}">
              <a16:creationId xmlns:a16="http://schemas.microsoft.com/office/drawing/2014/main" id="{1AD1067F-12BC-469E-A68A-182759D9C3F6}"/>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969297" y="168910"/>
          <a:ext cx="1146545"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683629</xdr:colOff>
      <xdr:row>0</xdr:row>
      <xdr:rowOff>152400</xdr:rowOff>
    </xdr:from>
    <xdr:to>
      <xdr:col>5</xdr:col>
      <xdr:colOff>494024</xdr:colOff>
      <xdr:row>1</xdr:row>
      <xdr:rowOff>57785</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F377C29B-4BAA-4F4E-BEC3-3FE9DEA3C289}"/>
            </a:ext>
          </a:extLst>
        </xdr:cNvPr>
        <xdr:cNvSpPr/>
      </xdr:nvSpPr>
      <xdr:spPr bwMode="auto">
        <a:xfrm>
          <a:off x="706288" y="152400"/>
          <a:ext cx="893945" cy="53011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247491</xdr:colOff>
      <xdr:row>0</xdr:row>
      <xdr:rowOff>133511</xdr:rowOff>
    </xdr:from>
    <xdr:to>
      <xdr:col>1</xdr:col>
      <xdr:colOff>530225</xdr:colOff>
      <xdr:row>0</xdr:row>
      <xdr:rowOff>514668</xdr:rowOff>
    </xdr:to>
    <xdr:pic macro="[0]!ChamaForm_Menu">
      <xdr:nvPicPr>
        <xdr:cNvPr id="3" name="Imagem 2">
          <a:extLst>
            <a:ext uri="{FF2B5EF4-FFF2-40B4-BE49-F238E27FC236}">
              <a16:creationId xmlns:a16="http://schemas.microsoft.com/office/drawing/2014/main" id="{CBBC0C71-8386-4D79-AE2A-F26EBE3510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6221" y="134781"/>
          <a:ext cx="325286" cy="381734"/>
        </a:xfrm>
        <a:prstGeom prst="rect">
          <a:avLst/>
        </a:prstGeom>
      </xdr:spPr>
    </xdr:pic>
    <xdr:clientData/>
  </xdr:twoCellAnchor>
  <xdr:twoCellAnchor editAs="absolute">
    <xdr:from>
      <xdr:col>60</xdr:col>
      <xdr:colOff>202674</xdr:colOff>
      <xdr:row>0</xdr:row>
      <xdr:rowOff>190500</xdr:rowOff>
    </xdr:from>
    <xdr:to>
      <xdr:col>62</xdr:col>
      <xdr:colOff>138526</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6058698F-46B2-42D8-90F8-07AB822D2D62}"/>
            </a:ext>
          </a:extLst>
        </xdr:cNvPr>
        <xdr:cNvSpPr/>
      </xdr:nvSpPr>
      <xdr:spPr bwMode="auto">
        <a:xfrm>
          <a:off x="49250261" y="190500"/>
          <a:ext cx="1227636" cy="5472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59</xdr:col>
      <xdr:colOff>321010</xdr:colOff>
      <xdr:row>0</xdr:row>
      <xdr:rowOff>174311</xdr:rowOff>
    </xdr:from>
    <xdr:to>
      <xdr:col>60</xdr:col>
      <xdr:colOff>163928</xdr:colOff>
      <xdr:row>0</xdr:row>
      <xdr:rowOff>549753</xdr:rowOff>
    </xdr:to>
    <xdr:pic macro="[0]!ChamaForm_Menu">
      <xdr:nvPicPr>
        <xdr:cNvPr id="5" name="Imagem 4">
          <a:extLst>
            <a:ext uri="{FF2B5EF4-FFF2-40B4-BE49-F238E27FC236}">
              <a16:creationId xmlns:a16="http://schemas.microsoft.com/office/drawing/2014/main" id="{A4BDACAC-F73C-485B-90D7-D8F690F25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841104" y="174946"/>
          <a:ext cx="375491" cy="374749"/>
        </a:xfrm>
        <a:prstGeom prst="rect">
          <a:avLst/>
        </a:prstGeom>
      </xdr:spPr>
    </xdr:pic>
    <xdr:clientData/>
  </xdr:twoCellAnchor>
  <xdr:twoCellAnchor editAs="absolute">
    <xdr:from>
      <xdr:col>1</xdr:col>
      <xdr:colOff>683629</xdr:colOff>
      <xdr:row>0</xdr:row>
      <xdr:rowOff>152400</xdr:rowOff>
    </xdr:from>
    <xdr:to>
      <xdr:col>5</xdr:col>
      <xdr:colOff>494024</xdr:colOff>
      <xdr:row>1</xdr:row>
      <xdr:rowOff>57785</xdr:rowOff>
    </xdr:to>
    <xdr:pic>
      <xdr:nvPicPr>
        <xdr:cNvPr id="6" name="Label1">
          <a:extLst>
            <a:ext uri="{FF2B5EF4-FFF2-40B4-BE49-F238E27FC236}">
              <a16:creationId xmlns:a16="http://schemas.microsoft.com/office/drawing/2014/main" id="{7E11E630-858F-479F-9404-553046F5B0F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6288" y="152400"/>
          <a:ext cx="893945" cy="53011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60</xdr:col>
      <xdr:colOff>379996</xdr:colOff>
      <xdr:row>0</xdr:row>
      <xdr:rowOff>171450</xdr:rowOff>
    </xdr:from>
    <xdr:to>
      <xdr:col>62</xdr:col>
      <xdr:colOff>417806</xdr:colOff>
      <xdr:row>1</xdr:row>
      <xdr:rowOff>95250</xdr:rowOff>
    </xdr:to>
    <xdr:pic>
      <xdr:nvPicPr>
        <xdr:cNvPr id="7" name="Label2">
          <a:extLst>
            <a:ext uri="{FF2B5EF4-FFF2-40B4-BE49-F238E27FC236}">
              <a16:creationId xmlns:a16="http://schemas.microsoft.com/office/drawing/2014/main" id="{C318B802-4E4B-4EE6-B5D4-690DDAE2B3E8}"/>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9486067" y="171450"/>
          <a:ext cx="1263898" cy="54725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681936</xdr:colOff>
      <xdr:row>0</xdr:row>
      <xdr:rowOff>152400</xdr:rowOff>
    </xdr:from>
    <xdr:to>
      <xdr:col>5</xdr:col>
      <xdr:colOff>777552</xdr:colOff>
      <xdr:row>1</xdr:row>
      <xdr:rowOff>53975</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866EEF44-5AA6-4EED-9822-FCDF5DE494E4}"/>
            </a:ext>
          </a:extLst>
        </xdr:cNvPr>
        <xdr:cNvSpPr/>
      </xdr:nvSpPr>
      <xdr:spPr bwMode="auto">
        <a:xfrm>
          <a:off x="701208" y="152400"/>
          <a:ext cx="895215" cy="5302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251301</xdr:colOff>
      <xdr:row>0</xdr:row>
      <xdr:rowOff>129701</xdr:rowOff>
    </xdr:from>
    <xdr:to>
      <xdr:col>1</xdr:col>
      <xdr:colOff>529167</xdr:colOff>
      <xdr:row>0</xdr:row>
      <xdr:rowOff>510858</xdr:rowOff>
    </xdr:to>
    <xdr:pic macro="[0]!ChamaForm_Menu">
      <xdr:nvPicPr>
        <xdr:cNvPr id="3" name="Imagem 2">
          <a:extLst>
            <a:ext uri="{FF2B5EF4-FFF2-40B4-BE49-F238E27FC236}">
              <a16:creationId xmlns:a16="http://schemas.microsoft.com/office/drawing/2014/main" id="{E57AC9CC-2E23-4762-B8FD-0596D0A50A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1301" y="129701"/>
          <a:ext cx="320206" cy="381157"/>
        </a:xfrm>
        <a:prstGeom prst="rect">
          <a:avLst/>
        </a:prstGeom>
      </xdr:spPr>
    </xdr:pic>
    <xdr:clientData/>
  </xdr:twoCellAnchor>
  <xdr:twoCellAnchor editAs="absolute">
    <xdr:from>
      <xdr:col>61</xdr:col>
      <xdr:colOff>314043</xdr:colOff>
      <xdr:row>0</xdr:row>
      <xdr:rowOff>190500</xdr:rowOff>
    </xdr:from>
    <xdr:to>
      <xdr:col>63</xdr:col>
      <xdr:colOff>247118</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F02D3CBF-05C3-48FF-96D7-4FA4B3BAB960}"/>
            </a:ext>
          </a:extLst>
        </xdr:cNvPr>
        <xdr:cNvSpPr/>
      </xdr:nvSpPr>
      <xdr:spPr bwMode="auto">
        <a:xfrm>
          <a:off x="50079885" y="190500"/>
          <a:ext cx="1204160" cy="552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60</xdr:col>
      <xdr:colOff>455542</xdr:colOff>
      <xdr:row>0</xdr:row>
      <xdr:rowOff>170501</xdr:rowOff>
    </xdr:from>
    <xdr:to>
      <xdr:col>61</xdr:col>
      <xdr:colOff>284822</xdr:colOff>
      <xdr:row>0</xdr:row>
      <xdr:rowOff>553563</xdr:rowOff>
    </xdr:to>
    <xdr:pic macro="[0]!ChamaForm_Menu">
      <xdr:nvPicPr>
        <xdr:cNvPr id="5" name="Imagem 4">
          <a:extLst>
            <a:ext uri="{FF2B5EF4-FFF2-40B4-BE49-F238E27FC236}">
              <a16:creationId xmlns:a16="http://schemas.microsoft.com/office/drawing/2014/main" id="{C102D95F-0B30-4857-9EBF-A7C238CB47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620640" y="170501"/>
          <a:ext cx="420499" cy="383062"/>
        </a:xfrm>
        <a:prstGeom prst="rect">
          <a:avLst/>
        </a:prstGeom>
      </xdr:spPr>
    </xdr:pic>
    <xdr:clientData/>
  </xdr:twoCellAnchor>
  <xdr:twoCellAnchor editAs="absolute">
    <xdr:from>
      <xdr:col>1</xdr:col>
      <xdr:colOff>681936</xdr:colOff>
      <xdr:row>0</xdr:row>
      <xdr:rowOff>152400</xdr:rowOff>
    </xdr:from>
    <xdr:to>
      <xdr:col>5</xdr:col>
      <xdr:colOff>777552</xdr:colOff>
      <xdr:row>1</xdr:row>
      <xdr:rowOff>53975</xdr:rowOff>
    </xdr:to>
    <xdr:pic>
      <xdr:nvPicPr>
        <xdr:cNvPr id="6" name="Label1">
          <a:extLst>
            <a:ext uri="{FF2B5EF4-FFF2-40B4-BE49-F238E27FC236}">
              <a16:creationId xmlns:a16="http://schemas.microsoft.com/office/drawing/2014/main" id="{D7EDB77D-E559-4E92-A317-B22BB692F1A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1208" y="152400"/>
          <a:ext cx="895215" cy="5302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61</xdr:col>
      <xdr:colOff>477214</xdr:colOff>
      <xdr:row>0</xdr:row>
      <xdr:rowOff>167640</xdr:rowOff>
    </xdr:from>
    <xdr:to>
      <xdr:col>63</xdr:col>
      <xdr:colOff>530899</xdr:colOff>
      <xdr:row>1</xdr:row>
      <xdr:rowOff>91440</xdr:rowOff>
    </xdr:to>
    <xdr:pic>
      <xdr:nvPicPr>
        <xdr:cNvPr id="7" name="Label2">
          <a:extLst>
            <a:ext uri="{FF2B5EF4-FFF2-40B4-BE49-F238E27FC236}">
              <a16:creationId xmlns:a16="http://schemas.microsoft.com/office/drawing/2014/main" id="{59397741-7594-45E1-BDB3-BEA356E0EEDD}"/>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311458" y="167640"/>
          <a:ext cx="1255450"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666572</xdr:colOff>
      <xdr:row>0</xdr:row>
      <xdr:rowOff>152400</xdr:rowOff>
    </xdr:from>
    <xdr:to>
      <xdr:col>5</xdr:col>
      <xdr:colOff>569224</xdr:colOff>
      <xdr:row>1</xdr:row>
      <xdr:rowOff>53340</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4B80F7C4-F937-44FF-8EA9-5EC4D34DFAF1}"/>
            </a:ext>
          </a:extLst>
        </xdr:cNvPr>
        <xdr:cNvSpPr/>
      </xdr:nvSpPr>
      <xdr:spPr bwMode="auto">
        <a:xfrm>
          <a:off x="702478" y="152400"/>
          <a:ext cx="885055" cy="5397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251301</xdr:colOff>
      <xdr:row>0</xdr:row>
      <xdr:rowOff>129701</xdr:rowOff>
    </xdr:from>
    <xdr:to>
      <xdr:col>1</xdr:col>
      <xdr:colOff>536871</xdr:colOff>
      <xdr:row>0</xdr:row>
      <xdr:rowOff>510858</xdr:rowOff>
    </xdr:to>
    <xdr:pic macro="[0]!ChamaForm_Menu">
      <xdr:nvPicPr>
        <xdr:cNvPr id="3" name="Imagem 2">
          <a:extLst>
            <a:ext uri="{FF2B5EF4-FFF2-40B4-BE49-F238E27FC236}">
              <a16:creationId xmlns:a16="http://schemas.microsoft.com/office/drawing/2014/main" id="{C1A5414F-C4CE-4593-B3D7-2433FB84CD7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031" y="130971"/>
          <a:ext cx="321476" cy="372267"/>
        </a:xfrm>
        <a:prstGeom prst="rect">
          <a:avLst/>
        </a:prstGeom>
      </xdr:spPr>
    </xdr:pic>
    <xdr:clientData/>
  </xdr:twoCellAnchor>
  <xdr:twoCellAnchor editAs="absolute">
    <xdr:from>
      <xdr:col>25</xdr:col>
      <xdr:colOff>827398</xdr:colOff>
      <xdr:row>0</xdr:row>
      <xdr:rowOff>190500</xdr:rowOff>
    </xdr:from>
    <xdr:to>
      <xdr:col>25</xdr:col>
      <xdr:colOff>1889588</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1A08B50B-5C6F-49D4-A800-3FF1CCFBCF23}"/>
            </a:ext>
          </a:extLst>
        </xdr:cNvPr>
        <xdr:cNvSpPr/>
      </xdr:nvSpPr>
      <xdr:spPr bwMode="auto">
        <a:xfrm>
          <a:off x="29596759" y="190500"/>
          <a:ext cx="1150752" cy="552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25</xdr:col>
      <xdr:colOff>415744</xdr:colOff>
      <xdr:row>0</xdr:row>
      <xdr:rowOff>174946</xdr:rowOff>
    </xdr:from>
    <xdr:to>
      <xdr:col>25</xdr:col>
      <xdr:colOff>760459</xdr:colOff>
      <xdr:row>0</xdr:row>
      <xdr:rowOff>556103</xdr:rowOff>
    </xdr:to>
    <xdr:pic macro="[0]!ChamaForm_Menu">
      <xdr:nvPicPr>
        <xdr:cNvPr id="5" name="Imagem 4">
          <a:extLst>
            <a:ext uri="{FF2B5EF4-FFF2-40B4-BE49-F238E27FC236}">
              <a16:creationId xmlns:a16="http://schemas.microsoft.com/office/drawing/2014/main" id="{572956EC-F119-4C62-A62A-50401AE1438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169538" y="179391"/>
          <a:ext cx="362440" cy="362742"/>
        </a:xfrm>
        <a:prstGeom prst="rect">
          <a:avLst/>
        </a:prstGeom>
      </xdr:spPr>
    </xdr:pic>
    <xdr:clientData/>
  </xdr:twoCellAnchor>
  <xdr:twoCellAnchor editAs="absolute">
    <xdr:from>
      <xdr:col>1</xdr:col>
      <xdr:colOff>666572</xdr:colOff>
      <xdr:row>0</xdr:row>
      <xdr:rowOff>152400</xdr:rowOff>
    </xdr:from>
    <xdr:to>
      <xdr:col>5</xdr:col>
      <xdr:colOff>569224</xdr:colOff>
      <xdr:row>1</xdr:row>
      <xdr:rowOff>53340</xdr:rowOff>
    </xdr:to>
    <xdr:pic>
      <xdr:nvPicPr>
        <xdr:cNvPr id="6" name="Label1">
          <a:extLst>
            <a:ext uri="{FF2B5EF4-FFF2-40B4-BE49-F238E27FC236}">
              <a16:creationId xmlns:a16="http://schemas.microsoft.com/office/drawing/2014/main" id="{7F22C815-D01F-4C65-B2F6-62A7037C0F4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2478" y="152400"/>
          <a:ext cx="885055" cy="539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25</xdr:col>
      <xdr:colOff>1076482</xdr:colOff>
      <xdr:row>0</xdr:row>
      <xdr:rowOff>174625</xdr:rowOff>
    </xdr:from>
    <xdr:to>
      <xdr:col>25</xdr:col>
      <xdr:colOff>2156560</xdr:colOff>
      <xdr:row>1</xdr:row>
      <xdr:rowOff>98425</xdr:rowOff>
    </xdr:to>
    <xdr:pic>
      <xdr:nvPicPr>
        <xdr:cNvPr id="7" name="Label2">
          <a:extLst>
            <a:ext uri="{FF2B5EF4-FFF2-40B4-BE49-F238E27FC236}">
              <a16:creationId xmlns:a16="http://schemas.microsoft.com/office/drawing/2014/main" id="{B9E8E9CB-318B-40AE-867D-8E3CAD540029}"/>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850759" y="158750"/>
          <a:ext cx="1150752"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677887</xdr:colOff>
      <xdr:row>0</xdr:row>
      <xdr:rowOff>152400</xdr:rowOff>
    </xdr:from>
    <xdr:to>
      <xdr:col>5</xdr:col>
      <xdr:colOff>631512</xdr:colOff>
      <xdr:row>1</xdr:row>
      <xdr:rowOff>57150</xdr:rowOff>
    </xdr:to>
    <xdr:sp macro="" textlink="">
      <xdr:nvSpPr>
        <xdr:cNvPr id="2" name="Label1" hidden="1">
          <a:extLst>
            <a:ext uri="{63B3BB69-23CF-44E3-9099-C40C66FF867C}">
              <a14:compatExt xmlns:a14="http://schemas.microsoft.com/office/drawing/2010/main" spid="_x0000_s23553"/>
            </a:ext>
            <a:ext uri="{FF2B5EF4-FFF2-40B4-BE49-F238E27FC236}">
              <a16:creationId xmlns:a16="http://schemas.microsoft.com/office/drawing/2014/main" id="{0198B035-3D7C-41A1-BA8A-A3C2135B5A4D}"/>
            </a:ext>
          </a:extLst>
        </xdr:cNvPr>
        <xdr:cNvSpPr/>
      </xdr:nvSpPr>
      <xdr:spPr bwMode="auto">
        <a:xfrm>
          <a:off x="705018" y="152400"/>
          <a:ext cx="894580" cy="5334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1</xdr:col>
      <xdr:colOff>247491</xdr:colOff>
      <xdr:row>0</xdr:row>
      <xdr:rowOff>133511</xdr:rowOff>
    </xdr:from>
    <xdr:to>
      <xdr:col>1</xdr:col>
      <xdr:colOff>527050</xdr:colOff>
      <xdr:row>0</xdr:row>
      <xdr:rowOff>514668</xdr:rowOff>
    </xdr:to>
    <xdr:pic macro="[0]!ChamaForm_Menu">
      <xdr:nvPicPr>
        <xdr:cNvPr id="3" name="Imagem 2">
          <a:extLst>
            <a:ext uri="{FF2B5EF4-FFF2-40B4-BE49-F238E27FC236}">
              <a16:creationId xmlns:a16="http://schemas.microsoft.com/office/drawing/2014/main" id="{715824A2-A706-4638-9323-B9F2E30ADF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491" y="133511"/>
          <a:ext cx="324016" cy="381157"/>
        </a:xfrm>
        <a:prstGeom prst="rect">
          <a:avLst/>
        </a:prstGeom>
      </xdr:spPr>
    </xdr:pic>
    <xdr:clientData/>
  </xdr:twoCellAnchor>
  <xdr:twoCellAnchor editAs="absolute">
    <xdr:from>
      <xdr:col>40</xdr:col>
      <xdr:colOff>633</xdr:colOff>
      <xdr:row>0</xdr:row>
      <xdr:rowOff>190500</xdr:rowOff>
    </xdr:from>
    <xdr:to>
      <xdr:col>41</xdr:col>
      <xdr:colOff>504254</xdr:colOff>
      <xdr:row>1</xdr:row>
      <xdr:rowOff>114300</xdr:rowOff>
    </xdr:to>
    <xdr:sp macro="" textlink="">
      <xdr:nvSpPr>
        <xdr:cNvPr id="4" name="Label2" hidden="1">
          <a:extLst>
            <a:ext uri="{63B3BB69-23CF-44E3-9099-C40C66FF867C}">
              <a14:compatExt xmlns:a14="http://schemas.microsoft.com/office/drawing/2010/main" spid="_x0000_s23554"/>
            </a:ext>
            <a:ext uri="{FF2B5EF4-FFF2-40B4-BE49-F238E27FC236}">
              <a16:creationId xmlns:a16="http://schemas.microsoft.com/office/drawing/2014/main" id="{252B78D9-FFAF-4D49-AB82-C77E56372598}"/>
            </a:ext>
          </a:extLst>
        </xdr:cNvPr>
        <xdr:cNvSpPr/>
      </xdr:nvSpPr>
      <xdr:spPr bwMode="auto">
        <a:xfrm>
          <a:off x="29720654" y="190500"/>
          <a:ext cx="1161278" cy="5524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absolute">
    <xdr:from>
      <xdr:col>39</xdr:col>
      <xdr:colOff>2396858</xdr:colOff>
      <xdr:row>0</xdr:row>
      <xdr:rowOff>171136</xdr:rowOff>
    </xdr:from>
    <xdr:to>
      <xdr:col>39</xdr:col>
      <xdr:colOff>2739033</xdr:colOff>
      <xdr:row>0</xdr:row>
      <xdr:rowOff>552293</xdr:rowOff>
    </xdr:to>
    <xdr:pic macro="[0]!ChamaForm_Menu">
      <xdr:nvPicPr>
        <xdr:cNvPr id="5" name="Imagem 4">
          <a:extLst>
            <a:ext uri="{FF2B5EF4-FFF2-40B4-BE49-F238E27FC236}">
              <a16:creationId xmlns:a16="http://schemas.microsoft.com/office/drawing/2014/main" id="{A167728C-FE9C-4961-8A0F-4600029729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307004" y="171136"/>
          <a:ext cx="339000" cy="381157"/>
        </a:xfrm>
        <a:prstGeom prst="rect">
          <a:avLst/>
        </a:prstGeom>
      </xdr:spPr>
    </xdr:pic>
    <xdr:clientData/>
  </xdr:twoCellAnchor>
  <xdr:twoCellAnchor editAs="absolute">
    <xdr:from>
      <xdr:col>1</xdr:col>
      <xdr:colOff>677887</xdr:colOff>
      <xdr:row>0</xdr:row>
      <xdr:rowOff>152400</xdr:rowOff>
    </xdr:from>
    <xdr:to>
      <xdr:col>5</xdr:col>
      <xdr:colOff>631512</xdr:colOff>
      <xdr:row>1</xdr:row>
      <xdr:rowOff>57150</xdr:rowOff>
    </xdr:to>
    <xdr:pic>
      <xdr:nvPicPr>
        <xdr:cNvPr id="6" name="Label1">
          <a:extLst>
            <a:ext uri="{FF2B5EF4-FFF2-40B4-BE49-F238E27FC236}">
              <a16:creationId xmlns:a16="http://schemas.microsoft.com/office/drawing/2014/main" id="{3DDAB482-9563-46D5-B7E9-E3DA2731B95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5018" y="152400"/>
          <a:ext cx="894580" cy="533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40</xdr:col>
      <xdr:colOff>261291</xdr:colOff>
      <xdr:row>0</xdr:row>
      <xdr:rowOff>170815</xdr:rowOff>
    </xdr:from>
    <xdr:to>
      <xdr:col>41</xdr:col>
      <xdr:colOff>772005</xdr:colOff>
      <xdr:row>1</xdr:row>
      <xdr:rowOff>94615</xdr:rowOff>
    </xdr:to>
    <xdr:pic>
      <xdr:nvPicPr>
        <xdr:cNvPr id="7" name="Label2">
          <a:extLst>
            <a:ext uri="{FF2B5EF4-FFF2-40B4-BE49-F238E27FC236}">
              <a16:creationId xmlns:a16="http://schemas.microsoft.com/office/drawing/2014/main" id="{0E6CAA9A-7A7E-4E53-B739-0BE3D0273F7E}"/>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971643" y="170815"/>
          <a:ext cx="1171546"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0</xdr:rowOff>
    </xdr:from>
    <xdr:ext cx="2667000" cy="1238250"/>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667000" cy="123825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167640</xdr:colOff>
      <xdr:row>49</xdr:row>
      <xdr:rowOff>137160</xdr:rowOff>
    </xdr:from>
    <xdr:to>
      <xdr:col>5</xdr:col>
      <xdr:colOff>259080</xdr:colOff>
      <xdr:row>49</xdr:row>
      <xdr:rowOff>137160</xdr:rowOff>
    </xdr:to>
    <xdr:cxnSp macro="">
      <xdr:nvCxnSpPr>
        <xdr:cNvPr id="2" name="Conector reto 1">
          <a:extLst>
            <a:ext uri="{FF2B5EF4-FFF2-40B4-BE49-F238E27FC236}">
              <a16:creationId xmlns:a16="http://schemas.microsoft.com/office/drawing/2014/main" id="{00000000-0008-0000-0800-000002000000}"/>
            </a:ext>
          </a:extLst>
        </xdr:cNvPr>
        <xdr:cNvCxnSpPr/>
      </xdr:nvCxnSpPr>
      <xdr:spPr>
        <a:xfrm>
          <a:off x="396240" y="8717280"/>
          <a:ext cx="199644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487680</xdr:colOff>
      <xdr:row>49</xdr:row>
      <xdr:rowOff>137160</xdr:rowOff>
    </xdr:from>
    <xdr:to>
      <xdr:col>10</xdr:col>
      <xdr:colOff>472440</xdr:colOff>
      <xdr:row>49</xdr:row>
      <xdr:rowOff>137160</xdr:rowOff>
    </xdr:to>
    <xdr:cxnSp macro="">
      <xdr:nvCxnSpPr>
        <xdr:cNvPr id="3" name="Conector reto 2">
          <a:extLst>
            <a:ext uri="{FF2B5EF4-FFF2-40B4-BE49-F238E27FC236}">
              <a16:creationId xmlns:a16="http://schemas.microsoft.com/office/drawing/2014/main" id="{00000000-0008-0000-0800-000003000000}"/>
            </a:ext>
          </a:extLst>
        </xdr:cNvPr>
        <xdr:cNvCxnSpPr/>
      </xdr:nvCxnSpPr>
      <xdr:spPr>
        <a:xfrm>
          <a:off x="3665220" y="8717280"/>
          <a:ext cx="187452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53340</xdr:colOff>
      <xdr:row>1</xdr:row>
      <xdr:rowOff>91440</xdr:rowOff>
    </xdr:from>
    <xdr:ext cx="916651" cy="861060"/>
    <xdr:pic>
      <xdr:nvPicPr>
        <xdr:cNvPr id="4" name="Picture 28">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120640" y="198120"/>
          <a:ext cx="916651" cy="861060"/>
        </a:xfrm>
        <a:prstGeom prst="rect">
          <a:avLst/>
        </a:prstGeom>
        <a:noFill/>
        <a:ln w="9525">
          <a:noFill/>
          <a:miter lim="800000"/>
          <a:headEnd/>
          <a:tailEnd/>
        </a:ln>
      </xdr:spPr>
    </xdr:pic>
    <xdr:clientData/>
  </xdr:oneCellAnchor>
</xdr:wsDr>
</file>

<file path=xl/persons/person.xml><?xml version="1.0" encoding="utf-8"?>
<personList xmlns="http://schemas.microsoft.com/office/spreadsheetml/2018/threadedcomments" xmlns:x="http://schemas.openxmlformats.org/spreadsheetml/2006/main">
  <person displayName="Raquel Natal" id="{49C187D9-1178-400C-886A-19EE1A6CFCF0}" userId="S::raquel.natal@oggilive.com.br::f3015477-b818-433b-8586-68a055eeea22" providerId="AD"/>
  <person displayName="Peterson Lopes" id="{2373CDC6-BD81-45D8-93B8-D95E99BEE0C9}" userId="S::peterson.lopes@oggilive.com.br::41930df4-f126-4f37-a038-7094b32788cc" providerId="AD"/>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vertOverflow="clip" horzOverflow="clip" wrap="none" rtlCol="0" anchor="t">
        <a:noAutofit/>
      </a:bodyPr>
      <a:lstStyle>
        <a:defPPr algn="ctr">
          <a:defRPr sz="1600" b="0">
            <a:latin typeface="Abadi" panose="020B0604020104020204" pitchFamily="34" charset="0"/>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R39" dT="2025-12-02T12:57:51.48" personId="{2373CDC6-BD81-45D8-93B8-D95E99BEE0C9}" id="{1D61442E-4EEC-4053-9BB1-43342BED2003}">
    <text>Considerar 9 diárias de segurança. 6 para consul e 3 para Brastemp</text>
  </threadedComment>
  <threadedComment ref="U138" dT="2026-01-08T20:39:02.05" personId="{2373CDC6-BD81-45D8-93B8-D95E99BEE0C9}" id="{C5BB972D-FA84-44FF-B871-67EE0459927D}">
    <text>Valor Total dos 3 Eventos.</text>
  </threadedComment>
  <threadedComment ref="U139" dT="2026-01-08T20:40:09.92" personId="{2373CDC6-BD81-45D8-93B8-D95E99BEE0C9}" id="{868C0E16-BF92-4039-844A-AC6982F61FBE}">
    <text>Lançado no total de 234.000,00</text>
  </threadedComment>
  <threadedComment ref="U170" dT="2026-01-08T20:46:19.69" personId="{2373CDC6-BD81-45D8-93B8-D95E99BEE0C9}" id="{5DD93A97-1C66-401C-BA2F-EE05CE4ED9DB}">
    <text>18.000,00 Do App + 7.000,00 Cidinha.</text>
  </threadedComment>
</ThreadedComments>
</file>

<file path=xl/threadedComments/threadedComment2.xml><?xml version="1.0" encoding="utf-8"?>
<ThreadedComments xmlns="http://schemas.microsoft.com/office/spreadsheetml/2018/threadedcomments" xmlns:x="http://schemas.openxmlformats.org/spreadsheetml/2006/main">
  <threadedComment ref="H5" dT="2026-02-12T15:00:01.47" personId="{49C187D9-1178-400C-886A-19EE1A6CFCF0}" id="{554F6E31-AAB6-4D42-84EC-9AE645B8EDEB}">
    <text>Convidados + staff WHP somente de 26-27</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53871-0FBF-494C-8917-5A85D34C007B}">
  <dimension ref="A1:H44"/>
  <sheetViews>
    <sheetView showGridLines="0" tabSelected="1" topLeftCell="A40" zoomScaleNormal="100" workbookViewId="0">
      <selection activeCell="C44" sqref="C44:D44"/>
    </sheetView>
  </sheetViews>
  <sheetFormatPr defaultColWidth="8.6640625" defaultRowHeight="16.2" x14ac:dyDescent="0.35"/>
  <cols>
    <col min="1" max="1" width="8.6640625" style="1341"/>
    <col min="2" max="2" width="68.6640625" style="1341" bestFit="1" customWidth="1"/>
    <col min="3" max="3" width="22.88671875" style="1341" customWidth="1"/>
    <col min="4" max="4" width="21" style="1341" bestFit="1" customWidth="1"/>
    <col min="5" max="5" width="20.88671875" style="1342" bestFit="1" customWidth="1"/>
    <col min="6" max="6" width="11.88671875" style="1342" bestFit="1" customWidth="1"/>
    <col min="7" max="7" width="12.88671875" style="1341" bestFit="1" customWidth="1"/>
    <col min="8" max="8" width="17.33203125" style="1341" bestFit="1" customWidth="1"/>
    <col min="9" max="16384" width="8.6640625" style="1341"/>
  </cols>
  <sheetData>
    <row r="1" spans="1:5" s="1342" customFormat="1" hidden="1" x14ac:dyDescent="0.35">
      <c r="A1" s="1341"/>
      <c r="B1" s="1341"/>
      <c r="C1" s="1341"/>
      <c r="D1" s="1341"/>
    </row>
    <row r="2" spans="1:5" s="1342" customFormat="1" hidden="1" x14ac:dyDescent="0.35">
      <c r="A2" s="1341"/>
      <c r="B2" s="1341"/>
      <c r="C2" s="1341"/>
      <c r="D2" s="1341"/>
    </row>
    <row r="3" spans="1:5" s="1342" customFormat="1" hidden="1" x14ac:dyDescent="0.35">
      <c r="A3" s="1341"/>
      <c r="B3" s="1341"/>
      <c r="C3" s="1343">
        <v>45866</v>
      </c>
      <c r="D3" s="1344"/>
      <c r="E3" s="1457" t="e">
        <f>SUM(#REF!)</f>
        <v>#REF!</v>
      </c>
    </row>
    <row r="4" spans="1:5" s="1342" customFormat="1" ht="15.6" hidden="1" customHeight="1" thickBot="1" x14ac:dyDescent="0.4">
      <c r="A4" s="1341"/>
      <c r="B4" s="1341"/>
      <c r="C4" s="1345">
        <v>45867</v>
      </c>
      <c r="D4" s="1346"/>
      <c r="E4" s="1458"/>
    </row>
    <row r="5" spans="1:5" s="1342" customFormat="1" hidden="1" x14ac:dyDescent="0.35">
      <c r="A5" s="1341"/>
      <c r="B5" s="1341"/>
      <c r="C5" s="1347" t="s">
        <v>1616</v>
      </c>
      <c r="D5" s="1348"/>
    </row>
    <row r="6" spans="1:5" s="1342" customFormat="1" hidden="1" x14ac:dyDescent="0.35">
      <c r="A6" s="1341"/>
      <c r="B6" s="1341"/>
      <c r="C6" s="1347" t="s">
        <v>1617</v>
      </c>
      <c r="D6" s="1348"/>
    </row>
    <row r="7" spans="1:5" s="1342" customFormat="1" ht="16.8" hidden="1" thickBot="1" x14ac:dyDescent="0.4">
      <c r="A7" s="1341"/>
      <c r="B7" s="1341"/>
      <c r="C7" s="1349" t="s">
        <v>43</v>
      </c>
      <c r="D7" s="1350"/>
    </row>
    <row r="9" spans="1:5" s="1342" customFormat="1" x14ac:dyDescent="0.35">
      <c r="A9" s="1341" t="s">
        <v>155</v>
      </c>
      <c r="B9" s="1341"/>
      <c r="C9" s="1341"/>
      <c r="D9" s="1341"/>
    </row>
    <row r="10" spans="1:5" s="1342" customFormat="1" ht="24" customHeight="1" x14ac:dyDescent="0.35">
      <c r="A10" s="1341"/>
      <c r="B10" s="1341"/>
      <c r="C10" s="1341"/>
      <c r="D10" s="1341"/>
    </row>
    <row r="12" spans="1:5" s="1342" customFormat="1" ht="15" customHeight="1" x14ac:dyDescent="0.35">
      <c r="A12" s="1341"/>
      <c r="B12" s="1365" t="s">
        <v>245</v>
      </c>
      <c r="C12" s="1366"/>
      <c r="D12" s="1351"/>
    </row>
    <row r="13" spans="1:5" s="1342" customFormat="1" ht="15" customHeight="1" x14ac:dyDescent="0.35">
      <c r="A13" s="1341"/>
      <c r="B13" s="1367" t="s">
        <v>224</v>
      </c>
      <c r="C13" s="1368"/>
      <c r="D13" s="1351"/>
    </row>
    <row r="14" spans="1:5" s="1342" customFormat="1" ht="15" customHeight="1" x14ac:dyDescent="0.35">
      <c r="A14" s="1341"/>
      <c r="B14" s="1367" t="s">
        <v>246</v>
      </c>
      <c r="C14" s="1369"/>
      <c r="D14" s="1352"/>
    </row>
    <row r="15" spans="1:5" s="1342" customFormat="1" ht="15" customHeight="1" x14ac:dyDescent="0.35">
      <c r="A15" s="1341"/>
      <c r="B15" s="1367" t="s">
        <v>247</v>
      </c>
      <c r="C15" s="1369"/>
      <c r="D15" s="1352"/>
    </row>
    <row r="16" spans="1:5" s="1342" customFormat="1" ht="15" customHeight="1" x14ac:dyDescent="0.35">
      <c r="A16" s="1341"/>
      <c r="B16" s="1367" t="s">
        <v>248</v>
      </c>
      <c r="C16" s="1370"/>
      <c r="D16" s="1353"/>
    </row>
    <row r="17" spans="2:6" ht="15" customHeight="1" x14ac:dyDescent="0.35">
      <c r="B17" s="1367" t="s">
        <v>249</v>
      </c>
      <c r="C17" s="1369"/>
      <c r="D17" s="1352"/>
    </row>
    <row r="18" spans="2:6" ht="15" customHeight="1" x14ac:dyDescent="0.35">
      <c r="B18" s="1367" t="s">
        <v>177</v>
      </c>
      <c r="C18" s="1369"/>
      <c r="D18" s="1352"/>
    </row>
    <row r="19" spans="2:6" ht="15" customHeight="1" x14ac:dyDescent="0.35">
      <c r="B19" s="1371" t="s">
        <v>250</v>
      </c>
      <c r="C19" s="1372"/>
      <c r="D19" s="1352"/>
    </row>
    <row r="21" spans="2:6" ht="15.6" customHeight="1" x14ac:dyDescent="0.35">
      <c r="B21" s="1354"/>
      <c r="C21" s="1354" t="s">
        <v>1618</v>
      </c>
      <c r="D21" s="1354" t="s">
        <v>1619</v>
      </c>
      <c r="E21" s="1354" t="s">
        <v>799</v>
      </c>
    </row>
    <row r="22" spans="2:6" ht="15.6" customHeight="1" x14ac:dyDescent="0.35">
      <c r="B22" s="1355" t="s">
        <v>1621</v>
      </c>
      <c r="C22" s="1356">
        <f>'Convenção de Vendas'!N205</f>
        <v>5246248.8343298649</v>
      </c>
      <c r="D22" s="1356">
        <f>'Convenção de Vendas'!AN209</f>
        <v>3276773.6599999997</v>
      </c>
      <c r="E22" s="1724">
        <f>C22-D22</f>
        <v>1969475.1743298653</v>
      </c>
      <c r="F22" s="1357">
        <f>E22*100%/C22</f>
        <v>0.37540635919558668</v>
      </c>
    </row>
    <row r="23" spans="2:6" ht="15.6" customHeight="1" x14ac:dyDescent="0.35">
      <c r="B23" s="1355" t="s">
        <v>1622</v>
      </c>
      <c r="C23" s="1356">
        <f>'TOP CLUB + TOP TRADE'!N98</f>
        <v>428932.55098584737</v>
      </c>
      <c r="D23" s="1356">
        <f>'TOP CLUB + TOP TRADE'!AM101</f>
        <v>66804.83</v>
      </c>
      <c r="E23" s="1724">
        <f t="shared" ref="E23:E27" si="0">C23-D23</f>
        <v>362127.72098584735</v>
      </c>
      <c r="F23" s="1357">
        <f t="shared" ref="F23:F30" si="1">E23*100%/C23</f>
        <v>0.8442532984580966</v>
      </c>
    </row>
    <row r="24" spans="2:6" ht="15.6" customHeight="1" x14ac:dyDescent="0.35">
      <c r="B24" s="1355" t="s">
        <v>1623</v>
      </c>
      <c r="C24" s="1356">
        <f>'Convenção de Vendas_ EXTRAS PRÉ'!N105</f>
        <v>960271.06718035566</v>
      </c>
      <c r="D24" s="1356">
        <f>'Convenção de Vendas_ EXTRAS PRÉ'!Z105</f>
        <v>544400.04</v>
      </c>
      <c r="E24" s="1724">
        <f t="shared" si="0"/>
        <v>415871.02718035562</v>
      </c>
      <c r="F24" s="1357">
        <f t="shared" si="1"/>
        <v>0.43307670239558282</v>
      </c>
    </row>
    <row r="25" spans="2:6" ht="15.6" customHeight="1" x14ac:dyDescent="0.35">
      <c r="B25" s="1355" t="s">
        <v>1624</v>
      </c>
      <c r="C25" s="1356">
        <f>'Convenção de Vendas_ EXTRAS 2'!N84</f>
        <v>246307.99927422276</v>
      </c>
      <c r="D25" s="1356">
        <f>'Convenção de Vendas_ EXTRAS 2'!Z84</f>
        <v>11460</v>
      </c>
      <c r="E25" s="1724">
        <f t="shared" si="0"/>
        <v>234847.99927422276</v>
      </c>
      <c r="F25" s="1357">
        <f t="shared" si="1"/>
        <v>0.95347288746703995</v>
      </c>
    </row>
    <row r="26" spans="2:6" ht="15.6" customHeight="1" x14ac:dyDescent="0.35">
      <c r="B26" s="1355" t="s">
        <v>1625</v>
      </c>
      <c r="C26" s="1356">
        <f>'Coletiva de Imprensa'!N134</f>
        <v>318868.59725414298</v>
      </c>
      <c r="D26" s="1356">
        <f>'Coletiva de Imprensa'!AA134</f>
        <v>3564557.3400000003</v>
      </c>
      <c r="E26" s="1724">
        <f t="shared" si="0"/>
        <v>-3245688.7427458572</v>
      </c>
      <c r="F26" s="1357">
        <f t="shared" si="1"/>
        <v>-10.178765706925336</v>
      </c>
    </row>
    <row r="27" spans="2:6" ht="15.6" customHeight="1" x14ac:dyDescent="0.35">
      <c r="B27" s="1355" t="s">
        <v>1626</v>
      </c>
      <c r="C27" s="1356">
        <f>'Coletiva de Imprensa - EXTRAS'!N34</f>
        <v>59056.473378492796</v>
      </c>
      <c r="D27" s="1356">
        <f>'Coletiva de Imprensa - EXTRAS'!AA34</f>
        <v>30227.5</v>
      </c>
      <c r="E27" s="1724">
        <f t="shared" si="0"/>
        <v>28828.973378492796</v>
      </c>
      <c r="F27" s="1357">
        <f t="shared" si="1"/>
        <v>0.48815941300334637</v>
      </c>
    </row>
    <row r="28" spans="2:6" ht="15.6" customHeight="1" x14ac:dyDescent="0.35">
      <c r="B28" s="1355" t="s">
        <v>1627</v>
      </c>
      <c r="C28" s="1356">
        <f>'Lançamento de Produtos'!N162</f>
        <v>1733564.2174005082</v>
      </c>
      <c r="D28" s="1356">
        <f>'Lançamento de Produtos'!Z162</f>
        <v>169265.4</v>
      </c>
      <c r="E28" s="1724">
        <f>C28-D28</f>
        <v>1564298.8174005083</v>
      </c>
      <c r="F28" s="1357">
        <f>E28*100%/C28</f>
        <v>0.90235989050707643</v>
      </c>
    </row>
    <row r="29" spans="2:6" x14ac:dyDescent="0.35">
      <c r="B29" s="1355" t="s">
        <v>1628</v>
      </c>
      <c r="C29" s="1356">
        <v>0</v>
      </c>
      <c r="D29" s="1356">
        <v>0</v>
      </c>
      <c r="E29" s="1724">
        <v>0</v>
      </c>
      <c r="F29" s="1357" t="e">
        <f>E29*100%/C29</f>
        <v>#DIV/0!</v>
      </c>
    </row>
    <row r="30" spans="2:6" x14ac:dyDescent="0.35">
      <c r="B30" s="1354" t="s">
        <v>43</v>
      </c>
      <c r="C30" s="1358">
        <f>SUM(C22:C29)</f>
        <v>8993249.7398034353</v>
      </c>
      <c r="D30" s="1358">
        <f>SUM(D22:D29)</f>
        <v>7663488.7700000005</v>
      </c>
      <c r="E30" s="1358">
        <f>SUM(E22:E29)</f>
        <v>1329760.9698034348</v>
      </c>
      <c r="F30" s="1357">
        <f t="shared" si="1"/>
        <v>0.14786211973164878</v>
      </c>
    </row>
    <row r="32" spans="2:6" ht="200.1" hidden="1" customHeight="1" x14ac:dyDescent="0.35"/>
    <row r="33" spans="1:8" ht="30" customHeight="1" x14ac:dyDescent="0.35"/>
    <row r="35" spans="1:8" ht="16.8" thickBot="1" x14ac:dyDescent="0.4">
      <c r="A35" s="1722" t="s">
        <v>1636</v>
      </c>
      <c r="B35" s="1723">
        <f>SUM(C39:C43)</f>
        <v>8450000</v>
      </c>
    </row>
    <row r="36" spans="1:8" ht="21.9" customHeight="1" thickBot="1" x14ac:dyDescent="0.4">
      <c r="B36" s="1726" t="s">
        <v>1620</v>
      </c>
      <c r="C36" s="1727" t="s">
        <v>1618</v>
      </c>
      <c r="D36" s="1727" t="s">
        <v>1661</v>
      </c>
      <c r="E36" s="1727" t="s">
        <v>799</v>
      </c>
      <c r="F36" s="1728" t="s">
        <v>1662</v>
      </c>
    </row>
    <row r="37" spans="1:8" ht="24.9" customHeight="1" thickBot="1" x14ac:dyDescent="0.4">
      <c r="B37" s="1359" t="s">
        <v>1632</v>
      </c>
      <c r="C37" s="1360">
        <v>69217.25</v>
      </c>
      <c r="D37" s="1360">
        <f>C37*0.15</f>
        <v>10382.5875</v>
      </c>
      <c r="E37" s="1360">
        <f>C37-D37</f>
        <v>58834.662499999999</v>
      </c>
      <c r="F37" s="1361">
        <f>E37*100%/C37</f>
        <v>0.85</v>
      </c>
    </row>
    <row r="38" spans="1:8" ht="24.9" customHeight="1" thickBot="1" x14ac:dyDescent="0.4">
      <c r="B38" s="1359" t="s">
        <v>1633</v>
      </c>
      <c r="C38" s="1360">
        <v>126718.3</v>
      </c>
      <c r="D38" s="1360">
        <f>C38*0.15</f>
        <v>19007.744999999999</v>
      </c>
      <c r="E38" s="1360">
        <f t="shared" ref="E38" si="2">C38-D38</f>
        <v>107710.55500000001</v>
      </c>
      <c r="F38" s="1361">
        <f t="shared" ref="F38:F39" si="3">E38*100%/C38</f>
        <v>0.85000000000000009</v>
      </c>
    </row>
    <row r="39" spans="1:8" ht="24.9" customHeight="1" thickBot="1" x14ac:dyDescent="0.4">
      <c r="B39" s="1729" t="s">
        <v>1629</v>
      </c>
      <c r="C39" s="1730">
        <v>1573579.97</v>
      </c>
      <c r="D39" s="1731">
        <f>D30</f>
        <v>7663488.7700000005</v>
      </c>
      <c r="E39" s="1731">
        <f>B35-D39</f>
        <v>786511.22999999952</v>
      </c>
      <c r="F39" s="1732">
        <f t="shared" si="3"/>
        <v>0.49982285298153584</v>
      </c>
    </row>
    <row r="40" spans="1:8" ht="24.9" customHeight="1" thickBot="1" x14ac:dyDescent="0.4">
      <c r="B40" s="1729" t="s">
        <v>1630</v>
      </c>
      <c r="C40" s="1730">
        <v>1210508.94</v>
      </c>
      <c r="D40" s="1733"/>
      <c r="E40" s="1733"/>
      <c r="F40" s="1734"/>
    </row>
    <row r="41" spans="1:8" ht="24.9" customHeight="1" thickBot="1" x14ac:dyDescent="0.4">
      <c r="B41" s="1729" t="s">
        <v>1631</v>
      </c>
      <c r="C41" s="1730">
        <v>2237000</v>
      </c>
      <c r="D41" s="1733"/>
      <c r="E41" s="1733"/>
      <c r="F41" s="1734"/>
      <c r="H41" s="1374"/>
    </row>
    <row r="42" spans="1:8" ht="24.9" customHeight="1" thickBot="1" x14ac:dyDescent="0.4">
      <c r="B42" s="1729" t="s">
        <v>1634</v>
      </c>
      <c r="C42" s="1730">
        <v>2978911.09</v>
      </c>
      <c r="D42" s="1733"/>
      <c r="E42" s="1733"/>
      <c r="F42" s="1734"/>
    </row>
    <row r="43" spans="1:8" ht="24.9" customHeight="1" thickBot="1" x14ac:dyDescent="0.4">
      <c r="B43" s="1729" t="s">
        <v>1635</v>
      </c>
      <c r="C43" s="1730">
        <v>450000</v>
      </c>
      <c r="D43" s="1735"/>
      <c r="E43" s="1735"/>
      <c r="F43" s="1736"/>
    </row>
    <row r="44" spans="1:8" ht="20.25" customHeight="1" x14ac:dyDescent="0.35">
      <c r="B44" s="1362"/>
      <c r="C44" s="1363">
        <f>SUM(C37:C43)</f>
        <v>8645935.5500000007</v>
      </c>
      <c r="D44" s="1364">
        <f>SUM(D37:D43)</f>
        <v>7692879.1025</v>
      </c>
      <c r="E44" s="1725">
        <f>SUM(E37:E43)</f>
        <v>953056.44749999954</v>
      </c>
      <c r="F44" s="1721">
        <f>E44*100%/C44</f>
        <v>0.11023173166031748</v>
      </c>
    </row>
  </sheetData>
  <mergeCells count="4">
    <mergeCell ref="E3:E4"/>
    <mergeCell ref="D39:D43"/>
    <mergeCell ref="E39:E43"/>
    <mergeCell ref="F39:F43"/>
  </mergeCells>
  <phoneticPr fontId="22" type="noConversion"/>
  <pageMargins left="0.51181102362204722" right="0.51181102362204722" top="0.78740157480314965" bottom="0.78740157480314965" header="0.31496062992125984" footer="0.31496062992125984"/>
  <pageSetup paperSize="9" scale="85" orientation="landscape"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F2876-1F4C-47DE-BB0B-552273B64A58}">
  <sheetPr>
    <tabColor theme="2" tint="-0.749992370372631"/>
  </sheetPr>
  <dimension ref="D3:F63"/>
  <sheetViews>
    <sheetView topLeftCell="A34" workbookViewId="0">
      <selection activeCell="F63" sqref="F63"/>
    </sheetView>
  </sheetViews>
  <sheetFormatPr defaultRowHeight="14.4" x14ac:dyDescent="0.3"/>
  <cols>
    <col min="4" max="4" width="36.109375" bestFit="1" customWidth="1"/>
    <col min="5" max="5" width="14.33203125" style="64" bestFit="1" customWidth="1"/>
    <col min="6" max="6" width="23.5546875" bestFit="1" customWidth="1"/>
  </cols>
  <sheetData>
    <row r="3" spans="4:5" x14ac:dyDescent="0.3">
      <c r="D3" s="1339" t="s">
        <v>1523</v>
      </c>
      <c r="E3" s="1340" t="s">
        <v>9</v>
      </c>
    </row>
    <row r="4" spans="4:5" x14ac:dyDescent="0.3">
      <c r="D4" t="s">
        <v>1524</v>
      </c>
      <c r="E4" s="64">
        <v>307.44</v>
      </c>
    </row>
    <row r="5" spans="4:5" x14ac:dyDescent="0.3">
      <c r="D5" t="s">
        <v>1525</v>
      </c>
      <c r="E5" s="64">
        <v>307.89</v>
      </c>
    </row>
    <row r="6" spans="4:5" x14ac:dyDescent="0.3">
      <c r="D6" t="s">
        <v>1526</v>
      </c>
      <c r="E6" s="64">
        <v>290</v>
      </c>
    </row>
    <row r="7" spans="4:5" x14ac:dyDescent="0.3">
      <c r="D7" t="s">
        <v>1527</v>
      </c>
      <c r="E7" s="64">
        <v>3958.15</v>
      </c>
    </row>
    <row r="8" spans="4:5" x14ac:dyDescent="0.3">
      <c r="D8" t="s">
        <v>1528</v>
      </c>
      <c r="E8" s="64">
        <v>263.56</v>
      </c>
    </row>
    <row r="9" spans="4:5" x14ac:dyDescent="0.3">
      <c r="D9" t="s">
        <v>1529</v>
      </c>
      <c r="E9" s="64">
        <v>180.8</v>
      </c>
    </row>
    <row r="10" spans="4:5" x14ac:dyDescent="0.3">
      <c r="D10" t="s">
        <v>1530</v>
      </c>
      <c r="E10" s="64">
        <v>8000</v>
      </c>
    </row>
    <row r="11" spans="4:5" x14ac:dyDescent="0.3">
      <c r="D11" t="s">
        <v>1531</v>
      </c>
      <c r="E11" s="64">
        <v>9020.76</v>
      </c>
    </row>
    <row r="12" spans="4:5" x14ac:dyDescent="0.3">
      <c r="D12" t="s">
        <v>1532</v>
      </c>
      <c r="E12" s="64">
        <v>831.99</v>
      </c>
    </row>
    <row r="13" spans="4:5" x14ac:dyDescent="0.3">
      <c r="D13" t="s">
        <v>1533</v>
      </c>
      <c r="E13" s="64">
        <v>1383.64</v>
      </c>
    </row>
    <row r="14" spans="4:5" x14ac:dyDescent="0.3">
      <c r="D14" t="s">
        <v>1534</v>
      </c>
      <c r="E14" s="64">
        <v>4449.9799999999996</v>
      </c>
    </row>
    <row r="15" spans="4:5" x14ac:dyDescent="0.3">
      <c r="D15" t="s">
        <v>1531</v>
      </c>
      <c r="E15" s="64">
        <v>1986.47</v>
      </c>
    </row>
    <row r="16" spans="4:5" x14ac:dyDescent="0.3">
      <c r="D16" t="s">
        <v>1534</v>
      </c>
      <c r="E16" s="64">
        <v>44.64</v>
      </c>
    </row>
    <row r="17" spans="4:5" x14ac:dyDescent="0.3">
      <c r="D17" t="s">
        <v>659</v>
      </c>
      <c r="E17" s="64">
        <v>709.97</v>
      </c>
    </row>
    <row r="18" spans="4:5" x14ac:dyDescent="0.3">
      <c r="D18" t="s">
        <v>1535</v>
      </c>
      <c r="E18" s="64">
        <v>550</v>
      </c>
    </row>
    <row r="19" spans="4:5" x14ac:dyDescent="0.3">
      <c r="D19" t="s">
        <v>1536</v>
      </c>
      <c r="E19" s="64">
        <v>277.45999999999998</v>
      </c>
    </row>
    <row r="20" spans="4:5" x14ac:dyDescent="0.3">
      <c r="D20" t="s">
        <v>1537</v>
      </c>
      <c r="E20" s="64">
        <v>1523.94</v>
      </c>
    </row>
    <row r="21" spans="4:5" x14ac:dyDescent="0.3">
      <c r="D21" t="s">
        <v>1531</v>
      </c>
      <c r="E21" s="64">
        <v>3311.2</v>
      </c>
    </row>
    <row r="22" spans="4:5" x14ac:dyDescent="0.3">
      <c r="D22" t="s">
        <v>1528</v>
      </c>
      <c r="E22" s="64">
        <v>34.06</v>
      </c>
    </row>
    <row r="23" spans="4:5" x14ac:dyDescent="0.3">
      <c r="D23" t="s">
        <v>1538</v>
      </c>
      <c r="E23" s="64">
        <v>68</v>
      </c>
    </row>
    <row r="24" spans="4:5" x14ac:dyDescent="0.3">
      <c r="D24" t="s">
        <v>1528</v>
      </c>
      <c r="E24" s="64">
        <v>85</v>
      </c>
    </row>
    <row r="25" spans="4:5" x14ac:dyDescent="0.3">
      <c r="D25" t="s">
        <v>1528</v>
      </c>
      <c r="E25" s="64">
        <v>74.5</v>
      </c>
    </row>
    <row r="26" spans="4:5" x14ac:dyDescent="0.3">
      <c r="D26" t="s">
        <v>1531</v>
      </c>
      <c r="E26" s="64">
        <v>386.36</v>
      </c>
    </row>
    <row r="27" spans="4:5" x14ac:dyDescent="0.3">
      <c r="D27" t="s">
        <v>1528</v>
      </c>
      <c r="E27" s="64">
        <v>1121.04</v>
      </c>
    </row>
    <row r="28" spans="4:5" x14ac:dyDescent="0.3">
      <c r="D28" t="s">
        <v>1527</v>
      </c>
      <c r="E28" s="64">
        <v>2221.86</v>
      </c>
    </row>
    <row r="29" spans="4:5" x14ac:dyDescent="0.3">
      <c r="D29" t="s">
        <v>1539</v>
      </c>
      <c r="E29" s="64">
        <v>1936.29</v>
      </c>
    </row>
    <row r="30" spans="4:5" x14ac:dyDescent="0.3">
      <c r="D30" t="s">
        <v>1529</v>
      </c>
      <c r="E30" s="64">
        <v>2201.69</v>
      </c>
    </row>
    <row r="31" spans="4:5" x14ac:dyDescent="0.3">
      <c r="D31" t="s">
        <v>1528</v>
      </c>
      <c r="E31" s="64">
        <v>1320</v>
      </c>
    </row>
    <row r="32" spans="4:5" x14ac:dyDescent="0.3">
      <c r="D32" t="s">
        <v>1540</v>
      </c>
      <c r="E32" s="64">
        <v>2027.81</v>
      </c>
    </row>
    <row r="33" spans="4:5" x14ac:dyDescent="0.3">
      <c r="D33" t="s">
        <v>1537</v>
      </c>
      <c r="E33" s="64">
        <v>30.2</v>
      </c>
    </row>
    <row r="34" spans="4:5" x14ac:dyDescent="0.3">
      <c r="D34" t="s">
        <v>1541</v>
      </c>
      <c r="E34" s="64">
        <v>1997.33</v>
      </c>
    </row>
    <row r="35" spans="4:5" x14ac:dyDescent="0.3">
      <c r="D35" t="s">
        <v>1541</v>
      </c>
      <c r="E35" s="64">
        <v>1522</v>
      </c>
    </row>
    <row r="36" spans="4:5" x14ac:dyDescent="0.3">
      <c r="D36" t="s">
        <v>1531</v>
      </c>
      <c r="E36" s="64">
        <v>2811.82</v>
      </c>
    </row>
    <row r="37" spans="4:5" x14ac:dyDescent="0.3">
      <c r="D37" t="s">
        <v>1542</v>
      </c>
      <c r="E37" s="64">
        <v>2000</v>
      </c>
    </row>
    <row r="38" spans="4:5" x14ac:dyDescent="0.3">
      <c r="D38" t="s">
        <v>1531</v>
      </c>
      <c r="E38" s="64">
        <v>10000</v>
      </c>
    </row>
    <row r="39" spans="4:5" x14ac:dyDescent="0.3">
      <c r="D39" t="s">
        <v>1531</v>
      </c>
      <c r="E39" s="64">
        <v>10000</v>
      </c>
    </row>
    <row r="40" spans="4:5" x14ac:dyDescent="0.3">
      <c r="D40" t="s">
        <v>1544</v>
      </c>
      <c r="E40" s="64">
        <v>255.19</v>
      </c>
    </row>
    <row r="41" spans="4:5" x14ac:dyDescent="0.3">
      <c r="D41" t="s">
        <v>1551</v>
      </c>
      <c r="E41" s="64">
        <v>241</v>
      </c>
    </row>
    <row r="42" spans="4:5" x14ac:dyDescent="0.3">
      <c r="D42" t="s">
        <v>1551</v>
      </c>
      <c r="E42" s="64">
        <v>72.5</v>
      </c>
    </row>
    <row r="43" spans="4:5" x14ac:dyDescent="0.3">
      <c r="D43" t="s">
        <v>1563</v>
      </c>
      <c r="E43" s="64">
        <v>599</v>
      </c>
    </row>
    <row r="44" spans="4:5" x14ac:dyDescent="0.3">
      <c r="D44" t="s">
        <v>1564</v>
      </c>
      <c r="E44" s="64">
        <v>250</v>
      </c>
    </row>
    <row r="45" spans="4:5" x14ac:dyDescent="0.3">
      <c r="D45" t="s">
        <v>1566</v>
      </c>
      <c r="E45" s="64">
        <v>2500</v>
      </c>
    </row>
    <row r="46" spans="4:5" x14ac:dyDescent="0.3">
      <c r="D46" t="s">
        <v>1587</v>
      </c>
      <c r="E46" s="64">
        <v>12782.6</v>
      </c>
    </row>
    <row r="47" spans="4:5" x14ac:dyDescent="0.3">
      <c r="D47" t="s">
        <v>1588</v>
      </c>
      <c r="E47" s="64">
        <v>350</v>
      </c>
    </row>
    <row r="48" spans="4:5" x14ac:dyDescent="0.3">
      <c r="D48" t="s">
        <v>1589</v>
      </c>
      <c r="E48" s="64">
        <v>6000</v>
      </c>
    </row>
    <row r="49" spans="4:6" x14ac:dyDescent="0.3">
      <c r="D49" t="s">
        <v>1590</v>
      </c>
      <c r="E49" s="64">
        <v>554</v>
      </c>
    </row>
    <row r="50" spans="4:6" x14ac:dyDescent="0.3">
      <c r="D50" t="s">
        <v>1550</v>
      </c>
      <c r="E50" s="64">
        <v>199.24</v>
      </c>
    </row>
    <row r="51" spans="4:6" x14ac:dyDescent="0.3">
      <c r="D51" t="s">
        <v>1590</v>
      </c>
      <c r="E51" s="64">
        <v>376.4</v>
      </c>
    </row>
    <row r="52" spans="4:6" x14ac:dyDescent="0.3">
      <c r="D52" t="s">
        <v>1590</v>
      </c>
      <c r="E52" s="64">
        <v>450</v>
      </c>
    </row>
    <row r="53" spans="4:6" x14ac:dyDescent="0.3">
      <c r="D53" t="s">
        <v>1591</v>
      </c>
      <c r="E53" s="64">
        <v>179.8</v>
      </c>
    </row>
    <row r="54" spans="4:6" x14ac:dyDescent="0.3">
      <c r="D54" t="s">
        <v>1539</v>
      </c>
      <c r="E54" s="64">
        <v>3683.5</v>
      </c>
    </row>
    <row r="55" spans="4:6" x14ac:dyDescent="0.3">
      <c r="D55" t="s">
        <v>1534</v>
      </c>
      <c r="E55" s="64">
        <v>2558</v>
      </c>
    </row>
    <row r="56" spans="4:6" x14ac:dyDescent="0.3">
      <c r="D56" t="s">
        <v>1600</v>
      </c>
      <c r="E56" s="64">
        <f>2660+2760</f>
        <v>5420</v>
      </c>
    </row>
    <row r="57" spans="4:6" x14ac:dyDescent="0.3">
      <c r="D57" t="s">
        <v>1602</v>
      </c>
      <c r="E57" s="64">
        <v>9968.2000000000007</v>
      </c>
    </row>
    <row r="58" spans="4:6" x14ac:dyDescent="0.3">
      <c r="D58" t="s">
        <v>1531</v>
      </c>
      <c r="E58" s="64">
        <v>4019.3</v>
      </c>
    </row>
    <row r="59" spans="4:6" x14ac:dyDescent="0.3">
      <c r="D59" t="s">
        <v>1529</v>
      </c>
      <c r="E59" s="64">
        <v>34.270000000000003</v>
      </c>
    </row>
    <row r="60" spans="4:6" x14ac:dyDescent="0.3">
      <c r="D60" t="s">
        <v>1653</v>
      </c>
      <c r="E60" s="64">
        <v>480</v>
      </c>
    </row>
    <row r="61" spans="4:6" x14ac:dyDescent="0.3">
      <c r="D61" t="s">
        <v>1658</v>
      </c>
      <c r="E61" s="64">
        <v>2100</v>
      </c>
      <c r="F61" t="s">
        <v>1659</v>
      </c>
    </row>
    <row r="63" spans="4:6" x14ac:dyDescent="0.3">
      <c r="E63" s="1373">
        <f>SUM(E4:E62)</f>
        <v>130308.85000000002</v>
      </c>
    </row>
  </sheetData>
  <autoFilter ref="D3:E59" xr:uid="{E74F2876-1F4C-47DE-BB0B-552273B64A58}"/>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B9E09-8154-459A-AE62-6A4242823A27}">
  <sheetPr codeName="Planilha10">
    <tabColor theme="2" tint="-0.749992370372631"/>
    <pageSetUpPr autoPageBreaks="0" fitToPage="1"/>
  </sheetPr>
  <dimension ref="A1:AO211"/>
  <sheetViews>
    <sheetView showGridLines="0" topLeftCell="B1" zoomScale="40" zoomScaleNormal="40" workbookViewId="0">
      <pane ySplit="1" topLeftCell="A195" activePane="bottomLeft" state="frozen"/>
      <selection pane="bottomLeft" activeCell="AO205" sqref="AO205"/>
    </sheetView>
  </sheetViews>
  <sheetFormatPr defaultColWidth="8.88671875" defaultRowHeight="36.6" x14ac:dyDescent="0.7"/>
  <cols>
    <col min="1" max="1" width="8.109375" style="203" hidden="1" customWidth="1"/>
    <col min="2" max="2" width="15" style="203" customWidth="1"/>
    <col min="3" max="3" width="15.109375" style="203" hidden="1" customWidth="1"/>
    <col min="4" max="4" width="21.44140625" style="203" hidden="1" customWidth="1"/>
    <col min="5" max="5" width="18.109375" style="203" hidden="1" customWidth="1"/>
    <col min="6" max="6" width="37.109375" style="203" customWidth="1"/>
    <col min="7" max="7" width="85.88671875" style="203" customWidth="1"/>
    <col min="8" max="8" width="8.5546875" style="203" hidden="1" customWidth="1"/>
    <col min="9" max="9" width="7.5546875" style="203" hidden="1" customWidth="1"/>
    <col min="10" max="10" width="18.88671875" style="203" hidden="1" customWidth="1"/>
    <col min="11" max="11" width="44.5546875" style="203" bestFit="1" customWidth="1"/>
    <col min="12" max="12" width="40.33203125" style="203" bestFit="1" customWidth="1"/>
    <col min="13" max="13" width="40.6640625" style="203" bestFit="1" customWidth="1"/>
    <col min="14" max="14" width="46.109375" style="203" bestFit="1" customWidth="1"/>
    <col min="15" max="15" width="17.44140625" style="203" hidden="1" customWidth="1"/>
    <col min="16" max="16" width="27.88671875" style="203" hidden="1" customWidth="1"/>
    <col min="17" max="17" width="24.109375" style="203" hidden="1" customWidth="1"/>
    <col min="18" max="18" width="33.109375" style="203" hidden="1" customWidth="1"/>
    <col min="19" max="19" width="11.109375" style="205" customWidth="1"/>
    <col min="20" max="20" width="8.44140625" style="205" hidden="1" customWidth="1"/>
    <col min="21" max="21" width="44.5546875" style="203" hidden="1" customWidth="1"/>
    <col min="22" max="22" width="45.33203125" style="203" bestFit="1" customWidth="1"/>
    <col min="23" max="23" width="39.88671875" style="203" hidden="1" customWidth="1"/>
    <col min="24" max="24" width="9.88671875" style="203" hidden="1" customWidth="1"/>
    <col min="25" max="25" width="23.33203125" style="203" hidden="1" customWidth="1"/>
    <col min="26" max="26" width="45.33203125" style="203" bestFit="1" customWidth="1"/>
    <col min="27" max="27" width="46.109375" style="203" hidden="1" customWidth="1"/>
    <col min="28" max="28" width="39.5546875" style="203" hidden="1" customWidth="1"/>
    <col min="29" max="29" width="39.88671875" style="203" hidden="1" customWidth="1"/>
    <col min="30" max="30" width="38.6640625" style="203" hidden="1" customWidth="1"/>
    <col min="31" max="31" width="14.109375" style="203" hidden="1" customWidth="1"/>
    <col min="32" max="32" width="7.5546875" style="203" hidden="1" customWidth="1"/>
    <col min="33" max="33" width="6.88671875" style="203" hidden="1" customWidth="1"/>
    <col min="34" max="34" width="1.44140625" style="203" hidden="1" customWidth="1"/>
    <col min="35" max="35" width="14" style="203" hidden="1" customWidth="1"/>
    <col min="36" max="36" width="11.5546875" style="203" hidden="1" customWidth="1"/>
    <col min="37" max="37" width="6.44140625" style="203" hidden="1" customWidth="1"/>
    <col min="38" max="38" width="12.5546875" style="203" hidden="1" customWidth="1"/>
    <col min="39" max="39" width="44.5546875" style="1693" customWidth="1"/>
    <col min="40" max="40" width="42" style="1694" customWidth="1"/>
    <col min="41" max="41" width="146.109375" style="1695" bestFit="1" customWidth="1"/>
    <col min="42" max="16384" width="8.88671875" style="203"/>
  </cols>
  <sheetData>
    <row r="1" spans="1:40" ht="49.5" customHeight="1" x14ac:dyDescent="0.7">
      <c r="B1" s="204"/>
      <c r="C1" s="202"/>
      <c r="D1" s="202"/>
      <c r="F1" s="1511" t="s">
        <v>128</v>
      </c>
      <c r="G1" s="1511"/>
    </row>
    <row r="2" spans="1:40" x14ac:dyDescent="0.7">
      <c r="B2" s="205"/>
      <c r="D2" s="202"/>
      <c r="F2" s="1512" t="s">
        <v>0</v>
      </c>
      <c r="G2" s="1512"/>
    </row>
    <row r="3" spans="1:40" x14ac:dyDescent="0.7">
      <c r="B3" s="206"/>
      <c r="F3" s="207"/>
      <c r="G3" s="207"/>
    </row>
    <row r="4" spans="1:40" x14ac:dyDescent="0.7">
      <c r="F4" s="208" t="s">
        <v>245</v>
      </c>
      <c r="G4" s="209"/>
    </row>
    <row r="5" spans="1:40" x14ac:dyDescent="0.7">
      <c r="F5" s="210" t="s">
        <v>224</v>
      </c>
      <c r="G5" s="211"/>
    </row>
    <row r="6" spans="1:40" x14ac:dyDescent="0.7">
      <c r="D6" s="203" t="s">
        <v>155</v>
      </c>
      <c r="F6" s="210" t="s">
        <v>246</v>
      </c>
      <c r="G6" s="212"/>
    </row>
    <row r="7" spans="1:40" x14ac:dyDescent="0.7">
      <c r="F7" s="210" t="s">
        <v>247</v>
      </c>
      <c r="G7" s="212"/>
      <c r="J7" s="203" t="s">
        <v>225</v>
      </c>
    </row>
    <row r="8" spans="1:40" x14ac:dyDescent="0.7">
      <c r="F8" s="210" t="s">
        <v>248</v>
      </c>
      <c r="G8" s="213"/>
    </row>
    <row r="9" spans="1:40" x14ac:dyDescent="0.7">
      <c r="F9" s="210" t="s">
        <v>249</v>
      </c>
      <c r="G9" s="212"/>
      <c r="J9" s="203" t="s">
        <v>155</v>
      </c>
      <c r="M9" s="203">
        <v>0.80469999999999997</v>
      </c>
    </row>
    <row r="10" spans="1:40" x14ac:dyDescent="0.7">
      <c r="F10" s="210" t="s">
        <v>177</v>
      </c>
      <c r="G10" s="212"/>
      <c r="M10" s="203">
        <f>1-M9</f>
        <v>0.19530000000000003</v>
      </c>
    </row>
    <row r="11" spans="1:40" ht="37.200000000000003" thickBot="1" x14ac:dyDescent="0.75">
      <c r="F11" s="214" t="s">
        <v>250</v>
      </c>
      <c r="G11" s="215"/>
    </row>
    <row r="12" spans="1:40" ht="78" thickBot="1" x14ac:dyDescent="0.75">
      <c r="B12" s="216"/>
      <c r="L12" s="217">
        <v>0</v>
      </c>
      <c r="M12" s="218">
        <v>0</v>
      </c>
      <c r="S12" s="1513" t="s">
        <v>1</v>
      </c>
      <c r="T12" s="1514"/>
      <c r="U12" s="1514"/>
      <c r="V12" s="1515"/>
      <c r="W12" s="1516" t="s">
        <v>2</v>
      </c>
      <c r="X12" s="1517"/>
      <c r="Y12" s="1517"/>
      <c r="Z12" s="1518"/>
      <c r="AA12" s="219" t="s">
        <v>56</v>
      </c>
      <c r="AB12" s="220">
        <f>(1/(1-M14))-1</f>
        <v>0.20962864400629</v>
      </c>
      <c r="AE12" s="1519" t="s">
        <v>3</v>
      </c>
      <c r="AF12" s="1520"/>
      <c r="AG12" s="1521"/>
      <c r="AI12" s="1509" t="s">
        <v>58</v>
      </c>
      <c r="AJ12" s="1510"/>
      <c r="AL12" s="221" t="s">
        <v>71</v>
      </c>
      <c r="AM12" s="1696" t="s">
        <v>70</v>
      </c>
      <c r="AN12" s="1697"/>
    </row>
    <row r="13" spans="1:40" ht="37.200000000000003" thickBot="1" x14ac:dyDescent="0.75">
      <c r="A13" s="222" t="s">
        <v>4</v>
      </c>
      <c r="B13" s="223" t="s">
        <v>5</v>
      </c>
      <c r="C13" s="222" t="s">
        <v>6</v>
      </c>
      <c r="D13" s="222" t="s">
        <v>7</v>
      </c>
      <c r="E13" s="222" t="s">
        <v>8</v>
      </c>
      <c r="L13" s="217">
        <v>0.05</v>
      </c>
      <c r="M13" s="218">
        <v>0.82669999999999999</v>
      </c>
    </row>
    <row r="14" spans="1:40" ht="78" customHeight="1" thickBot="1" x14ac:dyDescent="0.75">
      <c r="A14" s="224">
        <v>0</v>
      </c>
      <c r="B14" s="225"/>
      <c r="C14" s="226"/>
      <c r="D14" s="227"/>
      <c r="E14" s="227"/>
      <c r="F14" s="228" t="s">
        <v>131</v>
      </c>
      <c r="G14" s="229" t="s">
        <v>132</v>
      </c>
      <c r="H14" s="230" t="s">
        <v>133</v>
      </c>
      <c r="I14" s="230" t="s">
        <v>134</v>
      </c>
      <c r="J14" s="231" t="s">
        <v>135</v>
      </c>
      <c r="K14" s="232" t="s">
        <v>9</v>
      </c>
      <c r="L14" s="233">
        <v>0.08</v>
      </c>
      <c r="M14" s="234">
        <f>1-M13</f>
        <v>0.17330000000000001</v>
      </c>
      <c r="N14" s="235" t="s">
        <v>129</v>
      </c>
      <c r="O14" s="236"/>
      <c r="P14" s="236"/>
      <c r="Q14" s="236"/>
      <c r="R14" s="236"/>
      <c r="S14" s="237" t="s">
        <v>136</v>
      </c>
      <c r="T14" s="238" t="s">
        <v>137</v>
      </c>
      <c r="U14" s="239" t="s">
        <v>138</v>
      </c>
      <c r="V14" s="240" t="s">
        <v>139</v>
      </c>
      <c r="W14" s="241" t="s">
        <v>140</v>
      </c>
      <c r="X14" s="242" t="s">
        <v>141</v>
      </c>
      <c r="Y14" s="243" t="s">
        <v>142</v>
      </c>
      <c r="Z14" s="243" t="s">
        <v>143</v>
      </c>
      <c r="AA14" s="244" t="s">
        <v>144</v>
      </c>
      <c r="AB14" s="245" t="s">
        <v>145</v>
      </c>
      <c r="AC14" s="246" t="s">
        <v>130</v>
      </c>
      <c r="AE14" s="247" t="s">
        <v>146</v>
      </c>
      <c r="AF14" s="248" t="s">
        <v>147</v>
      </c>
      <c r="AG14" s="248" t="s">
        <v>33</v>
      </c>
      <c r="AI14" s="249" t="s">
        <v>148</v>
      </c>
      <c r="AJ14" s="250" t="s">
        <v>149</v>
      </c>
      <c r="AK14" s="203" t="s">
        <v>150</v>
      </c>
      <c r="AL14" s="203" t="s">
        <v>150</v>
      </c>
      <c r="AM14" s="1698" t="s">
        <v>151</v>
      </c>
      <c r="AN14" s="1698" t="s">
        <v>152</v>
      </c>
    </row>
    <row r="15" spans="1:40" ht="60" customHeight="1" thickBot="1" x14ac:dyDescent="0.75">
      <c r="A15" s="227">
        <v>1</v>
      </c>
      <c r="B15" s="251">
        <v>1</v>
      </c>
      <c r="C15" s="252" t="s">
        <v>167</v>
      </c>
      <c r="D15" s="227"/>
      <c r="E15" s="227"/>
      <c r="F15" s="1463" t="s">
        <v>168</v>
      </c>
      <c r="G15" s="1464"/>
      <c r="H15" s="1464"/>
      <c r="I15" s="1464"/>
      <c r="J15" s="1464"/>
      <c r="K15" s="1464"/>
      <c r="L15" s="1464"/>
      <c r="M15" s="1464"/>
      <c r="N15" s="1508"/>
      <c r="O15" s="253"/>
      <c r="P15" s="253"/>
      <c r="Q15" s="253"/>
      <c r="R15" s="253"/>
      <c r="S15" s="1466" t="str">
        <f>IF(F15&lt;&gt;"",F15,"")</f>
        <v>INTERNO</v>
      </c>
      <c r="T15" s="1467"/>
      <c r="U15" s="1467"/>
      <c r="V15" s="1467"/>
      <c r="W15" s="1467"/>
      <c r="X15" s="1467"/>
      <c r="Y15" s="1467"/>
      <c r="Z15" s="1467"/>
      <c r="AA15" s="1468"/>
      <c r="AM15" s="1699"/>
      <c r="AN15" s="1700"/>
    </row>
    <row r="16" spans="1:40" ht="60" customHeight="1" x14ac:dyDescent="0.7">
      <c r="A16" s="227">
        <v>2</v>
      </c>
      <c r="B16" s="251" t="s">
        <v>170</v>
      </c>
      <c r="C16" s="252" t="s">
        <v>169</v>
      </c>
      <c r="D16" s="227"/>
      <c r="E16" s="227"/>
      <c r="F16" s="1469" t="s">
        <v>174</v>
      </c>
      <c r="G16" s="1470"/>
      <c r="H16" s="1470"/>
      <c r="I16" s="1470"/>
      <c r="J16" s="1470"/>
      <c r="K16" s="1471"/>
      <c r="L16" s="254" t="s">
        <v>171</v>
      </c>
      <c r="M16" s="255" t="s">
        <v>172</v>
      </c>
      <c r="N16" s="256" t="s">
        <v>129</v>
      </c>
      <c r="O16" s="257"/>
      <c r="P16" s="257"/>
      <c r="Q16" s="257"/>
      <c r="R16" s="257"/>
      <c r="S16" s="1472" t="str">
        <f>IF(F16&lt;&gt;"",F16,"")</f>
        <v>EQUIPE INTERNA</v>
      </c>
      <c r="T16" s="1473"/>
      <c r="U16" s="1473"/>
      <c r="V16" s="1473"/>
      <c r="W16" s="1473"/>
      <c r="X16" s="1473"/>
      <c r="Y16" s="1473"/>
      <c r="Z16" s="1473"/>
      <c r="AA16" s="1474"/>
      <c r="AB16" s="258" t="s">
        <v>173</v>
      </c>
      <c r="AC16" s="259" t="s">
        <v>130</v>
      </c>
      <c r="AM16" s="1701"/>
      <c r="AN16" s="1702"/>
    </row>
    <row r="17" spans="1:41" ht="150" customHeight="1" x14ac:dyDescent="0.7">
      <c r="A17" s="227">
        <v>3</v>
      </c>
      <c r="B17" s="251" t="s">
        <v>176</v>
      </c>
      <c r="C17" s="252" t="s">
        <v>175</v>
      </c>
      <c r="D17" s="227" t="s">
        <v>168</v>
      </c>
      <c r="E17" s="227" t="s">
        <v>179</v>
      </c>
      <c r="F17" s="260" t="s">
        <v>253</v>
      </c>
      <c r="G17" s="261" t="s">
        <v>1182</v>
      </c>
      <c r="H17" s="262">
        <v>1</v>
      </c>
      <c r="I17" s="262">
        <v>2</v>
      </c>
      <c r="J17" s="263">
        <v>17000</v>
      </c>
      <c r="K17" s="264">
        <f t="shared" ref="K17:K24" si="0">IF(F17&lt;&gt;"",H17*I17*J17,"")</f>
        <v>34000</v>
      </c>
      <c r="L17" s="264">
        <f>IF(K17&lt;&gt;"",IF(D17="INTERNO",0,K17*$L$14),"")</f>
        <v>0</v>
      </c>
      <c r="M17" s="263">
        <f t="shared" ref="M17:M24" si="1">IF(K17&lt;&gt;"",IF(E17="FAT.OGGI",SUM(K17:L17)*(1/(1-$M$14)-1),L17*(1/(1-$M$14)-1)),"")</f>
        <v>7127.3738962138596</v>
      </c>
      <c r="N17" s="265">
        <f t="shared" ref="N17:N24" si="2">SUM(K17:M17)</f>
        <v>41127.37389621386</v>
      </c>
      <c r="O17" s="203" t="s">
        <v>654</v>
      </c>
      <c r="P17" s="266" t="s">
        <v>621</v>
      </c>
      <c r="Q17" s="267" t="s">
        <v>76</v>
      </c>
      <c r="S17" s="268">
        <f t="shared" ref="S17:T19" si="3">IF(H17&lt;&gt;"",H17,"")</f>
        <v>1</v>
      </c>
      <c r="T17" s="269">
        <f t="shared" si="3"/>
        <v>2</v>
      </c>
      <c r="U17" s="270">
        <v>0</v>
      </c>
      <c r="V17" s="270">
        <f t="shared" ref="V17:V23" si="4">IF(S17&lt;&gt;"",S17*T17*U17,"")</f>
        <v>0</v>
      </c>
      <c r="W17" s="271">
        <f t="shared" ref="W17:W24" si="5">IF(S17&lt;&gt;"",K17-V17,"")</f>
        <v>34000</v>
      </c>
      <c r="X17" s="272">
        <f t="shared" ref="X17:X24" si="6">IF(S17&lt;&gt;"",0%,"")</f>
        <v>0</v>
      </c>
      <c r="Y17" s="273">
        <f t="shared" ref="Y17:Y24" si="7">IF(S17&lt;&gt;"",X17*W17,"")</f>
        <v>0</v>
      </c>
      <c r="Z17" s="273">
        <f t="shared" ref="Z17:Z24" si="8">IF(S17&lt;&gt;"",Y17+V17,"")</f>
        <v>0</v>
      </c>
      <c r="AA17" s="274">
        <f t="shared" ref="AA17:AA24" si="9">IF(S17&lt;&gt;"",Z17+M17,"")</f>
        <v>7127.3738962138596</v>
      </c>
      <c r="AB17" s="275">
        <f>IFERROR(IF(S17&lt;&gt;"",W17/K17,""),0)</f>
        <v>1</v>
      </c>
      <c r="AC17" s="276">
        <f t="shared" ref="AC17:AC24" si="10">V17/$V$25</f>
        <v>0</v>
      </c>
      <c r="AM17" s="1703">
        <f>Z17-AN17</f>
        <v>0</v>
      </c>
      <c r="AN17" s="1704"/>
    </row>
    <row r="18" spans="1:41" ht="150" customHeight="1" x14ac:dyDescent="0.7">
      <c r="A18" s="227">
        <v>4</v>
      </c>
      <c r="B18" s="251" t="s">
        <v>153</v>
      </c>
      <c r="C18" s="252" t="s">
        <v>175</v>
      </c>
      <c r="D18" s="227" t="s">
        <v>168</v>
      </c>
      <c r="E18" s="227" t="s">
        <v>179</v>
      </c>
      <c r="F18" s="260" t="s">
        <v>254</v>
      </c>
      <c r="G18" s="261" t="s">
        <v>1183</v>
      </c>
      <c r="H18" s="262">
        <v>1</v>
      </c>
      <c r="I18" s="262">
        <v>2</v>
      </c>
      <c r="J18" s="263">
        <v>14400</v>
      </c>
      <c r="K18" s="264">
        <f t="shared" si="0"/>
        <v>28800</v>
      </c>
      <c r="L18" s="264">
        <f>IF(K18&lt;&gt;"",IF(D18="INTERNO",0,K18*$L$14),"")</f>
        <v>0</v>
      </c>
      <c r="M18" s="263">
        <f t="shared" si="1"/>
        <v>6037.3049473811516</v>
      </c>
      <c r="N18" s="265">
        <f t="shared" si="2"/>
        <v>34837.304947381155</v>
      </c>
      <c r="O18" s="203" t="s">
        <v>654</v>
      </c>
      <c r="P18" s="266" t="s">
        <v>621</v>
      </c>
      <c r="Q18" s="267" t="s">
        <v>622</v>
      </c>
      <c r="R18" s="277"/>
      <c r="S18" s="268">
        <f t="shared" si="3"/>
        <v>1</v>
      </c>
      <c r="T18" s="269">
        <f t="shared" si="3"/>
        <v>2</v>
      </c>
      <c r="U18" s="270">
        <v>18000</v>
      </c>
      <c r="V18" s="270">
        <v>80295</v>
      </c>
      <c r="W18" s="278">
        <f t="shared" si="5"/>
        <v>-51495</v>
      </c>
      <c r="X18" s="272">
        <f t="shared" si="6"/>
        <v>0</v>
      </c>
      <c r="Y18" s="273">
        <f t="shared" si="7"/>
        <v>0</v>
      </c>
      <c r="Z18" s="273">
        <f t="shared" si="8"/>
        <v>80295</v>
      </c>
      <c r="AA18" s="274">
        <f t="shared" si="9"/>
        <v>86332.304947381155</v>
      </c>
      <c r="AB18" s="275">
        <f>IFERROR(IF(S18&lt;&gt;"",W18/K18,""),0)</f>
        <v>-1.7880208333333334</v>
      </c>
      <c r="AC18" s="276">
        <f t="shared" si="10"/>
        <v>0.22285645438170426</v>
      </c>
      <c r="AM18" s="1703">
        <f t="shared" ref="AM18:AM81" si="11">Z18-AN18</f>
        <v>0</v>
      </c>
      <c r="AN18" s="1704">
        <f>4400+4600+4900+27000+7095+14000+5800+8100+4400</f>
        <v>80295</v>
      </c>
      <c r="AO18" s="1695" t="s">
        <v>1597</v>
      </c>
    </row>
    <row r="19" spans="1:41" ht="150" customHeight="1" x14ac:dyDescent="0.7">
      <c r="A19" s="279">
        <v>5</v>
      </c>
      <c r="B19" s="251" t="s">
        <v>230</v>
      </c>
      <c r="C19" s="280" t="s">
        <v>175</v>
      </c>
      <c r="D19" s="279" t="s">
        <v>168</v>
      </c>
      <c r="E19" s="279" t="s">
        <v>179</v>
      </c>
      <c r="F19" s="260" t="s">
        <v>255</v>
      </c>
      <c r="G19" s="261" t="s">
        <v>1184</v>
      </c>
      <c r="H19" s="262">
        <v>1</v>
      </c>
      <c r="I19" s="262">
        <v>2</v>
      </c>
      <c r="J19" s="263">
        <v>16000</v>
      </c>
      <c r="K19" s="263">
        <f t="shared" si="0"/>
        <v>32000</v>
      </c>
      <c r="L19" s="263">
        <f t="shared" ref="L19:L24" si="12">IF(K19&lt;&gt;"",IF(D19="INTERNO",0,K19*$L$14),"")</f>
        <v>0</v>
      </c>
      <c r="M19" s="263">
        <f t="shared" si="1"/>
        <v>6708.1166082012796</v>
      </c>
      <c r="N19" s="281">
        <f t="shared" si="2"/>
        <v>38708.116608201279</v>
      </c>
      <c r="O19" s="203" t="s">
        <v>654</v>
      </c>
      <c r="P19" s="282" t="s">
        <v>623</v>
      </c>
      <c r="Q19" s="283" t="s">
        <v>624</v>
      </c>
      <c r="R19" s="277" t="s">
        <v>924</v>
      </c>
      <c r="S19" s="284">
        <f t="shared" si="3"/>
        <v>1</v>
      </c>
      <c r="T19" s="285">
        <f t="shared" si="3"/>
        <v>2</v>
      </c>
      <c r="U19" s="270">
        <v>12500</v>
      </c>
      <c r="V19" s="286">
        <v>52154.19</v>
      </c>
      <c r="W19" s="287">
        <f t="shared" si="5"/>
        <v>-20154.190000000002</v>
      </c>
      <c r="X19" s="288">
        <f t="shared" si="6"/>
        <v>0</v>
      </c>
      <c r="Y19" s="289">
        <f t="shared" si="7"/>
        <v>0</v>
      </c>
      <c r="Z19" s="273">
        <f t="shared" si="8"/>
        <v>52154.19</v>
      </c>
      <c r="AA19" s="290">
        <f t="shared" si="9"/>
        <v>58862.306608201281</v>
      </c>
      <c r="AB19" s="275">
        <f>IFERROR(IF(S19&lt;&gt;"",W19/K19,""),0)</f>
        <v>-0.62981843750000011</v>
      </c>
      <c r="AC19" s="276">
        <f t="shared" si="10"/>
        <v>0.14475244865246575</v>
      </c>
      <c r="AM19" s="1703">
        <f t="shared" si="11"/>
        <v>0</v>
      </c>
      <c r="AN19" s="1704">
        <f>6450+500+18000+7000+20000+204.19</f>
        <v>52154.19</v>
      </c>
      <c r="AO19" s="1695" t="s">
        <v>1596</v>
      </c>
    </row>
    <row r="20" spans="1:41" ht="150" customHeight="1" x14ac:dyDescent="0.7">
      <c r="A20" s="227">
        <v>6</v>
      </c>
      <c r="B20" s="251" t="s">
        <v>231</v>
      </c>
      <c r="C20" s="252" t="s">
        <v>175</v>
      </c>
      <c r="D20" s="279" t="s">
        <v>168</v>
      </c>
      <c r="E20" s="279" t="s">
        <v>179</v>
      </c>
      <c r="F20" s="260" t="s">
        <v>256</v>
      </c>
      <c r="G20" s="261" t="s">
        <v>1185</v>
      </c>
      <c r="H20" s="262">
        <v>1</v>
      </c>
      <c r="I20" s="262">
        <v>3</v>
      </c>
      <c r="J20" s="263">
        <v>15000</v>
      </c>
      <c r="K20" s="263">
        <f>IF(F20&lt;&gt;"",H20*I20*J20,"")</f>
        <v>45000</v>
      </c>
      <c r="L20" s="263">
        <f>IF(K20&lt;&gt;"",IF(D20="INTERNO",0,K20*$L$14),"")</f>
        <v>0</v>
      </c>
      <c r="M20" s="263">
        <f t="shared" si="1"/>
        <v>9433.2889802830505</v>
      </c>
      <c r="N20" s="281">
        <f>SUM(K20:M20)</f>
        <v>54433.288980283047</v>
      </c>
      <c r="O20" s="203" t="s">
        <v>654</v>
      </c>
      <c r="P20" s="282" t="s">
        <v>623</v>
      </c>
      <c r="Q20" s="283" t="s">
        <v>923</v>
      </c>
      <c r="S20" s="291">
        <f>IF(H20&lt;&gt;"",H20,"")</f>
        <v>1</v>
      </c>
      <c r="T20" s="292">
        <v>3</v>
      </c>
      <c r="U20" s="270">
        <v>5500</v>
      </c>
      <c r="V20" s="293">
        <v>14850</v>
      </c>
      <c r="W20" s="294">
        <f t="shared" si="5"/>
        <v>30150</v>
      </c>
      <c r="X20" s="295">
        <f>IF(S20&lt;&gt;"",0%,"")</f>
        <v>0</v>
      </c>
      <c r="Y20" s="296">
        <f>IF(S20&lt;&gt;"",X20*W20,"")</f>
        <v>0</v>
      </c>
      <c r="Z20" s="296">
        <f>IF(S20&lt;&gt;"",Y20+V20,"")</f>
        <v>14850</v>
      </c>
      <c r="AA20" s="290">
        <f t="shared" si="9"/>
        <v>24283.28898028305</v>
      </c>
      <c r="AB20" s="275">
        <f>IF(S20&lt;&gt;"", IFERROR(W20/K20, 0), 0)</f>
        <v>0.67</v>
      </c>
      <c r="AC20" s="276">
        <f t="shared" si="10"/>
        <v>4.1215746280195635E-2</v>
      </c>
      <c r="AM20" s="1703">
        <f t="shared" si="11"/>
        <v>0</v>
      </c>
      <c r="AN20" s="1704">
        <f>3850+5500+5500</f>
        <v>14850</v>
      </c>
      <c r="AO20" s="1695" t="s">
        <v>1606</v>
      </c>
    </row>
    <row r="21" spans="1:41" ht="150" customHeight="1" x14ac:dyDescent="0.7">
      <c r="A21" s="297">
        <v>7</v>
      </c>
      <c r="B21" s="251" t="s">
        <v>178</v>
      </c>
      <c r="C21" s="298" t="s">
        <v>175</v>
      </c>
      <c r="D21" s="279" t="s">
        <v>168</v>
      </c>
      <c r="E21" s="279" t="s">
        <v>179</v>
      </c>
      <c r="F21" s="260" t="s">
        <v>72</v>
      </c>
      <c r="G21" s="261" t="s">
        <v>1186</v>
      </c>
      <c r="H21" s="262">
        <v>1</v>
      </c>
      <c r="I21" s="262">
        <v>3</v>
      </c>
      <c r="J21" s="263">
        <v>15000</v>
      </c>
      <c r="K21" s="264">
        <f>IF(F21&lt;&gt;"",H21*I21*J21,"")</f>
        <v>45000</v>
      </c>
      <c r="L21" s="264">
        <f>IF(K21&lt;&gt;"",IF(D21="INTERNO",0,K21*$L$14),"")</f>
        <v>0</v>
      </c>
      <c r="M21" s="263">
        <f t="shared" si="1"/>
        <v>9433.2889802830505</v>
      </c>
      <c r="N21" s="265">
        <f>SUM(K21:M21)</f>
        <v>54433.288980283047</v>
      </c>
      <c r="O21" s="203" t="s">
        <v>654</v>
      </c>
      <c r="P21" s="282" t="s">
        <v>623</v>
      </c>
      <c r="Q21" s="283" t="s">
        <v>584</v>
      </c>
      <c r="S21" s="299">
        <f>IF(H21&lt;&gt;"",H21,"")</f>
        <v>1</v>
      </c>
      <c r="T21" s="300">
        <f>IF(I21&lt;&gt;"",I21,"")</f>
        <v>3</v>
      </c>
      <c r="U21" s="270">
        <v>16000</v>
      </c>
      <c r="V21" s="301">
        <v>92000</v>
      </c>
      <c r="W21" s="302">
        <f t="shared" si="5"/>
        <v>-47000</v>
      </c>
      <c r="X21" s="303">
        <f>IF(S21&lt;&gt;"",0%,"")</f>
        <v>0</v>
      </c>
      <c r="Y21" s="304">
        <f>IF(S21&lt;&gt;"",X21*W21,"")</f>
        <v>0</v>
      </c>
      <c r="Z21" s="304">
        <f>IF(S21&lt;&gt;"",Y21+V21,"")</f>
        <v>92000</v>
      </c>
      <c r="AA21" s="274">
        <f t="shared" si="9"/>
        <v>101433.28898028305</v>
      </c>
      <c r="AB21" s="275">
        <f>IF(S21&lt;&gt;"", IFERROR(W21/K21, 0), 0)</f>
        <v>-1.0444444444444445</v>
      </c>
      <c r="AC21" s="276">
        <f t="shared" si="10"/>
        <v>0.25534334395811437</v>
      </c>
      <c r="AM21" s="1703">
        <f t="shared" si="11"/>
        <v>0</v>
      </c>
      <c r="AN21" s="1704">
        <f>16000+16000+16000+16000+16000+12000</f>
        <v>92000</v>
      </c>
      <c r="AO21" s="1695" t="s">
        <v>1598</v>
      </c>
    </row>
    <row r="22" spans="1:41" ht="150" customHeight="1" x14ac:dyDescent="0.7">
      <c r="A22" s="305">
        <v>8</v>
      </c>
      <c r="B22" s="251" t="s">
        <v>236</v>
      </c>
      <c r="C22" s="306" t="s">
        <v>175</v>
      </c>
      <c r="D22" s="279" t="s">
        <v>168</v>
      </c>
      <c r="E22" s="279" t="s">
        <v>179</v>
      </c>
      <c r="F22" s="260" t="s">
        <v>257</v>
      </c>
      <c r="G22" s="307" t="s">
        <v>1187</v>
      </c>
      <c r="H22" s="262">
        <v>1</v>
      </c>
      <c r="I22" s="262">
        <v>3</v>
      </c>
      <c r="J22" s="263">
        <v>12000</v>
      </c>
      <c r="K22" s="308">
        <f>IF(F22&lt;&gt;"",H22*I22*J22,"")</f>
        <v>36000</v>
      </c>
      <c r="L22" s="308">
        <f>IF(K22&lt;&gt;"",IF(D22="INTERNO",0,K22*$L$14),"")</f>
        <v>0</v>
      </c>
      <c r="M22" s="263">
        <f t="shared" si="1"/>
        <v>7546.6311842264404</v>
      </c>
      <c r="N22" s="309">
        <f>SUM(K22:M22)</f>
        <v>43546.63118422644</v>
      </c>
      <c r="O22" s="203" t="s">
        <v>654</v>
      </c>
      <c r="P22" s="282" t="s">
        <v>623</v>
      </c>
      <c r="Q22" s="283" t="s">
        <v>625</v>
      </c>
      <c r="R22" s="277"/>
      <c r="S22" s="310">
        <f>IF(H22&lt;&gt;"",H22,"")</f>
        <v>1</v>
      </c>
      <c r="T22" s="311">
        <f>IF(I22&lt;&gt;"",I22,"")</f>
        <v>3</v>
      </c>
      <c r="U22" s="270">
        <v>15000</v>
      </c>
      <c r="V22" s="301">
        <v>95000</v>
      </c>
      <c r="W22" s="302">
        <f t="shared" ref="W22" si="13">IF(S22&lt;&gt;"",K22-V22,"")</f>
        <v>-59000</v>
      </c>
      <c r="X22" s="303">
        <f>IF(S22&lt;&gt;"",0%,"")</f>
        <v>0</v>
      </c>
      <c r="Y22" s="304">
        <f>IF(S22&lt;&gt;"",X22*W22,"")</f>
        <v>0</v>
      </c>
      <c r="Z22" s="304">
        <f>IF(S22&lt;&gt;"",Y22+V22,"")</f>
        <v>95000</v>
      </c>
      <c r="AA22" s="312">
        <f t="shared" si="9"/>
        <v>102546.63118422644</v>
      </c>
      <c r="AB22" s="275">
        <f>IFERROR(IF(S22&lt;&gt;"",W22/K22,""),0)</f>
        <v>-1.6388888888888888</v>
      </c>
      <c r="AC22" s="276">
        <f t="shared" si="10"/>
        <v>0.26366975734805287</v>
      </c>
      <c r="AM22" s="1703">
        <f t="shared" si="11"/>
        <v>0</v>
      </c>
      <c r="AN22" s="1704">
        <f>7000+15000+15000+15000+21000+15000+7000</f>
        <v>95000</v>
      </c>
      <c r="AO22" s="1695" t="s">
        <v>1608</v>
      </c>
    </row>
    <row r="23" spans="1:41" ht="150" customHeight="1" x14ac:dyDescent="0.7">
      <c r="A23" s="279">
        <v>9</v>
      </c>
      <c r="B23" s="251" t="s">
        <v>251</v>
      </c>
      <c r="C23" s="280" t="s">
        <v>175</v>
      </c>
      <c r="D23" s="279" t="s">
        <v>168</v>
      </c>
      <c r="E23" s="279" t="s">
        <v>179</v>
      </c>
      <c r="F23" s="260" t="s">
        <v>259</v>
      </c>
      <c r="G23" s="307" t="s">
        <v>1188</v>
      </c>
      <c r="H23" s="262">
        <v>1</v>
      </c>
      <c r="I23" s="262">
        <v>2</v>
      </c>
      <c r="J23" s="263">
        <v>10533</v>
      </c>
      <c r="K23" s="308">
        <f t="shared" si="0"/>
        <v>21066</v>
      </c>
      <c r="L23" s="308">
        <f t="shared" si="12"/>
        <v>0</v>
      </c>
      <c r="M23" s="263">
        <f t="shared" si="1"/>
        <v>4416.0370146365049</v>
      </c>
      <c r="N23" s="309">
        <f t="shared" si="2"/>
        <v>25482.037014636506</v>
      </c>
      <c r="O23" s="203" t="s">
        <v>654</v>
      </c>
      <c r="P23" s="282" t="s">
        <v>623</v>
      </c>
      <c r="Q23" s="283" t="s">
        <v>626</v>
      </c>
      <c r="S23" s="313">
        <f>IF(H23&lt;&gt;"",H23,"")</f>
        <v>1</v>
      </c>
      <c r="T23" s="314">
        <f>IF(I23&lt;&gt;"",I23,"")</f>
        <v>2</v>
      </c>
      <c r="U23" s="270">
        <v>13000</v>
      </c>
      <c r="V23" s="315">
        <f t="shared" si="4"/>
        <v>26000</v>
      </c>
      <c r="W23" s="316">
        <f t="shared" si="5"/>
        <v>-4934</v>
      </c>
      <c r="X23" s="317">
        <f t="shared" si="6"/>
        <v>0</v>
      </c>
      <c r="Y23" s="318">
        <f t="shared" si="7"/>
        <v>0</v>
      </c>
      <c r="Z23" s="318">
        <f t="shared" si="8"/>
        <v>26000</v>
      </c>
      <c r="AA23" s="312">
        <f t="shared" si="9"/>
        <v>30416.037014636506</v>
      </c>
      <c r="AB23" s="275">
        <f>IFERROR(IF(S23&lt;&gt;"",W23/K23,""),0)</f>
        <v>-0.23421627266685655</v>
      </c>
      <c r="AC23" s="276">
        <f t="shared" si="10"/>
        <v>7.2162249379467108E-2</v>
      </c>
      <c r="AM23" s="1703">
        <f t="shared" si="11"/>
        <v>0</v>
      </c>
      <c r="AN23" s="1704">
        <f>13000+13000</f>
        <v>26000</v>
      </c>
      <c r="AO23" s="1695" t="s">
        <v>1607</v>
      </c>
    </row>
    <row r="24" spans="1:41" ht="150" customHeight="1" x14ac:dyDescent="0.7">
      <c r="A24" s="227">
        <v>10</v>
      </c>
      <c r="B24" s="251" t="s">
        <v>252</v>
      </c>
      <c r="C24" s="252" t="s">
        <v>175</v>
      </c>
      <c r="D24" s="227" t="s">
        <v>168</v>
      </c>
      <c r="E24" s="227" t="s">
        <v>179</v>
      </c>
      <c r="F24" s="260" t="s">
        <v>258</v>
      </c>
      <c r="G24" s="261" t="s">
        <v>1189</v>
      </c>
      <c r="H24" s="262">
        <v>1</v>
      </c>
      <c r="I24" s="262">
        <v>3</v>
      </c>
      <c r="J24" s="263">
        <v>15000</v>
      </c>
      <c r="K24" s="264">
        <f t="shared" si="0"/>
        <v>45000</v>
      </c>
      <c r="L24" s="264">
        <f t="shared" si="12"/>
        <v>0</v>
      </c>
      <c r="M24" s="263">
        <f t="shared" si="1"/>
        <v>9433.2889802830505</v>
      </c>
      <c r="N24" s="265">
        <f t="shared" si="2"/>
        <v>54433.288980283047</v>
      </c>
      <c r="O24" s="203" t="s">
        <v>654</v>
      </c>
      <c r="P24" s="282" t="s">
        <v>623</v>
      </c>
      <c r="Q24" s="319" t="s">
        <v>958</v>
      </c>
      <c r="R24" s="277" t="s">
        <v>959</v>
      </c>
      <c r="S24" s="268">
        <f>IF(H24&lt;&gt;"",H24,"")</f>
        <v>1</v>
      </c>
      <c r="T24" s="269">
        <v>1</v>
      </c>
      <c r="U24" s="270">
        <f>(15000*2)+12000</f>
        <v>42000</v>
      </c>
      <c r="V24" s="270">
        <v>0</v>
      </c>
      <c r="W24" s="271">
        <f t="shared" si="5"/>
        <v>45000</v>
      </c>
      <c r="X24" s="272">
        <f t="shared" si="6"/>
        <v>0</v>
      </c>
      <c r="Y24" s="273">
        <f t="shared" si="7"/>
        <v>0</v>
      </c>
      <c r="Z24" s="273">
        <f t="shared" si="8"/>
        <v>0</v>
      </c>
      <c r="AA24" s="274">
        <f t="shared" si="9"/>
        <v>9433.2889802830505</v>
      </c>
      <c r="AB24" s="275">
        <f>IFERROR(IF(S24&lt;&gt;"",W24/K24,""),0)</f>
        <v>1</v>
      </c>
      <c r="AC24" s="276">
        <f t="shared" si="10"/>
        <v>0</v>
      </c>
      <c r="AM24" s="1703">
        <f t="shared" si="11"/>
        <v>0</v>
      </c>
      <c r="AN24" s="1704"/>
    </row>
    <row r="25" spans="1:41" ht="60" customHeight="1" thickBot="1" x14ac:dyDescent="0.75">
      <c r="A25" s="279">
        <v>11</v>
      </c>
      <c r="B25" s="251"/>
      <c r="C25" s="280" t="s">
        <v>183</v>
      </c>
      <c r="D25" s="279"/>
      <c r="E25" s="279"/>
      <c r="F25" s="1522" t="s">
        <v>185</v>
      </c>
      <c r="G25" s="1523"/>
      <c r="H25" s="1523"/>
      <c r="I25" s="1523"/>
      <c r="J25" s="1523"/>
      <c r="K25" s="320">
        <f>SUM(K17:K24)</f>
        <v>286866</v>
      </c>
      <c r="L25" s="320">
        <f>SUM(L17:L24)</f>
        <v>0</v>
      </c>
      <c r="M25" s="320">
        <f>SUM(M17:M24)</f>
        <v>60135.330591508377</v>
      </c>
      <c r="N25" s="321">
        <f>SUM(N17:N24)</f>
        <v>347001.33059150842</v>
      </c>
      <c r="O25" s="320"/>
      <c r="P25" s="320"/>
      <c r="Q25" s="320"/>
      <c r="R25" s="320"/>
      <c r="S25" s="1524">
        <f>SUM(S17:S24)</f>
        <v>8</v>
      </c>
      <c r="T25" s="1525"/>
      <c r="U25" s="1525"/>
      <c r="V25" s="322">
        <f>SUM(V17:V24)</f>
        <v>360299.19</v>
      </c>
      <c r="W25" s="323">
        <f>SUM(W17:W24)</f>
        <v>-73433.19</v>
      </c>
      <c r="X25" s="324">
        <f>SUM(X17:X24)</f>
        <v>0</v>
      </c>
      <c r="Y25" s="325"/>
      <c r="Z25" s="326">
        <f>SUM(Z17:Z24)</f>
        <v>360299.19</v>
      </c>
      <c r="AA25" s="327">
        <f>SUM(AA17:AA24)</f>
        <v>420434.52059150836</v>
      </c>
      <c r="AB25" s="328"/>
      <c r="AM25" s="1703"/>
      <c r="AN25" s="1704"/>
    </row>
    <row r="26" spans="1:41" ht="60" customHeight="1" thickBot="1" x14ac:dyDescent="0.75">
      <c r="A26" s="305">
        <v>12</v>
      </c>
      <c r="B26" s="251">
        <v>2</v>
      </c>
      <c r="C26" s="280" t="s">
        <v>167</v>
      </c>
      <c r="D26" s="279"/>
      <c r="E26" s="279"/>
      <c r="F26" s="1463" t="s">
        <v>260</v>
      </c>
      <c r="G26" s="1464"/>
      <c r="H26" s="1464"/>
      <c r="I26" s="1464"/>
      <c r="J26" s="1464"/>
      <c r="K26" s="1464"/>
      <c r="L26" s="1464"/>
      <c r="M26" s="1464"/>
      <c r="N26" s="1505"/>
      <c r="O26" s="253"/>
      <c r="P26" s="253"/>
      <c r="Q26" s="253"/>
      <c r="R26" s="253"/>
      <c r="S26" s="1466" t="str">
        <f>IF(F26&lt;&gt;"",F26,"")</f>
        <v>STAFF</v>
      </c>
      <c r="T26" s="1467"/>
      <c r="U26" s="1467"/>
      <c r="V26" s="1467"/>
      <c r="W26" s="1467"/>
      <c r="X26" s="1467"/>
      <c r="Y26" s="1467"/>
      <c r="Z26" s="1467"/>
      <c r="AA26" s="1468"/>
      <c r="AM26" s="1703">
        <f t="shared" si="11"/>
        <v>0</v>
      </c>
      <c r="AN26" s="1704"/>
    </row>
    <row r="27" spans="1:41" ht="60" customHeight="1" x14ac:dyDescent="0.7">
      <c r="A27" s="297">
        <v>13</v>
      </c>
      <c r="B27" s="251" t="s">
        <v>180</v>
      </c>
      <c r="C27" s="252" t="s">
        <v>169</v>
      </c>
      <c r="D27" s="227"/>
      <c r="E27" s="227"/>
      <c r="F27" s="1469" t="s">
        <v>260</v>
      </c>
      <c r="G27" s="1470"/>
      <c r="H27" s="1470"/>
      <c r="I27" s="1470"/>
      <c r="J27" s="1470"/>
      <c r="K27" s="1471"/>
      <c r="L27" s="254" t="s">
        <v>171</v>
      </c>
      <c r="M27" s="255" t="s">
        <v>172</v>
      </c>
      <c r="N27" s="256" t="s">
        <v>129</v>
      </c>
      <c r="O27" s="257"/>
      <c r="P27" s="257"/>
      <c r="Q27" s="257"/>
      <c r="R27" s="257"/>
      <c r="S27" s="1472" t="str">
        <f>IF(F27&lt;&gt;"",F27,"")</f>
        <v>STAFF</v>
      </c>
      <c r="T27" s="1473"/>
      <c r="U27" s="1473"/>
      <c r="V27" s="1473"/>
      <c r="W27" s="1473"/>
      <c r="X27" s="1473"/>
      <c r="Y27" s="1473"/>
      <c r="Z27" s="1473"/>
      <c r="AA27" s="1474"/>
      <c r="AB27" s="258" t="s">
        <v>173</v>
      </c>
      <c r="AC27" s="259" t="s">
        <v>130</v>
      </c>
      <c r="AM27" s="1703">
        <f t="shared" si="11"/>
        <v>0</v>
      </c>
      <c r="AN27" s="1704"/>
    </row>
    <row r="28" spans="1:41" ht="150" customHeight="1" x14ac:dyDescent="0.7">
      <c r="A28" s="227">
        <v>14</v>
      </c>
      <c r="B28" s="251" t="s">
        <v>181</v>
      </c>
      <c r="C28" s="252" t="s">
        <v>175</v>
      </c>
      <c r="D28" s="227" t="s">
        <v>182</v>
      </c>
      <c r="E28" s="329" t="s">
        <v>331</v>
      </c>
      <c r="F28" s="260" t="s">
        <v>278</v>
      </c>
      <c r="G28" s="261" t="s">
        <v>1190</v>
      </c>
      <c r="H28" s="330">
        <v>2</v>
      </c>
      <c r="I28" s="330">
        <v>2</v>
      </c>
      <c r="J28" s="263">
        <v>8000</v>
      </c>
      <c r="K28" s="263">
        <f t="shared" ref="K28" si="14">IF(F28&lt;&gt;"",H28*I28*J28,"")</f>
        <v>32000</v>
      </c>
      <c r="L28" s="263">
        <f t="shared" ref="L28" si="15">IF(K28&lt;&gt;"",IF(D28="INTERNO",0,K28*$L$14),"")</f>
        <v>2560</v>
      </c>
      <c r="M28" s="263">
        <f>IF(K28&lt;&gt;"",IF(E28="FAT.OGGI",SUM(K28:L28)*(1/(1-$M$14)-1),L28*(1/(1-$M$14)-1)),"")</f>
        <v>536.6493286561024</v>
      </c>
      <c r="N28" s="281">
        <f t="shared" ref="N28" si="16">SUM(K28:M28)</f>
        <v>35096.649328656102</v>
      </c>
      <c r="O28" s="203" t="s">
        <v>654</v>
      </c>
      <c r="P28" s="282" t="s">
        <v>623</v>
      </c>
      <c r="Q28" s="331" t="s">
        <v>627</v>
      </c>
      <c r="S28" s="284">
        <v>1</v>
      </c>
      <c r="T28" s="285">
        <v>3</v>
      </c>
      <c r="U28" s="270">
        <v>10666.6666</v>
      </c>
      <c r="V28" s="286">
        <v>52000</v>
      </c>
      <c r="W28" s="287">
        <f t="shared" ref="W28:W45" si="17">IF(S28&lt;&gt;"",K28-V28,"")</f>
        <v>-20000</v>
      </c>
      <c r="X28" s="288">
        <f t="shared" ref="X28" si="18">IF(S28&lt;&gt;"",0%,"")</f>
        <v>0</v>
      </c>
      <c r="Y28" s="289">
        <f t="shared" ref="Y28" si="19">IF(S28&lt;&gt;"",X28*W28,"")</f>
        <v>0</v>
      </c>
      <c r="Z28" s="296">
        <f t="shared" ref="Z28:Z45" si="20">IF(S28&lt;&gt;"",Y28+V28,"")</f>
        <v>52000</v>
      </c>
      <c r="AA28" s="290">
        <f t="shared" ref="AA28:AA45" si="21">IF(S28&lt;&gt;"",Z28+M28,"")</f>
        <v>52536.649328656102</v>
      </c>
      <c r="AB28" s="275">
        <f>IFERROR(IF(S28&lt;&gt;"",W28/K28,""),0)</f>
        <v>-0.625</v>
      </c>
      <c r="AC28" s="276">
        <f t="shared" ref="AC28:AC45" si="22">V28/$V$46</f>
        <v>9.6462365189670801E-2</v>
      </c>
      <c r="AM28" s="1703">
        <f t="shared" si="11"/>
        <v>0</v>
      </c>
      <c r="AN28" s="1704">
        <f>5000+10000+10000+10000+7000+10000</f>
        <v>52000</v>
      </c>
      <c r="AO28" s="1695" t="s">
        <v>1609</v>
      </c>
    </row>
    <row r="29" spans="1:41" ht="150" customHeight="1" x14ac:dyDescent="0.7">
      <c r="A29" s="227">
        <v>15</v>
      </c>
      <c r="B29" s="251" t="s">
        <v>261</v>
      </c>
      <c r="C29" s="252" t="s">
        <v>175</v>
      </c>
      <c r="D29" s="227" t="s">
        <v>182</v>
      </c>
      <c r="E29" s="329" t="s">
        <v>331</v>
      </c>
      <c r="F29" s="260" t="s">
        <v>279</v>
      </c>
      <c r="G29" s="261" t="s">
        <v>1191</v>
      </c>
      <c r="H29" s="262">
        <v>2</v>
      </c>
      <c r="I29" s="262">
        <v>2</v>
      </c>
      <c r="J29" s="263">
        <v>8000</v>
      </c>
      <c r="K29" s="263">
        <f t="shared" ref="K29:K45" si="23">IF(F29&lt;&gt;"",H29*I29*J29,"")</f>
        <v>32000</v>
      </c>
      <c r="L29" s="263">
        <f t="shared" ref="L29:L45" si="24">IF(K29&lt;&gt;"",IF(D29="INTERNO",0,K29*$L$14),"")</f>
        <v>2560</v>
      </c>
      <c r="M29" s="263">
        <f t="shared" ref="M29:M45" si="25">IF(K29&lt;&gt;"",IF(E29="FAT.OGGI",SUM(K29:L29)*(1/(1-$M$14)-1),L29*(1/(1-$M$14)-1)),0)</f>
        <v>536.6493286561024</v>
      </c>
      <c r="N29" s="281">
        <f t="shared" ref="N29:N45" si="26">SUM(K29:M29)</f>
        <v>35096.649328656102</v>
      </c>
      <c r="O29" s="203" t="s">
        <v>654</v>
      </c>
      <c r="P29" s="282" t="s">
        <v>623</v>
      </c>
      <c r="Q29" s="331" t="s">
        <v>628</v>
      </c>
      <c r="R29" s="332" t="s">
        <v>932</v>
      </c>
      <c r="S29" s="292">
        <v>1</v>
      </c>
      <c r="T29" s="292">
        <v>3</v>
      </c>
      <c r="U29" s="270">
        <v>7000</v>
      </c>
      <c r="V29" s="293">
        <v>0</v>
      </c>
      <c r="W29" s="294">
        <f t="shared" si="17"/>
        <v>32000</v>
      </c>
      <c r="X29" s="295">
        <f t="shared" ref="X29:X45" si="27">IF(S29&lt;&gt;"",0%,"")</f>
        <v>0</v>
      </c>
      <c r="Y29" s="296">
        <f t="shared" ref="Y29:Y45" si="28">IF(S29&lt;&gt;"",X29*W29,"")</f>
        <v>0</v>
      </c>
      <c r="Z29" s="296">
        <f t="shared" si="20"/>
        <v>0</v>
      </c>
      <c r="AA29" s="289">
        <f t="shared" si="21"/>
        <v>536.6493286561024</v>
      </c>
      <c r="AB29" s="276">
        <f t="shared" ref="AB29:AB45" si="29">IF(S29&lt;&gt;"", IFERROR(W29/K29, 0), 0)</f>
        <v>1</v>
      </c>
      <c r="AC29" s="276">
        <f t="shared" si="22"/>
        <v>0</v>
      </c>
      <c r="AM29" s="1703">
        <f t="shared" si="11"/>
        <v>0</v>
      </c>
      <c r="AN29" s="1704"/>
    </row>
    <row r="30" spans="1:41" ht="150" customHeight="1" x14ac:dyDescent="0.7">
      <c r="A30" s="227">
        <v>16</v>
      </c>
      <c r="B30" s="251" t="s">
        <v>262</v>
      </c>
      <c r="C30" s="252" t="s">
        <v>175</v>
      </c>
      <c r="D30" s="227" t="s">
        <v>182</v>
      </c>
      <c r="E30" s="329" t="s">
        <v>331</v>
      </c>
      <c r="F30" s="260" t="s">
        <v>280</v>
      </c>
      <c r="G30" s="261" t="s">
        <v>1192</v>
      </c>
      <c r="H30" s="262">
        <v>1</v>
      </c>
      <c r="I30" s="262">
        <v>2</v>
      </c>
      <c r="J30" s="263">
        <v>8000</v>
      </c>
      <c r="K30" s="263">
        <f t="shared" si="23"/>
        <v>16000</v>
      </c>
      <c r="L30" s="263">
        <f t="shared" si="24"/>
        <v>1280</v>
      </c>
      <c r="M30" s="263">
        <f t="shared" si="25"/>
        <v>268.3246643280512</v>
      </c>
      <c r="N30" s="281">
        <f t="shared" si="26"/>
        <v>17548.324664328051</v>
      </c>
      <c r="O30" s="203" t="s">
        <v>654</v>
      </c>
      <c r="P30" s="333" t="s">
        <v>623</v>
      </c>
      <c r="Q30" s="333" t="s">
        <v>928</v>
      </c>
      <c r="R30" s="334" t="s">
        <v>927</v>
      </c>
      <c r="S30" s="292">
        <f>IF(H30&lt;&gt;"",H30,"")</f>
        <v>1</v>
      </c>
      <c r="T30" s="292">
        <v>1</v>
      </c>
      <c r="U30" s="270">
        <v>16000</v>
      </c>
      <c r="V30" s="293">
        <v>30091</v>
      </c>
      <c r="W30" s="294">
        <f t="shared" si="17"/>
        <v>-14091</v>
      </c>
      <c r="X30" s="295">
        <f t="shared" si="27"/>
        <v>0</v>
      </c>
      <c r="Y30" s="296">
        <f t="shared" si="28"/>
        <v>0</v>
      </c>
      <c r="Z30" s="296">
        <f t="shared" si="20"/>
        <v>30091</v>
      </c>
      <c r="AA30" s="289">
        <f t="shared" si="21"/>
        <v>30359.324664328051</v>
      </c>
      <c r="AB30" s="276">
        <f t="shared" si="29"/>
        <v>-0.88068749999999996</v>
      </c>
      <c r="AC30" s="276">
        <f t="shared" si="22"/>
        <v>5.582017367158431E-2</v>
      </c>
      <c r="AM30" s="1703">
        <f t="shared" si="11"/>
        <v>0</v>
      </c>
      <c r="AN30" s="1704">
        <f>18000+12091</f>
        <v>30091</v>
      </c>
      <c r="AO30" s="1695" t="s">
        <v>1612</v>
      </c>
    </row>
    <row r="31" spans="1:41" ht="150" customHeight="1" x14ac:dyDescent="0.7">
      <c r="A31" s="227">
        <v>17</v>
      </c>
      <c r="B31" s="251" t="s">
        <v>263</v>
      </c>
      <c r="C31" s="252" t="s">
        <v>175</v>
      </c>
      <c r="D31" s="227" t="s">
        <v>182</v>
      </c>
      <c r="E31" s="329" t="s">
        <v>331</v>
      </c>
      <c r="F31" s="260" t="s">
        <v>281</v>
      </c>
      <c r="G31" s="261" t="s">
        <v>1193</v>
      </c>
      <c r="H31" s="330">
        <v>4</v>
      </c>
      <c r="I31" s="330">
        <v>7</v>
      </c>
      <c r="J31" s="263">
        <v>850</v>
      </c>
      <c r="K31" s="263">
        <f t="shared" si="23"/>
        <v>23800</v>
      </c>
      <c r="L31" s="263">
        <f t="shared" si="24"/>
        <v>1904</v>
      </c>
      <c r="M31" s="263">
        <f t="shared" si="25"/>
        <v>399.13293818797615</v>
      </c>
      <c r="N31" s="281">
        <f t="shared" si="26"/>
        <v>26103.132938187977</v>
      </c>
      <c r="O31" s="203" t="s">
        <v>654</v>
      </c>
      <c r="P31" s="282" t="s">
        <v>623</v>
      </c>
      <c r="Q31" s="331" t="s">
        <v>1103</v>
      </c>
      <c r="S31" s="292">
        <v>1</v>
      </c>
      <c r="T31" s="292">
        <v>1</v>
      </c>
      <c r="U31" s="270">
        <f>(800*9)+(800*9)+(800*8)</f>
        <v>20800</v>
      </c>
      <c r="V31" s="293">
        <v>22200</v>
      </c>
      <c r="W31" s="294">
        <f t="shared" si="17"/>
        <v>1600</v>
      </c>
      <c r="X31" s="295">
        <f t="shared" si="27"/>
        <v>0</v>
      </c>
      <c r="Y31" s="296">
        <f t="shared" si="28"/>
        <v>0</v>
      </c>
      <c r="Z31" s="296">
        <f t="shared" si="20"/>
        <v>22200</v>
      </c>
      <c r="AA31" s="289">
        <f t="shared" si="21"/>
        <v>22599.132938187977</v>
      </c>
      <c r="AB31" s="276">
        <f t="shared" si="29"/>
        <v>6.7226890756302518E-2</v>
      </c>
      <c r="AC31" s="276">
        <f t="shared" si="22"/>
        <v>4.1182009754051764E-2</v>
      </c>
      <c r="AM31" s="1703">
        <f t="shared" si="11"/>
        <v>0</v>
      </c>
      <c r="AN31" s="1704">
        <f>10400+1400+10400</f>
        <v>22200</v>
      </c>
      <c r="AO31" s="1695" t="s">
        <v>1613</v>
      </c>
    </row>
    <row r="32" spans="1:41" ht="150" customHeight="1" x14ac:dyDescent="0.7">
      <c r="A32" s="227">
        <v>18</v>
      </c>
      <c r="B32" s="251" t="s">
        <v>264</v>
      </c>
      <c r="C32" s="252" t="s">
        <v>175</v>
      </c>
      <c r="D32" s="227" t="s">
        <v>182</v>
      </c>
      <c r="E32" s="329" t="s">
        <v>331</v>
      </c>
      <c r="F32" s="260" t="s">
        <v>282</v>
      </c>
      <c r="G32" s="261" t="s">
        <v>1194</v>
      </c>
      <c r="H32" s="330">
        <v>2</v>
      </c>
      <c r="I32" s="330">
        <v>7</v>
      </c>
      <c r="J32" s="263">
        <v>850</v>
      </c>
      <c r="K32" s="263">
        <f t="shared" si="23"/>
        <v>11900</v>
      </c>
      <c r="L32" s="263">
        <f t="shared" si="24"/>
        <v>952</v>
      </c>
      <c r="M32" s="263">
        <f t="shared" si="25"/>
        <v>199.56646909398808</v>
      </c>
      <c r="N32" s="281">
        <f t="shared" si="26"/>
        <v>13051.566469093988</v>
      </c>
      <c r="O32" s="203" t="s">
        <v>654</v>
      </c>
      <c r="P32" s="282" t="s">
        <v>623</v>
      </c>
      <c r="Q32" s="331" t="s">
        <v>931</v>
      </c>
      <c r="R32" s="334" t="s">
        <v>930</v>
      </c>
      <c r="S32" s="292">
        <v>1</v>
      </c>
      <c r="T32" s="292">
        <v>1</v>
      </c>
      <c r="U32" s="270">
        <f>(800*11)+(800*6)</f>
        <v>13600</v>
      </c>
      <c r="V32" s="293">
        <v>16800</v>
      </c>
      <c r="W32" s="335">
        <f t="shared" si="17"/>
        <v>-4900</v>
      </c>
      <c r="X32" s="295">
        <f t="shared" si="27"/>
        <v>0</v>
      </c>
      <c r="Y32" s="296">
        <f t="shared" si="28"/>
        <v>0</v>
      </c>
      <c r="Z32" s="296">
        <f t="shared" si="20"/>
        <v>16800</v>
      </c>
      <c r="AA32" s="289">
        <f t="shared" si="21"/>
        <v>16999.566469093988</v>
      </c>
      <c r="AB32" s="276">
        <f t="shared" si="29"/>
        <v>-0.41176470588235292</v>
      </c>
      <c r="AC32" s="276">
        <f t="shared" si="22"/>
        <v>3.1164764138201337E-2</v>
      </c>
      <c r="AM32" s="1703">
        <f t="shared" si="11"/>
        <v>0</v>
      </c>
      <c r="AN32" s="1704">
        <f>4800+10400+1600</f>
        <v>16800</v>
      </c>
      <c r="AO32" s="1695" t="s">
        <v>1614</v>
      </c>
    </row>
    <row r="33" spans="1:41" ht="150" customHeight="1" x14ac:dyDescent="0.7">
      <c r="A33" s="227">
        <v>19</v>
      </c>
      <c r="B33" s="251" t="s">
        <v>265</v>
      </c>
      <c r="C33" s="252" t="s">
        <v>175</v>
      </c>
      <c r="D33" s="227" t="s">
        <v>182</v>
      </c>
      <c r="E33" s="329" t="s">
        <v>331</v>
      </c>
      <c r="F33" s="260" t="s">
        <v>283</v>
      </c>
      <c r="G33" s="261" t="s">
        <v>1195</v>
      </c>
      <c r="H33" s="330">
        <v>5</v>
      </c>
      <c r="I33" s="330">
        <v>6</v>
      </c>
      <c r="J33" s="263">
        <v>750</v>
      </c>
      <c r="K33" s="263">
        <f t="shared" si="23"/>
        <v>22500</v>
      </c>
      <c r="L33" s="263">
        <f t="shared" si="24"/>
        <v>1800</v>
      </c>
      <c r="M33" s="263">
        <f t="shared" si="25"/>
        <v>377.33155921132197</v>
      </c>
      <c r="N33" s="281">
        <f t="shared" si="26"/>
        <v>24677.331559211321</v>
      </c>
      <c r="O33" s="203" t="s">
        <v>654</v>
      </c>
      <c r="P33" s="282" t="s">
        <v>623</v>
      </c>
      <c r="Q33" s="331" t="s">
        <v>1104</v>
      </c>
      <c r="R33" s="334" t="s">
        <v>1105</v>
      </c>
      <c r="S33" s="292">
        <v>1</v>
      </c>
      <c r="T33" s="292">
        <v>1</v>
      </c>
      <c r="U33" s="270">
        <f>(800*8)+(800*6)+(800*6)+(700*8)+500</f>
        <v>22100</v>
      </c>
      <c r="V33" s="293">
        <v>70500</v>
      </c>
      <c r="W33" s="294">
        <f t="shared" si="17"/>
        <v>-48000</v>
      </c>
      <c r="X33" s="295">
        <f t="shared" si="27"/>
        <v>0</v>
      </c>
      <c r="Y33" s="296">
        <f t="shared" si="28"/>
        <v>0</v>
      </c>
      <c r="Z33" s="296">
        <v>70500</v>
      </c>
      <c r="AA33" s="289">
        <f t="shared" si="21"/>
        <v>70877.331559211321</v>
      </c>
      <c r="AB33" s="276">
        <f t="shared" si="29"/>
        <v>-2.1333333333333333</v>
      </c>
      <c r="AC33" s="276">
        <f t="shared" si="22"/>
        <v>0.13078070665138061</v>
      </c>
      <c r="AM33" s="1703">
        <f t="shared" si="11"/>
        <v>0</v>
      </c>
      <c r="AN33" s="1704">
        <f>4700+14700+15000+6400+5000+3900+6400+8000+4800+1600</f>
        <v>70500</v>
      </c>
      <c r="AO33" s="1695" t="s">
        <v>1654</v>
      </c>
    </row>
    <row r="34" spans="1:41" ht="150" customHeight="1" x14ac:dyDescent="0.7">
      <c r="A34" s="227">
        <v>20</v>
      </c>
      <c r="B34" s="251" t="s">
        <v>266</v>
      </c>
      <c r="C34" s="252" t="s">
        <v>175</v>
      </c>
      <c r="D34" s="227" t="s">
        <v>182</v>
      </c>
      <c r="E34" s="329" t="s">
        <v>331</v>
      </c>
      <c r="F34" s="260" t="s">
        <v>284</v>
      </c>
      <c r="G34" s="336" t="s">
        <v>1196</v>
      </c>
      <c r="H34" s="330">
        <v>7</v>
      </c>
      <c r="I34" s="330">
        <v>6</v>
      </c>
      <c r="J34" s="263">
        <v>750</v>
      </c>
      <c r="K34" s="263">
        <f t="shared" si="23"/>
        <v>31500</v>
      </c>
      <c r="L34" s="263">
        <f t="shared" si="24"/>
        <v>2520</v>
      </c>
      <c r="M34" s="263">
        <f t="shared" si="25"/>
        <v>528.26418289585081</v>
      </c>
      <c r="N34" s="281">
        <f t="shared" si="26"/>
        <v>34548.264182895851</v>
      </c>
      <c r="O34" s="203" t="s">
        <v>654</v>
      </c>
      <c r="P34" s="282" t="s">
        <v>623</v>
      </c>
      <c r="Q34" s="331" t="s">
        <v>1106</v>
      </c>
      <c r="R34" s="332" t="s">
        <v>935</v>
      </c>
      <c r="S34" s="292">
        <f t="shared" ref="S34:T45" si="30">IF(H34&lt;&gt;"",H34,"")</f>
        <v>7</v>
      </c>
      <c r="T34" s="292">
        <f t="shared" si="30"/>
        <v>6</v>
      </c>
      <c r="U34" s="270">
        <v>700</v>
      </c>
      <c r="V34" s="293">
        <v>27540</v>
      </c>
      <c r="W34" s="294">
        <f t="shared" si="17"/>
        <v>3960</v>
      </c>
      <c r="X34" s="295">
        <f t="shared" si="27"/>
        <v>0</v>
      </c>
      <c r="Y34" s="296">
        <f t="shared" si="28"/>
        <v>0</v>
      </c>
      <c r="Z34" s="296">
        <f>IF(S34&lt;&gt;"",Y34+V34,"")</f>
        <v>27540</v>
      </c>
      <c r="AA34" s="289">
        <f t="shared" si="21"/>
        <v>28068.264182895851</v>
      </c>
      <c r="AB34" s="276">
        <f t="shared" si="29"/>
        <v>0.12571428571428572</v>
      </c>
      <c r="AC34" s="276">
        <f t="shared" si="22"/>
        <v>5.1087952640837188E-2</v>
      </c>
      <c r="AM34" s="1703">
        <f t="shared" si="11"/>
        <v>0</v>
      </c>
      <c r="AN34" s="1704">
        <f>4800+3900+3900+4800+10140</f>
        <v>27540</v>
      </c>
      <c r="AO34" s="1695" t="s">
        <v>1639</v>
      </c>
    </row>
    <row r="35" spans="1:41" ht="150" customHeight="1" x14ac:dyDescent="0.7">
      <c r="A35" s="227">
        <v>21</v>
      </c>
      <c r="B35" s="251" t="s">
        <v>267</v>
      </c>
      <c r="C35" s="252" t="s">
        <v>175</v>
      </c>
      <c r="D35" s="227" t="s">
        <v>182</v>
      </c>
      <c r="E35" s="329" t="s">
        <v>331</v>
      </c>
      <c r="F35" s="260" t="s">
        <v>285</v>
      </c>
      <c r="G35" s="336" t="s">
        <v>1197</v>
      </c>
      <c r="H35" s="330">
        <v>4</v>
      </c>
      <c r="I35" s="330">
        <v>3</v>
      </c>
      <c r="J35" s="337">
        <v>450</v>
      </c>
      <c r="K35" s="263">
        <f t="shared" si="23"/>
        <v>5400</v>
      </c>
      <c r="L35" s="263">
        <f t="shared" si="24"/>
        <v>432</v>
      </c>
      <c r="M35" s="263">
        <f t="shared" si="25"/>
        <v>90.559574210717273</v>
      </c>
      <c r="N35" s="281">
        <f t="shared" si="26"/>
        <v>5922.5595742107171</v>
      </c>
      <c r="O35" s="203" t="s">
        <v>654</v>
      </c>
      <c r="P35" s="282" t="s">
        <v>623</v>
      </c>
      <c r="Q35" s="331" t="s">
        <v>934</v>
      </c>
      <c r="R35" s="332" t="s">
        <v>935</v>
      </c>
      <c r="S35" s="292">
        <f t="shared" si="30"/>
        <v>4</v>
      </c>
      <c r="T35" s="292">
        <f t="shared" si="30"/>
        <v>3</v>
      </c>
      <c r="U35" s="270">
        <v>370</v>
      </c>
      <c r="V35" s="293">
        <v>4550</v>
      </c>
      <c r="W35" s="294">
        <f t="shared" si="17"/>
        <v>850</v>
      </c>
      <c r="X35" s="295">
        <f t="shared" si="27"/>
        <v>0</v>
      </c>
      <c r="Y35" s="296">
        <f t="shared" si="28"/>
        <v>0</v>
      </c>
      <c r="Z35" s="296">
        <f t="shared" si="20"/>
        <v>4550</v>
      </c>
      <c r="AA35" s="289">
        <f t="shared" si="21"/>
        <v>4640.5595742107171</v>
      </c>
      <c r="AB35" s="276">
        <f t="shared" si="29"/>
        <v>0.15740740740740741</v>
      </c>
      <c r="AC35" s="276">
        <f t="shared" si="22"/>
        <v>8.4404569540961951E-3</v>
      </c>
      <c r="AM35" s="1703">
        <f t="shared" si="11"/>
        <v>0</v>
      </c>
      <c r="AN35" s="1704">
        <v>4550</v>
      </c>
      <c r="AO35" s="1695" t="s">
        <v>1611</v>
      </c>
    </row>
    <row r="36" spans="1:41" ht="150" customHeight="1" x14ac:dyDescent="0.7">
      <c r="A36" s="227">
        <v>22</v>
      </c>
      <c r="B36" s="251" t="s">
        <v>268</v>
      </c>
      <c r="C36" s="252" t="s">
        <v>175</v>
      </c>
      <c r="D36" s="227" t="s">
        <v>182</v>
      </c>
      <c r="E36" s="329" t="s">
        <v>331</v>
      </c>
      <c r="F36" s="260" t="s">
        <v>286</v>
      </c>
      <c r="G36" s="336" t="s">
        <v>1198</v>
      </c>
      <c r="H36" s="330">
        <v>3</v>
      </c>
      <c r="I36" s="330">
        <v>3</v>
      </c>
      <c r="J36" s="337">
        <v>450</v>
      </c>
      <c r="K36" s="263">
        <f t="shared" si="23"/>
        <v>4050</v>
      </c>
      <c r="L36" s="263">
        <f t="shared" si="24"/>
        <v>324</v>
      </c>
      <c r="M36" s="263">
        <f t="shared" si="25"/>
        <v>67.919680658037962</v>
      </c>
      <c r="N36" s="281">
        <f t="shared" si="26"/>
        <v>4441.9196806580376</v>
      </c>
      <c r="O36" s="203" t="s">
        <v>654</v>
      </c>
      <c r="P36" s="282" t="s">
        <v>623</v>
      </c>
      <c r="Q36" s="338" t="s">
        <v>1107</v>
      </c>
      <c r="R36" s="332" t="s">
        <v>935</v>
      </c>
      <c r="S36" s="292">
        <f t="shared" si="30"/>
        <v>3</v>
      </c>
      <c r="T36" s="292">
        <f t="shared" si="30"/>
        <v>3</v>
      </c>
      <c r="U36" s="270">
        <v>370</v>
      </c>
      <c r="V36" s="293">
        <v>13409.34</v>
      </c>
      <c r="W36" s="294">
        <f t="shared" si="17"/>
        <v>-9359.34</v>
      </c>
      <c r="X36" s="295">
        <f t="shared" si="27"/>
        <v>0</v>
      </c>
      <c r="Y36" s="296">
        <f t="shared" si="28"/>
        <v>0</v>
      </c>
      <c r="Z36" s="296">
        <f t="shared" si="20"/>
        <v>13409.34</v>
      </c>
      <c r="AA36" s="289">
        <f t="shared" si="21"/>
        <v>13477.259680658039</v>
      </c>
      <c r="AB36" s="276">
        <f t="shared" si="29"/>
        <v>-2.3109481481481482</v>
      </c>
      <c r="AC36" s="276">
        <f t="shared" si="22"/>
        <v>2.4874935616008852E-2</v>
      </c>
      <c r="AM36" s="1703">
        <f t="shared" si="11"/>
        <v>0</v>
      </c>
      <c r="AN36" s="1704">
        <v>13409.34</v>
      </c>
      <c r="AO36" s="1695" t="s">
        <v>1610</v>
      </c>
    </row>
    <row r="37" spans="1:41" ht="150" customHeight="1" x14ac:dyDescent="0.7">
      <c r="A37" s="227">
        <v>23</v>
      </c>
      <c r="B37" s="251" t="s">
        <v>269</v>
      </c>
      <c r="C37" s="252" t="s">
        <v>175</v>
      </c>
      <c r="D37" s="227" t="s">
        <v>182</v>
      </c>
      <c r="E37" s="329" t="s">
        <v>331</v>
      </c>
      <c r="F37" s="260" t="s">
        <v>287</v>
      </c>
      <c r="G37" s="261" t="s">
        <v>1199</v>
      </c>
      <c r="H37" s="330">
        <v>4</v>
      </c>
      <c r="I37" s="330">
        <v>5</v>
      </c>
      <c r="J37" s="337">
        <v>350</v>
      </c>
      <c r="K37" s="263">
        <f t="shared" si="23"/>
        <v>7000</v>
      </c>
      <c r="L37" s="263">
        <f t="shared" si="24"/>
        <v>560</v>
      </c>
      <c r="M37" s="263">
        <f t="shared" si="25"/>
        <v>117.39204064352239</v>
      </c>
      <c r="N37" s="281">
        <f t="shared" si="26"/>
        <v>7677.3920406435227</v>
      </c>
      <c r="O37" s="203" t="s">
        <v>654</v>
      </c>
      <c r="P37" s="282" t="s">
        <v>623</v>
      </c>
      <c r="Q37" s="282" t="s">
        <v>936</v>
      </c>
      <c r="S37" s="292">
        <v>23</v>
      </c>
      <c r="T37" s="292">
        <v>1</v>
      </c>
      <c r="U37" s="270">
        <v>300</v>
      </c>
      <c r="V37" s="293"/>
      <c r="W37" s="294">
        <f t="shared" si="17"/>
        <v>7000</v>
      </c>
      <c r="X37" s="295">
        <f t="shared" si="27"/>
        <v>0</v>
      </c>
      <c r="Y37" s="296">
        <f t="shared" si="28"/>
        <v>0</v>
      </c>
      <c r="Z37" s="296">
        <f t="shared" si="20"/>
        <v>0</v>
      </c>
      <c r="AA37" s="289">
        <f t="shared" si="21"/>
        <v>117.39204064352239</v>
      </c>
      <c r="AB37" s="276">
        <f t="shared" si="29"/>
        <v>1</v>
      </c>
      <c r="AC37" s="276">
        <f t="shared" si="22"/>
        <v>0</v>
      </c>
      <c r="AM37" s="1703">
        <f t="shared" si="11"/>
        <v>0</v>
      </c>
      <c r="AN37" s="1704"/>
    </row>
    <row r="38" spans="1:41" ht="150" customHeight="1" x14ac:dyDescent="0.7">
      <c r="A38" s="227">
        <v>24</v>
      </c>
      <c r="B38" s="251" t="s">
        <v>270</v>
      </c>
      <c r="C38" s="252" t="s">
        <v>175</v>
      </c>
      <c r="D38" s="227" t="s">
        <v>182</v>
      </c>
      <c r="E38" s="329" t="s">
        <v>331</v>
      </c>
      <c r="F38" s="339" t="s">
        <v>288</v>
      </c>
      <c r="G38" s="340" t="s">
        <v>1200</v>
      </c>
      <c r="H38" s="341">
        <v>14</v>
      </c>
      <c r="I38" s="341">
        <v>4</v>
      </c>
      <c r="J38" s="342">
        <v>380</v>
      </c>
      <c r="K38" s="342">
        <f t="shared" si="23"/>
        <v>21280</v>
      </c>
      <c r="L38" s="342">
        <f t="shared" si="24"/>
        <v>1702.4</v>
      </c>
      <c r="M38" s="342">
        <f t="shared" si="25"/>
        <v>356.87180355630812</v>
      </c>
      <c r="N38" s="281">
        <f t="shared" si="26"/>
        <v>23339.271803556308</v>
      </c>
      <c r="O38" s="203" t="s">
        <v>654</v>
      </c>
      <c r="P38" s="282" t="s">
        <v>623</v>
      </c>
      <c r="Q38" s="282" t="s">
        <v>936</v>
      </c>
      <c r="S38" s="292">
        <f t="shared" si="30"/>
        <v>14</v>
      </c>
      <c r="T38" s="292">
        <f t="shared" si="30"/>
        <v>4</v>
      </c>
      <c r="U38" s="270">
        <v>300</v>
      </c>
      <c r="V38" s="293">
        <v>47400</v>
      </c>
      <c r="W38" s="294">
        <f t="shared" si="17"/>
        <v>-26120</v>
      </c>
      <c r="X38" s="295">
        <f t="shared" si="27"/>
        <v>0</v>
      </c>
      <c r="Y38" s="296">
        <f t="shared" si="28"/>
        <v>0</v>
      </c>
      <c r="Z38" s="296">
        <f t="shared" si="20"/>
        <v>47400</v>
      </c>
      <c r="AA38" s="289">
        <f t="shared" si="21"/>
        <v>47756.871803556307</v>
      </c>
      <c r="AB38" s="276">
        <f t="shared" si="29"/>
        <v>-1.2274436090225564</v>
      </c>
      <c r="AC38" s="276">
        <f t="shared" si="22"/>
        <v>8.7929155961353769E-2</v>
      </c>
      <c r="AM38" s="1703">
        <f t="shared" si="11"/>
        <v>0</v>
      </c>
      <c r="AN38" s="1704">
        <f>18900+28500</f>
        <v>47400</v>
      </c>
      <c r="AO38" s="1695" t="s">
        <v>1561</v>
      </c>
    </row>
    <row r="39" spans="1:41" ht="150" customHeight="1" x14ac:dyDescent="0.7">
      <c r="A39" s="227">
        <v>25</v>
      </c>
      <c r="B39" s="251" t="s">
        <v>271</v>
      </c>
      <c r="C39" s="252" t="s">
        <v>175</v>
      </c>
      <c r="D39" s="227" t="s">
        <v>182</v>
      </c>
      <c r="E39" s="329" t="s">
        <v>331</v>
      </c>
      <c r="F39" s="343" t="s">
        <v>289</v>
      </c>
      <c r="G39" s="344" t="s">
        <v>1201</v>
      </c>
      <c r="H39" s="345">
        <v>4</v>
      </c>
      <c r="I39" s="345">
        <v>6</v>
      </c>
      <c r="J39" s="346">
        <v>420</v>
      </c>
      <c r="K39" s="346">
        <f>IF(F39&lt;&gt;"",H39*I39*J39,"")</f>
        <v>10080</v>
      </c>
      <c r="L39" s="346">
        <f t="shared" si="24"/>
        <v>806.4</v>
      </c>
      <c r="M39" s="346">
        <f t="shared" si="25"/>
        <v>169.04453852667226</v>
      </c>
      <c r="N39" s="281">
        <f t="shared" si="26"/>
        <v>11055.444538526672</v>
      </c>
      <c r="O39" s="203" t="s">
        <v>654</v>
      </c>
      <c r="P39" s="282" t="s">
        <v>623</v>
      </c>
      <c r="Q39" s="282" t="s">
        <v>940</v>
      </c>
      <c r="R39" s="347" t="s">
        <v>629</v>
      </c>
      <c r="S39" s="292">
        <f t="shared" si="30"/>
        <v>4</v>
      </c>
      <c r="T39" s="292">
        <f t="shared" si="30"/>
        <v>6</v>
      </c>
      <c r="U39" s="270">
        <v>420</v>
      </c>
      <c r="V39" s="293">
        <v>33620</v>
      </c>
      <c r="W39" s="294">
        <f t="shared" si="17"/>
        <v>-23540</v>
      </c>
      <c r="X39" s="295">
        <f t="shared" si="27"/>
        <v>0</v>
      </c>
      <c r="Y39" s="296">
        <f t="shared" si="28"/>
        <v>0</v>
      </c>
      <c r="Z39" s="296">
        <f t="shared" si="20"/>
        <v>33620</v>
      </c>
      <c r="AA39" s="289">
        <f t="shared" si="21"/>
        <v>33789.044538526672</v>
      </c>
      <c r="AB39" s="276">
        <f t="shared" si="29"/>
        <v>-2.3353174603174605</v>
      </c>
      <c r="AC39" s="276">
        <f t="shared" si="22"/>
        <v>6.2366629186091004E-2</v>
      </c>
      <c r="AM39" s="1703">
        <f t="shared" si="11"/>
        <v>0</v>
      </c>
      <c r="AN39" s="1704">
        <f>5620+28000</f>
        <v>33620</v>
      </c>
      <c r="AO39" s="1695" t="s">
        <v>1567</v>
      </c>
    </row>
    <row r="40" spans="1:41" ht="150" customHeight="1" x14ac:dyDescent="0.7">
      <c r="A40" s="227">
        <v>26</v>
      </c>
      <c r="B40" s="251" t="s">
        <v>272</v>
      </c>
      <c r="C40" s="252" t="s">
        <v>175</v>
      </c>
      <c r="D40" s="227" t="s">
        <v>182</v>
      </c>
      <c r="E40" s="329" t="s">
        <v>331</v>
      </c>
      <c r="F40" s="343" t="s">
        <v>290</v>
      </c>
      <c r="G40" s="344" t="s">
        <v>1202</v>
      </c>
      <c r="H40" s="345">
        <v>2</v>
      </c>
      <c r="I40" s="345">
        <v>6</v>
      </c>
      <c r="J40" s="346">
        <v>450</v>
      </c>
      <c r="K40" s="346">
        <f t="shared" si="23"/>
        <v>5400</v>
      </c>
      <c r="L40" s="346">
        <f t="shared" si="24"/>
        <v>432</v>
      </c>
      <c r="M40" s="346">
        <f t="shared" si="25"/>
        <v>90.559574210717273</v>
      </c>
      <c r="N40" s="281">
        <f t="shared" si="26"/>
        <v>5922.5595742107171</v>
      </c>
      <c r="O40" s="203" t="s">
        <v>654</v>
      </c>
      <c r="P40" s="282" t="s">
        <v>623</v>
      </c>
      <c r="Q40" s="282" t="s">
        <v>943</v>
      </c>
      <c r="R40" s="203">
        <v>3720</v>
      </c>
      <c r="S40" s="292">
        <v>1</v>
      </c>
      <c r="T40" s="292">
        <v>1</v>
      </c>
      <c r="U40" s="270">
        <f>(400*6)+(420*5)</f>
        <v>4500</v>
      </c>
      <c r="V40" s="293">
        <v>0</v>
      </c>
      <c r="W40" s="294">
        <f t="shared" si="17"/>
        <v>5400</v>
      </c>
      <c r="X40" s="295">
        <f t="shared" si="27"/>
        <v>0</v>
      </c>
      <c r="Y40" s="296">
        <f t="shared" si="28"/>
        <v>0</v>
      </c>
      <c r="Z40" s="296">
        <f t="shared" si="20"/>
        <v>0</v>
      </c>
      <c r="AA40" s="289">
        <f t="shared" si="21"/>
        <v>90.559574210717273</v>
      </c>
      <c r="AB40" s="276">
        <f t="shared" si="29"/>
        <v>1</v>
      </c>
      <c r="AC40" s="276">
        <f t="shared" si="22"/>
        <v>0</v>
      </c>
      <c r="AM40" s="1703">
        <f t="shared" si="11"/>
        <v>0</v>
      </c>
      <c r="AN40" s="1704"/>
    </row>
    <row r="41" spans="1:41" ht="150" customHeight="1" x14ac:dyDescent="0.7">
      <c r="A41" s="227">
        <v>27</v>
      </c>
      <c r="B41" s="251" t="s">
        <v>273</v>
      </c>
      <c r="C41" s="252" t="s">
        <v>175</v>
      </c>
      <c r="D41" s="227" t="s">
        <v>182</v>
      </c>
      <c r="E41" s="329" t="s">
        <v>331</v>
      </c>
      <c r="F41" s="260" t="s">
        <v>291</v>
      </c>
      <c r="G41" s="348" t="s">
        <v>1203</v>
      </c>
      <c r="H41" s="330">
        <v>1</v>
      </c>
      <c r="I41" s="330">
        <v>1</v>
      </c>
      <c r="J41" s="263">
        <v>37500</v>
      </c>
      <c r="K41" s="263">
        <f t="shared" si="23"/>
        <v>37500</v>
      </c>
      <c r="L41" s="263">
        <f t="shared" si="24"/>
        <v>3000</v>
      </c>
      <c r="M41" s="263">
        <f t="shared" si="25"/>
        <v>628.88593201886999</v>
      </c>
      <c r="N41" s="281">
        <f t="shared" si="26"/>
        <v>41128.885932018871</v>
      </c>
      <c r="O41" s="203" t="s">
        <v>654</v>
      </c>
      <c r="P41" s="282" t="s">
        <v>623</v>
      </c>
      <c r="Q41" s="331" t="s">
        <v>945</v>
      </c>
      <c r="R41" s="277" t="s">
        <v>1108</v>
      </c>
      <c r="S41" s="292">
        <f t="shared" si="30"/>
        <v>1</v>
      </c>
      <c r="T41" s="292">
        <f t="shared" si="30"/>
        <v>1</v>
      </c>
      <c r="U41" s="270">
        <v>24935</v>
      </c>
      <c r="V41" s="293">
        <v>44500</v>
      </c>
      <c r="W41" s="294">
        <f t="shared" si="17"/>
        <v>-7000</v>
      </c>
      <c r="X41" s="295">
        <f t="shared" si="27"/>
        <v>0</v>
      </c>
      <c r="Y41" s="296">
        <f t="shared" si="28"/>
        <v>0</v>
      </c>
      <c r="Z41" s="296">
        <v>44500</v>
      </c>
      <c r="AA41" s="289">
        <f t="shared" si="21"/>
        <v>45128.885932018871</v>
      </c>
      <c r="AB41" s="276">
        <f t="shared" si="29"/>
        <v>-0.18666666666666668</v>
      </c>
      <c r="AC41" s="276">
        <f t="shared" si="22"/>
        <v>8.2549524056545198E-2</v>
      </c>
      <c r="AM41" s="1703">
        <f t="shared" si="11"/>
        <v>0</v>
      </c>
      <c r="AN41" s="1704">
        <f>15000+29000+500</f>
        <v>44500</v>
      </c>
      <c r="AO41" s="1695" t="s">
        <v>1579</v>
      </c>
    </row>
    <row r="42" spans="1:41" ht="150" customHeight="1" x14ac:dyDescent="0.7">
      <c r="A42" s="227">
        <v>28</v>
      </c>
      <c r="B42" s="251" t="s">
        <v>274</v>
      </c>
      <c r="C42" s="252" t="s">
        <v>175</v>
      </c>
      <c r="D42" s="227" t="s">
        <v>182</v>
      </c>
      <c r="E42" s="329" t="s">
        <v>331</v>
      </c>
      <c r="F42" s="260" t="s">
        <v>292</v>
      </c>
      <c r="G42" s="348" t="s">
        <v>1204</v>
      </c>
      <c r="H42" s="330">
        <v>1</v>
      </c>
      <c r="I42" s="330">
        <v>1</v>
      </c>
      <c r="J42" s="263">
        <v>40976</v>
      </c>
      <c r="K42" s="263">
        <f t="shared" si="23"/>
        <v>40976</v>
      </c>
      <c r="L42" s="263">
        <f t="shared" si="24"/>
        <v>3278.08</v>
      </c>
      <c r="M42" s="263">
        <f t="shared" si="25"/>
        <v>687.17946534413909</v>
      </c>
      <c r="N42" s="281">
        <f t="shared" si="26"/>
        <v>44941.259465344141</v>
      </c>
      <c r="O42" s="203" t="s">
        <v>654</v>
      </c>
      <c r="P42" s="282" t="s">
        <v>623</v>
      </c>
      <c r="Q42" s="331" t="s">
        <v>946</v>
      </c>
      <c r="R42" s="277" t="s">
        <v>965</v>
      </c>
      <c r="S42" s="292">
        <f t="shared" si="30"/>
        <v>1</v>
      </c>
      <c r="T42" s="292">
        <f t="shared" si="30"/>
        <v>1</v>
      </c>
      <c r="U42" s="270">
        <v>16500</v>
      </c>
      <c r="V42" s="293">
        <v>26500</v>
      </c>
      <c r="W42" s="294">
        <f t="shared" si="17"/>
        <v>14476</v>
      </c>
      <c r="X42" s="295">
        <f t="shared" si="27"/>
        <v>0</v>
      </c>
      <c r="Y42" s="296">
        <f t="shared" si="28"/>
        <v>0</v>
      </c>
      <c r="Z42" s="296">
        <f t="shared" si="20"/>
        <v>26500</v>
      </c>
      <c r="AA42" s="289">
        <f t="shared" si="21"/>
        <v>27187.179465344139</v>
      </c>
      <c r="AB42" s="276">
        <f t="shared" si="29"/>
        <v>0.35327996876220225</v>
      </c>
      <c r="AC42" s="276">
        <f t="shared" si="22"/>
        <v>4.9158705337043772E-2</v>
      </c>
      <c r="AM42" s="1703">
        <f t="shared" si="11"/>
        <v>0</v>
      </c>
      <c r="AN42" s="1704">
        <v>26500</v>
      </c>
      <c r="AO42" s="1695" t="s">
        <v>1583</v>
      </c>
    </row>
    <row r="43" spans="1:41" ht="150" customHeight="1" x14ac:dyDescent="0.7">
      <c r="A43" s="227">
        <v>29</v>
      </c>
      <c r="B43" s="251" t="s">
        <v>275</v>
      </c>
      <c r="C43" s="252" t="s">
        <v>175</v>
      </c>
      <c r="D43" s="227" t="s">
        <v>182</v>
      </c>
      <c r="E43" s="329" t="s">
        <v>331</v>
      </c>
      <c r="F43" s="260" t="s">
        <v>293</v>
      </c>
      <c r="G43" s="349" t="s">
        <v>1205</v>
      </c>
      <c r="H43" s="330">
        <v>1</v>
      </c>
      <c r="I43" s="330">
        <v>1</v>
      </c>
      <c r="J43" s="263">
        <v>55000</v>
      </c>
      <c r="K43" s="263">
        <f t="shared" si="23"/>
        <v>55000</v>
      </c>
      <c r="L43" s="263">
        <f t="shared" si="24"/>
        <v>4400</v>
      </c>
      <c r="M43" s="263">
        <f t="shared" si="25"/>
        <v>922.36603362767596</v>
      </c>
      <c r="N43" s="281">
        <f t="shared" si="26"/>
        <v>60322.366033627673</v>
      </c>
      <c r="O43" s="203" t="s">
        <v>654</v>
      </c>
      <c r="P43" s="282" t="s">
        <v>623</v>
      </c>
      <c r="Q43" s="331" t="s">
        <v>948</v>
      </c>
      <c r="R43" s="350" t="s">
        <v>960</v>
      </c>
      <c r="S43" s="292">
        <f t="shared" si="30"/>
        <v>1</v>
      </c>
      <c r="T43" s="292">
        <f t="shared" si="30"/>
        <v>1</v>
      </c>
      <c r="U43" s="270">
        <v>55000</v>
      </c>
      <c r="V43" s="293">
        <v>100000</v>
      </c>
      <c r="W43" s="294">
        <f t="shared" si="17"/>
        <v>-45000</v>
      </c>
      <c r="X43" s="295">
        <f t="shared" si="27"/>
        <v>0</v>
      </c>
      <c r="Y43" s="296">
        <f t="shared" si="28"/>
        <v>0</v>
      </c>
      <c r="Z43" s="296">
        <f t="shared" si="20"/>
        <v>100000</v>
      </c>
      <c r="AA43" s="289">
        <f t="shared" si="21"/>
        <v>100922.36603362768</v>
      </c>
      <c r="AB43" s="276">
        <f t="shared" si="29"/>
        <v>-0.81818181818181823</v>
      </c>
      <c r="AC43" s="276">
        <f t="shared" si="22"/>
        <v>0.1855045484416746</v>
      </c>
      <c r="AM43" s="1703">
        <f t="shared" si="11"/>
        <v>0</v>
      </c>
      <c r="AN43" s="1704">
        <v>100000</v>
      </c>
      <c r="AO43" s="1695" t="s">
        <v>1655</v>
      </c>
    </row>
    <row r="44" spans="1:41" ht="150" customHeight="1" x14ac:dyDescent="0.7">
      <c r="A44" s="227">
        <v>30</v>
      </c>
      <c r="B44" s="251" t="s">
        <v>276</v>
      </c>
      <c r="C44" s="252" t="s">
        <v>175</v>
      </c>
      <c r="D44" s="227" t="s">
        <v>182</v>
      </c>
      <c r="E44" s="329" t="s">
        <v>331</v>
      </c>
      <c r="F44" s="351" t="s">
        <v>293</v>
      </c>
      <c r="G44" s="336" t="s">
        <v>1206</v>
      </c>
      <c r="H44" s="352">
        <v>1</v>
      </c>
      <c r="I44" s="352">
        <v>1</v>
      </c>
      <c r="J44" s="263">
        <v>9800</v>
      </c>
      <c r="K44" s="263">
        <f t="shared" si="23"/>
        <v>9800</v>
      </c>
      <c r="L44" s="263">
        <f t="shared" si="24"/>
        <v>784</v>
      </c>
      <c r="M44" s="263">
        <f t="shared" si="25"/>
        <v>164.34885690093137</v>
      </c>
      <c r="N44" s="281">
        <f t="shared" si="26"/>
        <v>10748.348856900931</v>
      </c>
      <c r="O44" s="203" t="s">
        <v>654</v>
      </c>
      <c r="P44" s="282" t="s">
        <v>623</v>
      </c>
      <c r="Q44" s="331" t="s">
        <v>950</v>
      </c>
      <c r="R44" s="277" t="s">
        <v>951</v>
      </c>
      <c r="S44" s="292">
        <f t="shared" si="30"/>
        <v>1</v>
      </c>
      <c r="T44" s="292">
        <f t="shared" si="30"/>
        <v>1</v>
      </c>
      <c r="U44" s="270">
        <v>7500</v>
      </c>
      <c r="V44" s="293">
        <v>10000</v>
      </c>
      <c r="W44" s="294">
        <f t="shared" si="17"/>
        <v>-200</v>
      </c>
      <c r="X44" s="295">
        <f t="shared" si="27"/>
        <v>0</v>
      </c>
      <c r="Y44" s="296">
        <f t="shared" si="28"/>
        <v>0</v>
      </c>
      <c r="Z44" s="296">
        <f t="shared" si="20"/>
        <v>10000</v>
      </c>
      <c r="AA44" s="289">
        <f t="shared" si="21"/>
        <v>10164.348856900931</v>
      </c>
      <c r="AB44" s="276">
        <f t="shared" si="29"/>
        <v>-2.0408163265306121E-2</v>
      </c>
      <c r="AC44" s="276">
        <f t="shared" si="22"/>
        <v>1.8550454844167463E-2</v>
      </c>
      <c r="AM44" s="1703">
        <f t="shared" si="11"/>
        <v>0</v>
      </c>
      <c r="AN44" s="1704">
        <f>7500+2500</f>
        <v>10000</v>
      </c>
      <c r="AO44" s="1695" t="s">
        <v>1581</v>
      </c>
    </row>
    <row r="45" spans="1:41" ht="150" customHeight="1" x14ac:dyDescent="0.7">
      <c r="A45" s="297">
        <v>31</v>
      </c>
      <c r="B45" s="251" t="s">
        <v>277</v>
      </c>
      <c r="C45" s="298" t="s">
        <v>175</v>
      </c>
      <c r="D45" s="227" t="s">
        <v>182</v>
      </c>
      <c r="E45" s="329" t="s">
        <v>331</v>
      </c>
      <c r="F45" s="260" t="s">
        <v>295</v>
      </c>
      <c r="G45" s="336" t="s">
        <v>1207</v>
      </c>
      <c r="H45" s="353">
        <v>1</v>
      </c>
      <c r="I45" s="353">
        <v>1</v>
      </c>
      <c r="J45" s="263">
        <v>45000</v>
      </c>
      <c r="K45" s="264">
        <f t="shared" si="23"/>
        <v>45000</v>
      </c>
      <c r="L45" s="264">
        <f t="shared" si="24"/>
        <v>3600</v>
      </c>
      <c r="M45" s="264">
        <f t="shared" si="25"/>
        <v>754.66311842264395</v>
      </c>
      <c r="N45" s="265">
        <f t="shared" si="26"/>
        <v>49354.663118422643</v>
      </c>
      <c r="O45" s="203" t="s">
        <v>654</v>
      </c>
      <c r="P45" s="282" t="s">
        <v>623</v>
      </c>
      <c r="Q45" s="282" t="s">
        <v>953</v>
      </c>
      <c r="R45" s="277" t="s">
        <v>966</v>
      </c>
      <c r="S45" s="300">
        <f t="shared" si="30"/>
        <v>1</v>
      </c>
      <c r="T45" s="300">
        <f t="shared" si="30"/>
        <v>1</v>
      </c>
      <c r="U45" s="270">
        <v>35500</v>
      </c>
      <c r="V45" s="301">
        <v>39960</v>
      </c>
      <c r="W45" s="354">
        <f t="shared" si="17"/>
        <v>5040</v>
      </c>
      <c r="X45" s="303">
        <f t="shared" si="27"/>
        <v>0</v>
      </c>
      <c r="Y45" s="304">
        <f t="shared" si="28"/>
        <v>0</v>
      </c>
      <c r="Z45" s="304">
        <f t="shared" si="20"/>
        <v>39960</v>
      </c>
      <c r="AA45" s="273">
        <f t="shared" si="21"/>
        <v>40714.663118422643</v>
      </c>
      <c r="AB45" s="276">
        <f t="shared" si="29"/>
        <v>0.112</v>
      </c>
      <c r="AC45" s="276">
        <f t="shared" si="22"/>
        <v>7.4127617557293177E-2</v>
      </c>
      <c r="AM45" s="1703">
        <f t="shared" si="11"/>
        <v>0</v>
      </c>
      <c r="AN45" s="1704">
        <f>2000+35160+2800</f>
        <v>39960</v>
      </c>
      <c r="AO45" s="1695" t="s">
        <v>1584</v>
      </c>
    </row>
    <row r="46" spans="1:41" ht="60" customHeight="1" thickBot="1" x14ac:dyDescent="0.75">
      <c r="A46" s="227">
        <v>32</v>
      </c>
      <c r="B46" s="251"/>
      <c r="C46" s="252" t="s">
        <v>184</v>
      </c>
      <c r="D46" s="227"/>
      <c r="E46" s="227"/>
      <c r="F46" s="1491" t="s">
        <v>368</v>
      </c>
      <c r="G46" s="1492"/>
      <c r="H46" s="1492"/>
      <c r="I46" s="1492"/>
      <c r="J46" s="1506"/>
      <c r="K46" s="355">
        <f>SUM(K28:K45)</f>
        <v>411186</v>
      </c>
      <c r="L46" s="355">
        <f>SUM(L28:L45)</f>
        <v>32894.880000000005</v>
      </c>
      <c r="M46" s="355">
        <f>SUM(M28:M45)</f>
        <v>6895.70908914963</v>
      </c>
      <c r="N46" s="356">
        <f>SUM(N28:N45)</f>
        <v>450976.58908914961</v>
      </c>
      <c r="O46" s="357"/>
      <c r="P46" s="357"/>
      <c r="Q46" s="357"/>
      <c r="R46" s="357"/>
      <c r="S46" s="1495">
        <f>SUM(S28:S45)</f>
        <v>67</v>
      </c>
      <c r="T46" s="1507"/>
      <c r="U46" s="1507"/>
      <c r="V46" s="358">
        <f>SUM(V28:V45)</f>
        <v>539070.34</v>
      </c>
      <c r="W46" s="359">
        <f>SUM(W28:W45)</f>
        <v>-127884.34</v>
      </c>
      <c r="X46" s="360">
        <f>SUM(X28:X45)</f>
        <v>0</v>
      </c>
      <c r="Y46" s="361"/>
      <c r="Z46" s="362">
        <f>SUM(Z28:Z45)</f>
        <v>539070.34</v>
      </c>
      <c r="AA46" s="363">
        <f>SUM(AA28:AA45)</f>
        <v>545966.04908914957</v>
      </c>
      <c r="AB46" s="364"/>
      <c r="AC46" s="365"/>
      <c r="AM46" s="1703"/>
      <c r="AN46" s="1704"/>
    </row>
    <row r="47" spans="1:41" ht="60" customHeight="1" thickBot="1" x14ac:dyDescent="0.75">
      <c r="A47" s="227">
        <v>33</v>
      </c>
      <c r="B47" s="251">
        <v>3</v>
      </c>
      <c r="C47" s="252" t="s">
        <v>167</v>
      </c>
      <c r="D47" s="227"/>
      <c r="E47" s="227"/>
      <c r="F47" s="1463" t="s">
        <v>257</v>
      </c>
      <c r="G47" s="1464"/>
      <c r="H47" s="1464"/>
      <c r="I47" s="1464"/>
      <c r="J47" s="1464"/>
      <c r="K47" s="1464"/>
      <c r="L47" s="1464"/>
      <c r="M47" s="1464"/>
      <c r="N47" s="1475"/>
      <c r="O47" s="253"/>
      <c r="P47" s="253"/>
      <c r="Q47" s="253"/>
      <c r="R47" s="253"/>
      <c r="S47" s="1466" t="str">
        <f>IF(F47&lt;&gt;"",F47,"")</f>
        <v>LOGÍSTICA</v>
      </c>
      <c r="T47" s="1467"/>
      <c r="U47" s="1467"/>
      <c r="V47" s="1467"/>
      <c r="W47" s="1467"/>
      <c r="X47" s="1467"/>
      <c r="Y47" s="1467"/>
      <c r="Z47" s="1467"/>
      <c r="AA47" s="1468"/>
      <c r="AM47" s="1703">
        <f t="shared" si="11"/>
        <v>0</v>
      </c>
      <c r="AN47" s="1704"/>
    </row>
    <row r="48" spans="1:41" ht="60" customHeight="1" x14ac:dyDescent="0.7">
      <c r="A48" s="227">
        <v>34</v>
      </c>
      <c r="B48" s="251" t="s">
        <v>192</v>
      </c>
      <c r="C48" s="252" t="s">
        <v>169</v>
      </c>
      <c r="D48" s="227"/>
      <c r="E48" s="227"/>
      <c r="F48" s="1469" t="s">
        <v>296</v>
      </c>
      <c r="G48" s="1470"/>
      <c r="H48" s="1470"/>
      <c r="I48" s="1470"/>
      <c r="J48" s="1470"/>
      <c r="K48" s="1471"/>
      <c r="L48" s="254" t="s">
        <v>171</v>
      </c>
      <c r="M48" s="255" t="s">
        <v>172</v>
      </c>
      <c r="N48" s="256" t="s">
        <v>129</v>
      </c>
      <c r="O48" s="257"/>
      <c r="P48" s="257"/>
      <c r="Q48" s="257"/>
      <c r="R48" s="257"/>
      <c r="S48" s="1472" t="str">
        <f>IF(F48&lt;&gt;"",F48,"")</f>
        <v xml:space="preserve">LOGÍSTICA AÉREA </v>
      </c>
      <c r="T48" s="1473"/>
      <c r="U48" s="1473"/>
      <c r="V48" s="1473"/>
      <c r="W48" s="1473"/>
      <c r="X48" s="1473"/>
      <c r="Y48" s="1473"/>
      <c r="Z48" s="1473"/>
      <c r="AA48" s="1474"/>
      <c r="AB48" s="258" t="s">
        <v>173</v>
      </c>
      <c r="AC48" s="259" t="s">
        <v>130</v>
      </c>
      <c r="AM48" s="1703">
        <f t="shared" si="11"/>
        <v>0</v>
      </c>
      <c r="AN48" s="1704"/>
    </row>
    <row r="49" spans="1:41" ht="150" customHeight="1" x14ac:dyDescent="0.7">
      <c r="A49" s="227">
        <v>35</v>
      </c>
      <c r="B49" s="251" t="s">
        <v>193</v>
      </c>
      <c r="C49" s="252" t="s">
        <v>175</v>
      </c>
      <c r="D49" s="227" t="s">
        <v>182</v>
      </c>
      <c r="E49" s="227" t="s">
        <v>331</v>
      </c>
      <c r="F49" s="260" t="s">
        <v>332</v>
      </c>
      <c r="G49" s="366" t="s">
        <v>1208</v>
      </c>
      <c r="H49" s="330">
        <v>3</v>
      </c>
      <c r="I49" s="330">
        <v>1</v>
      </c>
      <c r="J49" s="367">
        <v>1934.79</v>
      </c>
      <c r="K49" s="263">
        <f t="shared" ref="K49" si="31">IF(F49&lt;&gt;"",H49*I49*J49,"")</f>
        <v>5804.37</v>
      </c>
      <c r="L49" s="263">
        <f t="shared" ref="L49:L83" si="32">IF(K49&lt;&gt;"",IF(D49="INTERNO",0,K49*$L$12),"")</f>
        <v>0</v>
      </c>
      <c r="M49" s="263">
        <v>0</v>
      </c>
      <c r="N49" s="281">
        <f t="shared" ref="N49" si="33">SUM(K49:M49)</f>
        <v>5804.37</v>
      </c>
      <c r="O49" s="203" t="s">
        <v>654</v>
      </c>
      <c r="P49" s="282" t="s">
        <v>623</v>
      </c>
      <c r="Q49" s="283" t="s">
        <v>963</v>
      </c>
      <c r="R49" s="368"/>
      <c r="S49" s="284">
        <f t="shared" ref="S49:T83" si="34">IF(H49&lt;&gt;"",H49,"")</f>
        <v>3</v>
      </c>
      <c r="T49" s="285">
        <f t="shared" si="34"/>
        <v>1</v>
      </c>
      <c r="U49" s="270">
        <f t="shared" ref="U49:U83" si="35">J49*0.85</f>
        <v>1644.5715</v>
      </c>
      <c r="V49" s="286">
        <v>616843.21</v>
      </c>
      <c r="W49" s="287">
        <f t="shared" ref="W49:W83" si="36">IF(S49&lt;&gt;"",K49-V49,"")</f>
        <v>-611038.84</v>
      </c>
      <c r="X49" s="288">
        <f t="shared" ref="X49" si="37">IF(S49&lt;&gt;"",0%,"")</f>
        <v>0</v>
      </c>
      <c r="Y49" s="289">
        <f t="shared" ref="Y49" si="38">IF(S49&lt;&gt;"",X49*W49,"")</f>
        <v>0</v>
      </c>
      <c r="Z49" s="289">
        <f t="shared" ref="Z49" si="39">IF(S49&lt;&gt;"",Y49+V49,"")</f>
        <v>616843.21</v>
      </c>
      <c r="AA49" s="290">
        <f t="shared" ref="AA49:AA83" si="40">IF(S49&lt;&gt;"",Z49+M49,"")</f>
        <v>616843.21</v>
      </c>
      <c r="AB49" s="275">
        <f>IFERROR(IF(S49&lt;&gt;"",W49/K49,""),0)</f>
        <v>-105.27220697508946</v>
      </c>
      <c r="AC49" s="276">
        <f t="shared" ref="AC49:AC66" si="41">V49/$V$84</f>
        <v>0.72894968721705022</v>
      </c>
      <c r="AM49" s="1703">
        <f t="shared" si="11"/>
        <v>0</v>
      </c>
      <c r="AN49" s="1704">
        <f>592708.47+11300+400+10000+2434.74</f>
        <v>616843.21</v>
      </c>
      <c r="AO49" s="1695" t="s">
        <v>1640</v>
      </c>
    </row>
    <row r="50" spans="1:41" ht="150" customHeight="1" x14ac:dyDescent="0.7">
      <c r="A50" s="227">
        <v>36</v>
      </c>
      <c r="B50" s="251" t="s">
        <v>194</v>
      </c>
      <c r="C50" s="252" t="s">
        <v>175</v>
      </c>
      <c r="D50" s="227" t="s">
        <v>182</v>
      </c>
      <c r="E50" s="227" t="s">
        <v>331</v>
      </c>
      <c r="F50" s="260" t="s">
        <v>333</v>
      </c>
      <c r="G50" s="366" t="s">
        <v>1209</v>
      </c>
      <c r="H50" s="330">
        <v>6</v>
      </c>
      <c r="I50" s="330">
        <v>1</v>
      </c>
      <c r="J50" s="367">
        <v>1125.23</v>
      </c>
      <c r="K50" s="263">
        <f t="shared" ref="K50:K83" si="42">IF(F50&lt;&gt;"",H50*I50*J50,"")</f>
        <v>6751.38</v>
      </c>
      <c r="L50" s="263">
        <f t="shared" si="32"/>
        <v>0</v>
      </c>
      <c r="M50" s="263">
        <f t="shared" ref="M50:M83" si="43">IF(K50&lt;&gt;"",IF(E50="FAT.OGGI",SUM(K50:L50)*(1/(1-$M$14)-1),L50*(1/(1-$M$14)-1)),0)</f>
        <v>0</v>
      </c>
      <c r="N50" s="281">
        <f t="shared" ref="N50:N83" si="44">SUM(K50:M50)</f>
        <v>6751.38</v>
      </c>
      <c r="O50" s="203" t="s">
        <v>654</v>
      </c>
      <c r="P50" s="282" t="s">
        <v>623</v>
      </c>
      <c r="Q50" s="283" t="s">
        <v>963</v>
      </c>
      <c r="R50" s="368"/>
      <c r="S50" s="291">
        <f t="shared" si="34"/>
        <v>6</v>
      </c>
      <c r="T50" s="292">
        <f t="shared" si="34"/>
        <v>1</v>
      </c>
      <c r="U50" s="270">
        <f t="shared" si="35"/>
        <v>956.44550000000004</v>
      </c>
      <c r="V50" s="293">
        <v>0</v>
      </c>
      <c r="W50" s="294">
        <f t="shared" si="36"/>
        <v>6751.38</v>
      </c>
      <c r="X50" s="295">
        <f t="shared" ref="X50:X83" si="45">IF(S50&lt;&gt;"",0%,"")</f>
        <v>0</v>
      </c>
      <c r="Y50" s="296">
        <f t="shared" ref="Y50:Y83" si="46">IF(S50&lt;&gt;"",X50*W50,"")</f>
        <v>0</v>
      </c>
      <c r="Z50" s="296">
        <f t="shared" ref="Z50:Z83" si="47">IF(S50&lt;&gt;"",Y50+V50,"")</f>
        <v>0</v>
      </c>
      <c r="AA50" s="290">
        <f t="shared" si="40"/>
        <v>0</v>
      </c>
      <c r="AB50" s="275">
        <f t="shared" ref="AB50:AB83" si="48">IF(S50&lt;&gt;"", IFERROR(W50/K50, 0), 0)</f>
        <v>1</v>
      </c>
      <c r="AC50" s="276">
        <f t="shared" si="41"/>
        <v>0</v>
      </c>
      <c r="AM50" s="1703">
        <f t="shared" si="11"/>
        <v>0</v>
      </c>
      <c r="AN50" s="1704"/>
    </row>
    <row r="51" spans="1:41" ht="150" customHeight="1" x14ac:dyDescent="0.7">
      <c r="A51" s="227">
        <v>37</v>
      </c>
      <c r="B51" s="251" t="s">
        <v>298</v>
      </c>
      <c r="C51" s="252" t="s">
        <v>175</v>
      </c>
      <c r="D51" s="227" t="s">
        <v>182</v>
      </c>
      <c r="E51" s="227" t="s">
        <v>331</v>
      </c>
      <c r="F51" s="260" t="s">
        <v>334</v>
      </c>
      <c r="G51" s="366" t="s">
        <v>1210</v>
      </c>
      <c r="H51" s="330">
        <v>3</v>
      </c>
      <c r="I51" s="330">
        <v>1</v>
      </c>
      <c r="J51" s="367">
        <v>1312.91</v>
      </c>
      <c r="K51" s="263">
        <f t="shared" si="42"/>
        <v>3938.7300000000005</v>
      </c>
      <c r="L51" s="263">
        <f t="shared" si="32"/>
        <v>0</v>
      </c>
      <c r="M51" s="263">
        <f t="shared" si="43"/>
        <v>0</v>
      </c>
      <c r="N51" s="281">
        <f t="shared" si="44"/>
        <v>3938.7300000000005</v>
      </c>
      <c r="O51" s="203" t="s">
        <v>654</v>
      </c>
      <c r="P51" s="282" t="s">
        <v>623</v>
      </c>
      <c r="Q51" s="283" t="s">
        <v>963</v>
      </c>
      <c r="R51" s="368"/>
      <c r="S51" s="291">
        <f t="shared" si="34"/>
        <v>3</v>
      </c>
      <c r="T51" s="292">
        <f t="shared" si="34"/>
        <v>1</v>
      </c>
      <c r="U51" s="270">
        <f t="shared" si="35"/>
        <v>1115.9735000000001</v>
      </c>
      <c r="V51" s="293">
        <v>0</v>
      </c>
      <c r="W51" s="294">
        <f t="shared" si="36"/>
        <v>3938.7300000000005</v>
      </c>
      <c r="X51" s="295">
        <f t="shared" si="45"/>
        <v>0</v>
      </c>
      <c r="Y51" s="296">
        <f t="shared" si="46"/>
        <v>0</v>
      </c>
      <c r="Z51" s="296">
        <f t="shared" si="47"/>
        <v>0</v>
      </c>
      <c r="AA51" s="290">
        <f t="shared" si="40"/>
        <v>0</v>
      </c>
      <c r="AB51" s="275">
        <f t="shared" si="48"/>
        <v>1</v>
      </c>
      <c r="AC51" s="276">
        <f t="shared" si="41"/>
        <v>0</v>
      </c>
      <c r="AM51" s="1703">
        <f t="shared" si="11"/>
        <v>0</v>
      </c>
      <c r="AN51" s="1704"/>
    </row>
    <row r="52" spans="1:41" ht="150" customHeight="1" x14ac:dyDescent="0.7">
      <c r="A52" s="227">
        <v>38</v>
      </c>
      <c r="B52" s="251" t="s">
        <v>299</v>
      </c>
      <c r="C52" s="252" t="s">
        <v>175</v>
      </c>
      <c r="D52" s="227" t="s">
        <v>182</v>
      </c>
      <c r="E52" s="227" t="s">
        <v>331</v>
      </c>
      <c r="F52" s="260" t="s">
        <v>335</v>
      </c>
      <c r="G52" s="366" t="s">
        <v>1211</v>
      </c>
      <c r="H52" s="330">
        <v>1</v>
      </c>
      <c r="I52" s="330">
        <v>1</v>
      </c>
      <c r="J52" s="367">
        <v>765.29</v>
      </c>
      <c r="K52" s="263">
        <f t="shared" si="42"/>
        <v>765.29</v>
      </c>
      <c r="L52" s="263">
        <f t="shared" si="32"/>
        <v>0</v>
      </c>
      <c r="M52" s="263">
        <f t="shared" si="43"/>
        <v>0</v>
      </c>
      <c r="N52" s="281">
        <f t="shared" si="44"/>
        <v>765.29</v>
      </c>
      <c r="O52" s="203" t="s">
        <v>654</v>
      </c>
      <c r="P52" s="282" t="s">
        <v>623</v>
      </c>
      <c r="Q52" s="283" t="s">
        <v>963</v>
      </c>
      <c r="R52" s="368"/>
      <c r="S52" s="291">
        <f t="shared" si="34"/>
        <v>1</v>
      </c>
      <c r="T52" s="292">
        <f t="shared" si="34"/>
        <v>1</v>
      </c>
      <c r="U52" s="270">
        <f t="shared" si="35"/>
        <v>650.49649999999997</v>
      </c>
      <c r="V52" s="293">
        <v>0</v>
      </c>
      <c r="W52" s="294">
        <f t="shared" si="36"/>
        <v>765.29</v>
      </c>
      <c r="X52" s="295">
        <f t="shared" si="45"/>
        <v>0</v>
      </c>
      <c r="Y52" s="296">
        <f t="shared" si="46"/>
        <v>0</v>
      </c>
      <c r="Z52" s="296">
        <f t="shared" si="47"/>
        <v>0</v>
      </c>
      <c r="AA52" s="290">
        <f t="shared" si="40"/>
        <v>0</v>
      </c>
      <c r="AB52" s="275">
        <f t="shared" si="48"/>
        <v>1</v>
      </c>
      <c r="AC52" s="276">
        <f t="shared" si="41"/>
        <v>0</v>
      </c>
      <c r="AM52" s="1703">
        <f t="shared" si="11"/>
        <v>0</v>
      </c>
      <c r="AN52" s="1704"/>
    </row>
    <row r="53" spans="1:41" ht="150" customHeight="1" x14ac:dyDescent="0.7">
      <c r="A53" s="227">
        <v>39</v>
      </c>
      <c r="B53" s="251" t="s">
        <v>300</v>
      </c>
      <c r="C53" s="252" t="s">
        <v>175</v>
      </c>
      <c r="D53" s="227" t="s">
        <v>182</v>
      </c>
      <c r="E53" s="227" t="s">
        <v>331</v>
      </c>
      <c r="F53" s="260" t="s">
        <v>336</v>
      </c>
      <c r="G53" s="366" t="s">
        <v>1212</v>
      </c>
      <c r="H53" s="330">
        <v>6</v>
      </c>
      <c r="I53" s="330">
        <v>1</v>
      </c>
      <c r="J53" s="367">
        <v>691.06</v>
      </c>
      <c r="K53" s="263">
        <f t="shared" si="42"/>
        <v>4146.3599999999997</v>
      </c>
      <c r="L53" s="263">
        <f t="shared" si="32"/>
        <v>0</v>
      </c>
      <c r="M53" s="263">
        <f t="shared" si="43"/>
        <v>0</v>
      </c>
      <c r="N53" s="281">
        <f t="shared" si="44"/>
        <v>4146.3599999999997</v>
      </c>
      <c r="O53" s="203" t="s">
        <v>654</v>
      </c>
      <c r="P53" s="282" t="s">
        <v>623</v>
      </c>
      <c r="Q53" s="283" t="s">
        <v>963</v>
      </c>
      <c r="R53" s="368"/>
      <c r="S53" s="291">
        <f t="shared" si="34"/>
        <v>6</v>
      </c>
      <c r="T53" s="292">
        <f t="shared" si="34"/>
        <v>1</v>
      </c>
      <c r="U53" s="270">
        <f t="shared" si="35"/>
        <v>587.40099999999995</v>
      </c>
      <c r="V53" s="293">
        <v>0</v>
      </c>
      <c r="W53" s="294">
        <f t="shared" si="36"/>
        <v>4146.3599999999997</v>
      </c>
      <c r="X53" s="295">
        <f t="shared" si="45"/>
        <v>0</v>
      </c>
      <c r="Y53" s="296">
        <f t="shared" si="46"/>
        <v>0</v>
      </c>
      <c r="Z53" s="296">
        <f t="shared" si="47"/>
        <v>0</v>
      </c>
      <c r="AA53" s="290">
        <f t="shared" si="40"/>
        <v>0</v>
      </c>
      <c r="AB53" s="275">
        <f t="shared" si="48"/>
        <v>1</v>
      </c>
      <c r="AC53" s="276">
        <f t="shared" si="41"/>
        <v>0</v>
      </c>
      <c r="AM53" s="1703">
        <f t="shared" si="11"/>
        <v>0</v>
      </c>
      <c r="AN53" s="1704"/>
    </row>
    <row r="54" spans="1:41" ht="150" customHeight="1" x14ac:dyDescent="0.7">
      <c r="A54" s="227">
        <v>40</v>
      </c>
      <c r="B54" s="251" t="s">
        <v>301</v>
      </c>
      <c r="C54" s="252" t="s">
        <v>175</v>
      </c>
      <c r="D54" s="227" t="s">
        <v>182</v>
      </c>
      <c r="E54" s="227" t="s">
        <v>331</v>
      </c>
      <c r="F54" s="260" t="s">
        <v>337</v>
      </c>
      <c r="G54" s="366" t="s">
        <v>1213</v>
      </c>
      <c r="H54" s="330">
        <v>2</v>
      </c>
      <c r="I54" s="330">
        <v>1</v>
      </c>
      <c r="J54" s="367">
        <v>5483.24</v>
      </c>
      <c r="K54" s="263">
        <f t="shared" si="42"/>
        <v>10966.48</v>
      </c>
      <c r="L54" s="263">
        <f t="shared" si="32"/>
        <v>0</v>
      </c>
      <c r="M54" s="263">
        <f t="shared" si="43"/>
        <v>0</v>
      </c>
      <c r="N54" s="281">
        <f t="shared" si="44"/>
        <v>10966.48</v>
      </c>
      <c r="O54" s="203" t="s">
        <v>654</v>
      </c>
      <c r="P54" s="282" t="s">
        <v>623</v>
      </c>
      <c r="Q54" s="283" t="s">
        <v>963</v>
      </c>
      <c r="R54" s="368"/>
      <c r="S54" s="291">
        <f t="shared" si="34"/>
        <v>2</v>
      </c>
      <c r="T54" s="292">
        <f t="shared" si="34"/>
        <v>1</v>
      </c>
      <c r="U54" s="270">
        <f t="shared" si="35"/>
        <v>4660.7539999999999</v>
      </c>
      <c r="V54" s="293">
        <v>0</v>
      </c>
      <c r="W54" s="294">
        <f t="shared" si="36"/>
        <v>10966.48</v>
      </c>
      <c r="X54" s="295">
        <f t="shared" si="45"/>
        <v>0</v>
      </c>
      <c r="Y54" s="296">
        <f t="shared" si="46"/>
        <v>0</v>
      </c>
      <c r="Z54" s="296">
        <f t="shared" si="47"/>
        <v>0</v>
      </c>
      <c r="AA54" s="290">
        <f t="shared" si="40"/>
        <v>0</v>
      </c>
      <c r="AB54" s="275">
        <f t="shared" si="48"/>
        <v>1</v>
      </c>
      <c r="AC54" s="276">
        <f t="shared" si="41"/>
        <v>0</v>
      </c>
      <c r="AM54" s="1703">
        <f t="shared" si="11"/>
        <v>0</v>
      </c>
      <c r="AN54" s="1704"/>
    </row>
    <row r="55" spans="1:41" ht="150" customHeight="1" x14ac:dyDescent="0.7">
      <c r="A55" s="227">
        <v>41</v>
      </c>
      <c r="B55" s="251" t="s">
        <v>302</v>
      </c>
      <c r="C55" s="252" t="s">
        <v>175</v>
      </c>
      <c r="D55" s="227" t="s">
        <v>182</v>
      </c>
      <c r="E55" s="227" t="s">
        <v>331</v>
      </c>
      <c r="F55" s="260" t="s">
        <v>338</v>
      </c>
      <c r="G55" s="366" t="s">
        <v>1214</v>
      </c>
      <c r="H55" s="330">
        <v>10</v>
      </c>
      <c r="I55" s="330">
        <v>1</v>
      </c>
      <c r="J55" s="367">
        <v>703.96</v>
      </c>
      <c r="K55" s="263">
        <f t="shared" si="42"/>
        <v>7039.6</v>
      </c>
      <c r="L55" s="263">
        <f t="shared" si="32"/>
        <v>0</v>
      </c>
      <c r="M55" s="263">
        <f t="shared" si="43"/>
        <v>0</v>
      </c>
      <c r="N55" s="281">
        <f t="shared" si="44"/>
        <v>7039.6</v>
      </c>
      <c r="O55" s="203" t="s">
        <v>654</v>
      </c>
      <c r="P55" s="282" t="s">
        <v>623</v>
      </c>
      <c r="Q55" s="283" t="s">
        <v>963</v>
      </c>
      <c r="R55" s="368"/>
      <c r="S55" s="291">
        <f t="shared" si="34"/>
        <v>10</v>
      </c>
      <c r="T55" s="292">
        <f t="shared" si="34"/>
        <v>1</v>
      </c>
      <c r="U55" s="270">
        <f t="shared" si="35"/>
        <v>598.36599999999999</v>
      </c>
      <c r="V55" s="293">
        <v>0</v>
      </c>
      <c r="W55" s="294">
        <f t="shared" si="36"/>
        <v>7039.6</v>
      </c>
      <c r="X55" s="295">
        <f t="shared" si="45"/>
        <v>0</v>
      </c>
      <c r="Y55" s="296">
        <f t="shared" si="46"/>
        <v>0</v>
      </c>
      <c r="Z55" s="296">
        <f t="shared" si="47"/>
        <v>0</v>
      </c>
      <c r="AA55" s="290">
        <f t="shared" si="40"/>
        <v>0</v>
      </c>
      <c r="AB55" s="275">
        <f t="shared" si="48"/>
        <v>1</v>
      </c>
      <c r="AC55" s="276">
        <f t="shared" si="41"/>
        <v>0</v>
      </c>
      <c r="AM55" s="1703">
        <f t="shared" si="11"/>
        <v>0</v>
      </c>
      <c r="AN55" s="1704"/>
    </row>
    <row r="56" spans="1:41" ht="150" customHeight="1" x14ac:dyDescent="0.7">
      <c r="A56" s="227">
        <v>42</v>
      </c>
      <c r="B56" s="251" t="s">
        <v>303</v>
      </c>
      <c r="C56" s="252" t="s">
        <v>175</v>
      </c>
      <c r="D56" s="227" t="s">
        <v>182</v>
      </c>
      <c r="E56" s="227" t="s">
        <v>331</v>
      </c>
      <c r="F56" s="260" t="s">
        <v>339</v>
      </c>
      <c r="G56" s="366" t="s">
        <v>1215</v>
      </c>
      <c r="H56" s="330">
        <v>3</v>
      </c>
      <c r="I56" s="330">
        <v>1</v>
      </c>
      <c r="J56" s="367">
        <v>1202.52</v>
      </c>
      <c r="K56" s="263">
        <f t="shared" si="42"/>
        <v>3607.56</v>
      </c>
      <c r="L56" s="263">
        <f t="shared" si="32"/>
        <v>0</v>
      </c>
      <c r="M56" s="263">
        <f t="shared" si="43"/>
        <v>0</v>
      </c>
      <c r="N56" s="281">
        <f t="shared" si="44"/>
        <v>3607.56</v>
      </c>
      <c r="O56" s="203" t="s">
        <v>654</v>
      </c>
      <c r="P56" s="282" t="s">
        <v>623</v>
      </c>
      <c r="Q56" s="283" t="s">
        <v>963</v>
      </c>
      <c r="R56" s="368"/>
      <c r="S56" s="291">
        <f t="shared" si="34"/>
        <v>3</v>
      </c>
      <c r="T56" s="292">
        <f t="shared" si="34"/>
        <v>1</v>
      </c>
      <c r="U56" s="270">
        <f t="shared" si="35"/>
        <v>1022.1419999999999</v>
      </c>
      <c r="V56" s="293">
        <v>0</v>
      </c>
      <c r="W56" s="294">
        <f t="shared" si="36"/>
        <v>3607.56</v>
      </c>
      <c r="X56" s="295">
        <f t="shared" si="45"/>
        <v>0</v>
      </c>
      <c r="Y56" s="296">
        <f t="shared" si="46"/>
        <v>0</v>
      </c>
      <c r="Z56" s="296">
        <f t="shared" si="47"/>
        <v>0</v>
      </c>
      <c r="AA56" s="290">
        <f t="shared" si="40"/>
        <v>0</v>
      </c>
      <c r="AB56" s="275">
        <f t="shared" si="48"/>
        <v>1</v>
      </c>
      <c r="AC56" s="276">
        <f t="shared" si="41"/>
        <v>0</v>
      </c>
      <c r="AM56" s="1703">
        <f t="shared" si="11"/>
        <v>0</v>
      </c>
      <c r="AN56" s="1704"/>
    </row>
    <row r="57" spans="1:41" ht="150" customHeight="1" x14ac:dyDescent="0.7">
      <c r="A57" s="227">
        <v>43</v>
      </c>
      <c r="B57" s="251" t="s">
        <v>304</v>
      </c>
      <c r="C57" s="252" t="s">
        <v>175</v>
      </c>
      <c r="D57" s="227" t="s">
        <v>182</v>
      </c>
      <c r="E57" s="227" t="s">
        <v>331</v>
      </c>
      <c r="F57" s="260" t="s">
        <v>340</v>
      </c>
      <c r="G57" s="366" t="s">
        <v>1216</v>
      </c>
      <c r="H57" s="330">
        <v>4</v>
      </c>
      <c r="I57" s="330">
        <v>1</v>
      </c>
      <c r="J57" s="367">
        <v>920.55</v>
      </c>
      <c r="K57" s="263">
        <f t="shared" si="42"/>
        <v>3682.2</v>
      </c>
      <c r="L57" s="263">
        <f t="shared" si="32"/>
        <v>0</v>
      </c>
      <c r="M57" s="263">
        <f t="shared" si="43"/>
        <v>0</v>
      </c>
      <c r="N57" s="281">
        <f t="shared" si="44"/>
        <v>3682.2</v>
      </c>
      <c r="O57" s="203" t="s">
        <v>654</v>
      </c>
      <c r="P57" s="282" t="s">
        <v>623</v>
      </c>
      <c r="Q57" s="283" t="s">
        <v>963</v>
      </c>
      <c r="R57" s="368"/>
      <c r="S57" s="291">
        <f t="shared" si="34"/>
        <v>4</v>
      </c>
      <c r="T57" s="292">
        <f t="shared" si="34"/>
        <v>1</v>
      </c>
      <c r="U57" s="270">
        <f t="shared" si="35"/>
        <v>782.46749999999997</v>
      </c>
      <c r="V57" s="293">
        <v>0</v>
      </c>
      <c r="W57" s="294">
        <f t="shared" si="36"/>
        <v>3682.2</v>
      </c>
      <c r="X57" s="295">
        <f t="shared" si="45"/>
        <v>0</v>
      </c>
      <c r="Y57" s="296">
        <f t="shared" si="46"/>
        <v>0</v>
      </c>
      <c r="Z57" s="296">
        <f t="shared" si="47"/>
        <v>0</v>
      </c>
      <c r="AA57" s="290">
        <f t="shared" si="40"/>
        <v>0</v>
      </c>
      <c r="AB57" s="275">
        <f t="shared" si="48"/>
        <v>1</v>
      </c>
      <c r="AC57" s="276">
        <f t="shared" si="41"/>
        <v>0</v>
      </c>
      <c r="AM57" s="1703">
        <f t="shared" si="11"/>
        <v>0</v>
      </c>
      <c r="AN57" s="1704"/>
    </row>
    <row r="58" spans="1:41" ht="150" customHeight="1" x14ac:dyDescent="0.7">
      <c r="A58" s="227">
        <v>44</v>
      </c>
      <c r="B58" s="251" t="s">
        <v>305</v>
      </c>
      <c r="C58" s="252" t="s">
        <v>175</v>
      </c>
      <c r="D58" s="227" t="s">
        <v>182</v>
      </c>
      <c r="E58" s="227" t="s">
        <v>331</v>
      </c>
      <c r="F58" s="260" t="s">
        <v>341</v>
      </c>
      <c r="G58" s="366" t="s">
        <v>1217</v>
      </c>
      <c r="H58" s="330">
        <v>10</v>
      </c>
      <c r="I58" s="330">
        <v>1</v>
      </c>
      <c r="J58" s="367">
        <v>2172.2399999999998</v>
      </c>
      <c r="K58" s="263">
        <f t="shared" si="42"/>
        <v>21722.399999999998</v>
      </c>
      <c r="L58" s="263">
        <f t="shared" si="32"/>
        <v>0</v>
      </c>
      <c r="M58" s="263">
        <f t="shared" si="43"/>
        <v>0</v>
      </c>
      <c r="N58" s="281">
        <f t="shared" si="44"/>
        <v>21722.399999999998</v>
      </c>
      <c r="O58" s="203" t="s">
        <v>654</v>
      </c>
      <c r="P58" s="282" t="s">
        <v>623</v>
      </c>
      <c r="Q58" s="283" t="s">
        <v>963</v>
      </c>
      <c r="R58" s="368"/>
      <c r="S58" s="291">
        <f t="shared" si="34"/>
        <v>10</v>
      </c>
      <c r="T58" s="292">
        <f t="shared" si="34"/>
        <v>1</v>
      </c>
      <c r="U58" s="270">
        <f t="shared" si="35"/>
        <v>1846.4039999999998</v>
      </c>
      <c r="V58" s="293">
        <v>0</v>
      </c>
      <c r="W58" s="294">
        <f t="shared" si="36"/>
        <v>21722.399999999998</v>
      </c>
      <c r="X58" s="295">
        <f t="shared" si="45"/>
        <v>0</v>
      </c>
      <c r="Y58" s="296">
        <f t="shared" si="46"/>
        <v>0</v>
      </c>
      <c r="Z58" s="296">
        <f t="shared" si="47"/>
        <v>0</v>
      </c>
      <c r="AA58" s="290">
        <f t="shared" si="40"/>
        <v>0</v>
      </c>
      <c r="AB58" s="275">
        <f t="shared" si="48"/>
        <v>1</v>
      </c>
      <c r="AC58" s="276">
        <f t="shared" si="41"/>
        <v>0</v>
      </c>
      <c r="AM58" s="1703">
        <f t="shared" si="11"/>
        <v>0</v>
      </c>
      <c r="AN58" s="1704"/>
    </row>
    <row r="59" spans="1:41" ht="150" customHeight="1" x14ac:dyDescent="0.7">
      <c r="A59" s="227">
        <v>45</v>
      </c>
      <c r="B59" s="251" t="s">
        <v>306</v>
      </c>
      <c r="C59" s="252" t="s">
        <v>175</v>
      </c>
      <c r="D59" s="227" t="s">
        <v>182</v>
      </c>
      <c r="E59" s="227" t="s">
        <v>331</v>
      </c>
      <c r="F59" s="260" t="s">
        <v>342</v>
      </c>
      <c r="G59" s="366" t="s">
        <v>1218</v>
      </c>
      <c r="H59" s="330">
        <v>22</v>
      </c>
      <c r="I59" s="330">
        <v>1</v>
      </c>
      <c r="J59" s="367">
        <v>830.53</v>
      </c>
      <c r="K59" s="263">
        <f t="shared" si="42"/>
        <v>18271.66</v>
      </c>
      <c r="L59" s="263">
        <f t="shared" si="32"/>
        <v>0</v>
      </c>
      <c r="M59" s="263">
        <f t="shared" si="43"/>
        <v>0</v>
      </c>
      <c r="N59" s="281">
        <f t="shared" si="44"/>
        <v>18271.66</v>
      </c>
      <c r="O59" s="203" t="s">
        <v>654</v>
      </c>
      <c r="P59" s="282" t="s">
        <v>623</v>
      </c>
      <c r="Q59" s="283" t="s">
        <v>963</v>
      </c>
      <c r="R59" s="368"/>
      <c r="S59" s="291">
        <f t="shared" si="34"/>
        <v>22</v>
      </c>
      <c r="T59" s="292">
        <f t="shared" si="34"/>
        <v>1</v>
      </c>
      <c r="U59" s="270">
        <f t="shared" si="35"/>
        <v>705.95049999999992</v>
      </c>
      <c r="V59" s="293">
        <v>0</v>
      </c>
      <c r="W59" s="294">
        <f t="shared" si="36"/>
        <v>18271.66</v>
      </c>
      <c r="X59" s="295">
        <f t="shared" si="45"/>
        <v>0</v>
      </c>
      <c r="Y59" s="296">
        <f t="shared" si="46"/>
        <v>0</v>
      </c>
      <c r="Z59" s="296">
        <f t="shared" si="47"/>
        <v>0</v>
      </c>
      <c r="AA59" s="290">
        <f t="shared" si="40"/>
        <v>0</v>
      </c>
      <c r="AB59" s="275">
        <f t="shared" si="48"/>
        <v>1</v>
      </c>
      <c r="AC59" s="276">
        <f t="shared" si="41"/>
        <v>0</v>
      </c>
      <c r="AM59" s="1703">
        <f t="shared" si="11"/>
        <v>0</v>
      </c>
      <c r="AN59" s="1704"/>
    </row>
    <row r="60" spans="1:41" ht="150" customHeight="1" x14ac:dyDescent="0.7">
      <c r="A60" s="227">
        <v>46</v>
      </c>
      <c r="B60" s="251" t="s">
        <v>307</v>
      </c>
      <c r="C60" s="252" t="s">
        <v>175</v>
      </c>
      <c r="D60" s="227" t="s">
        <v>182</v>
      </c>
      <c r="E60" s="227" t="s">
        <v>331</v>
      </c>
      <c r="F60" s="260" t="s">
        <v>343</v>
      </c>
      <c r="G60" s="366" t="s">
        <v>1219</v>
      </c>
      <c r="H60" s="330">
        <v>10</v>
      </c>
      <c r="I60" s="330">
        <v>1</v>
      </c>
      <c r="J60" s="367">
        <v>863.05</v>
      </c>
      <c r="K60" s="263">
        <f t="shared" si="42"/>
        <v>8630.5</v>
      </c>
      <c r="L60" s="263">
        <f t="shared" si="32"/>
        <v>0</v>
      </c>
      <c r="M60" s="263">
        <f t="shared" si="43"/>
        <v>0</v>
      </c>
      <c r="N60" s="281">
        <f t="shared" si="44"/>
        <v>8630.5</v>
      </c>
      <c r="O60" s="203" t="s">
        <v>654</v>
      </c>
      <c r="P60" s="282" t="s">
        <v>623</v>
      </c>
      <c r="Q60" s="283" t="s">
        <v>963</v>
      </c>
      <c r="R60" s="368"/>
      <c r="S60" s="291">
        <f t="shared" si="34"/>
        <v>10</v>
      </c>
      <c r="T60" s="292">
        <f t="shared" si="34"/>
        <v>1</v>
      </c>
      <c r="U60" s="270">
        <f t="shared" si="35"/>
        <v>733.59249999999997</v>
      </c>
      <c r="V60" s="293">
        <v>0</v>
      </c>
      <c r="W60" s="294">
        <f t="shared" si="36"/>
        <v>8630.5</v>
      </c>
      <c r="X60" s="295">
        <f t="shared" si="45"/>
        <v>0</v>
      </c>
      <c r="Y60" s="296">
        <f t="shared" si="46"/>
        <v>0</v>
      </c>
      <c r="Z60" s="296">
        <f t="shared" si="47"/>
        <v>0</v>
      </c>
      <c r="AA60" s="290">
        <f t="shared" si="40"/>
        <v>0</v>
      </c>
      <c r="AB60" s="275">
        <f t="shared" si="48"/>
        <v>1</v>
      </c>
      <c r="AC60" s="276">
        <f t="shared" si="41"/>
        <v>0</v>
      </c>
      <c r="AM60" s="1703">
        <f t="shared" si="11"/>
        <v>0</v>
      </c>
      <c r="AN60" s="1704"/>
    </row>
    <row r="61" spans="1:41" ht="150" customHeight="1" x14ac:dyDescent="0.7">
      <c r="A61" s="227">
        <v>47</v>
      </c>
      <c r="B61" s="251" t="s">
        <v>308</v>
      </c>
      <c r="C61" s="252" t="s">
        <v>175</v>
      </c>
      <c r="D61" s="227" t="s">
        <v>182</v>
      </c>
      <c r="E61" s="227" t="s">
        <v>331</v>
      </c>
      <c r="F61" s="260" t="s">
        <v>344</v>
      </c>
      <c r="G61" s="366" t="s">
        <v>1220</v>
      </c>
      <c r="H61" s="330">
        <v>1</v>
      </c>
      <c r="I61" s="330">
        <v>1</v>
      </c>
      <c r="J61" s="367">
        <v>918.17</v>
      </c>
      <c r="K61" s="263">
        <f t="shared" si="42"/>
        <v>918.17</v>
      </c>
      <c r="L61" s="263">
        <f t="shared" si="32"/>
        <v>0</v>
      </c>
      <c r="M61" s="263">
        <f t="shared" si="43"/>
        <v>0</v>
      </c>
      <c r="N61" s="281">
        <f t="shared" si="44"/>
        <v>918.17</v>
      </c>
      <c r="O61" s="203" t="s">
        <v>654</v>
      </c>
      <c r="P61" s="282" t="s">
        <v>623</v>
      </c>
      <c r="Q61" s="283" t="s">
        <v>963</v>
      </c>
      <c r="R61" s="368"/>
      <c r="S61" s="291">
        <f t="shared" si="34"/>
        <v>1</v>
      </c>
      <c r="T61" s="292">
        <f t="shared" si="34"/>
        <v>1</v>
      </c>
      <c r="U61" s="270">
        <f t="shared" si="35"/>
        <v>780.44449999999995</v>
      </c>
      <c r="V61" s="293">
        <v>0</v>
      </c>
      <c r="W61" s="294">
        <f t="shared" si="36"/>
        <v>918.17</v>
      </c>
      <c r="X61" s="295">
        <f t="shared" si="45"/>
        <v>0</v>
      </c>
      <c r="Y61" s="296">
        <f t="shared" si="46"/>
        <v>0</v>
      </c>
      <c r="Z61" s="296">
        <f t="shared" si="47"/>
        <v>0</v>
      </c>
      <c r="AA61" s="290">
        <f t="shared" si="40"/>
        <v>0</v>
      </c>
      <c r="AB61" s="275">
        <f t="shared" si="48"/>
        <v>1</v>
      </c>
      <c r="AC61" s="276">
        <f t="shared" si="41"/>
        <v>0</v>
      </c>
      <c r="AM61" s="1703">
        <f t="shared" si="11"/>
        <v>0</v>
      </c>
      <c r="AN61" s="1704"/>
    </row>
    <row r="62" spans="1:41" ht="150" customHeight="1" x14ac:dyDescent="0.7">
      <c r="A62" s="227">
        <v>48</v>
      </c>
      <c r="B62" s="251" t="s">
        <v>309</v>
      </c>
      <c r="C62" s="252" t="s">
        <v>175</v>
      </c>
      <c r="D62" s="227" t="s">
        <v>182</v>
      </c>
      <c r="E62" s="227" t="s">
        <v>331</v>
      </c>
      <c r="F62" s="260" t="s">
        <v>345</v>
      </c>
      <c r="G62" s="366" t="s">
        <v>1221</v>
      </c>
      <c r="H62" s="330">
        <v>13</v>
      </c>
      <c r="I62" s="330">
        <v>1</v>
      </c>
      <c r="J62" s="367">
        <v>805.58</v>
      </c>
      <c r="K62" s="263">
        <f t="shared" si="42"/>
        <v>10472.540000000001</v>
      </c>
      <c r="L62" s="263">
        <f t="shared" si="32"/>
        <v>0</v>
      </c>
      <c r="M62" s="263">
        <f t="shared" si="43"/>
        <v>0</v>
      </c>
      <c r="N62" s="281">
        <f t="shared" si="44"/>
        <v>10472.540000000001</v>
      </c>
      <c r="O62" s="203" t="s">
        <v>654</v>
      </c>
      <c r="P62" s="282" t="s">
        <v>623</v>
      </c>
      <c r="Q62" s="283" t="s">
        <v>963</v>
      </c>
      <c r="R62" s="368"/>
      <c r="S62" s="291">
        <f t="shared" si="34"/>
        <v>13</v>
      </c>
      <c r="T62" s="292">
        <f t="shared" si="34"/>
        <v>1</v>
      </c>
      <c r="U62" s="270">
        <f t="shared" si="35"/>
        <v>684.74300000000005</v>
      </c>
      <c r="V62" s="293">
        <v>0</v>
      </c>
      <c r="W62" s="294">
        <f t="shared" si="36"/>
        <v>10472.540000000001</v>
      </c>
      <c r="X62" s="295">
        <f t="shared" si="45"/>
        <v>0</v>
      </c>
      <c r="Y62" s="296">
        <f t="shared" si="46"/>
        <v>0</v>
      </c>
      <c r="Z62" s="296">
        <f t="shared" si="47"/>
        <v>0</v>
      </c>
      <c r="AA62" s="290">
        <f t="shared" si="40"/>
        <v>0</v>
      </c>
      <c r="AB62" s="275">
        <f t="shared" si="48"/>
        <v>1</v>
      </c>
      <c r="AC62" s="276">
        <f t="shared" si="41"/>
        <v>0</v>
      </c>
      <c r="AM62" s="1703">
        <f t="shared" si="11"/>
        <v>0</v>
      </c>
      <c r="AN62" s="1704"/>
    </row>
    <row r="63" spans="1:41" ht="150" customHeight="1" x14ac:dyDescent="0.7">
      <c r="A63" s="227">
        <v>49</v>
      </c>
      <c r="B63" s="251" t="s">
        <v>310</v>
      </c>
      <c r="C63" s="252" t="s">
        <v>175</v>
      </c>
      <c r="D63" s="227" t="s">
        <v>182</v>
      </c>
      <c r="E63" s="227" t="s">
        <v>331</v>
      </c>
      <c r="F63" s="260" t="s">
        <v>346</v>
      </c>
      <c r="G63" s="366" t="s">
        <v>1222</v>
      </c>
      <c r="H63" s="330">
        <v>2</v>
      </c>
      <c r="I63" s="330">
        <v>1</v>
      </c>
      <c r="J63" s="367">
        <v>2070.83</v>
      </c>
      <c r="K63" s="263">
        <f t="shared" si="42"/>
        <v>4141.66</v>
      </c>
      <c r="L63" s="263">
        <f t="shared" si="32"/>
        <v>0</v>
      </c>
      <c r="M63" s="263">
        <f t="shared" si="43"/>
        <v>0</v>
      </c>
      <c r="N63" s="281">
        <f t="shared" si="44"/>
        <v>4141.66</v>
      </c>
      <c r="O63" s="203" t="s">
        <v>654</v>
      </c>
      <c r="P63" s="282" t="s">
        <v>623</v>
      </c>
      <c r="Q63" s="283" t="s">
        <v>963</v>
      </c>
      <c r="R63" s="368"/>
      <c r="S63" s="291">
        <f t="shared" si="34"/>
        <v>2</v>
      </c>
      <c r="T63" s="292">
        <f t="shared" si="34"/>
        <v>1</v>
      </c>
      <c r="U63" s="270">
        <f t="shared" si="35"/>
        <v>1760.2054999999998</v>
      </c>
      <c r="V63" s="293">
        <v>0</v>
      </c>
      <c r="W63" s="294">
        <f t="shared" si="36"/>
        <v>4141.66</v>
      </c>
      <c r="X63" s="295">
        <f t="shared" si="45"/>
        <v>0</v>
      </c>
      <c r="Y63" s="296">
        <f t="shared" si="46"/>
        <v>0</v>
      </c>
      <c r="Z63" s="296">
        <f t="shared" si="47"/>
        <v>0</v>
      </c>
      <c r="AA63" s="290">
        <f t="shared" si="40"/>
        <v>0</v>
      </c>
      <c r="AB63" s="275">
        <f t="shared" si="48"/>
        <v>1</v>
      </c>
      <c r="AC63" s="276">
        <f t="shared" si="41"/>
        <v>0</v>
      </c>
      <c r="AM63" s="1703">
        <f t="shared" si="11"/>
        <v>0</v>
      </c>
      <c r="AN63" s="1704"/>
    </row>
    <row r="64" spans="1:41" ht="150" customHeight="1" x14ac:dyDescent="0.7">
      <c r="A64" s="227">
        <v>50</v>
      </c>
      <c r="B64" s="251" t="s">
        <v>311</v>
      </c>
      <c r="C64" s="252" t="s">
        <v>175</v>
      </c>
      <c r="D64" s="227" t="s">
        <v>182</v>
      </c>
      <c r="E64" s="227" t="s">
        <v>331</v>
      </c>
      <c r="F64" s="260" t="s">
        <v>347</v>
      </c>
      <c r="G64" s="366" t="s">
        <v>1223</v>
      </c>
      <c r="H64" s="330">
        <v>1</v>
      </c>
      <c r="I64" s="330">
        <v>1</v>
      </c>
      <c r="J64" s="367">
        <v>730.76</v>
      </c>
      <c r="K64" s="263">
        <f t="shared" si="42"/>
        <v>730.76</v>
      </c>
      <c r="L64" s="263">
        <f t="shared" si="32"/>
        <v>0</v>
      </c>
      <c r="M64" s="263">
        <f t="shared" si="43"/>
        <v>0</v>
      </c>
      <c r="N64" s="281">
        <f t="shared" si="44"/>
        <v>730.76</v>
      </c>
      <c r="O64" s="203" t="s">
        <v>654</v>
      </c>
      <c r="P64" s="282" t="s">
        <v>623</v>
      </c>
      <c r="Q64" s="283" t="s">
        <v>963</v>
      </c>
      <c r="R64" s="368"/>
      <c r="S64" s="291">
        <f t="shared" si="34"/>
        <v>1</v>
      </c>
      <c r="T64" s="292">
        <f t="shared" si="34"/>
        <v>1</v>
      </c>
      <c r="U64" s="270">
        <f t="shared" si="35"/>
        <v>621.14599999999996</v>
      </c>
      <c r="V64" s="293">
        <v>0</v>
      </c>
      <c r="W64" s="294">
        <f t="shared" si="36"/>
        <v>730.76</v>
      </c>
      <c r="X64" s="295">
        <f t="shared" si="45"/>
        <v>0</v>
      </c>
      <c r="Y64" s="296">
        <f t="shared" si="46"/>
        <v>0</v>
      </c>
      <c r="Z64" s="296">
        <f t="shared" si="47"/>
        <v>0</v>
      </c>
      <c r="AA64" s="290">
        <f t="shared" si="40"/>
        <v>0</v>
      </c>
      <c r="AB64" s="275">
        <f t="shared" si="48"/>
        <v>1</v>
      </c>
      <c r="AC64" s="276">
        <f t="shared" si="41"/>
        <v>0</v>
      </c>
      <c r="AM64" s="1703">
        <f t="shared" si="11"/>
        <v>0</v>
      </c>
      <c r="AN64" s="1704"/>
    </row>
    <row r="65" spans="1:40" ht="150" customHeight="1" x14ac:dyDescent="0.7">
      <c r="A65" s="227">
        <v>51</v>
      </c>
      <c r="B65" s="251" t="s">
        <v>312</v>
      </c>
      <c r="C65" s="252" t="s">
        <v>175</v>
      </c>
      <c r="D65" s="227" t="s">
        <v>182</v>
      </c>
      <c r="E65" s="227" t="s">
        <v>331</v>
      </c>
      <c r="F65" s="260" t="s">
        <v>348</v>
      </c>
      <c r="G65" s="366" t="s">
        <v>1224</v>
      </c>
      <c r="H65" s="330">
        <v>3</v>
      </c>
      <c r="I65" s="330">
        <v>1</v>
      </c>
      <c r="J65" s="367">
        <v>2121.89</v>
      </c>
      <c r="K65" s="263">
        <f t="shared" si="42"/>
        <v>6365.67</v>
      </c>
      <c r="L65" s="263">
        <f t="shared" si="32"/>
        <v>0</v>
      </c>
      <c r="M65" s="263">
        <f t="shared" si="43"/>
        <v>0</v>
      </c>
      <c r="N65" s="281">
        <f t="shared" si="44"/>
        <v>6365.67</v>
      </c>
      <c r="O65" s="203" t="s">
        <v>654</v>
      </c>
      <c r="P65" s="282" t="s">
        <v>623</v>
      </c>
      <c r="Q65" s="283" t="s">
        <v>963</v>
      </c>
      <c r="R65" s="368"/>
      <c r="S65" s="291">
        <f t="shared" si="34"/>
        <v>3</v>
      </c>
      <c r="T65" s="292">
        <f t="shared" si="34"/>
        <v>1</v>
      </c>
      <c r="U65" s="270">
        <f t="shared" si="35"/>
        <v>1803.6064999999999</v>
      </c>
      <c r="V65" s="293">
        <v>0</v>
      </c>
      <c r="W65" s="294">
        <f t="shared" si="36"/>
        <v>6365.67</v>
      </c>
      <c r="X65" s="295">
        <f t="shared" si="45"/>
        <v>0</v>
      </c>
      <c r="Y65" s="296">
        <f t="shared" si="46"/>
        <v>0</v>
      </c>
      <c r="Z65" s="296">
        <f t="shared" si="47"/>
        <v>0</v>
      </c>
      <c r="AA65" s="290">
        <f t="shared" si="40"/>
        <v>0</v>
      </c>
      <c r="AB65" s="275">
        <f t="shared" si="48"/>
        <v>1</v>
      </c>
      <c r="AC65" s="276">
        <f t="shared" si="41"/>
        <v>0</v>
      </c>
      <c r="AM65" s="1703">
        <f t="shared" si="11"/>
        <v>0</v>
      </c>
      <c r="AN65" s="1704"/>
    </row>
    <row r="66" spans="1:40" ht="150" customHeight="1" x14ac:dyDescent="0.7">
      <c r="A66" s="227">
        <v>52</v>
      </c>
      <c r="B66" s="251" t="s">
        <v>313</v>
      </c>
      <c r="C66" s="252" t="s">
        <v>175</v>
      </c>
      <c r="D66" s="227" t="s">
        <v>182</v>
      </c>
      <c r="E66" s="227" t="s">
        <v>331</v>
      </c>
      <c r="F66" s="260" t="s">
        <v>349</v>
      </c>
      <c r="G66" s="366" t="s">
        <v>1225</v>
      </c>
      <c r="H66" s="330">
        <v>1</v>
      </c>
      <c r="I66" s="330">
        <v>1</v>
      </c>
      <c r="J66" s="367">
        <v>1993.04</v>
      </c>
      <c r="K66" s="263">
        <f t="shared" si="42"/>
        <v>1993.04</v>
      </c>
      <c r="L66" s="263">
        <f t="shared" si="32"/>
        <v>0</v>
      </c>
      <c r="M66" s="263">
        <f t="shared" si="43"/>
        <v>0</v>
      </c>
      <c r="N66" s="281">
        <f t="shared" si="44"/>
        <v>1993.04</v>
      </c>
      <c r="O66" s="203" t="s">
        <v>654</v>
      </c>
      <c r="P66" s="282" t="s">
        <v>623</v>
      </c>
      <c r="Q66" s="283" t="s">
        <v>963</v>
      </c>
      <c r="R66" s="368"/>
      <c r="S66" s="291">
        <f t="shared" si="34"/>
        <v>1</v>
      </c>
      <c r="T66" s="292">
        <f t="shared" si="34"/>
        <v>1</v>
      </c>
      <c r="U66" s="270">
        <f t="shared" si="35"/>
        <v>1694.0839999999998</v>
      </c>
      <c r="V66" s="293">
        <v>0</v>
      </c>
      <c r="W66" s="294">
        <f t="shared" si="36"/>
        <v>1993.04</v>
      </c>
      <c r="X66" s="295">
        <f t="shared" si="45"/>
        <v>0</v>
      </c>
      <c r="Y66" s="296">
        <f t="shared" si="46"/>
        <v>0</v>
      </c>
      <c r="Z66" s="296">
        <f t="shared" si="47"/>
        <v>0</v>
      </c>
      <c r="AA66" s="290">
        <f t="shared" si="40"/>
        <v>0</v>
      </c>
      <c r="AB66" s="275">
        <f t="shared" si="48"/>
        <v>1</v>
      </c>
      <c r="AC66" s="276">
        <f t="shared" si="41"/>
        <v>0</v>
      </c>
      <c r="AM66" s="1703">
        <f t="shared" si="11"/>
        <v>0</v>
      </c>
      <c r="AN66" s="1704"/>
    </row>
    <row r="67" spans="1:40" ht="150" customHeight="1" x14ac:dyDescent="0.7">
      <c r="A67" s="227">
        <v>53</v>
      </c>
      <c r="B67" s="251" t="s">
        <v>314</v>
      </c>
      <c r="C67" s="252" t="s">
        <v>175</v>
      </c>
      <c r="D67" s="227" t="s">
        <v>182</v>
      </c>
      <c r="E67" s="227" t="s">
        <v>331</v>
      </c>
      <c r="F67" s="260" t="s">
        <v>350</v>
      </c>
      <c r="G67" s="366" t="s">
        <v>1226</v>
      </c>
      <c r="H67" s="330">
        <v>4</v>
      </c>
      <c r="I67" s="330">
        <v>1</v>
      </c>
      <c r="J67" s="367">
        <v>2170.59</v>
      </c>
      <c r="K67" s="263">
        <f t="shared" si="42"/>
        <v>8682.36</v>
      </c>
      <c r="L67" s="263">
        <f t="shared" si="32"/>
        <v>0</v>
      </c>
      <c r="M67" s="263">
        <f t="shared" si="43"/>
        <v>0</v>
      </c>
      <c r="N67" s="281">
        <f t="shared" si="44"/>
        <v>8682.36</v>
      </c>
      <c r="O67" s="203" t="s">
        <v>654</v>
      </c>
      <c r="P67" s="282" t="s">
        <v>623</v>
      </c>
      <c r="Q67" s="283" t="s">
        <v>963</v>
      </c>
      <c r="R67" s="368"/>
      <c r="S67" s="291">
        <f t="shared" si="34"/>
        <v>4</v>
      </c>
      <c r="T67" s="292">
        <f t="shared" si="34"/>
        <v>1</v>
      </c>
      <c r="U67" s="270">
        <f t="shared" si="35"/>
        <v>1845.0015000000001</v>
      </c>
      <c r="V67" s="293">
        <v>0</v>
      </c>
      <c r="W67" s="294">
        <f t="shared" si="36"/>
        <v>8682.36</v>
      </c>
      <c r="X67" s="295">
        <f t="shared" si="45"/>
        <v>0</v>
      </c>
      <c r="Y67" s="296">
        <f t="shared" si="46"/>
        <v>0</v>
      </c>
      <c r="Z67" s="296">
        <f t="shared" si="47"/>
        <v>0</v>
      </c>
      <c r="AA67" s="290">
        <f t="shared" si="40"/>
        <v>0</v>
      </c>
      <c r="AB67" s="275">
        <f t="shared" si="48"/>
        <v>1</v>
      </c>
      <c r="AC67" s="276">
        <v>1.6882875064419923E-2</v>
      </c>
      <c r="AM67" s="1703">
        <f t="shared" si="11"/>
        <v>0</v>
      </c>
      <c r="AN67" s="1704"/>
    </row>
    <row r="68" spans="1:40" ht="150" customHeight="1" x14ac:dyDescent="0.7">
      <c r="A68" s="227">
        <v>54</v>
      </c>
      <c r="B68" s="251" t="s">
        <v>315</v>
      </c>
      <c r="C68" s="252" t="s">
        <v>175</v>
      </c>
      <c r="D68" s="227" t="s">
        <v>182</v>
      </c>
      <c r="E68" s="227" t="s">
        <v>331</v>
      </c>
      <c r="F68" s="260" t="s">
        <v>351</v>
      </c>
      <c r="G68" s="366" t="s">
        <v>1227</v>
      </c>
      <c r="H68" s="330">
        <v>1</v>
      </c>
      <c r="I68" s="330">
        <v>1</v>
      </c>
      <c r="J68" s="367">
        <v>6062.41</v>
      </c>
      <c r="K68" s="263">
        <f t="shared" si="42"/>
        <v>6062.41</v>
      </c>
      <c r="L68" s="263">
        <f t="shared" si="32"/>
        <v>0</v>
      </c>
      <c r="M68" s="263">
        <f t="shared" si="43"/>
        <v>0</v>
      </c>
      <c r="N68" s="281">
        <f t="shared" si="44"/>
        <v>6062.41</v>
      </c>
      <c r="O68" s="203" t="s">
        <v>654</v>
      </c>
      <c r="P68" s="282" t="s">
        <v>623</v>
      </c>
      <c r="Q68" s="283" t="s">
        <v>963</v>
      </c>
      <c r="R68" s="368"/>
      <c r="S68" s="291">
        <f t="shared" si="34"/>
        <v>1</v>
      </c>
      <c r="T68" s="292">
        <f t="shared" si="34"/>
        <v>1</v>
      </c>
      <c r="U68" s="270">
        <f t="shared" si="35"/>
        <v>5153.0484999999999</v>
      </c>
      <c r="V68" s="293">
        <v>0</v>
      </c>
      <c r="W68" s="294">
        <f t="shared" si="36"/>
        <v>6062.41</v>
      </c>
      <c r="X68" s="295">
        <f t="shared" si="45"/>
        <v>0</v>
      </c>
      <c r="Y68" s="296">
        <f t="shared" si="46"/>
        <v>0</v>
      </c>
      <c r="Z68" s="296">
        <f t="shared" si="47"/>
        <v>0</v>
      </c>
      <c r="AA68" s="290">
        <f t="shared" si="40"/>
        <v>0</v>
      </c>
      <c r="AB68" s="275">
        <f t="shared" si="48"/>
        <v>1</v>
      </c>
      <c r="AC68" s="276">
        <v>1.6882875064419923E-2</v>
      </c>
      <c r="AM68" s="1703">
        <f t="shared" si="11"/>
        <v>0</v>
      </c>
      <c r="AN68" s="1704"/>
    </row>
    <row r="69" spans="1:40" ht="150" customHeight="1" x14ac:dyDescent="0.7">
      <c r="A69" s="227">
        <v>55</v>
      </c>
      <c r="B69" s="251" t="s">
        <v>316</v>
      </c>
      <c r="C69" s="252" t="s">
        <v>175</v>
      </c>
      <c r="D69" s="227" t="s">
        <v>182</v>
      </c>
      <c r="E69" s="227" t="s">
        <v>331</v>
      </c>
      <c r="F69" s="260" t="s">
        <v>352</v>
      </c>
      <c r="G69" s="366" t="s">
        <v>1228</v>
      </c>
      <c r="H69" s="330">
        <v>1</v>
      </c>
      <c r="I69" s="330">
        <v>1</v>
      </c>
      <c r="J69" s="367">
        <v>850.55</v>
      </c>
      <c r="K69" s="263">
        <f t="shared" si="42"/>
        <v>850.55</v>
      </c>
      <c r="L69" s="263">
        <f t="shared" si="32"/>
        <v>0</v>
      </c>
      <c r="M69" s="263">
        <f t="shared" si="43"/>
        <v>0</v>
      </c>
      <c r="N69" s="281">
        <f t="shared" si="44"/>
        <v>850.55</v>
      </c>
      <c r="O69" s="203" t="s">
        <v>654</v>
      </c>
      <c r="P69" s="282" t="s">
        <v>623</v>
      </c>
      <c r="Q69" s="283" t="s">
        <v>963</v>
      </c>
      <c r="R69" s="368"/>
      <c r="S69" s="291">
        <f t="shared" si="34"/>
        <v>1</v>
      </c>
      <c r="T69" s="292">
        <f t="shared" si="34"/>
        <v>1</v>
      </c>
      <c r="U69" s="270">
        <f t="shared" si="35"/>
        <v>722.96749999999997</v>
      </c>
      <c r="V69" s="293">
        <v>0</v>
      </c>
      <c r="W69" s="294">
        <f t="shared" si="36"/>
        <v>850.55</v>
      </c>
      <c r="X69" s="295">
        <f t="shared" si="45"/>
        <v>0</v>
      </c>
      <c r="Y69" s="296">
        <f t="shared" si="46"/>
        <v>0</v>
      </c>
      <c r="Z69" s="296">
        <f t="shared" si="47"/>
        <v>0</v>
      </c>
      <c r="AA69" s="290">
        <f t="shared" si="40"/>
        <v>0</v>
      </c>
      <c r="AB69" s="275">
        <f t="shared" si="48"/>
        <v>1</v>
      </c>
      <c r="AC69" s="276">
        <v>1.6882875064419923E-2</v>
      </c>
      <c r="AM69" s="1703">
        <f t="shared" si="11"/>
        <v>0</v>
      </c>
      <c r="AN69" s="1704"/>
    </row>
    <row r="70" spans="1:40" ht="150" customHeight="1" x14ac:dyDescent="0.7">
      <c r="A70" s="227">
        <v>56</v>
      </c>
      <c r="B70" s="251" t="s">
        <v>317</v>
      </c>
      <c r="C70" s="252" t="s">
        <v>175</v>
      </c>
      <c r="D70" s="227" t="s">
        <v>182</v>
      </c>
      <c r="E70" s="227" t="s">
        <v>331</v>
      </c>
      <c r="F70" s="260" t="s">
        <v>353</v>
      </c>
      <c r="G70" s="366" t="s">
        <v>1229</v>
      </c>
      <c r="H70" s="330">
        <v>4</v>
      </c>
      <c r="I70" s="330">
        <v>1</v>
      </c>
      <c r="J70" s="367">
        <v>1805.86</v>
      </c>
      <c r="K70" s="263">
        <f t="shared" si="42"/>
        <v>7223.44</v>
      </c>
      <c r="L70" s="263">
        <f t="shared" si="32"/>
        <v>0</v>
      </c>
      <c r="M70" s="263">
        <f t="shared" si="43"/>
        <v>0</v>
      </c>
      <c r="N70" s="281">
        <f t="shared" si="44"/>
        <v>7223.44</v>
      </c>
      <c r="O70" s="203" t="s">
        <v>654</v>
      </c>
      <c r="P70" s="282" t="s">
        <v>623</v>
      </c>
      <c r="Q70" s="283" t="s">
        <v>963</v>
      </c>
      <c r="R70" s="368"/>
      <c r="S70" s="291">
        <f t="shared" si="34"/>
        <v>4</v>
      </c>
      <c r="T70" s="292">
        <f t="shared" si="34"/>
        <v>1</v>
      </c>
      <c r="U70" s="270">
        <f t="shared" si="35"/>
        <v>1534.9809999999998</v>
      </c>
      <c r="V70" s="293">
        <v>0</v>
      </c>
      <c r="W70" s="294">
        <f t="shared" si="36"/>
        <v>7223.44</v>
      </c>
      <c r="X70" s="295">
        <f t="shared" si="45"/>
        <v>0</v>
      </c>
      <c r="Y70" s="296">
        <f t="shared" si="46"/>
        <v>0</v>
      </c>
      <c r="Z70" s="296">
        <f t="shared" si="47"/>
        <v>0</v>
      </c>
      <c r="AA70" s="290">
        <f t="shared" si="40"/>
        <v>0</v>
      </c>
      <c r="AB70" s="275">
        <f t="shared" si="48"/>
        <v>1</v>
      </c>
      <c r="AC70" s="276">
        <v>1.6882875064419923E-2</v>
      </c>
      <c r="AM70" s="1703">
        <f t="shared" si="11"/>
        <v>0</v>
      </c>
      <c r="AN70" s="1704"/>
    </row>
    <row r="71" spans="1:40" ht="150" customHeight="1" x14ac:dyDescent="0.7">
      <c r="A71" s="227">
        <v>57</v>
      </c>
      <c r="B71" s="251" t="s">
        <v>318</v>
      </c>
      <c r="C71" s="252" t="s">
        <v>175</v>
      </c>
      <c r="D71" s="227" t="s">
        <v>182</v>
      </c>
      <c r="E71" s="227" t="s">
        <v>331</v>
      </c>
      <c r="F71" s="260" t="s">
        <v>354</v>
      </c>
      <c r="G71" s="366" t="s">
        <v>1230</v>
      </c>
      <c r="H71" s="330">
        <v>6</v>
      </c>
      <c r="I71" s="330">
        <v>1</v>
      </c>
      <c r="J71" s="367">
        <v>872.43</v>
      </c>
      <c r="K71" s="263">
        <f t="shared" si="42"/>
        <v>5234.58</v>
      </c>
      <c r="L71" s="263">
        <f t="shared" si="32"/>
        <v>0</v>
      </c>
      <c r="M71" s="263">
        <f t="shared" si="43"/>
        <v>0</v>
      </c>
      <c r="N71" s="281">
        <f t="shared" si="44"/>
        <v>5234.58</v>
      </c>
      <c r="O71" s="203" t="s">
        <v>654</v>
      </c>
      <c r="P71" s="282" t="s">
        <v>623</v>
      </c>
      <c r="Q71" s="283" t="s">
        <v>963</v>
      </c>
      <c r="R71" s="368"/>
      <c r="S71" s="291">
        <f t="shared" si="34"/>
        <v>6</v>
      </c>
      <c r="T71" s="292">
        <f t="shared" si="34"/>
        <v>1</v>
      </c>
      <c r="U71" s="270">
        <f t="shared" si="35"/>
        <v>741.56549999999993</v>
      </c>
      <c r="V71" s="293">
        <v>0</v>
      </c>
      <c r="W71" s="294">
        <f t="shared" si="36"/>
        <v>5234.58</v>
      </c>
      <c r="X71" s="295">
        <f t="shared" si="45"/>
        <v>0</v>
      </c>
      <c r="Y71" s="296">
        <f t="shared" si="46"/>
        <v>0</v>
      </c>
      <c r="Z71" s="296">
        <f t="shared" si="47"/>
        <v>0</v>
      </c>
      <c r="AA71" s="290">
        <f t="shared" si="40"/>
        <v>0</v>
      </c>
      <c r="AB71" s="275">
        <f t="shared" si="48"/>
        <v>1</v>
      </c>
      <c r="AC71" s="276">
        <v>1.6882875064419923E-2</v>
      </c>
      <c r="AM71" s="1703">
        <f t="shared" si="11"/>
        <v>0</v>
      </c>
      <c r="AN71" s="1704"/>
    </row>
    <row r="72" spans="1:40" ht="150" customHeight="1" x14ac:dyDescent="0.7">
      <c r="A72" s="227">
        <v>58</v>
      </c>
      <c r="B72" s="251" t="s">
        <v>319</v>
      </c>
      <c r="C72" s="252" t="s">
        <v>175</v>
      </c>
      <c r="D72" s="227" t="s">
        <v>182</v>
      </c>
      <c r="E72" s="227" t="s">
        <v>331</v>
      </c>
      <c r="F72" s="260" t="s">
        <v>355</v>
      </c>
      <c r="G72" s="366" t="s">
        <v>1231</v>
      </c>
      <c r="H72" s="330">
        <v>1</v>
      </c>
      <c r="I72" s="330">
        <v>1</v>
      </c>
      <c r="J72" s="367">
        <v>873.25</v>
      </c>
      <c r="K72" s="263">
        <f t="shared" si="42"/>
        <v>873.25</v>
      </c>
      <c r="L72" s="263">
        <f t="shared" si="32"/>
        <v>0</v>
      </c>
      <c r="M72" s="263">
        <f t="shared" si="43"/>
        <v>0</v>
      </c>
      <c r="N72" s="281">
        <f t="shared" si="44"/>
        <v>873.25</v>
      </c>
      <c r="O72" s="203" t="s">
        <v>654</v>
      </c>
      <c r="P72" s="282" t="s">
        <v>623</v>
      </c>
      <c r="Q72" s="283" t="s">
        <v>963</v>
      </c>
      <c r="R72" s="368"/>
      <c r="S72" s="291">
        <f t="shared" si="34"/>
        <v>1</v>
      </c>
      <c r="T72" s="292">
        <f t="shared" si="34"/>
        <v>1</v>
      </c>
      <c r="U72" s="270">
        <f t="shared" si="35"/>
        <v>742.26249999999993</v>
      </c>
      <c r="V72" s="293">
        <v>0</v>
      </c>
      <c r="W72" s="294">
        <f t="shared" si="36"/>
        <v>873.25</v>
      </c>
      <c r="X72" s="295">
        <f t="shared" si="45"/>
        <v>0</v>
      </c>
      <c r="Y72" s="296">
        <f t="shared" si="46"/>
        <v>0</v>
      </c>
      <c r="Z72" s="296">
        <f t="shared" si="47"/>
        <v>0</v>
      </c>
      <c r="AA72" s="290">
        <f t="shared" si="40"/>
        <v>0</v>
      </c>
      <c r="AB72" s="275">
        <f t="shared" si="48"/>
        <v>1</v>
      </c>
      <c r="AC72" s="276">
        <v>1.6882875064419923E-2</v>
      </c>
      <c r="AM72" s="1703">
        <f t="shared" si="11"/>
        <v>0</v>
      </c>
      <c r="AN72" s="1704"/>
    </row>
    <row r="73" spans="1:40" ht="150" customHeight="1" x14ac:dyDescent="0.7">
      <c r="A73" s="227">
        <v>59</v>
      </c>
      <c r="B73" s="251" t="s">
        <v>320</v>
      </c>
      <c r="C73" s="252" t="s">
        <v>175</v>
      </c>
      <c r="D73" s="227" t="s">
        <v>182</v>
      </c>
      <c r="E73" s="227" t="s">
        <v>331</v>
      </c>
      <c r="F73" s="260" t="s">
        <v>356</v>
      </c>
      <c r="G73" s="366" t="s">
        <v>1232</v>
      </c>
      <c r="H73" s="330">
        <v>23</v>
      </c>
      <c r="I73" s="330">
        <v>1</v>
      </c>
      <c r="J73" s="367">
        <v>953.08</v>
      </c>
      <c r="K73" s="263">
        <f t="shared" si="42"/>
        <v>21920.84</v>
      </c>
      <c r="L73" s="263">
        <f t="shared" si="32"/>
        <v>0</v>
      </c>
      <c r="M73" s="263">
        <f t="shared" si="43"/>
        <v>0</v>
      </c>
      <c r="N73" s="281">
        <f t="shared" si="44"/>
        <v>21920.84</v>
      </c>
      <c r="O73" s="203" t="s">
        <v>654</v>
      </c>
      <c r="P73" s="282" t="s">
        <v>623</v>
      </c>
      <c r="Q73" s="283" t="s">
        <v>963</v>
      </c>
      <c r="R73" s="368"/>
      <c r="S73" s="291">
        <f t="shared" si="34"/>
        <v>23</v>
      </c>
      <c r="T73" s="292">
        <f t="shared" si="34"/>
        <v>1</v>
      </c>
      <c r="U73" s="270">
        <f t="shared" si="35"/>
        <v>810.11800000000005</v>
      </c>
      <c r="V73" s="293">
        <v>0</v>
      </c>
      <c r="W73" s="294">
        <f t="shared" si="36"/>
        <v>21920.84</v>
      </c>
      <c r="X73" s="295">
        <f t="shared" si="45"/>
        <v>0</v>
      </c>
      <c r="Y73" s="296">
        <f t="shared" si="46"/>
        <v>0</v>
      </c>
      <c r="Z73" s="296">
        <f t="shared" si="47"/>
        <v>0</v>
      </c>
      <c r="AA73" s="290">
        <f t="shared" si="40"/>
        <v>0</v>
      </c>
      <c r="AB73" s="275">
        <f t="shared" si="48"/>
        <v>1</v>
      </c>
      <c r="AC73" s="276">
        <v>1.6882875064419923E-2</v>
      </c>
      <c r="AM73" s="1703">
        <f t="shared" si="11"/>
        <v>0</v>
      </c>
      <c r="AN73" s="1704"/>
    </row>
    <row r="74" spans="1:40" ht="150" customHeight="1" x14ac:dyDescent="0.7">
      <c r="A74" s="227">
        <v>60</v>
      </c>
      <c r="B74" s="251" t="s">
        <v>321</v>
      </c>
      <c r="C74" s="252" t="s">
        <v>175</v>
      </c>
      <c r="D74" s="227" t="s">
        <v>182</v>
      </c>
      <c r="E74" s="227" t="s">
        <v>331</v>
      </c>
      <c r="F74" s="260" t="s">
        <v>357</v>
      </c>
      <c r="G74" s="366" t="s">
        <v>1233</v>
      </c>
      <c r="H74" s="330">
        <v>1</v>
      </c>
      <c r="I74" s="330">
        <v>1</v>
      </c>
      <c r="J74" s="367">
        <v>984.11</v>
      </c>
      <c r="K74" s="263">
        <f t="shared" si="42"/>
        <v>984.11</v>
      </c>
      <c r="L74" s="263">
        <f t="shared" si="32"/>
        <v>0</v>
      </c>
      <c r="M74" s="263">
        <f t="shared" si="43"/>
        <v>0</v>
      </c>
      <c r="N74" s="281">
        <f t="shared" si="44"/>
        <v>984.11</v>
      </c>
      <c r="O74" s="203" t="s">
        <v>654</v>
      </c>
      <c r="P74" s="282" t="s">
        <v>623</v>
      </c>
      <c r="Q74" s="283" t="s">
        <v>963</v>
      </c>
      <c r="R74" s="368"/>
      <c r="S74" s="291">
        <f t="shared" si="34"/>
        <v>1</v>
      </c>
      <c r="T74" s="292">
        <f t="shared" si="34"/>
        <v>1</v>
      </c>
      <c r="U74" s="270">
        <f t="shared" si="35"/>
        <v>836.49350000000004</v>
      </c>
      <c r="V74" s="293">
        <v>0</v>
      </c>
      <c r="W74" s="294">
        <f t="shared" si="36"/>
        <v>984.11</v>
      </c>
      <c r="X74" s="295">
        <f t="shared" si="45"/>
        <v>0</v>
      </c>
      <c r="Y74" s="296">
        <f t="shared" si="46"/>
        <v>0</v>
      </c>
      <c r="Z74" s="296">
        <f t="shared" si="47"/>
        <v>0</v>
      </c>
      <c r="AA74" s="290">
        <f t="shared" si="40"/>
        <v>0</v>
      </c>
      <c r="AB74" s="275">
        <f t="shared" si="48"/>
        <v>1</v>
      </c>
      <c r="AC74" s="276">
        <v>1.6882875064419923E-2</v>
      </c>
      <c r="AM74" s="1703">
        <f t="shared" si="11"/>
        <v>0</v>
      </c>
      <c r="AN74" s="1704"/>
    </row>
    <row r="75" spans="1:40" ht="150" customHeight="1" x14ac:dyDescent="0.7">
      <c r="A75" s="227">
        <v>61</v>
      </c>
      <c r="B75" s="251" t="s">
        <v>322</v>
      </c>
      <c r="C75" s="252" t="s">
        <v>175</v>
      </c>
      <c r="D75" s="227" t="s">
        <v>182</v>
      </c>
      <c r="E75" s="227" t="s">
        <v>331</v>
      </c>
      <c r="F75" s="260" t="s">
        <v>358</v>
      </c>
      <c r="G75" s="366" t="s">
        <v>1234</v>
      </c>
      <c r="H75" s="330">
        <v>1</v>
      </c>
      <c r="I75" s="330">
        <v>1</v>
      </c>
      <c r="J75" s="367">
        <v>2500.3000000000002</v>
      </c>
      <c r="K75" s="263">
        <f t="shared" si="42"/>
        <v>2500.3000000000002</v>
      </c>
      <c r="L75" s="263">
        <f t="shared" si="32"/>
        <v>0</v>
      </c>
      <c r="M75" s="263">
        <f t="shared" si="43"/>
        <v>0</v>
      </c>
      <c r="N75" s="281">
        <f t="shared" si="44"/>
        <v>2500.3000000000002</v>
      </c>
      <c r="O75" s="203" t="s">
        <v>654</v>
      </c>
      <c r="P75" s="282" t="s">
        <v>623</v>
      </c>
      <c r="Q75" s="283" t="s">
        <v>963</v>
      </c>
      <c r="R75" s="368"/>
      <c r="S75" s="291">
        <f t="shared" si="34"/>
        <v>1</v>
      </c>
      <c r="T75" s="292">
        <f t="shared" si="34"/>
        <v>1</v>
      </c>
      <c r="U75" s="270">
        <f t="shared" si="35"/>
        <v>2125.2550000000001</v>
      </c>
      <c r="V75" s="293">
        <v>0</v>
      </c>
      <c r="W75" s="294">
        <f t="shared" si="36"/>
        <v>2500.3000000000002</v>
      </c>
      <c r="X75" s="295">
        <f t="shared" si="45"/>
        <v>0</v>
      </c>
      <c r="Y75" s="296">
        <f t="shared" si="46"/>
        <v>0</v>
      </c>
      <c r="Z75" s="296">
        <f t="shared" si="47"/>
        <v>0</v>
      </c>
      <c r="AA75" s="290">
        <f t="shared" si="40"/>
        <v>0</v>
      </c>
      <c r="AB75" s="275">
        <f t="shared" si="48"/>
        <v>1</v>
      </c>
      <c r="AC75" s="276" t="e">
        <f>V75/#REF!</f>
        <v>#REF!</v>
      </c>
      <c r="AM75" s="1703">
        <f t="shared" si="11"/>
        <v>0</v>
      </c>
      <c r="AN75" s="1704"/>
    </row>
    <row r="76" spans="1:40" ht="150" customHeight="1" x14ac:dyDescent="0.7">
      <c r="A76" s="227">
        <v>62</v>
      </c>
      <c r="B76" s="251" t="s">
        <v>323</v>
      </c>
      <c r="C76" s="252" t="s">
        <v>175</v>
      </c>
      <c r="D76" s="227" t="s">
        <v>182</v>
      </c>
      <c r="E76" s="227" t="s">
        <v>331</v>
      </c>
      <c r="F76" s="260" t="s">
        <v>359</v>
      </c>
      <c r="G76" s="366" t="s">
        <v>1235</v>
      </c>
      <c r="H76" s="330">
        <v>5</v>
      </c>
      <c r="I76" s="330">
        <v>1</v>
      </c>
      <c r="J76" s="367">
        <v>777.7</v>
      </c>
      <c r="K76" s="263">
        <f t="shared" si="42"/>
        <v>3888.5</v>
      </c>
      <c r="L76" s="263">
        <f t="shared" si="32"/>
        <v>0</v>
      </c>
      <c r="M76" s="263">
        <f t="shared" si="43"/>
        <v>0</v>
      </c>
      <c r="N76" s="281">
        <f t="shared" si="44"/>
        <v>3888.5</v>
      </c>
      <c r="O76" s="203" t="s">
        <v>654</v>
      </c>
      <c r="P76" s="282" t="s">
        <v>623</v>
      </c>
      <c r="Q76" s="283" t="s">
        <v>963</v>
      </c>
      <c r="R76" s="368"/>
      <c r="S76" s="291">
        <f t="shared" si="34"/>
        <v>5</v>
      </c>
      <c r="T76" s="292">
        <f t="shared" si="34"/>
        <v>1</v>
      </c>
      <c r="U76" s="270">
        <f t="shared" si="35"/>
        <v>661.04500000000007</v>
      </c>
      <c r="V76" s="293">
        <v>0</v>
      </c>
      <c r="W76" s="294">
        <f t="shared" si="36"/>
        <v>3888.5</v>
      </c>
      <c r="X76" s="295">
        <f t="shared" si="45"/>
        <v>0</v>
      </c>
      <c r="Y76" s="296">
        <f t="shared" si="46"/>
        <v>0</v>
      </c>
      <c r="Z76" s="296">
        <f t="shared" si="47"/>
        <v>0</v>
      </c>
      <c r="AA76" s="290">
        <f t="shared" si="40"/>
        <v>0</v>
      </c>
      <c r="AB76" s="275">
        <f t="shared" si="48"/>
        <v>1</v>
      </c>
      <c r="AC76" s="276">
        <v>1.6882875064419923E-2</v>
      </c>
      <c r="AM76" s="1703">
        <f t="shared" si="11"/>
        <v>0</v>
      </c>
      <c r="AN76" s="1704"/>
    </row>
    <row r="77" spans="1:40" ht="150" customHeight="1" x14ac:dyDescent="0.7">
      <c r="A77" s="227">
        <v>63</v>
      </c>
      <c r="B77" s="251" t="s">
        <v>324</v>
      </c>
      <c r="C77" s="252" t="s">
        <v>175</v>
      </c>
      <c r="D77" s="227" t="s">
        <v>182</v>
      </c>
      <c r="E77" s="227" t="s">
        <v>331</v>
      </c>
      <c r="F77" s="260" t="s">
        <v>360</v>
      </c>
      <c r="G77" s="366" t="s">
        <v>1236</v>
      </c>
      <c r="H77" s="330">
        <v>18</v>
      </c>
      <c r="I77" s="330">
        <v>1</v>
      </c>
      <c r="J77" s="367">
        <v>1787.88</v>
      </c>
      <c r="K77" s="263">
        <f t="shared" si="42"/>
        <v>32181.840000000004</v>
      </c>
      <c r="L77" s="263">
        <f t="shared" si="32"/>
        <v>0</v>
      </c>
      <c r="M77" s="263">
        <f t="shared" si="43"/>
        <v>0</v>
      </c>
      <c r="N77" s="281">
        <f t="shared" si="44"/>
        <v>32181.840000000004</v>
      </c>
      <c r="O77" s="203" t="s">
        <v>654</v>
      </c>
      <c r="P77" s="282" t="s">
        <v>623</v>
      </c>
      <c r="Q77" s="283" t="s">
        <v>963</v>
      </c>
      <c r="R77" s="368"/>
      <c r="S77" s="291">
        <f t="shared" si="34"/>
        <v>18</v>
      </c>
      <c r="T77" s="292">
        <f t="shared" si="34"/>
        <v>1</v>
      </c>
      <c r="U77" s="270">
        <f t="shared" si="35"/>
        <v>1519.6980000000001</v>
      </c>
      <c r="V77" s="293">
        <v>0</v>
      </c>
      <c r="W77" s="294">
        <f t="shared" si="36"/>
        <v>32181.840000000004</v>
      </c>
      <c r="X77" s="295">
        <f t="shared" si="45"/>
        <v>0</v>
      </c>
      <c r="Y77" s="296">
        <f t="shared" si="46"/>
        <v>0</v>
      </c>
      <c r="Z77" s="296">
        <f t="shared" si="47"/>
        <v>0</v>
      </c>
      <c r="AA77" s="290">
        <f t="shared" si="40"/>
        <v>0</v>
      </c>
      <c r="AB77" s="275">
        <f t="shared" si="48"/>
        <v>1</v>
      </c>
      <c r="AC77" s="276">
        <v>1.6882875064419923E-2</v>
      </c>
      <c r="AM77" s="1703">
        <f t="shared" si="11"/>
        <v>0</v>
      </c>
      <c r="AN77" s="1704"/>
    </row>
    <row r="78" spans="1:40" ht="150" customHeight="1" x14ac:dyDescent="0.7">
      <c r="A78" s="227">
        <v>64</v>
      </c>
      <c r="B78" s="251" t="s">
        <v>325</v>
      </c>
      <c r="C78" s="252" t="s">
        <v>175</v>
      </c>
      <c r="D78" s="227" t="s">
        <v>182</v>
      </c>
      <c r="E78" s="227" t="s">
        <v>331</v>
      </c>
      <c r="F78" s="260" t="s">
        <v>361</v>
      </c>
      <c r="G78" s="366" t="s">
        <v>1237</v>
      </c>
      <c r="H78" s="330">
        <v>1</v>
      </c>
      <c r="I78" s="330">
        <v>1</v>
      </c>
      <c r="J78" s="367">
        <v>787.71</v>
      </c>
      <c r="K78" s="263">
        <f t="shared" si="42"/>
        <v>787.71</v>
      </c>
      <c r="L78" s="263">
        <f t="shared" si="32"/>
        <v>0</v>
      </c>
      <c r="M78" s="263">
        <f t="shared" si="43"/>
        <v>0</v>
      </c>
      <c r="N78" s="281">
        <f t="shared" si="44"/>
        <v>787.71</v>
      </c>
      <c r="O78" s="203" t="s">
        <v>654</v>
      </c>
      <c r="P78" s="282" t="s">
        <v>623</v>
      </c>
      <c r="Q78" s="283" t="s">
        <v>963</v>
      </c>
      <c r="R78" s="368"/>
      <c r="S78" s="291">
        <f t="shared" si="34"/>
        <v>1</v>
      </c>
      <c r="T78" s="292">
        <f t="shared" si="34"/>
        <v>1</v>
      </c>
      <c r="U78" s="270">
        <f t="shared" si="35"/>
        <v>669.55349999999999</v>
      </c>
      <c r="V78" s="293">
        <v>0</v>
      </c>
      <c r="W78" s="294">
        <f t="shared" si="36"/>
        <v>787.71</v>
      </c>
      <c r="X78" s="295">
        <f t="shared" si="45"/>
        <v>0</v>
      </c>
      <c r="Y78" s="296">
        <f t="shared" si="46"/>
        <v>0</v>
      </c>
      <c r="Z78" s="296">
        <f t="shared" si="47"/>
        <v>0</v>
      </c>
      <c r="AA78" s="290">
        <f t="shared" si="40"/>
        <v>0</v>
      </c>
      <c r="AB78" s="275">
        <f t="shared" si="48"/>
        <v>1</v>
      </c>
      <c r="AC78" s="276">
        <v>1.6882875064419923E-2</v>
      </c>
      <c r="AM78" s="1703">
        <f t="shared" si="11"/>
        <v>0</v>
      </c>
      <c r="AN78" s="1704"/>
    </row>
    <row r="79" spans="1:40" ht="150" customHeight="1" x14ac:dyDescent="0.7">
      <c r="A79" s="227">
        <v>65</v>
      </c>
      <c r="B79" s="251" t="s">
        <v>326</v>
      </c>
      <c r="C79" s="252" t="s">
        <v>175</v>
      </c>
      <c r="D79" s="227" t="s">
        <v>182</v>
      </c>
      <c r="E79" s="227" t="s">
        <v>331</v>
      </c>
      <c r="F79" s="260" t="s">
        <v>362</v>
      </c>
      <c r="G79" s="366" t="s">
        <v>1238</v>
      </c>
      <c r="H79" s="330">
        <v>4</v>
      </c>
      <c r="I79" s="330">
        <v>1</v>
      </c>
      <c r="J79" s="367">
        <v>1980.91</v>
      </c>
      <c r="K79" s="263">
        <f t="shared" si="42"/>
        <v>7923.64</v>
      </c>
      <c r="L79" s="263">
        <f t="shared" si="32"/>
        <v>0</v>
      </c>
      <c r="M79" s="263">
        <f t="shared" si="43"/>
        <v>0</v>
      </c>
      <c r="N79" s="281">
        <f t="shared" si="44"/>
        <v>7923.64</v>
      </c>
      <c r="O79" s="203" t="s">
        <v>654</v>
      </c>
      <c r="P79" s="282" t="s">
        <v>623</v>
      </c>
      <c r="Q79" s="283" t="s">
        <v>963</v>
      </c>
      <c r="R79" s="368"/>
      <c r="S79" s="291">
        <f t="shared" si="34"/>
        <v>4</v>
      </c>
      <c r="T79" s="292">
        <f t="shared" si="34"/>
        <v>1</v>
      </c>
      <c r="U79" s="270">
        <f t="shared" si="35"/>
        <v>1683.7735</v>
      </c>
      <c r="V79" s="293">
        <v>0</v>
      </c>
      <c r="W79" s="294">
        <f t="shared" si="36"/>
        <v>7923.64</v>
      </c>
      <c r="X79" s="295">
        <f t="shared" si="45"/>
        <v>0</v>
      </c>
      <c r="Y79" s="296">
        <f t="shared" si="46"/>
        <v>0</v>
      </c>
      <c r="Z79" s="296">
        <f t="shared" si="47"/>
        <v>0</v>
      </c>
      <c r="AA79" s="290">
        <f t="shared" si="40"/>
        <v>0</v>
      </c>
      <c r="AB79" s="275">
        <f t="shared" si="48"/>
        <v>1</v>
      </c>
      <c r="AC79" s="276">
        <v>1.6882875064419923E-2</v>
      </c>
      <c r="AM79" s="1703">
        <f t="shared" si="11"/>
        <v>0</v>
      </c>
      <c r="AN79" s="1704"/>
    </row>
    <row r="80" spans="1:40" ht="150" customHeight="1" x14ac:dyDescent="0.7">
      <c r="A80" s="227">
        <v>66</v>
      </c>
      <c r="B80" s="251" t="s">
        <v>327</v>
      </c>
      <c r="C80" s="252" t="s">
        <v>175</v>
      </c>
      <c r="D80" s="227" t="s">
        <v>182</v>
      </c>
      <c r="E80" s="227" t="s">
        <v>331</v>
      </c>
      <c r="F80" s="260" t="s">
        <v>363</v>
      </c>
      <c r="G80" s="366" t="s">
        <v>1239</v>
      </c>
      <c r="H80" s="330">
        <v>11</v>
      </c>
      <c r="I80" s="330">
        <v>1</v>
      </c>
      <c r="J80" s="367">
        <v>1733.76</v>
      </c>
      <c r="K80" s="263">
        <f t="shared" si="42"/>
        <v>19071.36</v>
      </c>
      <c r="L80" s="263">
        <f t="shared" si="32"/>
        <v>0</v>
      </c>
      <c r="M80" s="263">
        <f t="shared" si="43"/>
        <v>0</v>
      </c>
      <c r="N80" s="281">
        <f t="shared" si="44"/>
        <v>19071.36</v>
      </c>
      <c r="O80" s="203" t="s">
        <v>654</v>
      </c>
      <c r="P80" s="282" t="s">
        <v>623</v>
      </c>
      <c r="Q80" s="283" t="s">
        <v>963</v>
      </c>
      <c r="R80" s="368"/>
      <c r="S80" s="291">
        <f t="shared" si="34"/>
        <v>11</v>
      </c>
      <c r="T80" s="292">
        <f t="shared" si="34"/>
        <v>1</v>
      </c>
      <c r="U80" s="270">
        <f t="shared" si="35"/>
        <v>1473.6959999999999</v>
      </c>
      <c r="V80" s="293">
        <v>0</v>
      </c>
      <c r="W80" s="294">
        <f t="shared" si="36"/>
        <v>19071.36</v>
      </c>
      <c r="X80" s="295">
        <f t="shared" si="45"/>
        <v>0</v>
      </c>
      <c r="Y80" s="296">
        <f t="shared" si="46"/>
        <v>0</v>
      </c>
      <c r="Z80" s="296">
        <f t="shared" si="47"/>
        <v>0</v>
      </c>
      <c r="AA80" s="290">
        <f t="shared" si="40"/>
        <v>0</v>
      </c>
      <c r="AB80" s="275">
        <f t="shared" si="48"/>
        <v>1</v>
      </c>
      <c r="AC80" s="276">
        <v>1.6882875064419923E-2</v>
      </c>
      <c r="AM80" s="1703">
        <f t="shared" si="11"/>
        <v>0</v>
      </c>
      <c r="AN80" s="1704"/>
    </row>
    <row r="81" spans="1:41" ht="150" customHeight="1" x14ac:dyDescent="0.7">
      <c r="A81" s="227">
        <v>67</v>
      </c>
      <c r="B81" s="251" t="s">
        <v>328</v>
      </c>
      <c r="C81" s="252" t="s">
        <v>175</v>
      </c>
      <c r="D81" s="227" t="s">
        <v>182</v>
      </c>
      <c r="E81" s="227" t="s">
        <v>331</v>
      </c>
      <c r="F81" s="260" t="s">
        <v>364</v>
      </c>
      <c r="G81" s="366" t="s">
        <v>1240</v>
      </c>
      <c r="H81" s="330">
        <v>1</v>
      </c>
      <c r="I81" s="330">
        <v>1</v>
      </c>
      <c r="J81" s="367">
        <v>841.23</v>
      </c>
      <c r="K81" s="263">
        <f t="shared" si="42"/>
        <v>841.23</v>
      </c>
      <c r="L81" s="263">
        <f t="shared" si="32"/>
        <v>0</v>
      </c>
      <c r="M81" s="263">
        <f t="shared" si="43"/>
        <v>0</v>
      </c>
      <c r="N81" s="281">
        <f t="shared" si="44"/>
        <v>841.23</v>
      </c>
      <c r="O81" s="203" t="s">
        <v>654</v>
      </c>
      <c r="P81" s="282" t="s">
        <v>623</v>
      </c>
      <c r="Q81" s="283" t="s">
        <v>963</v>
      </c>
      <c r="R81" s="368"/>
      <c r="S81" s="291">
        <f t="shared" si="34"/>
        <v>1</v>
      </c>
      <c r="T81" s="292">
        <f t="shared" si="34"/>
        <v>1</v>
      </c>
      <c r="U81" s="270">
        <f t="shared" si="35"/>
        <v>715.04549999999995</v>
      </c>
      <c r="V81" s="293">
        <v>0</v>
      </c>
      <c r="W81" s="294">
        <f t="shared" si="36"/>
        <v>841.23</v>
      </c>
      <c r="X81" s="295">
        <f t="shared" si="45"/>
        <v>0</v>
      </c>
      <c r="Y81" s="296">
        <f t="shared" si="46"/>
        <v>0</v>
      </c>
      <c r="Z81" s="296">
        <f t="shared" si="47"/>
        <v>0</v>
      </c>
      <c r="AA81" s="290">
        <f t="shared" si="40"/>
        <v>0</v>
      </c>
      <c r="AB81" s="275">
        <f t="shared" si="48"/>
        <v>1</v>
      </c>
      <c r="AC81" s="276">
        <v>1.6882875064419923E-2</v>
      </c>
      <c r="AM81" s="1703">
        <f t="shared" si="11"/>
        <v>0</v>
      </c>
      <c r="AN81" s="1704"/>
    </row>
    <row r="82" spans="1:41" ht="150" customHeight="1" x14ac:dyDescent="0.7">
      <c r="A82" s="227">
        <v>68</v>
      </c>
      <c r="B82" s="251" t="s">
        <v>329</v>
      </c>
      <c r="C82" s="252" t="s">
        <v>175</v>
      </c>
      <c r="D82" s="227" t="s">
        <v>182</v>
      </c>
      <c r="E82" s="227" t="s">
        <v>331</v>
      </c>
      <c r="F82" s="260" t="s">
        <v>365</v>
      </c>
      <c r="G82" s="366" t="s">
        <v>1241</v>
      </c>
      <c r="H82" s="330">
        <v>3</v>
      </c>
      <c r="I82" s="330">
        <v>1</v>
      </c>
      <c r="J82" s="367">
        <v>1103.52</v>
      </c>
      <c r="K82" s="263">
        <f t="shared" si="42"/>
        <v>3310.56</v>
      </c>
      <c r="L82" s="263">
        <f t="shared" si="32"/>
        <v>0</v>
      </c>
      <c r="M82" s="263">
        <f t="shared" si="43"/>
        <v>0</v>
      </c>
      <c r="N82" s="281">
        <f t="shared" si="44"/>
        <v>3310.56</v>
      </c>
      <c r="O82" s="203" t="s">
        <v>654</v>
      </c>
      <c r="P82" s="282" t="s">
        <v>623</v>
      </c>
      <c r="Q82" s="283" t="s">
        <v>963</v>
      </c>
      <c r="R82" s="368"/>
      <c r="S82" s="291">
        <f t="shared" si="34"/>
        <v>3</v>
      </c>
      <c r="T82" s="292">
        <f t="shared" si="34"/>
        <v>1</v>
      </c>
      <c r="U82" s="270">
        <f t="shared" si="35"/>
        <v>937.99199999999996</v>
      </c>
      <c r="V82" s="293">
        <v>0</v>
      </c>
      <c r="W82" s="294">
        <f t="shared" si="36"/>
        <v>3310.56</v>
      </c>
      <c r="X82" s="295">
        <f t="shared" si="45"/>
        <v>0</v>
      </c>
      <c r="Y82" s="296">
        <f t="shared" si="46"/>
        <v>0</v>
      </c>
      <c r="Z82" s="296">
        <f t="shared" si="47"/>
        <v>0</v>
      </c>
      <c r="AA82" s="290">
        <f t="shared" si="40"/>
        <v>0</v>
      </c>
      <c r="AB82" s="275">
        <f t="shared" si="48"/>
        <v>1</v>
      </c>
      <c r="AC82" s="276">
        <v>1.6882875064419923E-2</v>
      </c>
      <c r="AM82" s="1703">
        <f t="shared" ref="AM82:AM145" si="49">Z82-AN82</f>
        <v>0</v>
      </c>
      <c r="AN82" s="1704"/>
    </row>
    <row r="83" spans="1:41" ht="150" customHeight="1" x14ac:dyDescent="0.7">
      <c r="A83" s="297">
        <v>69</v>
      </c>
      <c r="B83" s="251" t="s">
        <v>330</v>
      </c>
      <c r="C83" s="298" t="s">
        <v>175</v>
      </c>
      <c r="D83" s="227" t="s">
        <v>182</v>
      </c>
      <c r="E83" s="227" t="s">
        <v>331</v>
      </c>
      <c r="F83" s="260" t="s">
        <v>366</v>
      </c>
      <c r="G83" s="366" t="s">
        <v>1242</v>
      </c>
      <c r="H83" s="330">
        <v>3</v>
      </c>
      <c r="I83" s="330">
        <v>1</v>
      </c>
      <c r="J83" s="367">
        <v>1103.52</v>
      </c>
      <c r="K83" s="264">
        <f t="shared" si="42"/>
        <v>3310.56</v>
      </c>
      <c r="L83" s="263">
        <f t="shared" si="32"/>
        <v>0</v>
      </c>
      <c r="M83" s="264">
        <f t="shared" si="43"/>
        <v>0</v>
      </c>
      <c r="N83" s="265">
        <f t="shared" si="44"/>
        <v>3310.56</v>
      </c>
      <c r="O83" s="203" t="s">
        <v>654</v>
      </c>
      <c r="P83" s="282" t="s">
        <v>623</v>
      </c>
      <c r="Q83" s="283" t="s">
        <v>963</v>
      </c>
      <c r="R83" s="369"/>
      <c r="S83" s="299">
        <f t="shared" si="34"/>
        <v>3</v>
      </c>
      <c r="T83" s="300">
        <f t="shared" si="34"/>
        <v>1</v>
      </c>
      <c r="U83" s="270">
        <f t="shared" si="35"/>
        <v>937.99199999999996</v>
      </c>
      <c r="V83" s="301">
        <v>229365</v>
      </c>
      <c r="W83" s="354">
        <f t="shared" si="36"/>
        <v>-226054.44</v>
      </c>
      <c r="X83" s="303">
        <f t="shared" si="45"/>
        <v>0</v>
      </c>
      <c r="Y83" s="304">
        <f t="shared" si="46"/>
        <v>0</v>
      </c>
      <c r="Z83" s="304">
        <f t="shared" si="47"/>
        <v>229365</v>
      </c>
      <c r="AA83" s="274">
        <f t="shared" si="40"/>
        <v>229365</v>
      </c>
      <c r="AB83" s="275">
        <f t="shared" si="48"/>
        <v>-68.282840365376259</v>
      </c>
      <c r="AC83" s="276">
        <v>1.6882875064419923E-2</v>
      </c>
      <c r="AM83" s="1703">
        <f t="shared" si="49"/>
        <v>0</v>
      </c>
      <c r="AN83" s="1704">
        <v>229365</v>
      </c>
      <c r="AO83" s="1695" t="s">
        <v>1569</v>
      </c>
    </row>
    <row r="84" spans="1:41" ht="60" customHeight="1" thickBot="1" x14ac:dyDescent="0.75">
      <c r="A84" s="227">
        <v>70</v>
      </c>
      <c r="B84" s="251"/>
      <c r="C84" s="252" t="s">
        <v>184</v>
      </c>
      <c r="D84" s="227"/>
      <c r="E84" s="227"/>
      <c r="F84" s="1459" t="s">
        <v>367</v>
      </c>
      <c r="G84" s="1460"/>
      <c r="H84" s="1460"/>
      <c r="I84" s="1460"/>
      <c r="J84" s="1460"/>
      <c r="K84" s="370">
        <f>SUM(K49:K83)</f>
        <v>245595.60999999996</v>
      </c>
      <c r="L84" s="370">
        <f>SUM(L49:L83)</f>
        <v>0</v>
      </c>
      <c r="M84" s="370">
        <f>SUM(M49:M83)</f>
        <v>0</v>
      </c>
      <c r="N84" s="371">
        <f>SUM(N49:N83)</f>
        <v>245595.60999999996</v>
      </c>
      <c r="O84" s="370"/>
      <c r="P84" s="370"/>
      <c r="Q84" s="370"/>
      <c r="R84" s="370"/>
      <c r="S84" s="1482">
        <f>SUM(S49:S83)</f>
        <v>189</v>
      </c>
      <c r="T84" s="1483"/>
      <c r="U84" s="1483"/>
      <c r="V84" s="372">
        <f>SUM(V49:V83)</f>
        <v>846208.21</v>
      </c>
      <c r="W84" s="373">
        <f>SUM(W49:W83)</f>
        <v>-600612.60000000009</v>
      </c>
      <c r="X84" s="374">
        <f>SUM(X49:X83)</f>
        <v>0</v>
      </c>
      <c r="Y84" s="375"/>
      <c r="Z84" s="376">
        <f>SUM(Z49:Z83)</f>
        <v>846208.21</v>
      </c>
      <c r="AA84" s="377">
        <f>SUM(AA49:AA83)</f>
        <v>846208.21</v>
      </c>
      <c r="AC84" s="276"/>
      <c r="AM84" s="1703"/>
      <c r="AN84" s="1704"/>
    </row>
    <row r="85" spans="1:41" ht="60" customHeight="1" x14ac:dyDescent="0.7">
      <c r="A85" s="279">
        <v>71</v>
      </c>
      <c r="B85" s="251" t="s">
        <v>195</v>
      </c>
      <c r="C85" s="280" t="s">
        <v>169</v>
      </c>
      <c r="D85" s="279"/>
      <c r="E85" s="279"/>
      <c r="F85" s="1472" t="s">
        <v>297</v>
      </c>
      <c r="G85" s="1473"/>
      <c r="H85" s="1473"/>
      <c r="I85" s="1473"/>
      <c r="J85" s="1473"/>
      <c r="K85" s="1473"/>
      <c r="L85" s="378" t="s">
        <v>171</v>
      </c>
      <c r="M85" s="378" t="s">
        <v>172</v>
      </c>
      <c r="N85" s="379" t="s">
        <v>129</v>
      </c>
      <c r="O85" s="380"/>
      <c r="P85" s="380"/>
      <c r="Q85" s="380"/>
      <c r="R85" s="380"/>
      <c r="S85" s="1472" t="str">
        <f>IF(F85&lt;&gt;"",F85,"")</f>
        <v xml:space="preserve">LOGÍSTICA TERRESTRE </v>
      </c>
      <c r="T85" s="1473"/>
      <c r="U85" s="1473"/>
      <c r="V85" s="1473"/>
      <c r="W85" s="1473"/>
      <c r="X85" s="1473"/>
      <c r="Y85" s="1473"/>
      <c r="Z85" s="1473"/>
      <c r="AA85" s="1474"/>
      <c r="AB85" s="258" t="s">
        <v>173</v>
      </c>
      <c r="AC85" s="259" t="s">
        <v>130</v>
      </c>
      <c r="AM85" s="1703">
        <f t="shared" si="49"/>
        <v>0</v>
      </c>
      <c r="AN85" s="1704"/>
    </row>
    <row r="86" spans="1:41" ht="150" customHeight="1" x14ac:dyDescent="0.7">
      <c r="A86" s="227">
        <v>72</v>
      </c>
      <c r="B86" s="251" t="s">
        <v>196</v>
      </c>
      <c r="C86" s="252" t="s">
        <v>175</v>
      </c>
      <c r="D86" s="227" t="s">
        <v>182</v>
      </c>
      <c r="E86" s="227" t="s">
        <v>331</v>
      </c>
      <c r="F86" s="351" t="s">
        <v>369</v>
      </c>
      <c r="G86" s="381" t="s">
        <v>1243</v>
      </c>
      <c r="H86" s="330">
        <v>1</v>
      </c>
      <c r="I86" s="330">
        <v>1</v>
      </c>
      <c r="J86" s="367">
        <v>32799</v>
      </c>
      <c r="K86" s="382">
        <f t="shared" ref="K86:K91" si="50">IF(F86&lt;&gt;"",H86*I86*J86,"")</f>
        <v>32799</v>
      </c>
      <c r="L86" s="264">
        <f t="shared" ref="L86:L91" si="51">IF(K86&lt;&gt;"",IF(D86="INTERNO",0,K86*$L$14),"")</f>
        <v>2623.92</v>
      </c>
      <c r="M86" s="264">
        <f t="shared" ref="M86:M91" si="52">IF(K86&lt;&gt;"",IF(E86="FAT.OGGI",SUM(K86:L86)*(1/(1-$M$14)-1),L86*(1/(1-$M$14)-1)),"")</f>
        <v>550.04879158098447</v>
      </c>
      <c r="N86" s="265">
        <f t="shared" ref="N86:N91" si="53">SUM(K86:M86)</f>
        <v>35972.968791580985</v>
      </c>
      <c r="O86" s="203" t="s">
        <v>654</v>
      </c>
      <c r="P86" s="383" t="s">
        <v>621</v>
      </c>
      <c r="Q86" s="347" t="s">
        <v>631</v>
      </c>
      <c r="S86" s="268">
        <f t="shared" ref="S86:T91" si="54">IF(H86&lt;&gt;"",H86,"")</f>
        <v>1</v>
      </c>
      <c r="T86" s="269">
        <f t="shared" si="54"/>
        <v>1</v>
      </c>
      <c r="U86" s="270">
        <f>J86*0.85</f>
        <v>27879.149999999998</v>
      </c>
      <c r="V86" s="270">
        <v>0</v>
      </c>
      <c r="W86" s="271">
        <f t="shared" ref="W86:W91" si="55">IF(S86&lt;&gt;"",K86-V86,"")</f>
        <v>32799</v>
      </c>
      <c r="X86" s="272">
        <f t="shared" ref="X86:X91" si="56">IF(S86&lt;&gt;"",0%,"")</f>
        <v>0</v>
      </c>
      <c r="Y86" s="273">
        <f t="shared" ref="Y86:Y91" si="57">IF(S86&lt;&gt;"",X86*W86,"")</f>
        <v>0</v>
      </c>
      <c r="Z86" s="273">
        <f t="shared" ref="Z86:Z91" si="58">IF(S86&lt;&gt;"",Y86+V86,"")</f>
        <v>0</v>
      </c>
      <c r="AA86" s="274">
        <f t="shared" ref="AA86:AA91" si="59">IF(S86&lt;&gt;"",Z86+M86,"")</f>
        <v>550.04879158098447</v>
      </c>
      <c r="AB86" s="275">
        <f t="shared" ref="AB86:AB91" si="60">IFERROR(IF(S86&lt;&gt;"",W86/K86,""),0)</f>
        <v>1</v>
      </c>
      <c r="AC86" s="276">
        <f t="shared" ref="AC86:AC91" si="61">V86/$V$92</f>
        <v>0</v>
      </c>
      <c r="AM86" s="1703">
        <f t="shared" si="49"/>
        <v>0</v>
      </c>
      <c r="AN86" s="1704"/>
    </row>
    <row r="87" spans="1:41" ht="150" customHeight="1" x14ac:dyDescent="0.7">
      <c r="A87" s="227">
        <v>73</v>
      </c>
      <c r="B87" s="251" t="s">
        <v>197</v>
      </c>
      <c r="C87" s="252" t="s">
        <v>175</v>
      </c>
      <c r="D87" s="227" t="s">
        <v>182</v>
      </c>
      <c r="E87" s="227" t="s">
        <v>331</v>
      </c>
      <c r="F87" s="351" t="s">
        <v>370</v>
      </c>
      <c r="G87" s="381" t="s">
        <v>1244</v>
      </c>
      <c r="H87" s="330">
        <v>1</v>
      </c>
      <c r="I87" s="330">
        <v>1</v>
      </c>
      <c r="J87" s="367">
        <v>32799</v>
      </c>
      <c r="K87" s="382">
        <f t="shared" si="50"/>
        <v>32799</v>
      </c>
      <c r="L87" s="264">
        <f t="shared" si="51"/>
        <v>2623.92</v>
      </c>
      <c r="M87" s="264">
        <f t="shared" si="52"/>
        <v>550.04879158098447</v>
      </c>
      <c r="N87" s="265">
        <f t="shared" si="53"/>
        <v>35972.968791580985</v>
      </c>
      <c r="O87" s="203" t="s">
        <v>654</v>
      </c>
      <c r="P87" s="264"/>
      <c r="Q87" s="264"/>
      <c r="S87" s="284">
        <f t="shared" si="54"/>
        <v>1</v>
      </c>
      <c r="T87" s="285">
        <f t="shared" si="54"/>
        <v>1</v>
      </c>
      <c r="U87" s="270">
        <f>J87*0.85</f>
        <v>27879.149999999998</v>
      </c>
      <c r="V87" s="286">
        <v>27350</v>
      </c>
      <c r="W87" s="287">
        <f t="shared" si="55"/>
        <v>5449</v>
      </c>
      <c r="X87" s="288">
        <f t="shared" si="56"/>
        <v>0</v>
      </c>
      <c r="Y87" s="289">
        <f t="shared" si="57"/>
        <v>0</v>
      </c>
      <c r="Z87" s="289">
        <f t="shared" si="58"/>
        <v>27350</v>
      </c>
      <c r="AA87" s="290">
        <f t="shared" si="59"/>
        <v>27900.048791580986</v>
      </c>
      <c r="AB87" s="275">
        <f t="shared" si="60"/>
        <v>0.16613311381444557</v>
      </c>
      <c r="AC87" s="276">
        <f t="shared" si="61"/>
        <v>0.44586229196693089</v>
      </c>
      <c r="AM87" s="1703">
        <f t="shared" si="49"/>
        <v>0</v>
      </c>
      <c r="AN87" s="1704">
        <f>18500+2500+1600+4750</f>
        <v>27350</v>
      </c>
      <c r="AO87" s="1695" t="s">
        <v>1565</v>
      </c>
    </row>
    <row r="88" spans="1:41" ht="150" customHeight="1" x14ac:dyDescent="0.7">
      <c r="A88" s="297">
        <v>74</v>
      </c>
      <c r="B88" s="251" t="s">
        <v>198</v>
      </c>
      <c r="C88" s="298" t="s">
        <v>175</v>
      </c>
      <c r="D88" s="227" t="s">
        <v>182</v>
      </c>
      <c r="E88" s="227" t="s">
        <v>331</v>
      </c>
      <c r="F88" s="351" t="s">
        <v>371</v>
      </c>
      <c r="G88" s="381" t="s">
        <v>1245</v>
      </c>
      <c r="H88" s="330">
        <v>1</v>
      </c>
      <c r="I88" s="330">
        <v>2</v>
      </c>
      <c r="J88" s="367">
        <v>1800</v>
      </c>
      <c r="K88" s="382">
        <f>IF(F88&lt;&gt;"",H88*I88*J88,"")</f>
        <v>3600</v>
      </c>
      <c r="L88" s="264">
        <f t="shared" si="51"/>
        <v>288</v>
      </c>
      <c r="M88" s="264">
        <f t="shared" si="52"/>
        <v>60.37304947381152</v>
      </c>
      <c r="N88" s="265">
        <f>SUM(K88:M88)</f>
        <v>3948.3730494738115</v>
      </c>
      <c r="O88" s="203" t="s">
        <v>654</v>
      </c>
      <c r="P88" s="264"/>
      <c r="Q88" s="264"/>
      <c r="S88" s="299">
        <f t="shared" si="54"/>
        <v>1</v>
      </c>
      <c r="T88" s="300">
        <f t="shared" si="54"/>
        <v>2</v>
      </c>
      <c r="U88" s="270">
        <v>1000</v>
      </c>
      <c r="V88" s="301">
        <v>0</v>
      </c>
      <c r="W88" s="354">
        <f t="shared" si="55"/>
        <v>3600</v>
      </c>
      <c r="X88" s="303">
        <f>IF(S88&lt;&gt;"",0%,"")</f>
        <v>0</v>
      </c>
      <c r="Y88" s="304">
        <f>IF(S88&lt;&gt;"",X88*W88,"")</f>
        <v>0</v>
      </c>
      <c r="Z88" s="304">
        <f>IF(S88&lt;&gt;"",Y88+V88,"")</f>
        <v>0</v>
      </c>
      <c r="AA88" s="274">
        <f t="shared" si="59"/>
        <v>60.37304947381152</v>
      </c>
      <c r="AB88" s="275">
        <f t="shared" si="60"/>
        <v>1</v>
      </c>
      <c r="AC88" s="276">
        <f t="shared" si="61"/>
        <v>0</v>
      </c>
      <c r="AM88" s="1703">
        <f t="shared" si="49"/>
        <v>0</v>
      </c>
      <c r="AN88" s="1704"/>
    </row>
    <row r="89" spans="1:41" ht="150" customHeight="1" x14ac:dyDescent="0.7">
      <c r="A89" s="279">
        <v>75</v>
      </c>
      <c r="B89" s="251" t="s">
        <v>199</v>
      </c>
      <c r="C89" s="280" t="s">
        <v>175</v>
      </c>
      <c r="D89" s="279" t="s">
        <v>182</v>
      </c>
      <c r="E89" s="227" t="s">
        <v>331</v>
      </c>
      <c r="F89" s="351" t="s">
        <v>575</v>
      </c>
      <c r="G89" s="381" t="s">
        <v>1246</v>
      </c>
      <c r="H89" s="330">
        <v>2</v>
      </c>
      <c r="I89" s="330">
        <v>2</v>
      </c>
      <c r="J89" s="367">
        <v>1800</v>
      </c>
      <c r="K89" s="382">
        <f t="shared" si="50"/>
        <v>7200</v>
      </c>
      <c r="L89" s="264">
        <f t="shared" si="51"/>
        <v>576</v>
      </c>
      <c r="M89" s="264">
        <f t="shared" si="52"/>
        <v>120.74609894762304</v>
      </c>
      <c r="N89" s="265">
        <f t="shared" si="53"/>
        <v>7896.7460989476231</v>
      </c>
      <c r="O89" s="203" t="s">
        <v>654</v>
      </c>
      <c r="P89" s="264"/>
      <c r="Q89" s="264"/>
      <c r="S89" s="268">
        <f t="shared" si="54"/>
        <v>2</v>
      </c>
      <c r="T89" s="269">
        <f t="shared" si="54"/>
        <v>2</v>
      </c>
      <c r="U89" s="270">
        <v>1000</v>
      </c>
      <c r="V89" s="270">
        <v>0</v>
      </c>
      <c r="W89" s="271">
        <f t="shared" si="55"/>
        <v>7200</v>
      </c>
      <c r="X89" s="272">
        <f t="shared" si="56"/>
        <v>0</v>
      </c>
      <c r="Y89" s="273">
        <f t="shared" si="57"/>
        <v>0</v>
      </c>
      <c r="Z89" s="273">
        <f t="shared" si="58"/>
        <v>0</v>
      </c>
      <c r="AA89" s="274">
        <f t="shared" si="59"/>
        <v>120.74609894762304</v>
      </c>
      <c r="AB89" s="275">
        <f t="shared" si="60"/>
        <v>1</v>
      </c>
      <c r="AC89" s="276">
        <f t="shared" si="61"/>
        <v>0</v>
      </c>
      <c r="AM89" s="1703">
        <f t="shared" si="49"/>
        <v>0</v>
      </c>
      <c r="AN89" s="1704"/>
    </row>
    <row r="90" spans="1:41" ht="150" customHeight="1" x14ac:dyDescent="0.7">
      <c r="A90" s="279">
        <v>76</v>
      </c>
      <c r="B90" s="251" t="s">
        <v>200</v>
      </c>
      <c r="C90" s="280" t="s">
        <v>175</v>
      </c>
      <c r="D90" s="279" t="s">
        <v>182</v>
      </c>
      <c r="E90" s="279" t="s">
        <v>331</v>
      </c>
      <c r="F90" s="351" t="s">
        <v>373</v>
      </c>
      <c r="G90" s="381" t="s">
        <v>1247</v>
      </c>
      <c r="H90" s="330">
        <v>1</v>
      </c>
      <c r="I90" s="330">
        <v>2</v>
      </c>
      <c r="J90" s="367">
        <v>4000</v>
      </c>
      <c r="K90" s="382">
        <f t="shared" si="50"/>
        <v>8000</v>
      </c>
      <c r="L90" s="264">
        <f t="shared" si="51"/>
        <v>640</v>
      </c>
      <c r="M90" s="264">
        <f t="shared" si="52"/>
        <v>134.1623321640256</v>
      </c>
      <c r="N90" s="265">
        <f t="shared" si="53"/>
        <v>8774.1623321640254</v>
      </c>
      <c r="O90" s="203" t="s">
        <v>654</v>
      </c>
      <c r="P90" s="264"/>
      <c r="Q90" s="264"/>
      <c r="S90" s="284">
        <f t="shared" si="54"/>
        <v>1</v>
      </c>
      <c r="T90" s="285">
        <f t="shared" si="54"/>
        <v>2</v>
      </c>
      <c r="U90" s="286">
        <v>2500</v>
      </c>
      <c r="V90" s="270">
        <v>0</v>
      </c>
      <c r="W90" s="271">
        <f t="shared" si="55"/>
        <v>8000</v>
      </c>
      <c r="X90" s="272">
        <f t="shared" si="56"/>
        <v>0</v>
      </c>
      <c r="Y90" s="273">
        <f t="shared" si="57"/>
        <v>0</v>
      </c>
      <c r="Z90" s="273">
        <f t="shared" si="58"/>
        <v>0</v>
      </c>
      <c r="AA90" s="290">
        <f t="shared" si="59"/>
        <v>134.1623321640256</v>
      </c>
      <c r="AB90" s="275">
        <f t="shared" si="60"/>
        <v>1</v>
      </c>
      <c r="AC90" s="276">
        <f t="shared" si="61"/>
        <v>0</v>
      </c>
      <c r="AM90" s="1703">
        <f t="shared" si="49"/>
        <v>0</v>
      </c>
      <c r="AN90" s="1704"/>
    </row>
    <row r="91" spans="1:41" ht="150" customHeight="1" x14ac:dyDescent="0.7">
      <c r="A91" s="279">
        <v>77</v>
      </c>
      <c r="B91" s="251" t="s">
        <v>201</v>
      </c>
      <c r="C91" s="280" t="s">
        <v>175</v>
      </c>
      <c r="D91" s="279" t="s">
        <v>182</v>
      </c>
      <c r="E91" s="279" t="s">
        <v>331</v>
      </c>
      <c r="F91" s="351" t="s">
        <v>374</v>
      </c>
      <c r="G91" s="381" t="s">
        <v>1248</v>
      </c>
      <c r="H91" s="330">
        <v>280</v>
      </c>
      <c r="I91" s="330">
        <v>1</v>
      </c>
      <c r="J91" s="367">
        <v>200</v>
      </c>
      <c r="K91" s="384">
        <f t="shared" si="50"/>
        <v>56000</v>
      </c>
      <c r="L91" s="264">
        <f t="shared" si="51"/>
        <v>4480</v>
      </c>
      <c r="M91" s="264">
        <f t="shared" si="52"/>
        <v>939.13632514817914</v>
      </c>
      <c r="N91" s="265">
        <f t="shared" si="53"/>
        <v>61419.136325148182</v>
      </c>
      <c r="O91" s="203" t="s">
        <v>654</v>
      </c>
      <c r="P91" s="385" t="s">
        <v>630</v>
      </c>
      <c r="Q91" s="347" t="s">
        <v>1109</v>
      </c>
      <c r="S91" s="313">
        <f t="shared" si="54"/>
        <v>280</v>
      </c>
      <c r="T91" s="314">
        <f t="shared" si="54"/>
        <v>1</v>
      </c>
      <c r="U91" s="315">
        <v>200</v>
      </c>
      <c r="V91" s="270">
        <v>33991.81</v>
      </c>
      <c r="W91" s="271">
        <f t="shared" si="55"/>
        <v>22008.190000000002</v>
      </c>
      <c r="X91" s="272">
        <f t="shared" si="56"/>
        <v>0</v>
      </c>
      <c r="Y91" s="273">
        <f t="shared" si="57"/>
        <v>0</v>
      </c>
      <c r="Z91" s="273">
        <f t="shared" si="58"/>
        <v>33991.81</v>
      </c>
      <c r="AA91" s="312">
        <f t="shared" si="59"/>
        <v>34930.946325148179</v>
      </c>
      <c r="AB91" s="275">
        <f t="shared" si="60"/>
        <v>0.39300339285714292</v>
      </c>
      <c r="AC91" s="276">
        <f t="shared" si="61"/>
        <v>0.55413770803306905</v>
      </c>
      <c r="AM91" s="1703">
        <f t="shared" si="49"/>
        <v>0</v>
      </c>
      <c r="AN91" s="1704">
        <v>33991.81</v>
      </c>
      <c r="AO91" s="1695" t="s">
        <v>1637</v>
      </c>
    </row>
    <row r="92" spans="1:41" ht="60" customHeight="1" thickBot="1" x14ac:dyDescent="0.75">
      <c r="A92" s="227">
        <v>78</v>
      </c>
      <c r="B92" s="251"/>
      <c r="C92" s="252" t="s">
        <v>184</v>
      </c>
      <c r="D92" s="227"/>
      <c r="E92" s="227"/>
      <c r="F92" s="1486" t="s">
        <v>375</v>
      </c>
      <c r="G92" s="1487"/>
      <c r="H92" s="1487"/>
      <c r="I92" s="1487"/>
      <c r="J92" s="1487"/>
      <c r="K92" s="387">
        <f>SUM(K86:K91)</f>
        <v>140398</v>
      </c>
      <c r="L92" s="387">
        <f>SUM(L86:L91)</f>
        <v>11231.84</v>
      </c>
      <c r="M92" s="387">
        <f>SUM(M86:M91)</f>
        <v>2354.5153888956083</v>
      </c>
      <c r="N92" s="387">
        <f>SUM(N86:N91)</f>
        <v>153984.35538889561</v>
      </c>
      <c r="O92" s="388"/>
      <c r="P92" s="388"/>
      <c r="Q92" s="388"/>
      <c r="R92" s="388"/>
      <c r="S92" s="1495">
        <f>SUM(S86:S91)</f>
        <v>286</v>
      </c>
      <c r="T92" s="1487"/>
      <c r="U92" s="1487"/>
      <c r="V92" s="387">
        <f>SUM(V86:V91)</f>
        <v>61341.81</v>
      </c>
      <c r="W92" s="389">
        <f>SUM(W86:W91)</f>
        <v>79056.19</v>
      </c>
      <c r="X92" s="390">
        <f>SUM(X86:X91)</f>
        <v>0</v>
      </c>
      <c r="Y92" s="391"/>
      <c r="Z92" s="392">
        <f>SUM(Z86:Z91)</f>
        <v>61341.81</v>
      </c>
      <c r="AA92" s="393">
        <f>SUM(AA86:AA91)</f>
        <v>63696.32538889561</v>
      </c>
      <c r="AM92" s="1703"/>
      <c r="AN92" s="1704"/>
    </row>
    <row r="93" spans="1:41" ht="60" customHeight="1" thickBot="1" x14ac:dyDescent="0.75">
      <c r="A93" s="227">
        <v>79</v>
      </c>
      <c r="B93" s="251">
        <v>4</v>
      </c>
      <c r="C93" s="252" t="s">
        <v>167</v>
      </c>
      <c r="D93" s="227"/>
      <c r="E93" s="227"/>
      <c r="F93" s="1463" t="s">
        <v>375</v>
      </c>
      <c r="G93" s="1464"/>
      <c r="H93" s="1464"/>
      <c r="I93" s="1464"/>
      <c r="J93" s="1464"/>
      <c r="K93" s="1464"/>
      <c r="L93" s="1464"/>
      <c r="M93" s="1464"/>
      <c r="N93" s="1505"/>
      <c r="O93" s="253"/>
      <c r="P93" s="253"/>
      <c r="Q93" s="253"/>
      <c r="R93" s="253"/>
      <c r="S93" s="1466" t="str">
        <f>IF(F93&lt;&gt;"",F93,"")</f>
        <v>Subtotal LOGÍSTICA TERRESTRE</v>
      </c>
      <c r="T93" s="1467"/>
      <c r="U93" s="1467"/>
      <c r="V93" s="1467"/>
      <c r="W93" s="1467"/>
      <c r="X93" s="1467"/>
      <c r="Y93" s="1467"/>
      <c r="Z93" s="1467"/>
      <c r="AA93" s="1468"/>
      <c r="AM93" s="1703">
        <f t="shared" si="49"/>
        <v>0</v>
      </c>
      <c r="AN93" s="1704"/>
    </row>
    <row r="94" spans="1:41" ht="60" customHeight="1" x14ac:dyDescent="0.7">
      <c r="A94" s="227">
        <v>80</v>
      </c>
      <c r="B94" s="251" t="s">
        <v>203</v>
      </c>
      <c r="C94" s="252" t="s">
        <v>169</v>
      </c>
      <c r="D94" s="227"/>
      <c r="E94" s="227"/>
      <c r="F94" s="1472" t="s">
        <v>378</v>
      </c>
      <c r="G94" s="1473"/>
      <c r="H94" s="1473"/>
      <c r="I94" s="1473"/>
      <c r="J94" s="1473"/>
      <c r="K94" s="1473"/>
      <c r="L94" s="378" t="s">
        <v>171</v>
      </c>
      <c r="M94" s="378" t="s">
        <v>172</v>
      </c>
      <c r="N94" s="379" t="s">
        <v>129</v>
      </c>
      <c r="O94" s="380"/>
      <c r="P94" s="380"/>
      <c r="Q94" s="380"/>
      <c r="R94" s="380"/>
      <c r="S94" s="1472" t="str">
        <f>IF(F94&lt;&gt;"",F94,"")</f>
        <v>HOSPEDAGEM</v>
      </c>
      <c r="T94" s="1473"/>
      <c r="U94" s="1473"/>
      <c r="V94" s="1473"/>
      <c r="W94" s="1473"/>
      <c r="X94" s="1473"/>
      <c r="Y94" s="1473"/>
      <c r="Z94" s="1473"/>
      <c r="AA94" s="1474"/>
      <c r="AB94" s="258" t="s">
        <v>173</v>
      </c>
      <c r="AC94" s="259" t="s">
        <v>130</v>
      </c>
      <c r="AM94" s="1703">
        <f t="shared" si="49"/>
        <v>0</v>
      </c>
      <c r="AN94" s="1704"/>
    </row>
    <row r="95" spans="1:41" ht="150" customHeight="1" x14ac:dyDescent="0.7">
      <c r="A95" s="227">
        <v>81</v>
      </c>
      <c r="B95" s="251" t="s">
        <v>204</v>
      </c>
      <c r="C95" s="252" t="s">
        <v>175</v>
      </c>
      <c r="D95" s="227" t="s">
        <v>182</v>
      </c>
      <c r="E95" s="227" t="s">
        <v>331</v>
      </c>
      <c r="F95" s="351" t="s">
        <v>380</v>
      </c>
      <c r="G95" s="381" t="s">
        <v>1249</v>
      </c>
      <c r="H95" s="330">
        <v>50</v>
      </c>
      <c r="I95" s="330">
        <v>4</v>
      </c>
      <c r="J95" s="367">
        <v>850</v>
      </c>
      <c r="K95" s="264">
        <f>IF(F95&lt;&gt;"",H95*I95*J95,"")</f>
        <v>170000</v>
      </c>
      <c r="L95" s="264">
        <f>IF(K95&lt;&gt;"",IF(D95="INTERNO",0,K95*$L$13),"")</f>
        <v>8500</v>
      </c>
      <c r="M95" s="264">
        <v>0</v>
      </c>
      <c r="N95" s="265">
        <f>SUM(K95:M95)</f>
        <v>178500</v>
      </c>
      <c r="O95" s="203" t="s">
        <v>654</v>
      </c>
      <c r="P95" s="369"/>
      <c r="Q95" s="369"/>
      <c r="R95" s="369"/>
      <c r="S95" s="268">
        <f>IF(H95&lt;&gt;"",H95,"")</f>
        <v>50</v>
      </c>
      <c r="T95" s="269">
        <f>IF(I95&lt;&gt;"",I95,"")</f>
        <v>4</v>
      </c>
      <c r="U95" s="270">
        <v>850</v>
      </c>
      <c r="V95" s="270">
        <v>0</v>
      </c>
      <c r="W95" s="271">
        <f>IF(S95&lt;&gt;"",K95-V95,"")</f>
        <v>170000</v>
      </c>
      <c r="X95" s="272">
        <f>IF(S95&lt;&gt;"",0%,"")</f>
        <v>0</v>
      </c>
      <c r="Y95" s="273">
        <f>IF(S95&lt;&gt;"",X95*W95,"")</f>
        <v>0</v>
      </c>
      <c r="Z95" s="273">
        <f>IF(S95&lt;&gt;"",Y95+V95,"")</f>
        <v>0</v>
      </c>
      <c r="AA95" s="274">
        <f>IF(S95&lt;&gt;"",Z95+M95,"")</f>
        <v>0</v>
      </c>
      <c r="AB95" s="275">
        <f>IFERROR(IF(S95&lt;&gt;"",W95/K95,""),0)</f>
        <v>1</v>
      </c>
      <c r="AC95" s="276" t="e">
        <f>V95/$V$98</f>
        <v>#DIV/0!</v>
      </c>
      <c r="AD95" s="394">
        <f>V95*0.1</f>
        <v>0</v>
      </c>
      <c r="AM95" s="1703">
        <f t="shared" si="49"/>
        <v>0</v>
      </c>
      <c r="AN95" s="1704"/>
    </row>
    <row r="96" spans="1:41" ht="150" customHeight="1" x14ac:dyDescent="0.7">
      <c r="A96" s="227">
        <v>82</v>
      </c>
      <c r="B96" s="251" t="s">
        <v>205</v>
      </c>
      <c r="C96" s="252" t="s">
        <v>175</v>
      </c>
      <c r="D96" s="227" t="s">
        <v>182</v>
      </c>
      <c r="E96" s="227" t="s">
        <v>331</v>
      </c>
      <c r="F96" s="351" t="s">
        <v>381</v>
      </c>
      <c r="G96" s="381" t="s">
        <v>1250</v>
      </c>
      <c r="H96" s="330">
        <v>253</v>
      </c>
      <c r="I96" s="330">
        <v>3</v>
      </c>
      <c r="J96" s="367">
        <v>900</v>
      </c>
      <c r="K96" s="264">
        <f>IF(F96&lt;&gt;"",H96*I96*J96,"")</f>
        <v>683100</v>
      </c>
      <c r="L96" s="264">
        <f>IF(K96&lt;&gt;"",IF(D96="INTERNO",0,K96*$L$13),"")</f>
        <v>34155</v>
      </c>
      <c r="M96" s="264">
        <v>0</v>
      </c>
      <c r="N96" s="265">
        <f>SUM(K96:M96)</f>
        <v>717255</v>
      </c>
      <c r="O96" s="203" t="s">
        <v>654</v>
      </c>
      <c r="P96" s="369"/>
      <c r="Q96" s="369"/>
      <c r="R96" s="369"/>
      <c r="S96" s="268">
        <f>IF(H96&lt;&gt;"",H96,"")</f>
        <v>253</v>
      </c>
      <c r="T96" s="269">
        <f>IF(I96&lt;&gt;"",I96,"")</f>
        <v>3</v>
      </c>
      <c r="U96" s="270">
        <v>900</v>
      </c>
      <c r="V96" s="270">
        <v>0</v>
      </c>
      <c r="W96" s="271">
        <f>IF(S96&lt;&gt;"",K96-V96,"")</f>
        <v>683100</v>
      </c>
      <c r="X96" s="272">
        <f>IF(S96&lt;&gt;"",0%,"")</f>
        <v>0</v>
      </c>
      <c r="Y96" s="273">
        <f>IF(S96&lt;&gt;"",X96*W96,"")</f>
        <v>0</v>
      </c>
      <c r="Z96" s="273">
        <f>IF(S96&lt;&gt;"",Y96+V96,"")</f>
        <v>0</v>
      </c>
      <c r="AA96" s="274">
        <f>IF(S96&lt;&gt;"",Z96+M96,"")</f>
        <v>0</v>
      </c>
      <c r="AB96" s="275">
        <f>IF(S96&lt;&gt;"", IFERROR(W96/K96, 0), 0)</f>
        <v>1</v>
      </c>
      <c r="AC96" s="276" t="e">
        <f>V96/$V$98</f>
        <v>#DIV/0!</v>
      </c>
      <c r="AD96" s="394">
        <f>V96*0.1</f>
        <v>0</v>
      </c>
      <c r="AM96" s="1703">
        <f t="shared" si="49"/>
        <v>0</v>
      </c>
      <c r="AN96" s="1704"/>
    </row>
    <row r="97" spans="1:40" ht="150" customHeight="1" x14ac:dyDescent="0.7">
      <c r="A97" s="297">
        <v>83</v>
      </c>
      <c r="B97" s="251" t="s">
        <v>379</v>
      </c>
      <c r="C97" s="298" t="s">
        <v>175</v>
      </c>
      <c r="D97" s="227" t="s">
        <v>182</v>
      </c>
      <c r="E97" s="227" t="s">
        <v>331</v>
      </c>
      <c r="F97" s="351" t="s">
        <v>382</v>
      </c>
      <c r="G97" s="381" t="s">
        <v>1251</v>
      </c>
      <c r="H97" s="395">
        <v>16</v>
      </c>
      <c r="I97" s="395">
        <v>7</v>
      </c>
      <c r="J97" s="396">
        <v>900</v>
      </c>
      <c r="K97" s="264">
        <f>IF(F97&lt;&gt;"",H97*I97*J97,"")</f>
        <v>100800</v>
      </c>
      <c r="L97" s="264">
        <f>IF(K97&lt;&gt;"",IF(D97="INTERNO",0,K97*$L$13),"")</f>
        <v>5040</v>
      </c>
      <c r="M97" s="264">
        <v>0</v>
      </c>
      <c r="N97" s="265">
        <f>SUM(K97:M97)</f>
        <v>105840</v>
      </c>
      <c r="O97" s="203" t="s">
        <v>654</v>
      </c>
      <c r="P97" s="369"/>
      <c r="Q97" s="369"/>
      <c r="R97" s="369"/>
      <c r="S97" s="268">
        <v>9</v>
      </c>
      <c r="T97" s="269">
        <v>7</v>
      </c>
      <c r="U97" s="270">
        <v>900</v>
      </c>
      <c r="V97" s="270">
        <v>0</v>
      </c>
      <c r="W97" s="271">
        <f>IF(S97&lt;&gt;"",K97-V97,"")</f>
        <v>100800</v>
      </c>
      <c r="X97" s="272">
        <f>IF(S97&lt;&gt;"",0%,"")</f>
        <v>0</v>
      </c>
      <c r="Y97" s="273">
        <f>IF(S97&lt;&gt;"",X97*W97,"")</f>
        <v>0</v>
      </c>
      <c r="Z97" s="273">
        <f>IF(S97&lt;&gt;"",Y97+V97,"")</f>
        <v>0</v>
      </c>
      <c r="AA97" s="274">
        <f>IF(S97&lt;&gt;"",Z97+M97,"")</f>
        <v>0</v>
      </c>
      <c r="AB97" s="275">
        <f>IF(S97&lt;&gt;"", IFERROR(W97/K97, 0), 0)</f>
        <v>1</v>
      </c>
      <c r="AC97" s="276" t="e">
        <f>V97/$V$98</f>
        <v>#DIV/0!</v>
      </c>
      <c r="AD97" s="394">
        <f>V97*0.1</f>
        <v>0</v>
      </c>
      <c r="AM97" s="1703">
        <f t="shared" si="49"/>
        <v>0</v>
      </c>
      <c r="AN97" s="1704"/>
    </row>
    <row r="98" spans="1:40" ht="60" customHeight="1" thickBot="1" x14ac:dyDescent="0.75">
      <c r="A98" s="227">
        <v>84</v>
      </c>
      <c r="B98" s="251"/>
      <c r="C98" s="252" t="s">
        <v>184</v>
      </c>
      <c r="D98" s="227"/>
      <c r="E98" s="227"/>
      <c r="F98" s="1486" t="s">
        <v>383</v>
      </c>
      <c r="G98" s="1487"/>
      <c r="H98" s="1487"/>
      <c r="I98" s="1487"/>
      <c r="J98" s="1487"/>
      <c r="K98" s="387">
        <f>SUM(K95:K97)</f>
        <v>953900</v>
      </c>
      <c r="L98" s="387">
        <f>SUM(L95:L97)</f>
        <v>47695</v>
      </c>
      <c r="M98" s="387">
        <f>SUM(M95:M97)</f>
        <v>0</v>
      </c>
      <c r="N98" s="397">
        <f>SUM(N95:N97)</f>
        <v>1001595</v>
      </c>
      <c r="O98" s="398"/>
      <c r="P98" s="398"/>
      <c r="Q98" s="398"/>
      <c r="R98" s="398"/>
      <c r="S98" s="1501">
        <f>SUM(S95:S97)</f>
        <v>312</v>
      </c>
      <c r="T98" s="1502"/>
      <c r="U98" s="1502"/>
      <c r="V98" s="399">
        <f>SUM(V95:V97)</f>
        <v>0</v>
      </c>
      <c r="W98" s="400">
        <f>SUM(W95:W97)</f>
        <v>953900</v>
      </c>
      <c r="X98" s="401">
        <f>SUM(X95:X97)</f>
        <v>0</v>
      </c>
      <c r="Y98" s="402"/>
      <c r="Z98" s="403">
        <f>SUM(Z95:Z97)</f>
        <v>0</v>
      </c>
      <c r="AA98" s="404">
        <f>SUM(AA95:AA97)</f>
        <v>0</v>
      </c>
      <c r="AD98" s="405">
        <f>SUM(AD95:AD97)</f>
        <v>0</v>
      </c>
      <c r="AM98" s="1703">
        <f t="shared" si="49"/>
        <v>0</v>
      </c>
      <c r="AN98" s="1704"/>
    </row>
    <row r="99" spans="1:40" ht="60" customHeight="1" thickBot="1" x14ac:dyDescent="0.75">
      <c r="A99" s="227">
        <v>85</v>
      </c>
      <c r="B99" s="251" t="s">
        <v>206</v>
      </c>
      <c r="C99" s="252" t="s">
        <v>169</v>
      </c>
      <c r="D99" s="227"/>
      <c r="E99" s="227"/>
      <c r="F99" s="1469" t="s">
        <v>384</v>
      </c>
      <c r="G99" s="1470"/>
      <c r="H99" s="1470"/>
      <c r="I99" s="1470"/>
      <c r="J99" s="1470"/>
      <c r="K99" s="1471"/>
      <c r="L99" s="254" t="s">
        <v>171</v>
      </c>
      <c r="M99" s="255" t="s">
        <v>172</v>
      </c>
      <c r="N99" s="406" t="s">
        <v>129</v>
      </c>
      <c r="O99" s="407"/>
      <c r="P99" s="407"/>
      <c r="Q99" s="407"/>
      <c r="R99" s="407"/>
      <c r="S99" s="1503" t="str">
        <f>IF(F99&lt;&gt;"",F99,"")</f>
        <v>SALAS DE EVENTOS</v>
      </c>
      <c r="T99" s="1497"/>
      <c r="U99" s="1497"/>
      <c r="V99" s="1497"/>
      <c r="W99" s="1497"/>
      <c r="X99" s="1497"/>
      <c r="Y99" s="1497"/>
      <c r="Z99" s="1497"/>
      <c r="AA99" s="1504"/>
      <c r="AB99" s="258" t="s">
        <v>173</v>
      </c>
      <c r="AC99" s="259" t="s">
        <v>130</v>
      </c>
      <c r="AM99" s="1703">
        <f t="shared" si="49"/>
        <v>0</v>
      </c>
      <c r="AN99" s="1704"/>
    </row>
    <row r="100" spans="1:40" ht="150" customHeight="1" x14ac:dyDescent="0.7">
      <c r="A100" s="227">
        <v>86</v>
      </c>
      <c r="B100" s="251" t="s">
        <v>207</v>
      </c>
      <c r="C100" s="252" t="s">
        <v>175</v>
      </c>
      <c r="D100" s="227" t="s">
        <v>182</v>
      </c>
      <c r="E100" s="227" t="s">
        <v>331</v>
      </c>
      <c r="F100" s="260" t="s">
        <v>387</v>
      </c>
      <c r="G100" s="336" t="s">
        <v>1252</v>
      </c>
      <c r="H100" s="408">
        <v>1</v>
      </c>
      <c r="I100" s="408">
        <v>1</v>
      </c>
      <c r="J100" s="367">
        <v>88000.3</v>
      </c>
      <c r="K100" s="263">
        <f t="shared" ref="K100:K104" si="62">IF(F100&lt;&gt;"",H100*I100*J100,"")</f>
        <v>88000.3</v>
      </c>
      <c r="L100" s="263">
        <f t="shared" ref="L100:L104" si="63">IF(K100&lt;&gt;"",IF(D100="INTERNO",0,K100*$L$13),"")</f>
        <v>4400.0150000000003</v>
      </c>
      <c r="M100" s="263"/>
      <c r="N100" s="281">
        <f t="shared" ref="N100:N104" si="64">SUM(K100:M100)</f>
        <v>92400.315000000002</v>
      </c>
      <c r="O100" s="203" t="s">
        <v>654</v>
      </c>
      <c r="P100" s="350"/>
      <c r="Q100" s="350"/>
      <c r="R100" s="350"/>
      <c r="S100" s="409">
        <f t="shared" ref="S100:S108" si="65">IF(H100&lt;&gt;"",H100,"")</f>
        <v>1</v>
      </c>
      <c r="T100" s="410">
        <f t="shared" ref="T100:T108" si="66">IF(I100&lt;&gt;"",I100,"")</f>
        <v>1</v>
      </c>
      <c r="U100" s="411">
        <v>88000.3</v>
      </c>
      <c r="V100" s="411">
        <v>0</v>
      </c>
      <c r="W100" s="412">
        <f t="shared" ref="W100:W108" si="67">IF(S100&lt;&gt;"",K100-V100,"")</f>
        <v>88000.3</v>
      </c>
      <c r="X100" s="413">
        <f t="shared" ref="X100:X104" si="68">IF(S100&lt;&gt;"",0%,"")</f>
        <v>0</v>
      </c>
      <c r="Y100" s="414">
        <f t="shared" ref="Y100:Y104" si="69">IF(S100&lt;&gt;"",X100*W100,"")</f>
        <v>0</v>
      </c>
      <c r="Z100" s="414">
        <f t="shared" ref="Z100:Z104" si="70">IF(S100&lt;&gt;"",Y100+V100,"")</f>
        <v>0</v>
      </c>
      <c r="AA100" s="415">
        <f t="shared" ref="AA100:AA108" si="71">IF(S100&lt;&gt;"",Z100+M100,"")</f>
        <v>0</v>
      </c>
      <c r="AB100" s="275">
        <f>IFERROR(IF(S100&lt;&gt;"",W100/K100,""),0)</f>
        <v>1</v>
      </c>
      <c r="AC100" s="276" t="e">
        <f t="shared" ref="AC100:AC108" si="72">V100/$V$109</f>
        <v>#DIV/0!</v>
      </c>
      <c r="AM100" s="1703">
        <f t="shared" si="49"/>
        <v>0</v>
      </c>
      <c r="AN100" s="1704"/>
    </row>
    <row r="101" spans="1:40" ht="150" customHeight="1" x14ac:dyDescent="0.7">
      <c r="A101" s="227">
        <v>87</v>
      </c>
      <c r="B101" s="251" t="s">
        <v>208</v>
      </c>
      <c r="C101" s="252" t="s">
        <v>175</v>
      </c>
      <c r="D101" s="227" t="s">
        <v>182</v>
      </c>
      <c r="E101" s="227" t="s">
        <v>331</v>
      </c>
      <c r="F101" s="260" t="s">
        <v>388</v>
      </c>
      <c r="G101" s="336" t="s">
        <v>1253</v>
      </c>
      <c r="H101" s="408">
        <v>1</v>
      </c>
      <c r="I101" s="408">
        <v>1</v>
      </c>
      <c r="J101" s="367">
        <v>36000</v>
      </c>
      <c r="K101" s="263">
        <f t="shared" si="62"/>
        <v>36000</v>
      </c>
      <c r="L101" s="263">
        <f t="shared" si="63"/>
        <v>1800</v>
      </c>
      <c r="M101" s="263"/>
      <c r="N101" s="281">
        <f t="shared" si="64"/>
        <v>37800</v>
      </c>
      <c r="O101" s="203" t="s">
        <v>654</v>
      </c>
      <c r="P101" s="368"/>
      <c r="Q101" s="368"/>
      <c r="R101" s="368"/>
      <c r="S101" s="268">
        <f t="shared" si="65"/>
        <v>1</v>
      </c>
      <c r="T101" s="269">
        <f t="shared" si="66"/>
        <v>1</v>
      </c>
      <c r="U101" s="270">
        <v>36000</v>
      </c>
      <c r="V101" s="270">
        <v>0</v>
      </c>
      <c r="W101" s="271">
        <f t="shared" si="67"/>
        <v>36000</v>
      </c>
      <c r="X101" s="272">
        <f t="shared" si="68"/>
        <v>0</v>
      </c>
      <c r="Y101" s="273">
        <f t="shared" si="69"/>
        <v>0</v>
      </c>
      <c r="Z101" s="273">
        <f t="shared" si="70"/>
        <v>0</v>
      </c>
      <c r="AA101" s="274">
        <f t="shared" si="71"/>
        <v>0</v>
      </c>
      <c r="AB101" s="275">
        <f>IFERROR(IF(S101&lt;&gt;"",W101/K101,""),0)</f>
        <v>1</v>
      </c>
      <c r="AC101" s="276" t="e">
        <f t="shared" si="72"/>
        <v>#DIV/0!</v>
      </c>
      <c r="AM101" s="1703">
        <f t="shared" si="49"/>
        <v>0</v>
      </c>
      <c r="AN101" s="1704"/>
    </row>
    <row r="102" spans="1:40" ht="150" customHeight="1" x14ac:dyDescent="0.7">
      <c r="A102" s="297">
        <v>88</v>
      </c>
      <c r="B102" s="251" t="s">
        <v>209</v>
      </c>
      <c r="C102" s="298" t="s">
        <v>175</v>
      </c>
      <c r="D102" s="227" t="s">
        <v>182</v>
      </c>
      <c r="E102" s="227" t="s">
        <v>331</v>
      </c>
      <c r="F102" s="260" t="s">
        <v>389</v>
      </c>
      <c r="G102" s="336" t="s">
        <v>1254</v>
      </c>
      <c r="H102" s="408">
        <v>1</v>
      </c>
      <c r="I102" s="408">
        <v>1</v>
      </c>
      <c r="J102" s="367">
        <v>1000</v>
      </c>
      <c r="K102" s="264">
        <f>IF(F102&lt;&gt;"",H102*I102*J102,"")</f>
        <v>1000</v>
      </c>
      <c r="L102" s="264">
        <f t="shared" si="63"/>
        <v>50</v>
      </c>
      <c r="M102" s="263"/>
      <c r="N102" s="265">
        <f>SUM(K102:M102)</f>
        <v>1050</v>
      </c>
      <c r="O102" s="203" t="s">
        <v>654</v>
      </c>
      <c r="P102" s="369"/>
      <c r="Q102" s="369"/>
      <c r="R102" s="369"/>
      <c r="S102" s="268">
        <f t="shared" si="65"/>
        <v>1</v>
      </c>
      <c r="T102" s="269">
        <f t="shared" si="66"/>
        <v>1</v>
      </c>
      <c r="U102" s="270">
        <v>1000</v>
      </c>
      <c r="V102" s="270">
        <v>0</v>
      </c>
      <c r="W102" s="271">
        <f t="shared" si="67"/>
        <v>1000</v>
      </c>
      <c r="X102" s="272">
        <f>IF(S102&lt;&gt;"",0%,"")</f>
        <v>0</v>
      </c>
      <c r="Y102" s="273">
        <f>IF(S102&lt;&gt;"",X102*W102,"")</f>
        <v>0</v>
      </c>
      <c r="Z102" s="273">
        <f>IF(S102&lt;&gt;"",Y102+V102,"")</f>
        <v>0</v>
      </c>
      <c r="AA102" s="274">
        <f t="shared" si="71"/>
        <v>0</v>
      </c>
      <c r="AB102" s="275">
        <f>IFERROR(IF(S102&lt;&gt;"",W102/K102,""),0)</f>
        <v>1</v>
      </c>
      <c r="AC102" s="276" t="e">
        <f t="shared" si="72"/>
        <v>#DIV/0!</v>
      </c>
      <c r="AM102" s="1703">
        <f t="shared" si="49"/>
        <v>0</v>
      </c>
      <c r="AN102" s="1704"/>
    </row>
    <row r="103" spans="1:40" ht="150" customHeight="1" x14ac:dyDescent="0.7">
      <c r="A103" s="279">
        <v>89</v>
      </c>
      <c r="B103" s="251" t="s">
        <v>210</v>
      </c>
      <c r="C103" s="280" t="s">
        <v>175</v>
      </c>
      <c r="D103" s="279" t="s">
        <v>182</v>
      </c>
      <c r="E103" s="227" t="s">
        <v>331</v>
      </c>
      <c r="F103" s="260" t="s">
        <v>390</v>
      </c>
      <c r="G103" s="336" t="s">
        <v>1255</v>
      </c>
      <c r="H103" s="408">
        <v>1</v>
      </c>
      <c r="I103" s="408">
        <v>1</v>
      </c>
      <c r="J103" s="367">
        <v>4000</v>
      </c>
      <c r="K103" s="416">
        <f t="shared" si="62"/>
        <v>4000</v>
      </c>
      <c r="L103" s="416">
        <f t="shared" si="63"/>
        <v>200</v>
      </c>
      <c r="M103" s="263"/>
      <c r="N103" s="417">
        <f t="shared" si="64"/>
        <v>4200</v>
      </c>
      <c r="O103" s="203" t="s">
        <v>654</v>
      </c>
      <c r="P103" s="350"/>
      <c r="Q103" s="350"/>
      <c r="R103" s="350"/>
      <c r="S103" s="268">
        <f t="shared" si="65"/>
        <v>1</v>
      </c>
      <c r="T103" s="269">
        <f t="shared" si="66"/>
        <v>1</v>
      </c>
      <c r="U103" s="270">
        <v>4000</v>
      </c>
      <c r="V103" s="270">
        <v>0</v>
      </c>
      <c r="W103" s="271">
        <f t="shared" si="67"/>
        <v>4000</v>
      </c>
      <c r="X103" s="272">
        <f t="shared" si="68"/>
        <v>0</v>
      </c>
      <c r="Y103" s="273">
        <f t="shared" si="69"/>
        <v>0</v>
      </c>
      <c r="Z103" s="273">
        <f t="shared" si="70"/>
        <v>0</v>
      </c>
      <c r="AA103" s="274">
        <f t="shared" si="71"/>
        <v>0</v>
      </c>
      <c r="AB103" s="275">
        <f>IFERROR(IF(S103&lt;&gt;"",W103/K103,""),0)</f>
        <v>1</v>
      </c>
      <c r="AC103" s="276" t="e">
        <f t="shared" si="72"/>
        <v>#DIV/0!</v>
      </c>
      <c r="AM103" s="1703">
        <f t="shared" si="49"/>
        <v>0</v>
      </c>
      <c r="AN103" s="1704"/>
    </row>
    <row r="104" spans="1:40" ht="150" customHeight="1" x14ac:dyDescent="0.7">
      <c r="A104" s="227">
        <v>90</v>
      </c>
      <c r="B104" s="251" t="s">
        <v>211</v>
      </c>
      <c r="C104" s="252" t="s">
        <v>175</v>
      </c>
      <c r="D104" s="227" t="s">
        <v>182</v>
      </c>
      <c r="E104" s="227" t="s">
        <v>331</v>
      </c>
      <c r="F104" s="260" t="s">
        <v>391</v>
      </c>
      <c r="G104" s="336" t="s">
        <v>1256</v>
      </c>
      <c r="H104" s="408">
        <v>1</v>
      </c>
      <c r="I104" s="408">
        <v>3</v>
      </c>
      <c r="J104" s="367">
        <v>1680</v>
      </c>
      <c r="K104" s="263">
        <f t="shared" si="62"/>
        <v>5040</v>
      </c>
      <c r="L104" s="263">
        <f t="shared" si="63"/>
        <v>252</v>
      </c>
      <c r="M104" s="263"/>
      <c r="N104" s="281">
        <f t="shared" si="64"/>
        <v>5292</v>
      </c>
      <c r="O104" s="203" t="s">
        <v>654</v>
      </c>
      <c r="P104" s="368"/>
      <c r="Q104" s="368"/>
      <c r="R104" s="368"/>
      <c r="S104" s="268">
        <f t="shared" si="65"/>
        <v>1</v>
      </c>
      <c r="T104" s="269">
        <f t="shared" si="66"/>
        <v>3</v>
      </c>
      <c r="U104" s="270">
        <v>1680</v>
      </c>
      <c r="V104" s="270">
        <v>0</v>
      </c>
      <c r="W104" s="271">
        <f t="shared" si="67"/>
        <v>5040</v>
      </c>
      <c r="X104" s="272">
        <f t="shared" si="68"/>
        <v>0</v>
      </c>
      <c r="Y104" s="273">
        <f t="shared" si="69"/>
        <v>0</v>
      </c>
      <c r="Z104" s="273">
        <f t="shared" si="70"/>
        <v>0</v>
      </c>
      <c r="AA104" s="274">
        <f t="shared" si="71"/>
        <v>0</v>
      </c>
      <c r="AB104" s="275">
        <f>IFERROR(IF(S104&lt;&gt;"",W104/K104,""),0)</f>
        <v>1</v>
      </c>
      <c r="AC104" s="276" t="e">
        <f t="shared" si="72"/>
        <v>#DIV/0!</v>
      </c>
      <c r="AM104" s="1703">
        <f t="shared" si="49"/>
        <v>0</v>
      </c>
      <c r="AN104" s="1704"/>
    </row>
    <row r="105" spans="1:40" ht="150" customHeight="1" x14ac:dyDescent="0.7">
      <c r="A105" s="227">
        <v>91</v>
      </c>
      <c r="B105" s="251" t="s">
        <v>212</v>
      </c>
      <c r="C105" s="252" t="s">
        <v>175</v>
      </c>
      <c r="D105" s="227" t="s">
        <v>182</v>
      </c>
      <c r="E105" s="227" t="s">
        <v>331</v>
      </c>
      <c r="F105" s="260" t="s">
        <v>392</v>
      </c>
      <c r="G105" s="336" t="s">
        <v>1257</v>
      </c>
      <c r="H105" s="408">
        <v>1</v>
      </c>
      <c r="I105" s="408">
        <v>1</v>
      </c>
      <c r="J105" s="367">
        <v>10480</v>
      </c>
      <c r="K105" s="263">
        <f>IF(F105&lt;&gt;"",H105*I105*J105,"")</f>
        <v>10480</v>
      </c>
      <c r="L105" s="263">
        <f>IF(K105&lt;&gt;"",IF(D105="INTERNO",0,K105*$L$13),"")</f>
        <v>524</v>
      </c>
      <c r="M105" s="263"/>
      <c r="N105" s="281">
        <f>SUM(K105:M105)</f>
        <v>11004</v>
      </c>
      <c r="O105" s="203" t="s">
        <v>654</v>
      </c>
      <c r="P105" s="368"/>
      <c r="Q105" s="368"/>
      <c r="R105" s="368"/>
      <c r="S105" s="268">
        <f t="shared" si="65"/>
        <v>1</v>
      </c>
      <c r="T105" s="269">
        <f t="shared" si="66"/>
        <v>1</v>
      </c>
      <c r="U105" s="270">
        <v>10480</v>
      </c>
      <c r="V105" s="270">
        <v>0</v>
      </c>
      <c r="W105" s="271">
        <f t="shared" si="67"/>
        <v>10480</v>
      </c>
      <c r="X105" s="272">
        <f>IF(S105&lt;&gt;"",0%,"")</f>
        <v>0</v>
      </c>
      <c r="Y105" s="273">
        <f>IF(S105&lt;&gt;"",X105*W105,"")</f>
        <v>0</v>
      </c>
      <c r="Z105" s="273">
        <f>IF(S105&lt;&gt;"",Y105+V105,"")</f>
        <v>0</v>
      </c>
      <c r="AA105" s="274">
        <f t="shared" si="71"/>
        <v>0</v>
      </c>
      <c r="AB105" s="275">
        <f>IF(S105&lt;&gt;"", IFERROR(W105/K105, 0), 0)</f>
        <v>1</v>
      </c>
      <c r="AC105" s="276" t="e">
        <f t="shared" si="72"/>
        <v>#DIV/0!</v>
      </c>
      <c r="AM105" s="1703">
        <f t="shared" si="49"/>
        <v>0</v>
      </c>
      <c r="AN105" s="1704"/>
    </row>
    <row r="106" spans="1:40" ht="150" customHeight="1" x14ac:dyDescent="0.7">
      <c r="A106" s="227">
        <v>92</v>
      </c>
      <c r="B106" s="251" t="s">
        <v>226</v>
      </c>
      <c r="C106" s="252" t="s">
        <v>175</v>
      </c>
      <c r="D106" s="227" t="s">
        <v>182</v>
      </c>
      <c r="E106" s="227" t="s">
        <v>331</v>
      </c>
      <c r="F106" s="260" t="s">
        <v>393</v>
      </c>
      <c r="G106" s="336" t="s">
        <v>1258</v>
      </c>
      <c r="H106" s="408">
        <v>1</v>
      </c>
      <c r="I106" s="408">
        <v>1</v>
      </c>
      <c r="J106" s="367">
        <v>27545</v>
      </c>
      <c r="K106" s="263">
        <f>IF(F106&lt;&gt;"",H106*I106*J106,"")</f>
        <v>27545</v>
      </c>
      <c r="L106" s="263">
        <f>IF(K106&lt;&gt;"",IF(D106="INTERNO",0,K106*$L$13),"")</f>
        <v>1377.25</v>
      </c>
      <c r="M106" s="263"/>
      <c r="N106" s="281">
        <f>SUM(K106:M106)</f>
        <v>28922.25</v>
      </c>
      <c r="O106" s="203" t="s">
        <v>654</v>
      </c>
      <c r="P106" s="368"/>
      <c r="Q106" s="368"/>
      <c r="R106" s="368"/>
      <c r="S106" s="268">
        <f t="shared" si="65"/>
        <v>1</v>
      </c>
      <c r="T106" s="269">
        <f t="shared" si="66"/>
        <v>1</v>
      </c>
      <c r="U106" s="270">
        <v>27545</v>
      </c>
      <c r="V106" s="270">
        <v>0</v>
      </c>
      <c r="W106" s="271">
        <f t="shared" si="67"/>
        <v>27545</v>
      </c>
      <c r="X106" s="272">
        <f>IF(S106&lt;&gt;"",0%,"")</f>
        <v>0</v>
      </c>
      <c r="Y106" s="273">
        <f>IF(S106&lt;&gt;"",X106*W106,"")</f>
        <v>0</v>
      </c>
      <c r="Z106" s="273">
        <f>IF(S106&lt;&gt;"",Y106+V106,"")</f>
        <v>0</v>
      </c>
      <c r="AA106" s="274">
        <f t="shared" si="71"/>
        <v>0</v>
      </c>
      <c r="AB106" s="275">
        <f>IF(S106&lt;&gt;"", IFERROR(W106/K106, 0), 0)</f>
        <v>1</v>
      </c>
      <c r="AC106" s="276" t="e">
        <f t="shared" si="72"/>
        <v>#DIV/0!</v>
      </c>
      <c r="AM106" s="1703">
        <f t="shared" si="49"/>
        <v>0</v>
      </c>
      <c r="AN106" s="1704"/>
    </row>
    <row r="107" spans="1:40" ht="150" customHeight="1" x14ac:dyDescent="0.7">
      <c r="A107" s="227">
        <v>93</v>
      </c>
      <c r="B107" s="251" t="s">
        <v>386</v>
      </c>
      <c r="C107" s="252" t="s">
        <v>175</v>
      </c>
      <c r="D107" s="227" t="s">
        <v>182</v>
      </c>
      <c r="E107" s="227" t="s">
        <v>331</v>
      </c>
      <c r="F107" s="260" t="s">
        <v>394</v>
      </c>
      <c r="G107" s="336" t="s">
        <v>1259</v>
      </c>
      <c r="H107" s="418">
        <v>1</v>
      </c>
      <c r="I107" s="418">
        <v>1</v>
      </c>
      <c r="J107" s="419">
        <v>2680</v>
      </c>
      <c r="K107" s="263">
        <f>IF(F107&lt;&gt;"",H107*I107*J107,"")</f>
        <v>2680</v>
      </c>
      <c r="L107" s="263">
        <f>IF(K107&lt;&gt;"",IF(D107="INTERNO",0,K107*$L$13),"")</f>
        <v>134</v>
      </c>
      <c r="M107" s="263"/>
      <c r="N107" s="281">
        <f>SUM(K107:M107)</f>
        <v>2814</v>
      </c>
      <c r="O107" s="203" t="s">
        <v>654</v>
      </c>
      <c r="P107" s="368"/>
      <c r="Q107" s="368"/>
      <c r="R107" s="368"/>
      <c r="S107" s="284">
        <f t="shared" si="65"/>
        <v>1</v>
      </c>
      <c r="T107" s="285">
        <f t="shared" si="66"/>
        <v>1</v>
      </c>
      <c r="U107" s="286">
        <v>2680</v>
      </c>
      <c r="V107" s="270">
        <v>0</v>
      </c>
      <c r="W107" s="287">
        <f t="shared" si="67"/>
        <v>2680</v>
      </c>
      <c r="X107" s="288">
        <f>IF(S107&lt;&gt;"",0%,"")</f>
        <v>0</v>
      </c>
      <c r="Y107" s="289">
        <f>IF(S107&lt;&gt;"",X107*W107,"")</f>
        <v>0</v>
      </c>
      <c r="Z107" s="289">
        <f>IF(S107&lt;&gt;"",Y107+V107,"")</f>
        <v>0</v>
      </c>
      <c r="AA107" s="290">
        <f t="shared" si="71"/>
        <v>0</v>
      </c>
      <c r="AB107" s="275">
        <f>IF(S107&lt;&gt;"", IFERROR(W107/K107, 0), 0)</f>
        <v>1</v>
      </c>
      <c r="AC107" s="276" t="e">
        <f t="shared" si="72"/>
        <v>#DIV/0!</v>
      </c>
      <c r="AM107" s="1703">
        <f t="shared" si="49"/>
        <v>0</v>
      </c>
      <c r="AN107" s="1704"/>
    </row>
    <row r="108" spans="1:40" ht="150" customHeight="1" x14ac:dyDescent="0.7">
      <c r="A108" s="297">
        <v>94</v>
      </c>
      <c r="B108" s="251" t="s">
        <v>602</v>
      </c>
      <c r="C108" s="298" t="s">
        <v>175</v>
      </c>
      <c r="D108" s="227" t="s">
        <v>182</v>
      </c>
      <c r="E108" s="227" t="s">
        <v>331</v>
      </c>
      <c r="F108" s="381" t="s">
        <v>606</v>
      </c>
      <c r="G108" s="349" t="s">
        <v>1260</v>
      </c>
      <c r="H108" s="420">
        <v>115</v>
      </c>
      <c r="I108" s="420">
        <v>1</v>
      </c>
      <c r="J108" s="396">
        <v>10</v>
      </c>
      <c r="K108" s="264">
        <f>IF(F108&lt;&gt;"",H108*I108*J108,"")</f>
        <v>1150</v>
      </c>
      <c r="L108" s="264">
        <f>IF(K108&lt;&gt;"",IF(D108="INTERNO",0,K108*$L$14),"")</f>
        <v>92</v>
      </c>
      <c r="M108" s="264"/>
      <c r="N108" s="264">
        <f>SUM(K108:M108)</f>
        <v>1242</v>
      </c>
      <c r="O108" s="203" t="s">
        <v>654</v>
      </c>
      <c r="P108" s="421"/>
      <c r="Q108" s="421"/>
      <c r="R108" s="421"/>
      <c r="S108" s="422">
        <f t="shared" si="65"/>
        <v>115</v>
      </c>
      <c r="T108" s="422">
        <f t="shared" si="66"/>
        <v>1</v>
      </c>
      <c r="U108" s="301">
        <v>10</v>
      </c>
      <c r="V108" s="270">
        <v>0</v>
      </c>
      <c r="W108" s="354">
        <f t="shared" si="67"/>
        <v>1150</v>
      </c>
      <c r="X108" s="303">
        <f>IF(S108&lt;&gt;"",0%,"")</f>
        <v>0</v>
      </c>
      <c r="Y108" s="304">
        <f>IF(S108&lt;&gt;"",X108*W108,"")</f>
        <v>0</v>
      </c>
      <c r="Z108" s="304">
        <f>IF(S108&lt;&gt;"",Y108+V108,"")</f>
        <v>0</v>
      </c>
      <c r="AA108" s="273">
        <f t="shared" si="71"/>
        <v>0</v>
      </c>
      <c r="AB108" s="276">
        <f>IF(S108&lt;&gt;"", IFERROR(W108/K108, 0), 0)</f>
        <v>1</v>
      </c>
      <c r="AC108" s="276" t="e">
        <f t="shared" si="72"/>
        <v>#DIV/0!</v>
      </c>
      <c r="AM108" s="1703">
        <f t="shared" si="49"/>
        <v>0</v>
      </c>
      <c r="AN108" s="1704"/>
    </row>
    <row r="109" spans="1:40" ht="60" customHeight="1" thickBot="1" x14ac:dyDescent="0.75">
      <c r="A109" s="279">
        <v>95</v>
      </c>
      <c r="B109" s="251"/>
      <c r="C109" s="280" t="s">
        <v>184</v>
      </c>
      <c r="D109" s="279"/>
      <c r="E109" s="279"/>
      <c r="F109" s="1499" t="s">
        <v>385</v>
      </c>
      <c r="G109" s="1500"/>
      <c r="H109" s="1500"/>
      <c r="I109" s="1500"/>
      <c r="J109" s="1500"/>
      <c r="K109" s="398">
        <f>SUM(K100:K108)</f>
        <v>175895.3</v>
      </c>
      <c r="L109" s="398">
        <f>SUM(L100:L108)</f>
        <v>8829.2649999999994</v>
      </c>
      <c r="M109" s="398">
        <f>SUM(M100:M108)</f>
        <v>0</v>
      </c>
      <c r="N109" s="398">
        <f>SUM(N100:N108)</f>
        <v>184724.565</v>
      </c>
      <c r="O109" s="398"/>
      <c r="P109" s="398"/>
      <c r="Q109" s="398"/>
      <c r="R109" s="398"/>
      <c r="S109" s="1501">
        <f>SUM(S100:S108)</f>
        <v>123</v>
      </c>
      <c r="T109" s="1502"/>
      <c r="U109" s="1502"/>
      <c r="V109" s="398">
        <f>SUM(V100:V108)</f>
        <v>0</v>
      </c>
      <c r="W109" s="400">
        <f>SUM(W100:W108)</f>
        <v>175895.3</v>
      </c>
      <c r="X109" s="401">
        <f>SUM(X100:X108)</f>
        <v>0</v>
      </c>
      <c r="Y109" s="402"/>
      <c r="Z109" s="403">
        <f>SUM(Z100:Z108)</f>
        <v>0</v>
      </c>
      <c r="AA109" s="404">
        <f>SUM(AA100:AA108)</f>
        <v>0</v>
      </c>
      <c r="AM109" s="1703">
        <f t="shared" si="49"/>
        <v>0</v>
      </c>
      <c r="AN109" s="1704"/>
    </row>
    <row r="110" spans="1:40" ht="60" customHeight="1" x14ac:dyDescent="0.7">
      <c r="A110" s="227">
        <v>96</v>
      </c>
      <c r="B110" s="251" t="s">
        <v>213</v>
      </c>
      <c r="C110" s="252" t="s">
        <v>169</v>
      </c>
      <c r="D110" s="227"/>
      <c r="E110" s="227"/>
      <c r="F110" s="1472" t="s">
        <v>189</v>
      </c>
      <c r="G110" s="1473"/>
      <c r="H110" s="1473"/>
      <c r="I110" s="1473"/>
      <c r="J110" s="1473"/>
      <c r="K110" s="1473"/>
      <c r="L110" s="378" t="s">
        <v>171</v>
      </c>
      <c r="M110" s="378" t="s">
        <v>172</v>
      </c>
      <c r="N110" s="379" t="s">
        <v>129</v>
      </c>
      <c r="O110" s="380"/>
      <c r="P110" s="380"/>
      <c r="Q110" s="380"/>
      <c r="R110" s="380"/>
      <c r="S110" s="1472" t="str">
        <f>IF(F110&lt;&gt;"",F110,"")</f>
        <v xml:space="preserve">A&amp;B </v>
      </c>
      <c r="T110" s="1473"/>
      <c r="U110" s="1473"/>
      <c r="V110" s="1473"/>
      <c r="W110" s="1473"/>
      <c r="X110" s="1473"/>
      <c r="Y110" s="1473"/>
      <c r="Z110" s="1473"/>
      <c r="AA110" s="1474"/>
      <c r="AB110" s="258" t="s">
        <v>173</v>
      </c>
      <c r="AC110" s="259" t="s">
        <v>130</v>
      </c>
      <c r="AM110" s="1703">
        <f t="shared" si="49"/>
        <v>0</v>
      </c>
      <c r="AN110" s="1704"/>
    </row>
    <row r="111" spans="1:40" ht="150" customHeight="1" x14ac:dyDescent="0.7">
      <c r="A111" s="227">
        <v>97</v>
      </c>
      <c r="B111" s="251" t="s">
        <v>214</v>
      </c>
      <c r="C111" s="252" t="s">
        <v>175</v>
      </c>
      <c r="D111" s="227" t="s">
        <v>182</v>
      </c>
      <c r="E111" s="227" t="s">
        <v>331</v>
      </c>
      <c r="F111" s="423" t="s">
        <v>398</v>
      </c>
      <c r="G111" s="381" t="s">
        <v>399</v>
      </c>
      <c r="H111" s="395">
        <v>550</v>
      </c>
      <c r="I111" s="395">
        <v>4</v>
      </c>
      <c r="J111" s="396">
        <v>192</v>
      </c>
      <c r="K111" s="264">
        <f t="shared" ref="K111:K115" si="73">IF(F111&lt;&gt;"",H111*I111*J111,"")</f>
        <v>422400</v>
      </c>
      <c r="L111" s="264">
        <f>IF(K111&lt;&gt;"",IF(D111="INTERNO",0,K111*$L$13),"")</f>
        <v>21120</v>
      </c>
      <c r="M111" s="264"/>
      <c r="N111" s="265">
        <f t="shared" ref="N111:N115" si="74">SUM(K111:M111)</f>
        <v>443520</v>
      </c>
      <c r="O111" s="203" t="s">
        <v>654</v>
      </c>
      <c r="P111" s="368"/>
      <c r="Q111" s="368"/>
      <c r="R111" s="368"/>
      <c r="S111" s="284">
        <f t="shared" ref="S111:T115" si="75">IF(H111&lt;&gt;"",H111,"")</f>
        <v>550</v>
      </c>
      <c r="T111" s="285">
        <f t="shared" si="75"/>
        <v>4</v>
      </c>
      <c r="U111" s="270">
        <v>181</v>
      </c>
      <c r="V111" s="270">
        <v>0</v>
      </c>
      <c r="W111" s="287">
        <f>IF(S111&lt;&gt;"",K111-V111,"")</f>
        <v>422400</v>
      </c>
      <c r="X111" s="288">
        <f t="shared" ref="X111:X115" si="76">IF(S111&lt;&gt;"",0%,"")</f>
        <v>0</v>
      </c>
      <c r="Y111" s="289">
        <f t="shared" ref="Y111:Y115" si="77">IF(S111&lt;&gt;"",X111*W111,"")</f>
        <v>0</v>
      </c>
      <c r="Z111" s="289">
        <f t="shared" ref="Z111:Z115" si="78">IF(S111&lt;&gt;"",Y111+V111,"")</f>
        <v>0</v>
      </c>
      <c r="AA111" s="290">
        <f>IF(S111&lt;&gt;"",Z111+M111,"")</f>
        <v>0</v>
      </c>
      <c r="AB111" s="275">
        <f>IFERROR(IF(S111&lt;&gt;"",W111/K111,""),0)</f>
        <v>1</v>
      </c>
      <c r="AC111" s="276" t="e">
        <f>V111/$V$116</f>
        <v>#DIV/0!</v>
      </c>
      <c r="AM111" s="1703">
        <f t="shared" si="49"/>
        <v>0</v>
      </c>
      <c r="AN111" s="1704"/>
    </row>
    <row r="112" spans="1:40" ht="150" customHeight="1" x14ac:dyDescent="0.7">
      <c r="A112" s="297">
        <v>98</v>
      </c>
      <c r="B112" s="251" t="s">
        <v>244</v>
      </c>
      <c r="C112" s="298" t="s">
        <v>175</v>
      </c>
      <c r="D112" s="227" t="s">
        <v>182</v>
      </c>
      <c r="E112" s="227" t="s">
        <v>331</v>
      </c>
      <c r="F112" s="423" t="s">
        <v>400</v>
      </c>
      <c r="G112" s="381" t="s">
        <v>399</v>
      </c>
      <c r="H112" s="395">
        <v>550</v>
      </c>
      <c r="I112" s="395">
        <v>3</v>
      </c>
      <c r="J112" s="396">
        <v>192</v>
      </c>
      <c r="K112" s="264">
        <f t="shared" si="73"/>
        <v>316800</v>
      </c>
      <c r="L112" s="264">
        <f>IF(K112&lt;&gt;"",IF(D112="INTERNO",0,K112*$L$13),"")</f>
        <v>15840</v>
      </c>
      <c r="M112" s="264"/>
      <c r="N112" s="265">
        <f t="shared" si="74"/>
        <v>332640</v>
      </c>
      <c r="O112" s="203" t="s">
        <v>654</v>
      </c>
      <c r="P112" s="369"/>
      <c r="Q112" s="369"/>
      <c r="R112" s="369"/>
      <c r="S112" s="299">
        <f t="shared" si="75"/>
        <v>550</v>
      </c>
      <c r="T112" s="300">
        <f t="shared" si="75"/>
        <v>3</v>
      </c>
      <c r="U112" s="270">
        <v>181</v>
      </c>
      <c r="V112" s="270">
        <v>0</v>
      </c>
      <c r="W112" s="354">
        <f>IF(S112&lt;&gt;"",K112-V112,"")</f>
        <v>316800</v>
      </c>
      <c r="X112" s="303">
        <f t="shared" si="76"/>
        <v>0</v>
      </c>
      <c r="Y112" s="304">
        <f t="shared" si="77"/>
        <v>0</v>
      </c>
      <c r="Z112" s="304">
        <f t="shared" si="78"/>
        <v>0</v>
      </c>
      <c r="AA112" s="274">
        <f>IF(S112&lt;&gt;"",Z112+M112,"")</f>
        <v>0</v>
      </c>
      <c r="AB112" s="275">
        <f>IF(S112&lt;&gt;"", IFERROR(W112/K112, 0), 0)</f>
        <v>1</v>
      </c>
      <c r="AC112" s="276" t="e">
        <f>V112/$V$116</f>
        <v>#DIV/0!</v>
      </c>
      <c r="AM112" s="1703">
        <f t="shared" si="49"/>
        <v>0</v>
      </c>
      <c r="AN112" s="1704"/>
    </row>
    <row r="113" spans="1:41" ht="150" customHeight="1" x14ac:dyDescent="0.7">
      <c r="A113" s="279">
        <v>99</v>
      </c>
      <c r="B113" s="251" t="s">
        <v>603</v>
      </c>
      <c r="C113" s="280" t="s">
        <v>175</v>
      </c>
      <c r="D113" s="227" t="s">
        <v>182</v>
      </c>
      <c r="E113" s="227" t="s">
        <v>331</v>
      </c>
      <c r="F113" s="423" t="s">
        <v>401</v>
      </c>
      <c r="G113" s="381" t="s">
        <v>402</v>
      </c>
      <c r="H113" s="395">
        <v>550</v>
      </c>
      <c r="I113" s="395">
        <v>1</v>
      </c>
      <c r="J113" s="396">
        <v>365</v>
      </c>
      <c r="K113" s="264">
        <f t="shared" si="73"/>
        <v>200750</v>
      </c>
      <c r="L113" s="264">
        <f>IF(K113&lt;&gt;"",IF(D113="INTERNO",0,K113*$L$13),"")</f>
        <v>10037.5</v>
      </c>
      <c r="M113" s="264"/>
      <c r="N113" s="265">
        <f t="shared" si="74"/>
        <v>210787.5</v>
      </c>
      <c r="O113" s="203" t="s">
        <v>654</v>
      </c>
      <c r="P113" s="350"/>
      <c r="Q113" s="350"/>
      <c r="R113" s="350"/>
      <c r="S113" s="424">
        <f t="shared" si="75"/>
        <v>550</v>
      </c>
      <c r="T113" s="425">
        <f t="shared" si="75"/>
        <v>1</v>
      </c>
      <c r="U113" s="270">
        <v>320.89999999999998</v>
      </c>
      <c r="V113" s="270">
        <v>0</v>
      </c>
      <c r="W113" s="426">
        <f>IF(S113&lt;&gt;"",K113-V113,"")</f>
        <v>200750</v>
      </c>
      <c r="X113" s="427">
        <f t="shared" si="76"/>
        <v>0</v>
      </c>
      <c r="Y113" s="428">
        <f t="shared" si="77"/>
        <v>0</v>
      </c>
      <c r="Z113" s="428">
        <f t="shared" si="78"/>
        <v>0</v>
      </c>
      <c r="AA113" s="429">
        <f>IF(S113&lt;&gt;"",Z113+M113,"")</f>
        <v>0</v>
      </c>
      <c r="AB113" s="275">
        <f>IFERROR(IF(S113&lt;&gt;"",W113/K113,""),0)</f>
        <v>1</v>
      </c>
      <c r="AC113" s="276" t="e">
        <f>V113/$V$116</f>
        <v>#DIV/0!</v>
      </c>
      <c r="AM113" s="1703">
        <f t="shared" si="49"/>
        <v>0</v>
      </c>
      <c r="AN113" s="1704"/>
    </row>
    <row r="114" spans="1:41" ht="150" customHeight="1" x14ac:dyDescent="0.7">
      <c r="A114" s="297">
        <v>100</v>
      </c>
      <c r="B114" s="251" t="s">
        <v>604</v>
      </c>
      <c r="C114" s="298" t="s">
        <v>175</v>
      </c>
      <c r="D114" s="227" t="s">
        <v>182</v>
      </c>
      <c r="E114" s="227" t="s">
        <v>331</v>
      </c>
      <c r="F114" s="423" t="s">
        <v>403</v>
      </c>
      <c r="G114" s="381" t="s">
        <v>404</v>
      </c>
      <c r="H114" s="395">
        <v>550</v>
      </c>
      <c r="I114" s="395">
        <v>1</v>
      </c>
      <c r="J114" s="396">
        <v>445</v>
      </c>
      <c r="K114" s="264">
        <f t="shared" si="73"/>
        <v>244750</v>
      </c>
      <c r="L114" s="264">
        <f>IF(K114&lt;&gt;"",IF(D114="INTERNO",0,K114*$L$13),"")</f>
        <v>12237.5</v>
      </c>
      <c r="M114" s="264"/>
      <c r="N114" s="265">
        <f t="shared" si="74"/>
        <v>256987.5</v>
      </c>
      <c r="O114" s="203" t="s">
        <v>654</v>
      </c>
      <c r="P114" s="369"/>
      <c r="Q114" s="369"/>
      <c r="R114" s="369"/>
      <c r="S114" s="299">
        <f t="shared" si="75"/>
        <v>550</v>
      </c>
      <c r="T114" s="300">
        <f t="shared" si="75"/>
        <v>1</v>
      </c>
      <c r="U114" s="270">
        <v>422</v>
      </c>
      <c r="V114" s="270">
        <v>0</v>
      </c>
      <c r="W114" s="354">
        <f>IF(S114&lt;&gt;"",K114-V114,"")</f>
        <v>244750</v>
      </c>
      <c r="X114" s="303">
        <f t="shared" si="76"/>
        <v>0</v>
      </c>
      <c r="Y114" s="304">
        <f t="shared" si="77"/>
        <v>0</v>
      </c>
      <c r="Z114" s="304">
        <f t="shared" si="78"/>
        <v>0</v>
      </c>
      <c r="AA114" s="274">
        <f>IF(S114&lt;&gt;"",Z114+M114,"")</f>
        <v>0</v>
      </c>
      <c r="AB114" s="275">
        <f>IF(S114&lt;&gt;"", IFERROR(W114/K114, 0), 0)</f>
        <v>1</v>
      </c>
      <c r="AC114" s="276" t="e">
        <f>V114/$V$116</f>
        <v>#DIV/0!</v>
      </c>
      <c r="AM114" s="1703">
        <f t="shared" si="49"/>
        <v>0</v>
      </c>
      <c r="AN114" s="1704"/>
    </row>
    <row r="115" spans="1:41" ht="150" customHeight="1" x14ac:dyDescent="0.7">
      <c r="A115" s="279">
        <v>101</v>
      </c>
      <c r="B115" s="251" t="s">
        <v>605</v>
      </c>
      <c r="C115" s="280" t="s">
        <v>175</v>
      </c>
      <c r="D115" s="227" t="s">
        <v>182</v>
      </c>
      <c r="E115" s="227" t="s">
        <v>331</v>
      </c>
      <c r="F115" s="423" t="s">
        <v>405</v>
      </c>
      <c r="G115" s="381" t="s">
        <v>406</v>
      </c>
      <c r="H115" s="395">
        <v>550</v>
      </c>
      <c r="I115" s="395">
        <v>4</v>
      </c>
      <c r="J115" s="396">
        <v>38</v>
      </c>
      <c r="K115" s="264">
        <f t="shared" si="73"/>
        <v>83600</v>
      </c>
      <c r="L115" s="264">
        <f>IF(K115&lt;&gt;"",IF(D115="INTERNO",0,K115*$L$13),"")</f>
        <v>4180</v>
      </c>
      <c r="M115" s="264"/>
      <c r="N115" s="265">
        <f t="shared" si="74"/>
        <v>87780</v>
      </c>
      <c r="O115" s="203" t="s">
        <v>654</v>
      </c>
      <c r="P115" s="350"/>
      <c r="Q115" s="350"/>
      <c r="R115" s="350"/>
      <c r="S115" s="424">
        <f t="shared" si="75"/>
        <v>550</v>
      </c>
      <c r="T115" s="425">
        <f t="shared" si="75"/>
        <v>4</v>
      </c>
      <c r="U115" s="270">
        <v>38</v>
      </c>
      <c r="V115" s="270">
        <v>0</v>
      </c>
      <c r="W115" s="426">
        <f>IF(S115&lt;&gt;"",K115-V115,"")</f>
        <v>83600</v>
      </c>
      <c r="X115" s="427">
        <f t="shared" si="76"/>
        <v>0</v>
      </c>
      <c r="Y115" s="428">
        <f t="shared" si="77"/>
        <v>0</v>
      </c>
      <c r="Z115" s="428">
        <f t="shared" si="78"/>
        <v>0</v>
      </c>
      <c r="AA115" s="429">
        <f>IF(S115&lt;&gt;"",Z115+M115,"")</f>
        <v>0</v>
      </c>
      <c r="AB115" s="275">
        <f>IFERROR(IF(S115&lt;&gt;"",W115/K115,""),0)</f>
        <v>1</v>
      </c>
      <c r="AC115" s="276" t="e">
        <f>V115/$V$116</f>
        <v>#DIV/0!</v>
      </c>
      <c r="AM115" s="1703">
        <f t="shared" si="49"/>
        <v>0</v>
      </c>
      <c r="AN115" s="1704"/>
    </row>
    <row r="116" spans="1:41" ht="60" customHeight="1" thickBot="1" x14ac:dyDescent="0.75">
      <c r="A116" s="227">
        <v>102</v>
      </c>
      <c r="B116" s="251"/>
      <c r="C116" s="252" t="s">
        <v>184</v>
      </c>
      <c r="D116" s="227"/>
      <c r="E116" s="227"/>
      <c r="F116" s="1486" t="s">
        <v>407</v>
      </c>
      <c r="G116" s="1487"/>
      <c r="H116" s="1487"/>
      <c r="I116" s="1487"/>
      <c r="J116" s="1487"/>
      <c r="K116" s="387">
        <f>SUM(K111:K115)</f>
        <v>1268300</v>
      </c>
      <c r="L116" s="387">
        <f>SUM(L111:L115)</f>
        <v>63415</v>
      </c>
      <c r="M116" s="387">
        <f>SUM(M111:M115)</f>
        <v>0</v>
      </c>
      <c r="N116" s="387">
        <f>SUM(N111:N115)</f>
        <v>1331715</v>
      </c>
      <c r="O116" s="388"/>
      <c r="P116" s="388"/>
      <c r="Q116" s="388"/>
      <c r="R116" s="388"/>
      <c r="S116" s="1495">
        <f>SUM(S111:S115)</f>
        <v>2750</v>
      </c>
      <c r="T116" s="1487"/>
      <c r="U116" s="1487"/>
      <c r="V116" s="387">
        <f>SUM(V111:V115)</f>
        <v>0</v>
      </c>
      <c r="W116" s="389">
        <f>SUM(W111:W115)</f>
        <v>1268300</v>
      </c>
      <c r="X116" s="390">
        <f>SUM(X111:X115)</f>
        <v>0</v>
      </c>
      <c r="Y116" s="391"/>
      <c r="Z116" s="392">
        <f>SUM(Z111:Z115)</f>
        <v>0</v>
      </c>
      <c r="AA116" s="393">
        <f>SUM(AA111:AA115)</f>
        <v>0</v>
      </c>
      <c r="AM116" s="1703">
        <f t="shared" si="49"/>
        <v>0</v>
      </c>
      <c r="AN116" s="1704"/>
    </row>
    <row r="117" spans="1:41" ht="60" customHeight="1" thickBot="1" x14ac:dyDescent="0.75">
      <c r="A117" s="227">
        <v>103</v>
      </c>
      <c r="B117" s="251">
        <v>5</v>
      </c>
      <c r="C117" s="252" t="s">
        <v>167</v>
      </c>
      <c r="D117" s="227"/>
      <c r="E117" s="227"/>
      <c r="F117" s="1463" t="s">
        <v>188</v>
      </c>
      <c r="G117" s="1464"/>
      <c r="H117" s="1464"/>
      <c r="I117" s="1464"/>
      <c r="J117" s="1464"/>
      <c r="K117" s="1464"/>
      <c r="L117" s="1464"/>
      <c r="M117" s="1464"/>
      <c r="N117" s="1505"/>
      <c r="O117" s="253"/>
      <c r="P117" s="253"/>
      <c r="Q117" s="253"/>
      <c r="R117" s="253"/>
      <c r="S117" s="1476" t="str">
        <f>IF(F117&lt;&gt;"",F117,"")</f>
        <v>ARTÍSTICO</v>
      </c>
      <c r="T117" s="1477"/>
      <c r="U117" s="1477"/>
      <c r="V117" s="1477"/>
      <c r="W117" s="1477"/>
      <c r="X117" s="1477"/>
      <c r="Y117" s="1477"/>
      <c r="Z117" s="1477"/>
      <c r="AA117" s="1478"/>
      <c r="AM117" s="1703">
        <f t="shared" si="49"/>
        <v>0</v>
      </c>
      <c r="AN117" s="1704"/>
    </row>
    <row r="118" spans="1:41" ht="60" customHeight="1" x14ac:dyDescent="0.7">
      <c r="A118" s="227">
        <v>104</v>
      </c>
      <c r="B118" s="251" t="s">
        <v>217</v>
      </c>
      <c r="C118" s="252" t="s">
        <v>169</v>
      </c>
      <c r="D118" s="227"/>
      <c r="E118" s="227"/>
      <c r="F118" s="1472" t="s">
        <v>418</v>
      </c>
      <c r="G118" s="1473"/>
      <c r="H118" s="1473"/>
      <c r="I118" s="1473"/>
      <c r="J118" s="1473"/>
      <c r="K118" s="1473"/>
      <c r="L118" s="378" t="s">
        <v>171</v>
      </c>
      <c r="M118" s="378" t="s">
        <v>172</v>
      </c>
      <c r="N118" s="379" t="s">
        <v>129</v>
      </c>
      <c r="O118" s="430"/>
      <c r="P118" s="430"/>
      <c r="Q118" s="430"/>
      <c r="R118" s="430"/>
      <c r="S118" s="1479" t="str">
        <f>IF(F118&lt;&gt;"",F118,"")</f>
        <v>MESTRE DE CERIMÔNIA</v>
      </c>
      <c r="T118" s="1480"/>
      <c r="U118" s="1480"/>
      <c r="V118" s="1480"/>
      <c r="W118" s="1480"/>
      <c r="X118" s="1480"/>
      <c r="Y118" s="1480"/>
      <c r="Z118" s="1480"/>
      <c r="AA118" s="1481"/>
      <c r="AB118" s="258" t="s">
        <v>173</v>
      </c>
      <c r="AC118" s="259" t="s">
        <v>130</v>
      </c>
      <c r="AM118" s="1703">
        <f t="shared" si="49"/>
        <v>0</v>
      </c>
      <c r="AN118" s="1704"/>
    </row>
    <row r="119" spans="1:41" ht="150" customHeight="1" x14ac:dyDescent="0.7">
      <c r="A119" s="227">
        <v>105</v>
      </c>
      <c r="B119" s="251" t="s">
        <v>218</v>
      </c>
      <c r="C119" s="252" t="s">
        <v>175</v>
      </c>
      <c r="D119" s="227" t="s">
        <v>182</v>
      </c>
      <c r="E119" s="227" t="s">
        <v>179</v>
      </c>
      <c r="F119" s="351" t="s">
        <v>607</v>
      </c>
      <c r="G119" s="349" t="s">
        <v>1261</v>
      </c>
      <c r="H119" s="330">
        <v>1</v>
      </c>
      <c r="I119" s="330">
        <v>1</v>
      </c>
      <c r="J119" s="367">
        <v>41000</v>
      </c>
      <c r="K119" s="264">
        <f t="shared" ref="K119" si="79">IF(F119&lt;&gt;"",H119*I119*J119,"")</f>
        <v>41000</v>
      </c>
      <c r="L119" s="264">
        <f>IF(K119&lt;&gt;"",IF(D119="INTERNO",0,K119*$L$14),"")</f>
        <v>3280</v>
      </c>
      <c r="M119" s="264">
        <f>IF(K119&lt;&gt;"",IF(E119="FAT.OGGI",SUM(K119:L119)*(1/(1-$M$14)-1),L119*(1/(1-$M$14)-1)),0)</f>
        <v>9282.3563565985205</v>
      </c>
      <c r="N119" s="265">
        <f t="shared" ref="N119" si="80">SUM(K119:M119)</f>
        <v>53562.356356598524</v>
      </c>
      <c r="O119" s="203" t="s">
        <v>654</v>
      </c>
      <c r="P119" s="431" t="s">
        <v>623</v>
      </c>
      <c r="Q119" s="431" t="s">
        <v>957</v>
      </c>
      <c r="R119" s="277" t="s">
        <v>964</v>
      </c>
      <c r="S119" s="284">
        <f>IF(H119&lt;&gt;"",H119,"")</f>
        <v>1</v>
      </c>
      <c r="T119" s="285">
        <f>IF(I119&lt;&gt;"",I119,"")</f>
        <v>1</v>
      </c>
      <c r="U119" s="286">
        <v>39000</v>
      </c>
      <c r="V119" s="286">
        <v>90000</v>
      </c>
      <c r="W119" s="287">
        <f>IF(S119&lt;&gt;"",K119-V119,"")</f>
        <v>-49000</v>
      </c>
      <c r="X119" s="288">
        <f t="shared" ref="X119" si="81">IF(S119&lt;&gt;"",0%,"")</f>
        <v>0</v>
      </c>
      <c r="Y119" s="289">
        <f t="shared" ref="Y119" si="82">IF(S119&lt;&gt;"",X119*W119,"")</f>
        <v>0</v>
      </c>
      <c r="Z119" s="289">
        <f t="shared" ref="Z119" si="83">IF(S119&lt;&gt;"",Y119+V119,"")</f>
        <v>90000</v>
      </c>
      <c r="AA119" s="290">
        <f>IF(S119&lt;&gt;"",Z119+M119,"")</f>
        <v>99282.356356598524</v>
      </c>
      <c r="AB119" s="275">
        <f>IFERROR(IF(S119&lt;&gt;"",W119/K119,""),0)</f>
        <v>-1.1951219512195121</v>
      </c>
      <c r="AC119" s="276">
        <f>V119/$V$121</f>
        <v>1</v>
      </c>
      <c r="AM119" s="1703">
        <f t="shared" si="49"/>
        <v>0</v>
      </c>
      <c r="AN119" s="1704">
        <v>90000</v>
      </c>
      <c r="AO119" s="1695" t="s">
        <v>1649</v>
      </c>
    </row>
    <row r="120" spans="1:41" ht="150" customHeight="1" x14ac:dyDescent="0.7">
      <c r="A120" s="297">
        <v>106</v>
      </c>
      <c r="B120" s="251" t="s">
        <v>219</v>
      </c>
      <c r="C120" s="298" t="s">
        <v>175</v>
      </c>
      <c r="D120" s="227" t="s">
        <v>182</v>
      </c>
      <c r="E120" s="227" t="s">
        <v>179</v>
      </c>
      <c r="F120" s="351" t="s">
        <v>413</v>
      </c>
      <c r="G120" s="349" t="s">
        <v>1262</v>
      </c>
      <c r="H120" s="330">
        <v>1</v>
      </c>
      <c r="I120" s="330">
        <v>1</v>
      </c>
      <c r="J120" s="396">
        <v>2250</v>
      </c>
      <c r="K120" s="264">
        <f>IF(F120&lt;&gt;"",H120*I120*J120,"")</f>
        <v>2250</v>
      </c>
      <c r="L120" s="264">
        <f>IF(K120&lt;&gt;"",IF(D120="INTERNO",0,K120*$L$14),"")</f>
        <v>180</v>
      </c>
      <c r="M120" s="264">
        <f>IF(K120&lt;&gt;"",IF(E120="FAT.OGGI",SUM(K120:L120)*(1/(1-$M$14)-1),L120*(1/(1-$M$14)-1)),0)</f>
        <v>509.39760493528468</v>
      </c>
      <c r="N120" s="265">
        <f>SUM(K120:M120)</f>
        <v>2939.3976049352846</v>
      </c>
      <c r="O120" s="203" t="s">
        <v>654</v>
      </c>
      <c r="P120" s="431" t="s">
        <v>623</v>
      </c>
      <c r="Q120" s="431" t="s">
        <v>668</v>
      </c>
      <c r="R120" s="277" t="s">
        <v>964</v>
      </c>
      <c r="S120" s="284">
        <f>IF(H120&lt;&gt;"",H120,"")</f>
        <v>1</v>
      </c>
      <c r="T120" s="285">
        <f>IF(I120&lt;&gt;"",I120,"")</f>
        <v>1</v>
      </c>
      <c r="U120" s="301">
        <v>2250</v>
      </c>
      <c r="V120" s="270">
        <v>0</v>
      </c>
      <c r="W120" s="354">
        <f>IF(S120&lt;&gt;"",K120-V120,"")</f>
        <v>2250</v>
      </c>
      <c r="X120" s="303">
        <f>IF(S120&lt;&gt;"",0%,"")</f>
        <v>0</v>
      </c>
      <c r="Y120" s="304">
        <f>IF(S120&lt;&gt;"",X120*W120,"")</f>
        <v>0</v>
      </c>
      <c r="Z120" s="304">
        <f>IF(S120&lt;&gt;"",Y120+V120,"")</f>
        <v>0</v>
      </c>
      <c r="AA120" s="273">
        <f>IF(S120&lt;&gt;"",Z120+M120,"")</f>
        <v>509.39760493528468</v>
      </c>
      <c r="AB120" s="276">
        <f>IF(S120&lt;&gt;"", IFERROR(W120/K120, 0), 0)</f>
        <v>1</v>
      </c>
      <c r="AC120" s="276">
        <f>V120/$V$121</f>
        <v>0</v>
      </c>
      <c r="AM120" s="1703">
        <f t="shared" si="49"/>
        <v>0</v>
      </c>
      <c r="AN120" s="1704"/>
    </row>
    <row r="121" spans="1:41" ht="60" customHeight="1" thickBot="1" x14ac:dyDescent="0.75">
      <c r="A121" s="279">
        <v>107</v>
      </c>
      <c r="B121" s="251"/>
      <c r="C121" s="280" t="s">
        <v>184</v>
      </c>
      <c r="D121" s="279"/>
      <c r="E121" s="279"/>
      <c r="F121" s="1486" t="s">
        <v>419</v>
      </c>
      <c r="G121" s="1487"/>
      <c r="H121" s="1487"/>
      <c r="I121" s="1487"/>
      <c r="J121" s="1487"/>
      <c r="K121" s="387">
        <f>SUM(K119:K120)</f>
        <v>43250</v>
      </c>
      <c r="L121" s="387">
        <f>SUM(L119:L120)</f>
        <v>3460</v>
      </c>
      <c r="M121" s="387">
        <f>SUM(M119:M120)</f>
        <v>9791.7539615338046</v>
      </c>
      <c r="N121" s="387">
        <f>SUM(N119:N120)</f>
        <v>56501.75396153381</v>
      </c>
      <c r="O121" s="432"/>
      <c r="P121" s="432"/>
      <c r="Q121" s="432"/>
      <c r="R121" s="432"/>
      <c r="S121" s="1496">
        <f>SUM(S119:S120)</f>
        <v>2</v>
      </c>
      <c r="T121" s="1497"/>
      <c r="U121" s="1497"/>
      <c r="V121" s="387">
        <f>SUM(V119:V120)</f>
        <v>90000</v>
      </c>
      <c r="W121" s="433">
        <f>SUM(W119:W120)</f>
        <v>-46750</v>
      </c>
      <c r="X121" s="434">
        <f>SUM(X119:X120)</f>
        <v>0</v>
      </c>
      <c r="Y121" s="435"/>
      <c r="Z121" s="436">
        <f>SUM(Z119:Z120)</f>
        <v>90000</v>
      </c>
      <c r="AA121" s="437">
        <f>SUM(AA119:AA120)</f>
        <v>99791.753961533803</v>
      </c>
      <c r="AM121" s="1703"/>
      <c r="AN121" s="1704"/>
    </row>
    <row r="122" spans="1:41" ht="60" customHeight="1" x14ac:dyDescent="0.7">
      <c r="A122" s="227">
        <v>108</v>
      </c>
      <c r="B122" s="251" t="s">
        <v>220</v>
      </c>
      <c r="C122" s="252" t="s">
        <v>169</v>
      </c>
      <c r="D122" s="227"/>
      <c r="E122" s="227"/>
      <c r="F122" s="1498" t="s">
        <v>414</v>
      </c>
      <c r="G122" s="1489"/>
      <c r="H122" s="1489"/>
      <c r="I122" s="1489"/>
      <c r="J122" s="1489"/>
      <c r="K122" s="1489"/>
      <c r="L122" s="438" t="s">
        <v>171</v>
      </c>
      <c r="M122" s="438" t="s">
        <v>172</v>
      </c>
      <c r="N122" s="439" t="s">
        <v>129</v>
      </c>
      <c r="O122" s="430"/>
      <c r="P122" s="430"/>
      <c r="Q122" s="430"/>
      <c r="R122" s="430"/>
      <c r="S122" s="1472" t="str">
        <f>IF(F122&lt;&gt;"",F122,"")</f>
        <v>PALESTRANTE</v>
      </c>
      <c r="T122" s="1473"/>
      <c r="U122" s="1473"/>
      <c r="V122" s="1473"/>
      <c r="W122" s="1473"/>
      <c r="X122" s="1473"/>
      <c r="Y122" s="1473"/>
      <c r="Z122" s="1473"/>
      <c r="AA122" s="1474"/>
      <c r="AB122" s="258" t="s">
        <v>173</v>
      </c>
      <c r="AC122" s="259" t="s">
        <v>130</v>
      </c>
      <c r="AM122" s="1703">
        <f t="shared" si="49"/>
        <v>0</v>
      </c>
      <c r="AN122" s="1704"/>
    </row>
    <row r="123" spans="1:41" ht="150" customHeight="1" x14ac:dyDescent="0.7">
      <c r="A123" s="227">
        <v>109</v>
      </c>
      <c r="B123" s="251" t="s">
        <v>221</v>
      </c>
      <c r="C123" s="252" t="s">
        <v>175</v>
      </c>
      <c r="D123" s="227" t="s">
        <v>182</v>
      </c>
      <c r="E123" s="227" t="s">
        <v>179</v>
      </c>
      <c r="F123" s="423" t="s">
        <v>414</v>
      </c>
      <c r="G123" s="440" t="s">
        <v>1263</v>
      </c>
      <c r="H123" s="441">
        <v>1</v>
      </c>
      <c r="I123" s="441">
        <v>1</v>
      </c>
      <c r="J123" s="442">
        <v>75000</v>
      </c>
      <c r="K123" s="264">
        <f t="shared" ref="K123" si="84">IF(F123&lt;&gt;"",H123*I123*J123,"")</f>
        <v>75000</v>
      </c>
      <c r="L123" s="264">
        <f>IF(K123&lt;&gt;"",IF(D123="INTERNO",0,K123*$L$14),"")</f>
        <v>6000</v>
      </c>
      <c r="M123" s="264">
        <f>IF(K123&lt;&gt;"",IF(E123="FAT.OGGI",SUM(K123:L123)*(1/(1-$M$14)-1),L123*(1/(1-$M$14)-1)),0)</f>
        <v>16979.920164509491</v>
      </c>
      <c r="N123" s="265">
        <f t="shared" ref="N123" si="85">SUM(K123:M123)</f>
        <v>97979.920164509487</v>
      </c>
      <c r="O123" s="203" t="s">
        <v>654</v>
      </c>
      <c r="P123" s="431" t="s">
        <v>623</v>
      </c>
      <c r="Q123" s="443" t="s">
        <v>810</v>
      </c>
      <c r="R123" s="277" t="s">
        <v>964</v>
      </c>
      <c r="S123" s="268">
        <f>IF(H123&lt;&gt;"",H123,"")</f>
        <v>1</v>
      </c>
      <c r="T123" s="269">
        <f>IF(I123&lt;&gt;"",I123,"")</f>
        <v>1</v>
      </c>
      <c r="U123" s="293">
        <v>60000</v>
      </c>
      <c r="V123" s="270">
        <v>56310</v>
      </c>
      <c r="W123" s="271">
        <f>IF(S123&lt;&gt;"",K123-V123,"")</f>
        <v>18690</v>
      </c>
      <c r="X123" s="272">
        <f t="shared" ref="X123" si="86">IF(S123&lt;&gt;"",0%,"")</f>
        <v>0</v>
      </c>
      <c r="Y123" s="273">
        <f t="shared" ref="Y123" si="87">IF(S123&lt;&gt;"",X123*W123,"")</f>
        <v>0</v>
      </c>
      <c r="Z123" s="273">
        <f t="shared" ref="Z123" si="88">IF(S123&lt;&gt;"",Y123+V123,"")</f>
        <v>56310</v>
      </c>
      <c r="AA123" s="274">
        <f>IF(S123&lt;&gt;"",Z123+M123,"")</f>
        <v>73289.920164509487</v>
      </c>
      <c r="AB123" s="275">
        <f>IFERROR(IF(S123&lt;&gt;"",W123/K123,""),0)</f>
        <v>0.2492</v>
      </c>
      <c r="AC123" s="276">
        <f>V123/$V$124</f>
        <v>1</v>
      </c>
      <c r="AM123" s="1703">
        <f t="shared" si="49"/>
        <v>0</v>
      </c>
      <c r="AN123" s="1704">
        <v>56310</v>
      </c>
      <c r="AO123" s="1695" t="s">
        <v>1576</v>
      </c>
    </row>
    <row r="124" spans="1:41" ht="60" customHeight="1" thickBot="1" x14ac:dyDescent="0.75">
      <c r="A124" s="227">
        <v>110</v>
      </c>
      <c r="B124" s="251"/>
      <c r="C124" s="252" t="s">
        <v>184</v>
      </c>
      <c r="D124" s="227"/>
      <c r="E124" s="227"/>
      <c r="F124" s="1486" t="s">
        <v>420</v>
      </c>
      <c r="G124" s="1487"/>
      <c r="H124" s="1487"/>
      <c r="I124" s="1487"/>
      <c r="J124" s="1487"/>
      <c r="K124" s="387">
        <f>SUM(K123:K123)</f>
        <v>75000</v>
      </c>
      <c r="L124" s="387">
        <f>SUM(L123:L123)</f>
        <v>6000</v>
      </c>
      <c r="M124" s="387">
        <f>SUM(M123:M123)</f>
        <v>16979.920164509491</v>
      </c>
      <c r="N124" s="387">
        <f>SUM(N123:N123)</f>
        <v>97979.920164509487</v>
      </c>
      <c r="O124" s="444"/>
      <c r="P124" s="444"/>
      <c r="Q124" s="444"/>
      <c r="R124" s="444"/>
      <c r="S124" s="1482">
        <f>SUM(S123:S123)</f>
        <v>1</v>
      </c>
      <c r="T124" s="1483"/>
      <c r="U124" s="1483"/>
      <c r="V124" s="387">
        <f>SUM(V123:V123)</f>
        <v>56310</v>
      </c>
      <c r="W124" s="373">
        <f>SUM(W123:W123)</f>
        <v>18690</v>
      </c>
      <c r="X124" s="374">
        <f>SUM(X123:X123)</f>
        <v>0</v>
      </c>
      <c r="Y124" s="375"/>
      <c r="Z124" s="376">
        <f>SUM(Z123:Z123)</f>
        <v>56310</v>
      </c>
      <c r="AA124" s="377">
        <f>SUM(AA123:AA123)</f>
        <v>73289.920164509487</v>
      </c>
      <c r="AM124" s="1703"/>
      <c r="AN124" s="1704"/>
    </row>
    <row r="125" spans="1:41" ht="60" customHeight="1" x14ac:dyDescent="0.7">
      <c r="A125" s="227">
        <v>111</v>
      </c>
      <c r="B125" s="251" t="s">
        <v>222</v>
      </c>
      <c r="C125" s="252" t="s">
        <v>169</v>
      </c>
      <c r="D125" s="227"/>
      <c r="E125" s="227"/>
      <c r="F125" s="1472" t="s">
        <v>421</v>
      </c>
      <c r="G125" s="1473"/>
      <c r="H125" s="1473"/>
      <c r="I125" s="1473"/>
      <c r="J125" s="1473"/>
      <c r="K125" s="1473"/>
      <c r="L125" s="378" t="s">
        <v>171</v>
      </c>
      <c r="M125" s="378" t="s">
        <v>172</v>
      </c>
      <c r="N125" s="379" t="s">
        <v>129</v>
      </c>
      <c r="O125" s="380"/>
      <c r="P125" s="380"/>
      <c r="Q125" s="380"/>
      <c r="R125" s="380"/>
      <c r="S125" s="1472" t="str">
        <f>IF(F125&lt;&gt;"",F125,"")</f>
        <v xml:space="preserve">BANDA E DJ </v>
      </c>
      <c r="T125" s="1473"/>
      <c r="U125" s="1473"/>
      <c r="V125" s="1473"/>
      <c r="W125" s="1473"/>
      <c r="X125" s="1473"/>
      <c r="Y125" s="1473"/>
      <c r="Z125" s="1473"/>
      <c r="AA125" s="1474"/>
      <c r="AB125" s="258" t="s">
        <v>173</v>
      </c>
      <c r="AC125" s="259" t="s">
        <v>130</v>
      </c>
      <c r="AM125" s="1703">
        <f t="shared" si="49"/>
        <v>0</v>
      </c>
      <c r="AN125" s="1704"/>
    </row>
    <row r="126" spans="1:41" ht="150" customHeight="1" x14ac:dyDescent="0.7">
      <c r="A126" s="227">
        <v>112</v>
      </c>
      <c r="B126" s="251" t="s">
        <v>223</v>
      </c>
      <c r="C126" s="252" t="s">
        <v>175</v>
      </c>
      <c r="D126" s="227" t="s">
        <v>182</v>
      </c>
      <c r="E126" s="227" t="s">
        <v>179</v>
      </c>
      <c r="F126" s="445" t="s">
        <v>417</v>
      </c>
      <c r="G126" s="446" t="s">
        <v>1264</v>
      </c>
      <c r="H126" s="447">
        <v>1</v>
      </c>
      <c r="I126" s="447">
        <v>1</v>
      </c>
      <c r="J126" s="448">
        <v>5300</v>
      </c>
      <c r="K126" s="263">
        <f t="shared" ref="K126:K128" si="89">IF(F126&lt;&gt;"",H126*I126*J126,"")</f>
        <v>5300</v>
      </c>
      <c r="L126" s="263">
        <f t="shared" ref="L126:L128" si="90">IF(K126&lt;&gt;"",IF(D126="INTERNO",0,K126*$L$14),"")</f>
        <v>424</v>
      </c>
      <c r="M126" s="263">
        <f>IF(K126&lt;&gt;"",IF(E126="FAT.OGGI",SUM(K126:L126)*(1/(1-$M$14)-1),L126*(1/(1-$M$14)-1)),"")</f>
        <v>1199.914358292004</v>
      </c>
      <c r="N126" s="281">
        <f t="shared" ref="N126:N128" si="91">SUM(K126:M126)</f>
        <v>6923.9143582920042</v>
      </c>
      <c r="O126" s="203" t="s">
        <v>654</v>
      </c>
      <c r="P126" s="338" t="s">
        <v>811</v>
      </c>
      <c r="Q126" s="338" t="s">
        <v>632</v>
      </c>
      <c r="S126" s="284">
        <f t="shared" ref="S126:T128" si="92">IF(H126&lt;&gt;"",H126,"")</f>
        <v>1</v>
      </c>
      <c r="T126" s="285">
        <f t="shared" si="92"/>
        <v>1</v>
      </c>
      <c r="U126" s="270">
        <v>4800</v>
      </c>
      <c r="V126" s="286">
        <f t="shared" ref="V126:V128" si="93">IF(S126&lt;&gt;"",S126*T126*U126,"")</f>
        <v>4800</v>
      </c>
      <c r="W126" s="287">
        <f>IF(S126&lt;&gt;"",K126-V126,"")</f>
        <v>500</v>
      </c>
      <c r="X126" s="288">
        <f t="shared" ref="X126:X128" si="94">IF(S126&lt;&gt;"",0%,"")</f>
        <v>0</v>
      </c>
      <c r="Y126" s="289">
        <f t="shared" ref="Y126:Y128" si="95">IF(S126&lt;&gt;"",X126*W126,"")</f>
        <v>0</v>
      </c>
      <c r="Z126" s="289">
        <f t="shared" ref="Z126:Z128" si="96">IF(S126&lt;&gt;"",Y126+V126,"")</f>
        <v>4800</v>
      </c>
      <c r="AA126" s="290">
        <f>IF(S126&lt;&gt;"",Z126+M126,"")</f>
        <v>5999.9143582920042</v>
      </c>
      <c r="AB126" s="275">
        <f>IFERROR(IF(S126&lt;&gt;"",W126/K126,""),0)</f>
        <v>9.4339622641509441E-2</v>
      </c>
      <c r="AC126" s="276">
        <f>V126/$V$129</f>
        <v>0.36090225563909772</v>
      </c>
      <c r="AM126" s="1703">
        <f t="shared" si="49"/>
        <v>0</v>
      </c>
      <c r="AN126" s="1704">
        <v>4800</v>
      </c>
      <c r="AO126" s="1695" t="s">
        <v>1577</v>
      </c>
    </row>
    <row r="127" spans="1:41" ht="150" customHeight="1" x14ac:dyDescent="0.7">
      <c r="A127" s="227">
        <v>113</v>
      </c>
      <c r="B127" s="251" t="s">
        <v>970</v>
      </c>
      <c r="C127" s="252" t="s">
        <v>175</v>
      </c>
      <c r="D127" s="227" t="s">
        <v>182</v>
      </c>
      <c r="E127" s="227" t="s">
        <v>179</v>
      </c>
      <c r="F127" s="351" t="s">
        <v>415</v>
      </c>
      <c r="G127" s="349" t="s">
        <v>1265</v>
      </c>
      <c r="H127" s="330">
        <v>1</v>
      </c>
      <c r="I127" s="330">
        <v>1</v>
      </c>
      <c r="J127" s="367">
        <v>4200</v>
      </c>
      <c r="K127" s="264">
        <f t="shared" si="89"/>
        <v>4200</v>
      </c>
      <c r="L127" s="264">
        <f t="shared" si="90"/>
        <v>336</v>
      </c>
      <c r="M127" s="264">
        <f t="shared" ref="M127:M128" si="97">IF(K127&lt;&gt;"",IF(E127="FAT.OGGI",SUM(K127:L127)*(1/(1-$M$14)-1),L127*(1/(1-$M$14)-1)),0)</f>
        <v>950.87552921253143</v>
      </c>
      <c r="N127" s="265">
        <f t="shared" si="91"/>
        <v>5486.8755292125315</v>
      </c>
      <c r="O127" s="203" t="s">
        <v>654</v>
      </c>
      <c r="P127" s="431" t="s">
        <v>623</v>
      </c>
      <c r="Q127" s="283" t="s">
        <v>949</v>
      </c>
      <c r="S127" s="268">
        <f t="shared" si="92"/>
        <v>1</v>
      </c>
      <c r="T127" s="269">
        <f t="shared" si="92"/>
        <v>1</v>
      </c>
      <c r="U127" s="270">
        <v>4200</v>
      </c>
      <c r="V127" s="270">
        <v>5000</v>
      </c>
      <c r="W127" s="271">
        <f>IF(S127&lt;&gt;"",K127-V127,"")</f>
        <v>-800</v>
      </c>
      <c r="X127" s="272">
        <f t="shared" si="94"/>
        <v>0</v>
      </c>
      <c r="Y127" s="273">
        <f t="shared" si="95"/>
        <v>0</v>
      </c>
      <c r="Z127" s="273">
        <f t="shared" si="96"/>
        <v>5000</v>
      </c>
      <c r="AA127" s="274">
        <f>IF(S127&lt;&gt;"",Z127+M127,"")</f>
        <v>5950.8755292125315</v>
      </c>
      <c r="AB127" s="275">
        <f>IF(S127&lt;&gt;"", IFERROR(W127/K127, 0), 0)</f>
        <v>-0.19047619047619047</v>
      </c>
      <c r="AC127" s="276">
        <f>V127/$V$129</f>
        <v>0.37593984962406013</v>
      </c>
      <c r="AM127" s="1703">
        <f t="shared" si="49"/>
        <v>0</v>
      </c>
      <c r="AN127" s="1704">
        <v>5000</v>
      </c>
      <c r="AO127" s="1695" t="s">
        <v>1641</v>
      </c>
    </row>
    <row r="128" spans="1:41" ht="150" customHeight="1" x14ac:dyDescent="0.7">
      <c r="A128" s="227">
        <v>114</v>
      </c>
      <c r="B128" s="251" t="s">
        <v>971</v>
      </c>
      <c r="C128" s="252" t="s">
        <v>175</v>
      </c>
      <c r="D128" s="227" t="s">
        <v>182</v>
      </c>
      <c r="E128" s="227" t="s">
        <v>179</v>
      </c>
      <c r="F128" s="351" t="s">
        <v>416</v>
      </c>
      <c r="G128" s="349" t="s">
        <v>1266</v>
      </c>
      <c r="H128" s="330">
        <v>1</v>
      </c>
      <c r="I128" s="330">
        <v>1</v>
      </c>
      <c r="J128" s="367">
        <v>5800</v>
      </c>
      <c r="K128" s="264">
        <f t="shared" si="89"/>
        <v>5800</v>
      </c>
      <c r="L128" s="264">
        <f t="shared" si="90"/>
        <v>464</v>
      </c>
      <c r="M128" s="264">
        <f t="shared" si="97"/>
        <v>1313.1138260554005</v>
      </c>
      <c r="N128" s="265">
        <f t="shared" si="91"/>
        <v>7577.1138260554008</v>
      </c>
      <c r="O128" s="203" t="s">
        <v>654</v>
      </c>
      <c r="P128" s="431" t="s">
        <v>623</v>
      </c>
      <c r="Q128" s="282" t="s">
        <v>952</v>
      </c>
      <c r="R128" s="277" t="s">
        <v>964</v>
      </c>
      <c r="S128" s="268">
        <f t="shared" si="92"/>
        <v>1</v>
      </c>
      <c r="T128" s="269">
        <f t="shared" si="92"/>
        <v>1</v>
      </c>
      <c r="U128" s="270">
        <v>3500</v>
      </c>
      <c r="V128" s="270">
        <f t="shared" si="93"/>
        <v>3500</v>
      </c>
      <c r="W128" s="271">
        <f>IF(S128&lt;&gt;"",K128-V128,"")</f>
        <v>2300</v>
      </c>
      <c r="X128" s="272">
        <f t="shared" si="94"/>
        <v>0</v>
      </c>
      <c r="Y128" s="273">
        <f t="shared" si="95"/>
        <v>0</v>
      </c>
      <c r="Z128" s="273">
        <f t="shared" si="96"/>
        <v>3500</v>
      </c>
      <c r="AA128" s="274">
        <f>IF(S128&lt;&gt;"",Z128+M128,"")</f>
        <v>4813.1138260554008</v>
      </c>
      <c r="AB128" s="275">
        <f>IF(S128&lt;&gt;"", IFERROR(W128/K128, 0), 0)</f>
        <v>0.39655172413793105</v>
      </c>
      <c r="AC128" s="276">
        <f>V128/$V$129</f>
        <v>0.26315789473684209</v>
      </c>
      <c r="AM128" s="1703">
        <f t="shared" si="49"/>
        <v>0</v>
      </c>
      <c r="AN128" s="1704">
        <v>3500</v>
      </c>
      <c r="AO128" s="1695" t="s">
        <v>1573</v>
      </c>
    </row>
    <row r="129" spans="1:41" ht="60" customHeight="1" thickBot="1" x14ac:dyDescent="0.75">
      <c r="A129" s="227">
        <v>115</v>
      </c>
      <c r="B129" s="251"/>
      <c r="C129" s="252" t="s">
        <v>184</v>
      </c>
      <c r="D129" s="227"/>
      <c r="E129" s="227"/>
      <c r="F129" s="1486" t="s">
        <v>202</v>
      </c>
      <c r="G129" s="1487"/>
      <c r="H129" s="1487"/>
      <c r="I129" s="1487"/>
      <c r="J129" s="1487"/>
      <c r="K129" s="387">
        <f>SUM(K126:K128)</f>
        <v>15300</v>
      </c>
      <c r="L129" s="387">
        <f>SUM(L126:L128)</f>
        <v>1224</v>
      </c>
      <c r="M129" s="387">
        <f>SUM(M126:M128)</f>
        <v>3463.9037135599356</v>
      </c>
      <c r="N129" s="387">
        <f>SUM(N126:N128)</f>
        <v>19987.903713559936</v>
      </c>
      <c r="O129" s="388"/>
      <c r="P129" s="388"/>
      <c r="Q129" s="388"/>
      <c r="R129" s="388"/>
      <c r="S129" s="1495"/>
      <c r="T129" s="1487"/>
      <c r="U129" s="1487"/>
      <c r="V129" s="387">
        <f>SUM(V126:V128)</f>
        <v>13300</v>
      </c>
      <c r="W129" s="389">
        <f>SUM(W126:W128)</f>
        <v>2000</v>
      </c>
      <c r="X129" s="390">
        <f>SUM(X126:X128)</f>
        <v>0</v>
      </c>
      <c r="Y129" s="391"/>
      <c r="Z129" s="392">
        <f>SUM(Z126:Z128)</f>
        <v>13300</v>
      </c>
      <c r="AA129" s="393">
        <f>SUM(AA126:AA128)</f>
        <v>16763.903713559936</v>
      </c>
      <c r="AM129" s="1703"/>
      <c r="AN129" s="1704"/>
    </row>
    <row r="130" spans="1:41" ht="60" customHeight="1" thickBot="1" x14ac:dyDescent="0.75">
      <c r="A130" s="227">
        <v>116</v>
      </c>
      <c r="B130" s="251">
        <v>6</v>
      </c>
      <c r="C130" s="252" t="s">
        <v>167</v>
      </c>
      <c r="D130" s="227"/>
      <c r="E130" s="227"/>
      <c r="F130" s="1463" t="s">
        <v>422</v>
      </c>
      <c r="G130" s="1464"/>
      <c r="H130" s="1464"/>
      <c r="I130" s="1464"/>
      <c r="J130" s="1464"/>
      <c r="K130" s="1464"/>
      <c r="L130" s="1464"/>
      <c r="M130" s="1464"/>
      <c r="N130" s="1494"/>
      <c r="O130" s="253"/>
      <c r="P130" s="253"/>
      <c r="Q130" s="253"/>
      <c r="R130" s="253"/>
      <c r="S130" s="1466" t="str">
        <f>IF(F130&lt;&gt;"",F130,"")</f>
        <v>TÉCNICA</v>
      </c>
      <c r="T130" s="1467"/>
      <c r="U130" s="1467"/>
      <c r="V130" s="1467"/>
      <c r="W130" s="1467"/>
      <c r="X130" s="1467"/>
      <c r="Y130" s="1467"/>
      <c r="Z130" s="1467"/>
      <c r="AA130" s="1468"/>
      <c r="AM130" s="1703">
        <f t="shared" si="49"/>
        <v>0</v>
      </c>
      <c r="AN130" s="1704"/>
    </row>
    <row r="131" spans="1:41" ht="60" customHeight="1" x14ac:dyDescent="0.7">
      <c r="A131" s="227">
        <v>117</v>
      </c>
      <c r="B131" s="251" t="s">
        <v>227</v>
      </c>
      <c r="C131" s="252" t="s">
        <v>169</v>
      </c>
      <c r="D131" s="227"/>
      <c r="E131" s="227"/>
      <c r="F131" s="1472" t="s">
        <v>239</v>
      </c>
      <c r="G131" s="1473"/>
      <c r="H131" s="1473"/>
      <c r="I131" s="1473"/>
      <c r="J131" s="1473"/>
      <c r="K131" s="1473"/>
      <c r="L131" s="378" t="s">
        <v>171</v>
      </c>
      <c r="M131" s="378" t="s">
        <v>172</v>
      </c>
      <c r="N131" s="379" t="s">
        <v>129</v>
      </c>
      <c r="O131" s="380"/>
      <c r="P131" s="380"/>
      <c r="Q131" s="380"/>
      <c r="R131" s="380"/>
      <c r="S131" s="1472" t="str">
        <f>IF(F131&lt;&gt;"",F131,"")</f>
        <v>Serviços e materiais de custo único para todas as praças</v>
      </c>
      <c r="T131" s="1473"/>
      <c r="U131" s="1473"/>
      <c r="V131" s="1473"/>
      <c r="W131" s="1473"/>
      <c r="X131" s="1473"/>
      <c r="Y131" s="1473"/>
      <c r="Z131" s="1473"/>
      <c r="AA131" s="1474"/>
      <c r="AB131" s="258" t="s">
        <v>173</v>
      </c>
      <c r="AC131" s="259" t="s">
        <v>130</v>
      </c>
      <c r="AM131" s="1703">
        <f t="shared" si="49"/>
        <v>0</v>
      </c>
      <c r="AN131" s="1704"/>
    </row>
    <row r="132" spans="1:41" ht="150" customHeight="1" x14ac:dyDescent="0.7">
      <c r="A132" s="227">
        <v>118</v>
      </c>
      <c r="B132" s="251" t="s">
        <v>228</v>
      </c>
      <c r="C132" s="252" t="s">
        <v>175</v>
      </c>
      <c r="D132" s="227" t="s">
        <v>182</v>
      </c>
      <c r="E132" s="329" t="s">
        <v>331</v>
      </c>
      <c r="F132" s="351" t="s">
        <v>423</v>
      </c>
      <c r="G132" s="349" t="s">
        <v>1267</v>
      </c>
      <c r="H132" s="353">
        <v>1</v>
      </c>
      <c r="I132" s="353">
        <v>1</v>
      </c>
      <c r="J132" s="449">
        <v>42500</v>
      </c>
      <c r="K132" s="264">
        <f t="shared" ref="K132" si="98">IF(F132&lt;&gt;"",H132*I132*J132,"")</f>
        <v>42500</v>
      </c>
      <c r="L132" s="264">
        <f t="shared" ref="L132:L145" si="99">IF(K132&lt;&gt;"",IF(D132="INTERNO",0,K132*$L$14),"")</f>
        <v>3400</v>
      </c>
      <c r="M132" s="264">
        <f>IF(K132&lt;&gt;"",IF(E132="FAT.OGGI",SUM(K132:L132)*(1/(1-$M$14)-1),L132*(1/(1-$M$14)-1)),"")</f>
        <v>712.737389621386</v>
      </c>
      <c r="N132" s="265">
        <f t="shared" ref="N132:N145" si="100">SUM(K132:M132)</f>
        <v>46612.737389621383</v>
      </c>
      <c r="O132" s="203" t="s">
        <v>654</v>
      </c>
      <c r="P132" s="431" t="s">
        <v>623</v>
      </c>
      <c r="Q132" s="431" t="s">
        <v>1116</v>
      </c>
      <c r="R132" s="203" t="s">
        <v>991</v>
      </c>
      <c r="S132" s="268">
        <f t="shared" ref="S132:T145" si="101">IF(H132&lt;&gt;"",H132,"")</f>
        <v>1</v>
      </c>
      <c r="T132" s="269">
        <f t="shared" si="101"/>
        <v>1</v>
      </c>
      <c r="U132" s="270">
        <v>41200</v>
      </c>
      <c r="V132" s="270">
        <f t="shared" ref="V132:V145" si="102">IF(S132&lt;&gt;"",S132*T132*U132,"")</f>
        <v>41200</v>
      </c>
      <c r="W132" s="271">
        <f t="shared" ref="W132:W145" si="103">IF(S132&lt;&gt;"",K132-V132,"")</f>
        <v>1300</v>
      </c>
      <c r="X132" s="272">
        <f t="shared" ref="X132:X145" si="104">IF(S132&lt;&gt;"",0%,"")</f>
        <v>0</v>
      </c>
      <c r="Y132" s="273">
        <f t="shared" ref="Y132:Y145" si="105">IF(S132&lt;&gt;"",X132*W132,"")</f>
        <v>0</v>
      </c>
      <c r="Z132" s="273">
        <f t="shared" ref="Z132:Z145" si="106">IF(S132&lt;&gt;"",Y132+V132,"")</f>
        <v>41200</v>
      </c>
      <c r="AA132" s="274">
        <f t="shared" ref="AA132:AA145" si="107">IF(S132&lt;&gt;"",Z132+M132,"")</f>
        <v>41912.737389621383</v>
      </c>
      <c r="AB132" s="275">
        <f>IFERROR(IF(S132&lt;&gt;"",W132/K132,""),0)</f>
        <v>3.0588235294117649E-2</v>
      </c>
      <c r="AC132" s="276">
        <f t="shared" ref="AC132:AC142" si="108">V132/$V$146</f>
        <v>9.3973815063181421E-2</v>
      </c>
      <c r="AM132" s="1703">
        <f t="shared" si="49"/>
        <v>0</v>
      </c>
      <c r="AN132" s="1704">
        <v>41200</v>
      </c>
      <c r="AO132" s="1695" t="s">
        <v>1553</v>
      </c>
    </row>
    <row r="133" spans="1:41" ht="150" customHeight="1" x14ac:dyDescent="0.7">
      <c r="A133" s="227">
        <v>119</v>
      </c>
      <c r="B133" s="251" t="s">
        <v>229</v>
      </c>
      <c r="C133" s="252" t="s">
        <v>175</v>
      </c>
      <c r="D133" s="227" t="s">
        <v>182</v>
      </c>
      <c r="E133" s="329" t="s">
        <v>331</v>
      </c>
      <c r="F133" s="351" t="s">
        <v>425</v>
      </c>
      <c r="G133" s="450" t="s">
        <v>1268</v>
      </c>
      <c r="H133" s="330">
        <v>1</v>
      </c>
      <c r="I133" s="330">
        <v>1</v>
      </c>
      <c r="J133" s="367">
        <v>25500</v>
      </c>
      <c r="K133" s="264">
        <f t="shared" ref="K133:K145" si="109">IF(F133&lt;&gt;"",H133*I133*J133,"")</f>
        <v>25500</v>
      </c>
      <c r="L133" s="264">
        <f>IF(K133&lt;&gt;"",IF(D133="INTERNO",0,K133*$L$14),"")</f>
        <v>2040</v>
      </c>
      <c r="M133" s="264">
        <f>IF(K133&lt;&gt;"",IF(E133="FAT.OGGI",SUM(K133:L133)*(1/(1-$M$14)-1),L133*(1/(1-$M$14)-1)),0)</f>
        <v>427.64243377283162</v>
      </c>
      <c r="N133" s="265">
        <f>SUM(K133:M133)</f>
        <v>27967.642433772831</v>
      </c>
      <c r="O133" s="203" t="s">
        <v>654</v>
      </c>
      <c r="P133" s="431" t="s">
        <v>623</v>
      </c>
      <c r="Q133" s="282" t="s">
        <v>1110</v>
      </c>
      <c r="R133" s="277" t="s">
        <v>964</v>
      </c>
      <c r="S133" s="268">
        <f t="shared" si="101"/>
        <v>1</v>
      </c>
      <c r="T133" s="269">
        <f t="shared" si="101"/>
        <v>1</v>
      </c>
      <c r="U133" s="270">
        <v>30000</v>
      </c>
      <c r="V133" s="270">
        <v>32000</v>
      </c>
      <c r="W133" s="278">
        <f t="shared" si="103"/>
        <v>-6500</v>
      </c>
      <c r="X133" s="272">
        <f>IF(S133&lt;&gt;"",0%,"")</f>
        <v>0</v>
      </c>
      <c r="Y133" s="273">
        <f>IF(S133&lt;&gt;"",X133*W133,"")</f>
        <v>0</v>
      </c>
      <c r="Z133" s="273">
        <f>IF(S133&lt;&gt;"",Y133+V133,"")</f>
        <v>32000</v>
      </c>
      <c r="AA133" s="274">
        <f t="shared" si="107"/>
        <v>32427.642433772831</v>
      </c>
      <c r="AB133" s="275">
        <f>IF(S133&lt;&gt;"", IFERROR(W133/K133, 0), 0)</f>
        <v>-0.25490196078431371</v>
      </c>
      <c r="AC133" s="276">
        <f t="shared" si="108"/>
        <v>7.2989370922859356E-2</v>
      </c>
      <c r="AM133" s="1703">
        <f t="shared" si="49"/>
        <v>0</v>
      </c>
      <c r="AN133" s="1704">
        <f>2000+30000</f>
        <v>32000</v>
      </c>
      <c r="AO133" s="1695" t="s">
        <v>1651</v>
      </c>
    </row>
    <row r="134" spans="1:41" ht="150" customHeight="1" x14ac:dyDescent="0.7">
      <c r="A134" s="227">
        <v>120</v>
      </c>
      <c r="B134" s="251" t="s">
        <v>232</v>
      </c>
      <c r="C134" s="252" t="s">
        <v>175</v>
      </c>
      <c r="D134" s="227" t="s">
        <v>182</v>
      </c>
      <c r="E134" s="329" t="s">
        <v>331</v>
      </c>
      <c r="F134" s="260" t="s">
        <v>426</v>
      </c>
      <c r="G134" s="450" t="s">
        <v>1269</v>
      </c>
      <c r="H134" s="330">
        <v>1</v>
      </c>
      <c r="I134" s="330">
        <v>1</v>
      </c>
      <c r="J134" s="367">
        <v>55650</v>
      </c>
      <c r="K134" s="264">
        <f t="shared" si="109"/>
        <v>55650</v>
      </c>
      <c r="L134" s="264">
        <f>IF(K134&lt;&gt;"",IF(D134="INTERNO",0,K134*$L$14),"")</f>
        <v>4452</v>
      </c>
      <c r="M134" s="264">
        <f>IF(K134&lt;&gt;"",IF(E134="FAT.OGGI",SUM(K134:L134)*(1/(1-$M$14)-1),L134*(1/(1-$M$14)-1)),0)</f>
        <v>933.26672311600305</v>
      </c>
      <c r="N134" s="264">
        <f>SUM(K134:M134)</f>
        <v>61035.266723116001</v>
      </c>
      <c r="O134" s="203" t="s">
        <v>654</v>
      </c>
      <c r="P134" s="431" t="s">
        <v>623</v>
      </c>
      <c r="Q134" s="282" t="s">
        <v>1111</v>
      </c>
      <c r="R134" s="277" t="s">
        <v>964</v>
      </c>
      <c r="S134" s="269">
        <f t="shared" si="101"/>
        <v>1</v>
      </c>
      <c r="T134" s="269">
        <f t="shared" si="101"/>
        <v>1</v>
      </c>
      <c r="U134" s="270">
        <v>70000</v>
      </c>
      <c r="V134" s="270">
        <v>79650</v>
      </c>
      <c r="W134" s="271">
        <f t="shared" si="103"/>
        <v>-24000</v>
      </c>
      <c r="X134" s="272">
        <f>IF(S134&lt;&gt;"",0%,"")</f>
        <v>0</v>
      </c>
      <c r="Y134" s="273">
        <f>IF(S134&lt;&gt;"",X134*W134,"")</f>
        <v>0</v>
      </c>
      <c r="Z134" s="273">
        <f>IF(S134&lt;&gt;"",Y134+V134,"")</f>
        <v>79650</v>
      </c>
      <c r="AA134" s="273">
        <f t="shared" si="107"/>
        <v>80583.266723116001</v>
      </c>
      <c r="AB134" s="276">
        <f>IF(S134&lt;&gt;"", IFERROR(W134/K134, 0), 0)</f>
        <v>-0.43126684636118601</v>
      </c>
      <c r="AC134" s="276">
        <f t="shared" si="108"/>
        <v>0.18167510606267961</v>
      </c>
      <c r="AM134" s="1703">
        <f t="shared" si="49"/>
        <v>0</v>
      </c>
      <c r="AN134" s="1704">
        <f>70000+9650</f>
        <v>79650</v>
      </c>
      <c r="AO134" s="1695" t="s">
        <v>670</v>
      </c>
    </row>
    <row r="135" spans="1:41" ht="150" customHeight="1" x14ac:dyDescent="0.7">
      <c r="A135" s="279">
        <v>121</v>
      </c>
      <c r="B135" s="251" t="s">
        <v>233</v>
      </c>
      <c r="C135" s="280" t="s">
        <v>175</v>
      </c>
      <c r="D135" s="279" t="s">
        <v>182</v>
      </c>
      <c r="E135" s="329" t="s">
        <v>331</v>
      </c>
      <c r="F135" s="339" t="s">
        <v>592</v>
      </c>
      <c r="G135" s="349" t="s">
        <v>1270</v>
      </c>
      <c r="H135" s="408">
        <v>1</v>
      </c>
      <c r="I135" s="408">
        <v>1</v>
      </c>
      <c r="J135" s="367">
        <v>13800</v>
      </c>
      <c r="K135" s="264">
        <f t="shared" si="109"/>
        <v>13800</v>
      </c>
      <c r="L135" s="264">
        <f>IF(K135&lt;&gt;"",IF(D135="INTERNO",0,K135*$L$14),"")</f>
        <v>1104</v>
      </c>
      <c r="M135" s="264">
        <f>IF(K135&lt;&gt;"",IF(E135="FAT.OGGI",SUM(K135:L135)*(1/(1-$M$14)-1),L135*(1/(1-$M$14)-1)),0)</f>
        <v>231.43002298294417</v>
      </c>
      <c r="N135" s="264">
        <f>SUM(K135:M135)</f>
        <v>15135.430022982944</v>
      </c>
      <c r="O135" s="203" t="s">
        <v>654</v>
      </c>
      <c r="P135" s="431" t="s">
        <v>623</v>
      </c>
      <c r="Q135" s="282" t="s">
        <v>1112</v>
      </c>
      <c r="S135" s="269">
        <f t="shared" si="101"/>
        <v>1</v>
      </c>
      <c r="T135" s="269">
        <f t="shared" si="101"/>
        <v>1</v>
      </c>
      <c r="U135" s="270">
        <v>15000</v>
      </c>
      <c r="V135" s="270">
        <f>IF(S135&lt;&gt;"",S135*T135*U135,"")</f>
        <v>15000</v>
      </c>
      <c r="W135" s="271">
        <f t="shared" si="103"/>
        <v>-1200</v>
      </c>
      <c r="X135" s="272">
        <f>IF(S135&lt;&gt;"",0%,"")</f>
        <v>0</v>
      </c>
      <c r="Y135" s="273">
        <f>IF(S135&lt;&gt;"",X135*W135,"")</f>
        <v>0</v>
      </c>
      <c r="Z135" s="273">
        <f>IF(S135&lt;&gt;"",Y135+V135,"")</f>
        <v>15000</v>
      </c>
      <c r="AA135" s="273">
        <f t="shared" si="107"/>
        <v>15231.430022982944</v>
      </c>
      <c r="AB135" s="276">
        <f>IF(S135&lt;&gt;"", IFERROR(W135/K135, 0), 0)</f>
        <v>-8.6956521739130432E-2</v>
      </c>
      <c r="AC135" s="276">
        <f t="shared" si="108"/>
        <v>3.4213767620090325E-2</v>
      </c>
      <c r="AM135" s="1703">
        <f t="shared" si="49"/>
        <v>0</v>
      </c>
      <c r="AN135" s="1704">
        <v>15000</v>
      </c>
      <c r="AO135" s="1695" t="s">
        <v>1560</v>
      </c>
    </row>
    <row r="136" spans="1:41" ht="150" customHeight="1" x14ac:dyDescent="0.7">
      <c r="A136" s="297">
        <v>122</v>
      </c>
      <c r="B136" s="251" t="s">
        <v>234</v>
      </c>
      <c r="C136" s="298" t="s">
        <v>175</v>
      </c>
      <c r="D136" s="227" t="s">
        <v>182</v>
      </c>
      <c r="E136" s="329" t="s">
        <v>331</v>
      </c>
      <c r="F136" s="423" t="s">
        <v>424</v>
      </c>
      <c r="G136" s="451" t="s">
        <v>1271</v>
      </c>
      <c r="H136" s="330">
        <v>1</v>
      </c>
      <c r="I136" s="330">
        <v>1</v>
      </c>
      <c r="J136" s="367">
        <v>10000</v>
      </c>
      <c r="K136" s="264">
        <f>IF(F136&lt;&gt;"",H136*I136*J136,"")</f>
        <v>10000</v>
      </c>
      <c r="L136" s="264">
        <f>IF(K136&lt;&gt;"",IF(D136="INTERNO",0,K136*$L$14),"")</f>
        <v>800</v>
      </c>
      <c r="M136" s="264">
        <f>IF(K136&lt;&gt;"",IF(E136="FAT.OGGI",SUM(K136:L136)*(1/(1-$M$14)-1),L136*(1/(1-$M$14)-1)),0)</f>
        <v>167.70291520503201</v>
      </c>
      <c r="N136" s="264">
        <f>SUM(K136:M136)</f>
        <v>10967.702915205033</v>
      </c>
      <c r="O136" s="203" t="s">
        <v>654</v>
      </c>
      <c r="P136" s="431" t="s">
        <v>623</v>
      </c>
      <c r="Q136" s="331" t="s">
        <v>1113</v>
      </c>
      <c r="R136" s="452" t="s">
        <v>1114</v>
      </c>
      <c r="S136" s="453">
        <f t="shared" si="101"/>
        <v>1</v>
      </c>
      <c r="T136" s="454">
        <f t="shared" si="101"/>
        <v>1</v>
      </c>
      <c r="U136" s="270">
        <v>3000</v>
      </c>
      <c r="V136" s="270">
        <v>2890</v>
      </c>
      <c r="W136" s="271">
        <f t="shared" si="103"/>
        <v>7110</v>
      </c>
      <c r="X136" s="272">
        <f>IF(S136&lt;&gt;"",0%,"")</f>
        <v>0</v>
      </c>
      <c r="Y136" s="273">
        <f>IF(S136&lt;&gt;"",X136*W136,"")</f>
        <v>0</v>
      </c>
      <c r="Z136" s="273">
        <f>IF(S136&lt;&gt;"",Y136+V136,"")</f>
        <v>2890</v>
      </c>
      <c r="AA136" s="274">
        <f t="shared" si="107"/>
        <v>3057.7029152050318</v>
      </c>
      <c r="AB136" s="275">
        <f>IF(S136&lt;&gt;"", IFERROR(W136/K136, 0), 0)</f>
        <v>0.71099999999999997</v>
      </c>
      <c r="AC136" s="276">
        <f t="shared" si="108"/>
        <v>6.5918525614707358E-3</v>
      </c>
      <c r="AM136" s="1703">
        <f t="shared" si="49"/>
        <v>0</v>
      </c>
      <c r="AN136" s="1704">
        <f>1690+1200</f>
        <v>2890</v>
      </c>
      <c r="AO136" s="1695" t="s">
        <v>1555</v>
      </c>
    </row>
    <row r="137" spans="1:41" ht="150" customHeight="1" x14ac:dyDescent="0.7">
      <c r="A137" s="279">
        <v>123</v>
      </c>
      <c r="B137" s="251" t="s">
        <v>237</v>
      </c>
      <c r="C137" s="280" t="s">
        <v>175</v>
      </c>
      <c r="D137" s="279" t="s">
        <v>182</v>
      </c>
      <c r="E137" s="329" t="s">
        <v>331</v>
      </c>
      <c r="F137" s="455" t="s">
        <v>430</v>
      </c>
      <c r="G137" s="450" t="s">
        <v>1272</v>
      </c>
      <c r="H137" s="330">
        <v>5</v>
      </c>
      <c r="I137" s="330">
        <v>1</v>
      </c>
      <c r="J137" s="367">
        <v>2750</v>
      </c>
      <c r="K137" s="264">
        <f t="shared" si="109"/>
        <v>13750</v>
      </c>
      <c r="L137" s="264">
        <f t="shared" si="99"/>
        <v>1100</v>
      </c>
      <c r="M137" s="264">
        <f>IF(K137&lt;&gt;"",IF(E137="FAT.OGGI",SUM(K137:L137)*(1/(1-$M$14)-1),L137*(1/(1-$M$14)-1)),"")</f>
        <v>230.59150840691899</v>
      </c>
      <c r="N137" s="264">
        <f t="shared" si="100"/>
        <v>15080.591508406918</v>
      </c>
      <c r="O137" s="203" t="s">
        <v>654</v>
      </c>
      <c r="P137" s="264"/>
      <c r="Q137" s="264" t="s">
        <v>813</v>
      </c>
      <c r="S137" s="268">
        <v>1</v>
      </c>
      <c r="T137" s="269">
        <v>1</v>
      </c>
      <c r="U137" s="270">
        <v>9680</v>
      </c>
      <c r="V137" s="270">
        <f t="shared" si="102"/>
        <v>9680</v>
      </c>
      <c r="W137" s="271">
        <f t="shared" si="103"/>
        <v>4070</v>
      </c>
      <c r="X137" s="272">
        <f t="shared" si="104"/>
        <v>0</v>
      </c>
      <c r="Y137" s="273">
        <f t="shared" si="105"/>
        <v>0</v>
      </c>
      <c r="Z137" s="273">
        <f t="shared" si="106"/>
        <v>9680</v>
      </c>
      <c r="AA137" s="274">
        <f t="shared" si="107"/>
        <v>9910.5915084069184</v>
      </c>
      <c r="AB137" s="275">
        <f>IFERROR(IF(S137&lt;&gt;"",W137/K137,""),0)</f>
        <v>0.29599999999999999</v>
      </c>
      <c r="AC137" s="276">
        <f t="shared" si="108"/>
        <v>2.2079284704164957E-2</v>
      </c>
      <c r="AM137" s="1703">
        <f t="shared" si="49"/>
        <v>0</v>
      </c>
      <c r="AN137" s="1704">
        <v>9680</v>
      </c>
      <c r="AO137" s="1695" t="s">
        <v>1575</v>
      </c>
    </row>
    <row r="138" spans="1:41" ht="150" customHeight="1" x14ac:dyDescent="0.7">
      <c r="A138" s="227">
        <v>124</v>
      </c>
      <c r="B138" s="251" t="s">
        <v>240</v>
      </c>
      <c r="C138" s="252" t="s">
        <v>175</v>
      </c>
      <c r="D138" s="227" t="s">
        <v>182</v>
      </c>
      <c r="E138" s="329" t="s">
        <v>331</v>
      </c>
      <c r="F138" s="351" t="s">
        <v>431</v>
      </c>
      <c r="G138" s="450" t="s">
        <v>1273</v>
      </c>
      <c r="H138" s="456">
        <v>1</v>
      </c>
      <c r="I138" s="330">
        <v>1</v>
      </c>
      <c r="J138" s="367">
        <v>72000</v>
      </c>
      <c r="K138" s="264">
        <f t="shared" si="109"/>
        <v>72000</v>
      </c>
      <c r="L138" s="264">
        <f t="shared" si="99"/>
        <v>5760</v>
      </c>
      <c r="M138" s="264">
        <f>IF(K138&lt;&gt;"",IF(E138="FAT.OGGI",SUM(K138:L138)*(1/(1-$M$14)-1),L138*(1/(1-$M$14)-1)),"")</f>
        <v>1207.4609894762305</v>
      </c>
      <c r="N138" s="264">
        <f t="shared" si="100"/>
        <v>78967.460989476225</v>
      </c>
      <c r="O138" s="203" t="s">
        <v>654</v>
      </c>
      <c r="P138" s="264"/>
      <c r="Q138" s="264" t="s">
        <v>814</v>
      </c>
      <c r="S138" s="268">
        <f t="shared" si="101"/>
        <v>1</v>
      </c>
      <c r="T138" s="269">
        <f t="shared" si="101"/>
        <v>1</v>
      </c>
      <c r="U138" s="270">
        <v>234000</v>
      </c>
      <c r="V138" s="270">
        <f t="shared" si="102"/>
        <v>234000</v>
      </c>
      <c r="W138" s="271">
        <f t="shared" si="103"/>
        <v>-162000</v>
      </c>
      <c r="X138" s="272">
        <f t="shared" si="104"/>
        <v>0</v>
      </c>
      <c r="Y138" s="273">
        <f t="shared" si="105"/>
        <v>0</v>
      </c>
      <c r="Z138" s="273">
        <f t="shared" si="106"/>
        <v>234000</v>
      </c>
      <c r="AA138" s="274">
        <f t="shared" si="107"/>
        <v>235207.46098947624</v>
      </c>
      <c r="AB138" s="275">
        <f>IFERROR(IF(S138&lt;&gt;"",W138/K138,""),0)</f>
        <v>-2.25</v>
      </c>
      <c r="AC138" s="276">
        <f t="shared" si="108"/>
        <v>0.53373477487340903</v>
      </c>
      <c r="AM138" s="1703">
        <f t="shared" si="49"/>
        <v>0</v>
      </c>
      <c r="AN138" s="1704">
        <v>234000</v>
      </c>
      <c r="AO138" s="1695" t="s">
        <v>1578</v>
      </c>
    </row>
    <row r="139" spans="1:41" ht="150" customHeight="1" x14ac:dyDescent="0.7">
      <c r="A139" s="227">
        <v>125</v>
      </c>
      <c r="B139" s="251" t="s">
        <v>241</v>
      </c>
      <c r="C139" s="252" t="s">
        <v>175</v>
      </c>
      <c r="D139" s="227" t="s">
        <v>182</v>
      </c>
      <c r="E139" s="329" t="s">
        <v>331</v>
      </c>
      <c r="F139" s="260" t="s">
        <v>432</v>
      </c>
      <c r="G139" s="450" t="s">
        <v>1274</v>
      </c>
      <c r="H139" s="457">
        <v>1</v>
      </c>
      <c r="I139" s="458">
        <v>1</v>
      </c>
      <c r="J139" s="419">
        <v>106900</v>
      </c>
      <c r="K139" s="263">
        <f>IF(F139&lt;&gt;"",H139*I139*J139,"")</f>
        <v>106900</v>
      </c>
      <c r="L139" s="263">
        <f>IF(K139&lt;&gt;"",IF(D139="INTERNO",0,K139*$L$14),"")</f>
        <v>8552</v>
      </c>
      <c r="M139" s="263">
        <f t="shared" ref="M139:M144" si="110">IF(K139&lt;&gt;"",IF(E139="FAT.OGGI",SUM(K139:L139)*(1/(1-$M$14)-1),L139*(1/(1-$M$14)-1)),0)</f>
        <v>1792.744163541792</v>
      </c>
      <c r="N139" s="281">
        <f>SUM(K139:M139)</f>
        <v>117244.74416354179</v>
      </c>
      <c r="O139" s="203" t="s">
        <v>654</v>
      </c>
      <c r="P139" s="264"/>
      <c r="Q139" s="264"/>
      <c r="S139" s="284">
        <f t="shared" si="101"/>
        <v>1</v>
      </c>
      <c r="T139" s="285">
        <v>0</v>
      </c>
      <c r="U139" s="286">
        <v>52000</v>
      </c>
      <c r="V139" s="286">
        <f>IF(S139&lt;&gt;"",S139*T139*U139,"")</f>
        <v>0</v>
      </c>
      <c r="W139" s="287">
        <f t="shared" si="103"/>
        <v>106900</v>
      </c>
      <c r="X139" s="288">
        <f>IF(S139&lt;&gt;"",0%,"")</f>
        <v>0</v>
      </c>
      <c r="Y139" s="289">
        <f>IF(S139&lt;&gt;"",X139*W139,"")</f>
        <v>0</v>
      </c>
      <c r="Z139" s="289">
        <f>IF(S139&lt;&gt;"",Y139+V139,"")</f>
        <v>0</v>
      </c>
      <c r="AA139" s="290">
        <f t="shared" si="107"/>
        <v>1792.744163541792</v>
      </c>
      <c r="AB139" s="275">
        <f t="shared" ref="AB139:AB144" si="111">IF(S139&lt;&gt;"", IFERROR(W139/K139, 0), 0)</f>
        <v>1</v>
      </c>
      <c r="AC139" s="276">
        <f t="shared" si="108"/>
        <v>0</v>
      </c>
      <c r="AM139" s="1703">
        <f t="shared" si="49"/>
        <v>0</v>
      </c>
      <c r="AN139" s="1704"/>
    </row>
    <row r="140" spans="1:41" ht="150" customHeight="1" x14ac:dyDescent="0.7">
      <c r="A140" s="297">
        <v>126</v>
      </c>
      <c r="B140" s="251" t="s">
        <v>242</v>
      </c>
      <c r="C140" s="298" t="s">
        <v>175</v>
      </c>
      <c r="D140" s="227" t="s">
        <v>182</v>
      </c>
      <c r="E140" s="329" t="s">
        <v>331</v>
      </c>
      <c r="F140" s="260" t="s">
        <v>433</v>
      </c>
      <c r="G140" s="459" t="s">
        <v>1275</v>
      </c>
      <c r="H140" s="408">
        <v>1</v>
      </c>
      <c r="I140" s="408">
        <v>1</v>
      </c>
      <c r="J140" s="367">
        <v>100000</v>
      </c>
      <c r="K140" s="264">
        <f>IF(F140&lt;&gt;"",H140*I140*J140,"")</f>
        <v>100000</v>
      </c>
      <c r="L140" s="264">
        <f>IF(K140&lt;&gt;"",IF(D140="INTERNO",0,K140*$L$14),"")</f>
        <v>8000</v>
      </c>
      <c r="M140" s="264">
        <f>IF(K140&lt;&gt;"",IF(E140="FAT.OGGI",SUM(K140:L140)*(1/(1-$M$14)-1),L140*(1/(1-$M$14)-1)),0)</f>
        <v>1677.0291520503199</v>
      </c>
      <c r="N140" s="265">
        <f>SUM(K140:M140)</f>
        <v>109677.02915205032</v>
      </c>
      <c r="O140" s="203" t="s">
        <v>654</v>
      </c>
      <c r="P140" s="460" t="s">
        <v>623</v>
      </c>
      <c r="Q140" s="382" t="s">
        <v>670</v>
      </c>
      <c r="S140" s="461">
        <f t="shared" si="101"/>
        <v>1</v>
      </c>
      <c r="T140" s="462">
        <f t="shared" si="101"/>
        <v>1</v>
      </c>
      <c r="U140" s="463">
        <v>94000</v>
      </c>
      <c r="V140" s="463">
        <v>24000</v>
      </c>
      <c r="W140" s="354">
        <f t="shared" si="103"/>
        <v>76000</v>
      </c>
      <c r="X140" s="303">
        <f>IF(S140&lt;&gt;"",0%,"")</f>
        <v>0</v>
      </c>
      <c r="Y140" s="304">
        <f>IF(S140&lt;&gt;"",X140*W140,"")</f>
        <v>0</v>
      </c>
      <c r="Z140" s="304">
        <f>IF(S140&lt;&gt;"",Y140+V140,"")</f>
        <v>24000</v>
      </c>
      <c r="AA140" s="274">
        <f t="shared" si="107"/>
        <v>25677.02915205032</v>
      </c>
      <c r="AB140" s="275">
        <f t="shared" si="111"/>
        <v>0.76</v>
      </c>
      <c r="AC140" s="276">
        <f t="shared" si="108"/>
        <v>5.4742028192144521E-2</v>
      </c>
      <c r="AM140" s="1703">
        <f t="shared" si="49"/>
        <v>0</v>
      </c>
      <c r="AN140" s="1704">
        <v>24000</v>
      </c>
      <c r="AO140" s="1695" t="s">
        <v>1559</v>
      </c>
    </row>
    <row r="141" spans="1:41" ht="150" customHeight="1" x14ac:dyDescent="0.7">
      <c r="A141" s="305">
        <v>127</v>
      </c>
      <c r="B141" s="251" t="s">
        <v>593</v>
      </c>
      <c r="C141" s="306" t="s">
        <v>175</v>
      </c>
      <c r="D141" s="279" t="s">
        <v>182</v>
      </c>
      <c r="E141" s="329" t="s">
        <v>331</v>
      </c>
      <c r="F141" s="381" t="s">
        <v>434</v>
      </c>
      <c r="G141" s="464" t="s">
        <v>1276</v>
      </c>
      <c r="H141" s="465">
        <v>1</v>
      </c>
      <c r="I141" s="465">
        <v>1</v>
      </c>
      <c r="J141" s="367">
        <v>12500</v>
      </c>
      <c r="K141" s="308">
        <f>IF(F141&lt;&gt;"",H141*I141*J141,"")</f>
        <v>12500</v>
      </c>
      <c r="L141" s="308">
        <f>IF(K141&lt;&gt;"",IF(D141="INTERNO",0,K141*$L$14),"")</f>
        <v>1000</v>
      </c>
      <c r="M141" s="308">
        <f t="shared" si="110"/>
        <v>209.62864400628999</v>
      </c>
      <c r="N141" s="309">
        <f>SUM(K141:M141)</f>
        <v>13709.62864400629</v>
      </c>
      <c r="O141" s="203" t="s">
        <v>654</v>
      </c>
      <c r="P141" s="308"/>
      <c r="Q141" s="308"/>
      <c r="S141" s="313">
        <f t="shared" si="101"/>
        <v>1</v>
      </c>
      <c r="T141" s="314">
        <v>0</v>
      </c>
      <c r="U141" s="315">
        <v>10000</v>
      </c>
      <c r="V141" s="315">
        <f>IF(S141&lt;&gt;"",S141*T141*U141,"")</f>
        <v>0</v>
      </c>
      <c r="W141" s="386">
        <f t="shared" si="103"/>
        <v>12500</v>
      </c>
      <c r="X141" s="317">
        <f>IF(S141&lt;&gt;"",0%,"")</f>
        <v>0</v>
      </c>
      <c r="Y141" s="318">
        <f>IF(S141&lt;&gt;"",X141*W141,"")</f>
        <v>0</v>
      </c>
      <c r="Z141" s="318">
        <f>IF(S141&lt;&gt;"",Y141+V141,"")</f>
        <v>0</v>
      </c>
      <c r="AA141" s="312">
        <f t="shared" si="107"/>
        <v>209.62864400628999</v>
      </c>
      <c r="AB141" s="275">
        <f t="shared" si="111"/>
        <v>1</v>
      </c>
      <c r="AC141" s="276">
        <f t="shared" si="108"/>
        <v>0</v>
      </c>
      <c r="AM141" s="1703">
        <f t="shared" si="49"/>
        <v>0</v>
      </c>
      <c r="AN141" s="1704"/>
    </row>
    <row r="142" spans="1:41" ht="150" customHeight="1" x14ac:dyDescent="0.7">
      <c r="A142" s="279">
        <v>128</v>
      </c>
      <c r="B142" s="251" t="s">
        <v>243</v>
      </c>
      <c r="C142" s="280" t="s">
        <v>175</v>
      </c>
      <c r="D142" s="279" t="s">
        <v>182</v>
      </c>
      <c r="E142" s="329" t="s">
        <v>331</v>
      </c>
      <c r="F142" s="351" t="s">
        <v>435</v>
      </c>
      <c r="G142" s="450" t="s">
        <v>1277</v>
      </c>
      <c r="H142" s="330">
        <v>1</v>
      </c>
      <c r="I142" s="330">
        <v>1</v>
      </c>
      <c r="J142" s="367">
        <v>10750</v>
      </c>
      <c r="K142" s="264">
        <f t="shared" si="109"/>
        <v>10750</v>
      </c>
      <c r="L142" s="264">
        <f t="shared" si="99"/>
        <v>860</v>
      </c>
      <c r="M142" s="264">
        <f t="shared" si="110"/>
        <v>180.2806338454094</v>
      </c>
      <c r="N142" s="265">
        <f t="shared" si="100"/>
        <v>11790.28063384541</v>
      </c>
      <c r="O142" s="203" t="s">
        <v>654</v>
      </c>
      <c r="P142" s="264"/>
      <c r="Q142" s="264"/>
      <c r="S142" s="268">
        <f t="shared" si="101"/>
        <v>1</v>
      </c>
      <c r="T142" s="269">
        <v>0</v>
      </c>
      <c r="U142" s="270">
        <v>6000</v>
      </c>
      <c r="V142" s="270">
        <f t="shared" si="102"/>
        <v>0</v>
      </c>
      <c r="W142" s="271">
        <f t="shared" si="103"/>
        <v>10750</v>
      </c>
      <c r="X142" s="272">
        <f t="shared" si="104"/>
        <v>0</v>
      </c>
      <c r="Y142" s="273">
        <f t="shared" si="105"/>
        <v>0</v>
      </c>
      <c r="Z142" s="273">
        <f t="shared" si="106"/>
        <v>0</v>
      </c>
      <c r="AA142" s="274">
        <f t="shared" si="107"/>
        <v>180.2806338454094</v>
      </c>
      <c r="AB142" s="275">
        <f t="shared" si="111"/>
        <v>1</v>
      </c>
      <c r="AC142" s="276">
        <f t="shared" si="108"/>
        <v>0</v>
      </c>
      <c r="AM142" s="1703">
        <f t="shared" si="49"/>
        <v>0</v>
      </c>
      <c r="AN142" s="1704"/>
    </row>
    <row r="143" spans="1:41" ht="150" customHeight="1" x14ac:dyDescent="0.7">
      <c r="A143" s="227">
        <v>129</v>
      </c>
      <c r="B143" s="251" t="s">
        <v>427</v>
      </c>
      <c r="C143" s="252" t="s">
        <v>175</v>
      </c>
      <c r="D143" s="227" t="s">
        <v>182</v>
      </c>
      <c r="E143" s="329" t="s">
        <v>331</v>
      </c>
      <c r="F143" s="351" t="s">
        <v>436</v>
      </c>
      <c r="G143" s="450" t="s">
        <v>439</v>
      </c>
      <c r="H143" s="330">
        <v>1</v>
      </c>
      <c r="I143" s="330">
        <v>1</v>
      </c>
      <c r="J143" s="367">
        <v>10000</v>
      </c>
      <c r="K143" s="264">
        <f t="shared" si="109"/>
        <v>10000</v>
      </c>
      <c r="L143" s="264">
        <f>IF(K143&lt;&gt;"",IF(D143="INTERNO",0,K143*$L$14),"")</f>
        <v>800</v>
      </c>
      <c r="M143" s="264">
        <f t="shared" si="110"/>
        <v>167.70291520503201</v>
      </c>
      <c r="N143" s="265">
        <f>SUM(K143:M143)</f>
        <v>10967.702915205033</v>
      </c>
      <c r="O143" s="203" t="s">
        <v>654</v>
      </c>
      <c r="P143" s="460" t="s">
        <v>623</v>
      </c>
      <c r="Q143" s="333" t="s">
        <v>1115</v>
      </c>
      <c r="S143" s="268">
        <f t="shared" si="101"/>
        <v>1</v>
      </c>
      <c r="T143" s="269">
        <v>0</v>
      </c>
      <c r="U143" s="270">
        <v>10000</v>
      </c>
      <c r="V143" s="270">
        <f>IF(S143&lt;&gt;"",S143*T143*U143,"")</f>
        <v>0</v>
      </c>
      <c r="W143" s="271">
        <f t="shared" si="103"/>
        <v>10000</v>
      </c>
      <c r="X143" s="272">
        <f>IF(S143&lt;&gt;"",0%,"")</f>
        <v>0</v>
      </c>
      <c r="Y143" s="273">
        <f>IF(S143&lt;&gt;"",X143*W143,"")</f>
        <v>0</v>
      </c>
      <c r="Z143" s="273">
        <f>IF(S143&lt;&gt;"",Y143+V143,"")</f>
        <v>0</v>
      </c>
      <c r="AA143" s="274">
        <f t="shared" si="107"/>
        <v>167.70291520503201</v>
      </c>
      <c r="AB143" s="275">
        <f t="shared" si="111"/>
        <v>1</v>
      </c>
      <c r="AC143" s="276">
        <f t="shared" ref="AC143" si="112">V143/$V$146</f>
        <v>0</v>
      </c>
      <c r="AM143" s="1703">
        <f t="shared" si="49"/>
        <v>0</v>
      </c>
      <c r="AN143" s="1704"/>
    </row>
    <row r="144" spans="1:41" ht="150" customHeight="1" x14ac:dyDescent="0.7">
      <c r="A144" s="297">
        <v>130</v>
      </c>
      <c r="B144" s="251" t="s">
        <v>428</v>
      </c>
      <c r="C144" s="298" t="s">
        <v>175</v>
      </c>
      <c r="D144" s="227" t="s">
        <v>182</v>
      </c>
      <c r="E144" s="329" t="s">
        <v>331</v>
      </c>
      <c r="F144" s="351" t="s">
        <v>437</v>
      </c>
      <c r="G144" s="450" t="s">
        <v>1278</v>
      </c>
      <c r="H144" s="330">
        <v>1</v>
      </c>
      <c r="I144" s="330">
        <v>1</v>
      </c>
      <c r="J144" s="367">
        <v>11100</v>
      </c>
      <c r="K144" s="264">
        <f>IF(F144&lt;&gt;"",H144*I144*J144,"")</f>
        <v>11100</v>
      </c>
      <c r="L144" s="264">
        <f>IF(K144&lt;&gt;"",IF(D144="INTERNO",0,K144*$L$14),"")</f>
        <v>888</v>
      </c>
      <c r="M144" s="264">
        <f t="shared" si="110"/>
        <v>186.15023587758552</v>
      </c>
      <c r="N144" s="265">
        <f>SUM(K144:M144)</f>
        <v>12174.150235877585</v>
      </c>
      <c r="O144" s="203" t="s">
        <v>654</v>
      </c>
      <c r="P144" s="264"/>
      <c r="Q144" s="264"/>
      <c r="S144" s="268">
        <f t="shared" si="101"/>
        <v>1</v>
      </c>
      <c r="T144" s="269">
        <v>0</v>
      </c>
      <c r="U144" s="270">
        <v>11000</v>
      </c>
      <c r="V144" s="270">
        <f>IF(S144&lt;&gt;"",S144*T144*U144,"")</f>
        <v>0</v>
      </c>
      <c r="W144" s="271">
        <f t="shared" si="103"/>
        <v>11100</v>
      </c>
      <c r="X144" s="272">
        <f>IF(S144&lt;&gt;"",0%,"")</f>
        <v>0</v>
      </c>
      <c r="Y144" s="273">
        <f>IF(S144&lt;&gt;"",X144*W144,"")</f>
        <v>0</v>
      </c>
      <c r="Z144" s="273">
        <f>IF(S144&lt;&gt;"",Y144+V144,"")</f>
        <v>0</v>
      </c>
      <c r="AA144" s="274">
        <f t="shared" si="107"/>
        <v>186.15023587758552</v>
      </c>
      <c r="AB144" s="275">
        <f t="shared" si="111"/>
        <v>1</v>
      </c>
      <c r="AC144" s="276">
        <f>V144/$V$146</f>
        <v>0</v>
      </c>
      <c r="AM144" s="1703">
        <f t="shared" si="49"/>
        <v>0</v>
      </c>
      <c r="AN144" s="1704"/>
    </row>
    <row r="145" spans="1:41" ht="150" customHeight="1" x14ac:dyDescent="0.7">
      <c r="A145" s="279">
        <v>131</v>
      </c>
      <c r="B145" s="251" t="s">
        <v>429</v>
      </c>
      <c r="C145" s="280" t="s">
        <v>175</v>
      </c>
      <c r="D145" s="279" t="s">
        <v>182</v>
      </c>
      <c r="E145" s="329" t="s">
        <v>331</v>
      </c>
      <c r="F145" s="351" t="s">
        <v>438</v>
      </c>
      <c r="G145" s="450" t="s">
        <v>1279</v>
      </c>
      <c r="H145" s="330">
        <v>1</v>
      </c>
      <c r="I145" s="330">
        <v>1</v>
      </c>
      <c r="J145" s="367">
        <v>5580</v>
      </c>
      <c r="K145" s="264">
        <f t="shared" si="109"/>
        <v>5580</v>
      </c>
      <c r="L145" s="264">
        <f t="shared" si="99"/>
        <v>446.40000000000003</v>
      </c>
      <c r="M145" s="264">
        <f>IF(K145&lt;&gt;"",IF(E145="FAT.OGGI",SUM(K145:L145)*(1/(1-$M$14)-1),L145*(1/(1-$M$14)-1)),"")</f>
        <v>93.578226684407866</v>
      </c>
      <c r="N145" s="265">
        <f t="shared" si="100"/>
        <v>6119.9782266844077</v>
      </c>
      <c r="O145" s="203" t="s">
        <v>654</v>
      </c>
      <c r="P145" s="264"/>
      <c r="Q145" s="264"/>
      <c r="S145" s="268">
        <f t="shared" si="101"/>
        <v>1</v>
      </c>
      <c r="T145" s="269">
        <v>0</v>
      </c>
      <c r="U145" s="270">
        <v>5000</v>
      </c>
      <c r="V145" s="270">
        <f t="shared" si="102"/>
        <v>0</v>
      </c>
      <c r="W145" s="271">
        <f t="shared" si="103"/>
        <v>5580</v>
      </c>
      <c r="X145" s="272">
        <f t="shared" si="104"/>
        <v>0</v>
      </c>
      <c r="Y145" s="273">
        <f t="shared" si="105"/>
        <v>0</v>
      </c>
      <c r="Z145" s="273">
        <f t="shared" si="106"/>
        <v>0</v>
      </c>
      <c r="AA145" s="274">
        <f t="shared" si="107"/>
        <v>93.578226684407866</v>
      </c>
      <c r="AB145" s="275">
        <f>IFERROR(IF(S145&lt;&gt;"",W145/K145,""),0)</f>
        <v>1</v>
      </c>
      <c r="AC145" s="276">
        <f>V145/$V$146</f>
        <v>0</v>
      </c>
      <c r="AM145" s="1703">
        <f t="shared" si="49"/>
        <v>0</v>
      </c>
      <c r="AN145" s="1704"/>
    </row>
    <row r="146" spans="1:41" ht="60" customHeight="1" thickBot="1" x14ac:dyDescent="0.75">
      <c r="A146" s="227">
        <v>132</v>
      </c>
      <c r="B146" s="251"/>
      <c r="C146" s="252" t="s">
        <v>184</v>
      </c>
      <c r="D146" s="227"/>
      <c r="E146" s="227"/>
      <c r="F146" s="1486" t="s">
        <v>440</v>
      </c>
      <c r="G146" s="1487"/>
      <c r="H146" s="1487"/>
      <c r="I146" s="1487"/>
      <c r="J146" s="1487"/>
      <c r="K146" s="387">
        <f>SUM(K132:K145)</f>
        <v>490030</v>
      </c>
      <c r="L146" s="387">
        <f>SUM(L132:L145)</f>
        <v>39202.400000000001</v>
      </c>
      <c r="M146" s="387">
        <f>SUM(M132:M145)</f>
        <v>8217.9459537921812</v>
      </c>
      <c r="N146" s="387">
        <f>SUM(N132:N145)</f>
        <v>537450.3459537921</v>
      </c>
      <c r="O146" s="388"/>
      <c r="P146" s="388"/>
      <c r="Q146" s="388"/>
      <c r="R146" s="388"/>
      <c r="S146" s="1495">
        <f>SUM(S132:S145)</f>
        <v>14</v>
      </c>
      <c r="T146" s="1487"/>
      <c r="U146" s="1487"/>
      <c r="V146" s="387">
        <f>SUM(V132:V145)</f>
        <v>438420</v>
      </c>
      <c r="W146" s="389">
        <f>SUM(W132:W145)</f>
        <v>51610</v>
      </c>
      <c r="X146" s="390">
        <f>SUM(X132:X145)</f>
        <v>0</v>
      </c>
      <c r="Y146" s="391"/>
      <c r="Z146" s="392">
        <f>SUM(Z132:Z145)</f>
        <v>438420</v>
      </c>
      <c r="AA146" s="393">
        <f>SUM(AA132:AA145)</f>
        <v>446637.94595379219</v>
      </c>
      <c r="AM146" s="1703"/>
      <c r="AN146" s="1704"/>
    </row>
    <row r="147" spans="1:41" ht="60" customHeight="1" thickBot="1" x14ac:dyDescent="0.75">
      <c r="A147" s="227">
        <v>133</v>
      </c>
      <c r="B147" s="251">
        <v>7</v>
      </c>
      <c r="C147" s="252" t="s">
        <v>167</v>
      </c>
      <c r="D147" s="227"/>
      <c r="E147" s="227"/>
      <c r="F147" s="1463" t="s">
        <v>441</v>
      </c>
      <c r="G147" s="1464"/>
      <c r="H147" s="1464"/>
      <c r="I147" s="1464"/>
      <c r="J147" s="1464"/>
      <c r="K147" s="1464"/>
      <c r="L147" s="1464"/>
      <c r="M147" s="1464"/>
      <c r="N147" s="1475"/>
      <c r="O147" s="253"/>
      <c r="P147" s="253"/>
      <c r="Q147" s="253"/>
      <c r="R147" s="253"/>
      <c r="S147" s="1476" t="str">
        <f>IF(F147&lt;&gt;"",F147,"")</f>
        <v>CONTEÚDO</v>
      </c>
      <c r="T147" s="1477"/>
      <c r="U147" s="1477"/>
      <c r="V147" s="1477"/>
      <c r="W147" s="1477"/>
      <c r="X147" s="1477"/>
      <c r="Y147" s="1477"/>
      <c r="Z147" s="1477"/>
      <c r="AA147" s="1478"/>
      <c r="AM147" s="1703">
        <f t="shared" ref="AM147:AM203" si="113">Z147-AN147</f>
        <v>0</v>
      </c>
      <c r="AN147" s="1704"/>
    </row>
    <row r="148" spans="1:41" ht="60" customHeight="1" x14ac:dyDescent="0.7">
      <c r="A148" s="227">
        <v>134</v>
      </c>
      <c r="B148" s="251" t="s">
        <v>442</v>
      </c>
      <c r="C148" s="252" t="s">
        <v>169</v>
      </c>
      <c r="D148" s="227"/>
      <c r="E148" s="227"/>
      <c r="F148" s="1469" t="s">
        <v>441</v>
      </c>
      <c r="G148" s="1470"/>
      <c r="H148" s="1470"/>
      <c r="I148" s="1470"/>
      <c r="J148" s="1470"/>
      <c r="K148" s="1471"/>
      <c r="L148" s="254" t="s">
        <v>171</v>
      </c>
      <c r="M148" s="255" t="s">
        <v>172</v>
      </c>
      <c r="N148" s="256" t="s">
        <v>129</v>
      </c>
      <c r="O148" s="407"/>
      <c r="P148" s="407"/>
      <c r="Q148" s="407"/>
      <c r="R148" s="407"/>
      <c r="S148" s="1479" t="str">
        <f>IF(F148&lt;&gt;"",F148,"")</f>
        <v>CONTEÚDO</v>
      </c>
      <c r="T148" s="1480"/>
      <c r="U148" s="1480"/>
      <c r="V148" s="1480"/>
      <c r="W148" s="1480"/>
      <c r="X148" s="1480"/>
      <c r="Y148" s="1480"/>
      <c r="Z148" s="1480"/>
      <c r="AA148" s="1481"/>
      <c r="AB148" s="258" t="s">
        <v>173</v>
      </c>
      <c r="AC148" s="259" t="s">
        <v>130</v>
      </c>
      <c r="AM148" s="1703">
        <f t="shared" si="113"/>
        <v>0</v>
      </c>
      <c r="AN148" s="1704"/>
    </row>
    <row r="149" spans="1:41" ht="150" customHeight="1" x14ac:dyDescent="0.7">
      <c r="A149" s="227">
        <v>135</v>
      </c>
      <c r="B149" s="251" t="s">
        <v>443</v>
      </c>
      <c r="C149" s="252" t="s">
        <v>175</v>
      </c>
      <c r="D149" s="227" t="s">
        <v>182</v>
      </c>
      <c r="E149" s="329" t="s">
        <v>331</v>
      </c>
      <c r="F149" s="339" t="s">
        <v>446</v>
      </c>
      <c r="G149" s="466" t="s">
        <v>1280</v>
      </c>
      <c r="H149" s="341">
        <v>1</v>
      </c>
      <c r="I149" s="467">
        <v>1</v>
      </c>
      <c r="J149" s="468">
        <v>21600</v>
      </c>
      <c r="K149" s="342">
        <f>IF(F149&lt;&gt;"",H149*I149*J149,"")</f>
        <v>21600</v>
      </c>
      <c r="L149" s="342">
        <f>IF(K149&lt;&gt;"",IF(D149="INTERNO",0,K149*$L$14),"")</f>
        <v>1728</v>
      </c>
      <c r="M149" s="342">
        <f>IF(K149&lt;&gt;"",IF(E149="FAT.OGGI",SUM(K149:L149)*(1/(1-$M$14)-1),L149*(1/(1-$M$14)-1)),0)</f>
        <v>362.23829684286909</v>
      </c>
      <c r="N149" s="469">
        <f>SUM(K149:M149)</f>
        <v>23690.238296842868</v>
      </c>
      <c r="O149" s="203" t="s">
        <v>654</v>
      </c>
      <c r="P149" s="431" t="s">
        <v>623</v>
      </c>
      <c r="Q149" s="282" t="s">
        <v>992</v>
      </c>
      <c r="R149" s="203" t="s">
        <v>991</v>
      </c>
      <c r="S149" s="268">
        <f t="shared" ref="S149:T151" si="114">IF(H149&lt;&gt;"",H149,"")</f>
        <v>1</v>
      </c>
      <c r="T149" s="269">
        <f t="shared" si="114"/>
        <v>1</v>
      </c>
      <c r="U149" s="270">
        <v>25100</v>
      </c>
      <c r="V149" s="270">
        <v>57100</v>
      </c>
      <c r="W149" s="278">
        <f>IF(S149&lt;&gt;"",K149-V149,"")</f>
        <v>-35500</v>
      </c>
      <c r="X149" s="272">
        <f>IF(S149&lt;&gt;"",0%,"")</f>
        <v>0</v>
      </c>
      <c r="Y149" s="273">
        <f>IF(S149&lt;&gt;"",X149*W149,"")</f>
        <v>0</v>
      </c>
      <c r="Z149" s="273">
        <f>IF(S149&lt;&gt;"",Y149+V149,"")</f>
        <v>57100</v>
      </c>
      <c r="AA149" s="274">
        <f>IF(S149&lt;&gt;"",Z149+M149,"")</f>
        <v>57462.238296842872</v>
      </c>
      <c r="AB149" s="275">
        <f>IF(S149&lt;&gt;"", IFERROR(W149/K149, 0), 0)</f>
        <v>-1.6435185185185186</v>
      </c>
      <c r="AC149" s="276">
        <f>V149/$V$152</f>
        <v>0.49038131226382686</v>
      </c>
      <c r="AM149" s="1703">
        <f t="shared" si="113"/>
        <v>0</v>
      </c>
      <c r="AN149" s="1704">
        <f>2000+25100+30000</f>
        <v>57100</v>
      </c>
      <c r="AO149" s="1695" t="s">
        <v>1656</v>
      </c>
    </row>
    <row r="150" spans="1:41" ht="150" customHeight="1" x14ac:dyDescent="0.7">
      <c r="A150" s="227">
        <v>136</v>
      </c>
      <c r="B150" s="251" t="s">
        <v>444</v>
      </c>
      <c r="C150" s="252" t="s">
        <v>175</v>
      </c>
      <c r="D150" s="227" t="s">
        <v>182</v>
      </c>
      <c r="E150" s="329" t="s">
        <v>331</v>
      </c>
      <c r="F150" s="339" t="s">
        <v>447</v>
      </c>
      <c r="G150" s="381" t="s">
        <v>1281</v>
      </c>
      <c r="H150" s="353">
        <v>1</v>
      </c>
      <c r="I150" s="353">
        <v>1</v>
      </c>
      <c r="J150" s="263">
        <v>76500</v>
      </c>
      <c r="K150" s="263">
        <f>IF(F150&lt;&gt;"",H150*I150*J150,"")</f>
        <v>76500</v>
      </c>
      <c r="L150" s="263">
        <f>IF(K150&lt;&gt;"",IF(D150="INTERNO",0,K150*$L$14),"")</f>
        <v>6120</v>
      </c>
      <c r="M150" s="263">
        <f>IF(K150&lt;&gt;"",IF(E150="FAT.OGGI",SUM(K150:L150)*(1/(1-$M$14)-1),L150*(1/(1-$M$14)-1)),0)</f>
        <v>1282.9273013184948</v>
      </c>
      <c r="N150" s="281">
        <f>SUM(K150:M150)</f>
        <v>83902.927301318501</v>
      </c>
      <c r="O150" s="203" t="s">
        <v>654</v>
      </c>
      <c r="P150" s="431" t="s">
        <v>623</v>
      </c>
      <c r="Q150" s="470" t="s">
        <v>1117</v>
      </c>
      <c r="S150" s="268">
        <f t="shared" si="114"/>
        <v>1</v>
      </c>
      <c r="T150" s="269">
        <f t="shared" si="114"/>
        <v>1</v>
      </c>
      <c r="U150" s="270">
        <v>70000</v>
      </c>
      <c r="V150" s="270">
        <v>59340</v>
      </c>
      <c r="W150" s="271">
        <f>IF(S150&lt;&gt;"",K150-V150,"")</f>
        <v>17160</v>
      </c>
      <c r="X150" s="272">
        <f>IF(S150&lt;&gt;"",0%,"")</f>
        <v>0</v>
      </c>
      <c r="Y150" s="273">
        <f>IF(S150&lt;&gt;"",X150*W150,"")</f>
        <v>0</v>
      </c>
      <c r="Z150" s="273">
        <f>IF(S150&lt;&gt;"",Y150+V150,"")</f>
        <v>59340</v>
      </c>
      <c r="AA150" s="274">
        <f>IF(S150&lt;&gt;"",Z150+M150,"")</f>
        <v>60622.927301318494</v>
      </c>
      <c r="AB150" s="275">
        <f>IF(S150&lt;&gt;"", IFERROR(W150/K150, 0), 0)</f>
        <v>0.22431372549019607</v>
      </c>
      <c r="AC150" s="276">
        <f>V150/$V$152</f>
        <v>0.50961868773617314</v>
      </c>
      <c r="AM150" s="1703">
        <f t="shared" si="113"/>
        <v>0</v>
      </c>
      <c r="AN150" s="1704">
        <f>50000+9340</f>
        <v>59340</v>
      </c>
      <c r="AO150" s="1695" t="s">
        <v>1570</v>
      </c>
    </row>
    <row r="151" spans="1:41" ht="150" customHeight="1" x14ac:dyDescent="0.7">
      <c r="A151" s="227">
        <v>137</v>
      </c>
      <c r="B151" s="251" t="s">
        <v>445</v>
      </c>
      <c r="C151" s="252" t="s">
        <v>175</v>
      </c>
      <c r="D151" s="227" t="s">
        <v>182</v>
      </c>
      <c r="E151" s="329" t="s">
        <v>331</v>
      </c>
      <c r="F151" s="339" t="s">
        <v>448</v>
      </c>
      <c r="G151" s="381" t="s">
        <v>1282</v>
      </c>
      <c r="H151" s="353">
        <v>1</v>
      </c>
      <c r="I151" s="353">
        <v>1</v>
      </c>
      <c r="J151" s="263">
        <v>14700</v>
      </c>
      <c r="K151" s="263">
        <f>IF(F151&lt;&gt;"",H151*I151*J151,"")</f>
        <v>14700</v>
      </c>
      <c r="L151" s="263">
        <f>IF(K151&lt;&gt;"",IF(D151="INTERNO",0,K151*$L$14),"")</f>
        <v>1176</v>
      </c>
      <c r="M151" s="263">
        <f>IF(K151&lt;&gt;"",IF(E151="FAT.OGGI",SUM(K151:L151)*(1/(1-$M$14)-1),L151*(1/(1-$M$14)-1)),0)</f>
        <v>246.52328535139705</v>
      </c>
      <c r="N151" s="281">
        <f>SUM(K151:M151)</f>
        <v>16122.523285351397</v>
      </c>
      <c r="O151" s="203" t="s">
        <v>654</v>
      </c>
      <c r="P151" s="431" t="s">
        <v>623</v>
      </c>
      <c r="Q151" s="471" t="s">
        <v>1118</v>
      </c>
      <c r="S151" s="268">
        <f t="shared" si="114"/>
        <v>1</v>
      </c>
      <c r="T151" s="269">
        <v>0</v>
      </c>
      <c r="U151" s="270">
        <v>12000</v>
      </c>
      <c r="V151" s="270">
        <f>IF(S151&lt;&gt;"",S151*T151*U151,"")</f>
        <v>0</v>
      </c>
      <c r="W151" s="271">
        <f>IF(S151&lt;&gt;"",K151-V151,"")</f>
        <v>14700</v>
      </c>
      <c r="X151" s="272">
        <f>IF(S151&lt;&gt;"",0%,"")</f>
        <v>0</v>
      </c>
      <c r="Y151" s="273">
        <f>IF(S151&lt;&gt;"",X151*W151,"")</f>
        <v>0</v>
      </c>
      <c r="Z151" s="273">
        <f>IF(S151&lt;&gt;"",Y151+V151,"")</f>
        <v>0</v>
      </c>
      <c r="AA151" s="274">
        <f>IF(S151&lt;&gt;"",Z151+M151,"")</f>
        <v>246.52328535139705</v>
      </c>
      <c r="AB151" s="275">
        <f>IF(S151&lt;&gt;"", IFERROR(W151/K151, 0), 0)</f>
        <v>1</v>
      </c>
      <c r="AC151" s="276">
        <f>V151/$V$152</f>
        <v>0</v>
      </c>
      <c r="AM151" s="1703">
        <f t="shared" si="113"/>
        <v>0</v>
      </c>
      <c r="AN151" s="1704"/>
    </row>
    <row r="152" spans="1:41" ht="60" customHeight="1" thickBot="1" x14ac:dyDescent="0.75">
      <c r="A152" s="227">
        <v>138</v>
      </c>
      <c r="B152" s="251"/>
      <c r="C152" s="252" t="s">
        <v>184</v>
      </c>
      <c r="D152" s="227"/>
      <c r="E152" s="227"/>
      <c r="F152" s="1491" t="s">
        <v>450</v>
      </c>
      <c r="G152" s="1492"/>
      <c r="H152" s="1492"/>
      <c r="I152" s="1492"/>
      <c r="J152" s="1492"/>
      <c r="K152" s="398">
        <f>SUM(K149:K151)</f>
        <v>112800</v>
      </c>
      <c r="L152" s="398">
        <f>SUM(L149:L151)</f>
        <v>9024</v>
      </c>
      <c r="M152" s="398">
        <f>SUM(M149:M151)</f>
        <v>1891.6888835127611</v>
      </c>
      <c r="N152" s="398">
        <f>SUM(N149:N151)</f>
        <v>123715.68888351278</v>
      </c>
      <c r="O152" s="370"/>
      <c r="P152" s="370"/>
      <c r="Q152" s="370"/>
      <c r="R152" s="370"/>
      <c r="S152" s="1493">
        <f>SUM(S149:S151)</f>
        <v>3</v>
      </c>
      <c r="T152" s="1480"/>
      <c r="U152" s="1480"/>
      <c r="V152" s="398">
        <f>SUM(V149:V151)</f>
        <v>116440</v>
      </c>
      <c r="W152" s="472">
        <f>SUM(W149:W151)</f>
        <v>-3640</v>
      </c>
      <c r="X152" s="473">
        <f>SUM(X149:X151)</f>
        <v>0</v>
      </c>
      <c r="Y152" s="474"/>
      <c r="Z152" s="475">
        <f>SUM(Z149:Z151)</f>
        <v>116440</v>
      </c>
      <c r="AA152" s="476">
        <f>SUM(AA149:AA151)</f>
        <v>118331.68888351278</v>
      </c>
      <c r="AM152" s="1703"/>
      <c r="AN152" s="1704"/>
    </row>
    <row r="153" spans="1:41" ht="60" customHeight="1" thickBot="1" x14ac:dyDescent="0.75">
      <c r="A153" s="227">
        <v>139</v>
      </c>
      <c r="B153" s="251">
        <v>8</v>
      </c>
      <c r="C153" s="252" t="s">
        <v>167</v>
      </c>
      <c r="D153" s="227"/>
      <c r="E153" s="227"/>
      <c r="F153" s="1463" t="s">
        <v>452</v>
      </c>
      <c r="G153" s="1464"/>
      <c r="H153" s="1464"/>
      <c r="I153" s="1464"/>
      <c r="J153" s="1464"/>
      <c r="K153" s="1464"/>
      <c r="L153" s="1464"/>
      <c r="M153" s="1464"/>
      <c r="N153" s="1475"/>
      <c r="O153" s="253"/>
      <c r="P153" s="253"/>
      <c r="Q153" s="253"/>
      <c r="R153" s="253"/>
      <c r="S153" s="1476" t="str">
        <f>IF(F153&lt;&gt;"",F153,"")</f>
        <v>CENOGRAFIA</v>
      </c>
      <c r="T153" s="1477"/>
      <c r="U153" s="1477"/>
      <c r="V153" s="1477"/>
      <c r="W153" s="1477"/>
      <c r="X153" s="1477"/>
      <c r="Y153" s="1477"/>
      <c r="Z153" s="1477"/>
      <c r="AA153" s="1478"/>
      <c r="AM153" s="1703">
        <f t="shared" si="113"/>
        <v>0</v>
      </c>
      <c r="AN153" s="1704"/>
    </row>
    <row r="154" spans="1:41" ht="60" customHeight="1" thickBot="1" x14ac:dyDescent="0.75">
      <c r="A154" s="227">
        <v>140</v>
      </c>
      <c r="B154" s="251" t="s">
        <v>451</v>
      </c>
      <c r="C154" s="252" t="s">
        <v>169</v>
      </c>
      <c r="D154" s="227"/>
      <c r="E154" s="227"/>
      <c r="F154" s="1472" t="s">
        <v>458</v>
      </c>
      <c r="G154" s="1473"/>
      <c r="H154" s="1473"/>
      <c r="I154" s="1473"/>
      <c r="J154" s="1473"/>
      <c r="K154" s="1473"/>
      <c r="L154" s="378" t="s">
        <v>171</v>
      </c>
      <c r="M154" s="378" t="s">
        <v>172</v>
      </c>
      <c r="N154" s="378" t="s">
        <v>129</v>
      </c>
      <c r="O154" s="477"/>
      <c r="P154" s="477"/>
      <c r="Q154" s="477"/>
      <c r="R154" s="477"/>
      <c r="S154" s="1479" t="str">
        <f>IF(F154&lt;&gt;"",F154,"")</f>
        <v xml:space="preserve">CENOGRAFIA </v>
      </c>
      <c r="T154" s="1480"/>
      <c r="U154" s="1480"/>
      <c r="V154" s="1480"/>
      <c r="W154" s="1480"/>
      <c r="X154" s="1480"/>
      <c r="Y154" s="1480"/>
      <c r="Z154" s="1480"/>
      <c r="AA154" s="1481"/>
      <c r="AB154" s="258" t="s">
        <v>173</v>
      </c>
      <c r="AC154" s="259" t="s">
        <v>130</v>
      </c>
      <c r="AM154" s="1703">
        <f t="shared" si="113"/>
        <v>0</v>
      </c>
      <c r="AN154" s="1704"/>
    </row>
    <row r="155" spans="1:41" ht="150" customHeight="1" x14ac:dyDescent="0.7">
      <c r="A155" s="227">
        <v>141</v>
      </c>
      <c r="B155" s="251" t="s">
        <v>453</v>
      </c>
      <c r="C155" s="252" t="s">
        <v>175</v>
      </c>
      <c r="D155" s="227" t="s">
        <v>182</v>
      </c>
      <c r="E155" s="329" t="s">
        <v>331</v>
      </c>
      <c r="F155" s="351" t="s">
        <v>571</v>
      </c>
      <c r="G155" s="478" t="s">
        <v>1283</v>
      </c>
      <c r="H155" s="341">
        <v>1</v>
      </c>
      <c r="I155" s="341">
        <v>1</v>
      </c>
      <c r="J155" s="367">
        <v>10500</v>
      </c>
      <c r="K155" s="264">
        <f t="shared" ref="K155:K166" si="115">IF(F155&lt;&gt;"",H155*I155*J155,"")</f>
        <v>10500</v>
      </c>
      <c r="L155" s="264">
        <f t="shared" ref="L155:L166" si="116">IF(K155&lt;&gt;"",IF(D155="INTERNO",0,K155*$L$14),"")</f>
        <v>840</v>
      </c>
      <c r="M155" s="264">
        <f t="shared" ref="M155:M166" si="117">IF(K155&lt;&gt;"",IF(E155="FAT.OGGI",SUM(K155:L155)*(1/(1-$M$14)-1),L155*(1/(1-$M$14)-1)),0)</f>
        <v>176.0880609652836</v>
      </c>
      <c r="N155" s="264">
        <f t="shared" ref="N155:N166" si="118">SUM(K155:M155)</f>
        <v>11516.088060965283</v>
      </c>
      <c r="O155" s="203" t="s">
        <v>654</v>
      </c>
      <c r="P155" s="265" t="s">
        <v>657</v>
      </c>
      <c r="Q155" s="479"/>
      <c r="R155" s="479"/>
      <c r="S155" s="268">
        <f t="shared" ref="S155:T166" si="119">IF(H155&lt;&gt;"",H155,"")</f>
        <v>1</v>
      </c>
      <c r="T155" s="269">
        <f t="shared" si="119"/>
        <v>1</v>
      </c>
      <c r="U155" s="411">
        <v>255000</v>
      </c>
      <c r="V155" s="270">
        <v>432819.63</v>
      </c>
      <c r="W155" s="271">
        <f t="shared" ref="W155:W166" si="120">IF(S155&lt;&gt;"",K155-V155,"")</f>
        <v>-422319.63</v>
      </c>
      <c r="X155" s="272">
        <f t="shared" ref="X155:X166" si="121">IF(S155&lt;&gt;"",0%,"")</f>
        <v>0</v>
      </c>
      <c r="Y155" s="273">
        <f t="shared" ref="Y155:Y166" si="122">IF(S155&lt;&gt;"",X155*W155,"")</f>
        <v>0</v>
      </c>
      <c r="Z155" s="273">
        <f t="shared" ref="Z155:Z166" si="123">IF(S155&lt;&gt;"",Y155+V155,"")</f>
        <v>432819.63</v>
      </c>
      <c r="AA155" s="274">
        <f t="shared" ref="AA155:AA166" si="124">IF(S155&lt;&gt;"",Z155+M155,"")</f>
        <v>432995.7180609653</v>
      </c>
      <c r="AB155" s="275">
        <f t="shared" ref="AB155:AB166" si="125">IF(S155&lt;&gt;"", IFERROR(W155/K155, 0), 0)</f>
        <v>-40.220917142857147</v>
      </c>
      <c r="AC155" s="276">
        <f t="shared" ref="AC155:AC166" si="126">V155/$V$167</f>
        <v>0.70814772908157686</v>
      </c>
      <c r="AM155" s="1703">
        <f t="shared" si="113"/>
        <v>0</v>
      </c>
      <c r="AN155" s="1704">
        <f>412819.63+20000</f>
        <v>432819.63</v>
      </c>
      <c r="AO155" s="1695" t="s">
        <v>1036</v>
      </c>
    </row>
    <row r="156" spans="1:41" ht="150" customHeight="1" x14ac:dyDescent="0.7">
      <c r="A156" s="227">
        <v>142</v>
      </c>
      <c r="B156" s="251" t="s">
        <v>454</v>
      </c>
      <c r="C156" s="252" t="s">
        <v>175</v>
      </c>
      <c r="D156" s="227" t="s">
        <v>182</v>
      </c>
      <c r="E156" s="329" t="s">
        <v>331</v>
      </c>
      <c r="F156" s="351" t="s">
        <v>465</v>
      </c>
      <c r="G156" s="478" t="s">
        <v>465</v>
      </c>
      <c r="H156" s="341">
        <v>4</v>
      </c>
      <c r="I156" s="341">
        <v>1</v>
      </c>
      <c r="J156" s="367">
        <v>750</v>
      </c>
      <c r="K156" s="264">
        <f t="shared" si="115"/>
        <v>3000</v>
      </c>
      <c r="L156" s="264">
        <f t="shared" si="116"/>
        <v>240</v>
      </c>
      <c r="M156" s="264">
        <f t="shared" si="117"/>
        <v>50.3108745615096</v>
      </c>
      <c r="N156" s="264">
        <f t="shared" si="118"/>
        <v>3290.3108745615095</v>
      </c>
      <c r="O156" s="203" t="s">
        <v>654</v>
      </c>
      <c r="P156" s="265" t="s">
        <v>815</v>
      </c>
      <c r="Q156" s="479"/>
      <c r="R156" s="479"/>
      <c r="S156" s="268">
        <f t="shared" si="119"/>
        <v>4</v>
      </c>
      <c r="T156" s="269">
        <v>0</v>
      </c>
      <c r="U156" s="270">
        <v>700</v>
      </c>
      <c r="V156" s="270">
        <v>0</v>
      </c>
      <c r="W156" s="271">
        <f t="shared" si="120"/>
        <v>3000</v>
      </c>
      <c r="X156" s="272">
        <f t="shared" si="121"/>
        <v>0</v>
      </c>
      <c r="Y156" s="273">
        <f t="shared" si="122"/>
        <v>0</v>
      </c>
      <c r="Z156" s="273">
        <v>0</v>
      </c>
      <c r="AA156" s="274">
        <f t="shared" si="124"/>
        <v>50.3108745615096</v>
      </c>
      <c r="AB156" s="275">
        <f t="shared" si="125"/>
        <v>1</v>
      </c>
      <c r="AC156" s="276">
        <f t="shared" si="126"/>
        <v>0</v>
      </c>
      <c r="AM156" s="1703">
        <f t="shared" si="113"/>
        <v>0</v>
      </c>
      <c r="AN156" s="1704"/>
    </row>
    <row r="157" spans="1:41" ht="150" customHeight="1" x14ac:dyDescent="0.7">
      <c r="A157" s="227">
        <v>143</v>
      </c>
      <c r="B157" s="251" t="s">
        <v>455</v>
      </c>
      <c r="C157" s="252" t="s">
        <v>175</v>
      </c>
      <c r="D157" s="227" t="s">
        <v>182</v>
      </c>
      <c r="E157" s="329" t="s">
        <v>331</v>
      </c>
      <c r="F157" s="351" t="s">
        <v>466</v>
      </c>
      <c r="G157" s="478" t="s">
        <v>1284</v>
      </c>
      <c r="H157" s="341">
        <v>1</v>
      </c>
      <c r="I157" s="341">
        <v>1</v>
      </c>
      <c r="J157" s="367">
        <v>12000</v>
      </c>
      <c r="K157" s="264">
        <f t="shared" si="115"/>
        <v>12000</v>
      </c>
      <c r="L157" s="264">
        <f t="shared" si="116"/>
        <v>960</v>
      </c>
      <c r="M157" s="264">
        <f t="shared" si="117"/>
        <v>201.2434982460384</v>
      </c>
      <c r="N157" s="264">
        <f t="shared" si="118"/>
        <v>13161.243498246038</v>
      </c>
      <c r="O157" s="203" t="s">
        <v>654</v>
      </c>
      <c r="P157" s="265" t="s">
        <v>657</v>
      </c>
      <c r="Q157" s="480"/>
      <c r="R157" s="480"/>
      <c r="S157" s="284">
        <f t="shared" si="119"/>
        <v>1</v>
      </c>
      <c r="T157" s="285">
        <v>0</v>
      </c>
      <c r="U157" s="286">
        <v>9500</v>
      </c>
      <c r="V157" s="286">
        <f t="shared" ref="V157:V164" si="127">IF(S157&lt;&gt;"",S157*T157*U157,"")</f>
        <v>0</v>
      </c>
      <c r="W157" s="287">
        <f t="shared" si="120"/>
        <v>12000</v>
      </c>
      <c r="X157" s="288">
        <f t="shared" si="121"/>
        <v>0</v>
      </c>
      <c r="Y157" s="289">
        <f t="shared" si="122"/>
        <v>0</v>
      </c>
      <c r="Z157" s="289">
        <f>IF(S157&lt;&gt;"",Y157+V157,"")</f>
        <v>0</v>
      </c>
      <c r="AA157" s="290">
        <f t="shared" si="124"/>
        <v>201.2434982460384</v>
      </c>
      <c r="AB157" s="275">
        <f t="shared" si="125"/>
        <v>1</v>
      </c>
      <c r="AC157" s="276">
        <f t="shared" si="126"/>
        <v>0</v>
      </c>
      <c r="AM157" s="1703">
        <f t="shared" si="113"/>
        <v>0</v>
      </c>
      <c r="AN157" s="1704"/>
    </row>
    <row r="158" spans="1:41" ht="150" customHeight="1" x14ac:dyDescent="0.7">
      <c r="A158" s="297">
        <v>144</v>
      </c>
      <c r="B158" s="251" t="s">
        <v>456</v>
      </c>
      <c r="C158" s="298" t="s">
        <v>175</v>
      </c>
      <c r="D158" s="227" t="s">
        <v>182</v>
      </c>
      <c r="E158" s="329" t="s">
        <v>331</v>
      </c>
      <c r="F158" s="351" t="s">
        <v>595</v>
      </c>
      <c r="G158" s="450" t="s">
        <v>1285</v>
      </c>
      <c r="H158" s="408">
        <v>1</v>
      </c>
      <c r="I158" s="408">
        <v>1</v>
      </c>
      <c r="J158" s="367">
        <v>30000</v>
      </c>
      <c r="K158" s="264">
        <f>IF(F158&lt;&gt;"",H158*I158*J158,"")</f>
        <v>30000</v>
      </c>
      <c r="L158" s="264">
        <f>IF(K158&lt;&gt;"",IF(D158="INTERNO",0,K158*$L$14),"")</f>
        <v>2400</v>
      </c>
      <c r="M158" s="264">
        <f>IF(K158&lt;&gt;"",IF(E158="FAT.OGGI",SUM(K158:L158)*(1/(1-$M$14)-1),L158*(1/(1-$M$14)-1)),0)</f>
        <v>503.10874561509598</v>
      </c>
      <c r="N158" s="264">
        <f>SUM(K158:M158)</f>
        <v>32903.108745615093</v>
      </c>
      <c r="O158" s="203" t="s">
        <v>654</v>
      </c>
      <c r="P158" s="265" t="s">
        <v>816</v>
      </c>
      <c r="Q158" s="421"/>
      <c r="R158" s="421"/>
      <c r="S158" s="422">
        <f t="shared" si="119"/>
        <v>1</v>
      </c>
      <c r="T158" s="422">
        <f t="shared" si="119"/>
        <v>1</v>
      </c>
      <c r="U158" s="301">
        <v>110000</v>
      </c>
      <c r="V158" s="270">
        <v>155600</v>
      </c>
      <c r="W158" s="271">
        <f t="shared" ref="W158" si="128">IF(S158&lt;&gt;"",K158-V158,"")</f>
        <v>-125600</v>
      </c>
      <c r="X158" s="272">
        <f t="shared" ref="X158" si="129">IF(S158&lt;&gt;"",0%,"")</f>
        <v>0</v>
      </c>
      <c r="Y158" s="273">
        <f t="shared" ref="Y158" si="130">IF(S158&lt;&gt;"",X158*W158,"")</f>
        <v>0</v>
      </c>
      <c r="Z158" s="289">
        <f>IF(S158&lt;&gt;"",Y158+V158,"")</f>
        <v>155600</v>
      </c>
      <c r="AA158" s="273">
        <f t="shared" si="124"/>
        <v>156103.10874561509</v>
      </c>
      <c r="AB158" s="276">
        <f t="shared" si="125"/>
        <v>-4.1866666666666665</v>
      </c>
      <c r="AC158" s="276">
        <f t="shared" si="126"/>
        <v>0.25458130594745287</v>
      </c>
      <c r="AM158" s="1703">
        <f>Z158-AN158</f>
        <v>0</v>
      </c>
      <c r="AN158" s="1704">
        <f>35000+70600+30000+20000</f>
        <v>155600</v>
      </c>
      <c r="AO158" s="1695" t="s">
        <v>1594</v>
      </c>
    </row>
    <row r="159" spans="1:41" ht="150" customHeight="1" x14ac:dyDescent="0.7">
      <c r="A159" s="279">
        <v>145</v>
      </c>
      <c r="B159" s="251" t="s">
        <v>457</v>
      </c>
      <c r="C159" s="280" t="s">
        <v>175</v>
      </c>
      <c r="D159" s="279" t="s">
        <v>182</v>
      </c>
      <c r="E159" s="329" t="s">
        <v>331</v>
      </c>
      <c r="F159" s="351" t="s">
        <v>467</v>
      </c>
      <c r="G159" s="450" t="s">
        <v>1286</v>
      </c>
      <c r="H159" s="330">
        <v>1</v>
      </c>
      <c r="I159" s="330">
        <v>1</v>
      </c>
      <c r="J159" s="367">
        <v>50000</v>
      </c>
      <c r="K159" s="264">
        <f t="shared" si="115"/>
        <v>50000</v>
      </c>
      <c r="L159" s="264">
        <f t="shared" si="116"/>
        <v>4000</v>
      </c>
      <c r="M159" s="264">
        <f t="shared" si="117"/>
        <v>838.51457602515995</v>
      </c>
      <c r="N159" s="264">
        <f t="shared" si="118"/>
        <v>54838.514576025162</v>
      </c>
      <c r="O159" s="203" t="s">
        <v>654</v>
      </c>
      <c r="P159" s="265" t="s">
        <v>817</v>
      </c>
      <c r="Q159" s="481"/>
      <c r="R159" s="481"/>
      <c r="S159" s="313">
        <f t="shared" si="119"/>
        <v>1</v>
      </c>
      <c r="T159" s="314">
        <v>0</v>
      </c>
      <c r="U159" s="315">
        <v>49000</v>
      </c>
      <c r="V159" s="270">
        <f t="shared" si="127"/>
        <v>0</v>
      </c>
      <c r="W159" s="271">
        <f t="shared" si="120"/>
        <v>50000</v>
      </c>
      <c r="X159" s="272">
        <f t="shared" si="121"/>
        <v>0</v>
      </c>
      <c r="Y159" s="273">
        <f t="shared" si="122"/>
        <v>0</v>
      </c>
      <c r="Z159" s="273">
        <f t="shared" si="123"/>
        <v>0</v>
      </c>
      <c r="AA159" s="312">
        <f t="shared" si="124"/>
        <v>838.51457602515995</v>
      </c>
      <c r="AB159" s="275">
        <f t="shared" si="125"/>
        <v>1</v>
      </c>
      <c r="AC159" s="276">
        <f t="shared" si="126"/>
        <v>0</v>
      </c>
      <c r="AM159" s="1703">
        <f t="shared" si="113"/>
        <v>0</v>
      </c>
      <c r="AN159" s="1704"/>
    </row>
    <row r="160" spans="1:41" ht="150" customHeight="1" x14ac:dyDescent="0.7">
      <c r="A160" s="227">
        <v>146</v>
      </c>
      <c r="B160" s="251" t="s">
        <v>459</v>
      </c>
      <c r="C160" s="252" t="s">
        <v>175</v>
      </c>
      <c r="D160" s="227" t="s">
        <v>182</v>
      </c>
      <c r="E160" s="329" t="s">
        <v>331</v>
      </c>
      <c r="F160" s="351" t="s">
        <v>468</v>
      </c>
      <c r="G160" s="450" t="s">
        <v>468</v>
      </c>
      <c r="H160" s="330">
        <v>1</v>
      </c>
      <c r="I160" s="330">
        <v>1</v>
      </c>
      <c r="J160" s="367">
        <v>48000</v>
      </c>
      <c r="K160" s="264">
        <f t="shared" si="115"/>
        <v>48000</v>
      </c>
      <c r="L160" s="264">
        <f t="shared" si="116"/>
        <v>3840</v>
      </c>
      <c r="M160" s="264">
        <f t="shared" si="117"/>
        <v>804.9739929841536</v>
      </c>
      <c r="N160" s="264">
        <f t="shared" si="118"/>
        <v>52644.973992984153</v>
      </c>
      <c r="O160" s="203" t="s">
        <v>654</v>
      </c>
      <c r="P160" s="265" t="s">
        <v>817</v>
      </c>
      <c r="Q160" s="479"/>
      <c r="R160" s="479"/>
      <c r="S160" s="268">
        <f t="shared" si="119"/>
        <v>1</v>
      </c>
      <c r="T160" s="269">
        <v>0</v>
      </c>
      <c r="U160" s="270">
        <v>33000</v>
      </c>
      <c r="V160" s="270">
        <f t="shared" si="127"/>
        <v>0</v>
      </c>
      <c r="W160" s="271">
        <f t="shared" si="120"/>
        <v>48000</v>
      </c>
      <c r="X160" s="272">
        <f t="shared" si="121"/>
        <v>0</v>
      </c>
      <c r="Y160" s="273">
        <f t="shared" si="122"/>
        <v>0</v>
      </c>
      <c r="Z160" s="273">
        <f t="shared" si="123"/>
        <v>0</v>
      </c>
      <c r="AA160" s="274">
        <f t="shared" si="124"/>
        <v>804.9739929841536</v>
      </c>
      <c r="AB160" s="275">
        <f t="shared" si="125"/>
        <v>1</v>
      </c>
      <c r="AC160" s="276">
        <f t="shared" si="126"/>
        <v>0</v>
      </c>
      <c r="AM160" s="1703">
        <f t="shared" si="113"/>
        <v>0</v>
      </c>
      <c r="AN160" s="1704"/>
    </row>
    <row r="161" spans="1:41" ht="150" customHeight="1" x14ac:dyDescent="0.7">
      <c r="A161" s="227">
        <v>147</v>
      </c>
      <c r="B161" s="251" t="s">
        <v>460</v>
      </c>
      <c r="C161" s="252" t="s">
        <v>175</v>
      </c>
      <c r="D161" s="227" t="s">
        <v>182</v>
      </c>
      <c r="E161" s="329" t="s">
        <v>331</v>
      </c>
      <c r="F161" s="351" t="s">
        <v>469</v>
      </c>
      <c r="G161" s="450" t="s">
        <v>1287</v>
      </c>
      <c r="H161" s="330">
        <v>1</v>
      </c>
      <c r="I161" s="330">
        <v>1</v>
      </c>
      <c r="J161" s="367">
        <v>6000</v>
      </c>
      <c r="K161" s="264">
        <f t="shared" si="115"/>
        <v>6000</v>
      </c>
      <c r="L161" s="264">
        <f t="shared" si="116"/>
        <v>480</v>
      </c>
      <c r="M161" s="264">
        <f t="shared" si="117"/>
        <v>100.6217491230192</v>
      </c>
      <c r="N161" s="264">
        <f t="shared" si="118"/>
        <v>6580.6217491230191</v>
      </c>
      <c r="O161" s="203" t="s">
        <v>654</v>
      </c>
      <c r="P161" s="265" t="s">
        <v>657</v>
      </c>
      <c r="Q161" s="479"/>
      <c r="R161" s="479"/>
      <c r="S161" s="268">
        <f t="shared" si="119"/>
        <v>1</v>
      </c>
      <c r="T161" s="269">
        <v>0</v>
      </c>
      <c r="U161" s="270">
        <v>3000</v>
      </c>
      <c r="V161" s="270">
        <f t="shared" si="127"/>
        <v>0</v>
      </c>
      <c r="W161" s="271">
        <f t="shared" si="120"/>
        <v>6000</v>
      </c>
      <c r="X161" s="272">
        <f t="shared" si="121"/>
        <v>0</v>
      </c>
      <c r="Y161" s="273">
        <f t="shared" si="122"/>
        <v>0</v>
      </c>
      <c r="Z161" s="273">
        <f t="shared" si="123"/>
        <v>0</v>
      </c>
      <c r="AA161" s="274">
        <f t="shared" si="124"/>
        <v>100.6217491230192</v>
      </c>
      <c r="AB161" s="275">
        <f t="shared" si="125"/>
        <v>1</v>
      </c>
      <c r="AC161" s="276">
        <f t="shared" si="126"/>
        <v>0</v>
      </c>
      <c r="AM161" s="1703">
        <f t="shared" si="113"/>
        <v>0</v>
      </c>
      <c r="AN161" s="1704"/>
    </row>
    <row r="162" spans="1:41" ht="150" customHeight="1" x14ac:dyDescent="0.7">
      <c r="A162" s="227">
        <v>148</v>
      </c>
      <c r="B162" s="251" t="s">
        <v>461</v>
      </c>
      <c r="C162" s="252" t="s">
        <v>175</v>
      </c>
      <c r="D162" s="227" t="s">
        <v>182</v>
      </c>
      <c r="E162" s="329" t="s">
        <v>331</v>
      </c>
      <c r="F162" s="423" t="s">
        <v>597</v>
      </c>
      <c r="G162" s="478" t="s">
        <v>1288</v>
      </c>
      <c r="H162" s="330">
        <v>1</v>
      </c>
      <c r="I162" s="330">
        <v>1</v>
      </c>
      <c r="J162" s="367">
        <v>25000</v>
      </c>
      <c r="K162" s="264">
        <f t="shared" si="115"/>
        <v>25000</v>
      </c>
      <c r="L162" s="264">
        <f t="shared" si="116"/>
        <v>2000</v>
      </c>
      <c r="M162" s="264">
        <f t="shared" si="117"/>
        <v>419.25728801257998</v>
      </c>
      <c r="N162" s="264">
        <f t="shared" si="118"/>
        <v>27419.257288012581</v>
      </c>
      <c r="O162" s="203" t="s">
        <v>654</v>
      </c>
      <c r="P162" s="265" t="s">
        <v>657</v>
      </c>
      <c r="Q162" s="479"/>
      <c r="R162" s="479"/>
      <c r="S162" s="268">
        <f t="shared" si="119"/>
        <v>1</v>
      </c>
      <c r="T162" s="269">
        <v>0</v>
      </c>
      <c r="U162" s="270">
        <v>18000</v>
      </c>
      <c r="V162" s="270">
        <f t="shared" si="127"/>
        <v>0</v>
      </c>
      <c r="W162" s="271">
        <f t="shared" si="120"/>
        <v>25000</v>
      </c>
      <c r="X162" s="272">
        <f t="shared" si="121"/>
        <v>0</v>
      </c>
      <c r="Y162" s="273">
        <f t="shared" si="122"/>
        <v>0</v>
      </c>
      <c r="Z162" s="273">
        <f t="shared" si="123"/>
        <v>0</v>
      </c>
      <c r="AA162" s="274">
        <f t="shared" si="124"/>
        <v>419.25728801257998</v>
      </c>
      <c r="AB162" s="275">
        <f t="shared" si="125"/>
        <v>1</v>
      </c>
      <c r="AC162" s="276">
        <f t="shared" si="126"/>
        <v>0</v>
      </c>
      <c r="AM162" s="1703">
        <f t="shared" si="113"/>
        <v>0</v>
      </c>
      <c r="AN162" s="1704"/>
    </row>
    <row r="163" spans="1:41" ht="150" customHeight="1" x14ac:dyDescent="0.7">
      <c r="A163" s="227">
        <v>149</v>
      </c>
      <c r="B163" s="251" t="s">
        <v>462</v>
      </c>
      <c r="C163" s="252" t="s">
        <v>175</v>
      </c>
      <c r="D163" s="227" t="s">
        <v>182</v>
      </c>
      <c r="E163" s="329" t="s">
        <v>331</v>
      </c>
      <c r="F163" s="351" t="s">
        <v>470</v>
      </c>
      <c r="G163" s="450" t="s">
        <v>1289</v>
      </c>
      <c r="H163" s="330">
        <v>1</v>
      </c>
      <c r="I163" s="330">
        <v>1</v>
      </c>
      <c r="J163" s="367">
        <v>200000</v>
      </c>
      <c r="K163" s="264">
        <f t="shared" si="115"/>
        <v>200000</v>
      </c>
      <c r="L163" s="264">
        <f t="shared" si="116"/>
        <v>16000</v>
      </c>
      <c r="M163" s="264">
        <f t="shared" si="117"/>
        <v>3354.0583041006398</v>
      </c>
      <c r="N163" s="264">
        <f t="shared" si="118"/>
        <v>219354.05830410065</v>
      </c>
      <c r="O163" s="203" t="s">
        <v>654</v>
      </c>
      <c r="P163" s="265" t="s">
        <v>657</v>
      </c>
      <c r="Q163" s="479"/>
      <c r="R163" s="479"/>
      <c r="S163" s="268">
        <f t="shared" si="119"/>
        <v>1</v>
      </c>
      <c r="T163" s="269">
        <v>0</v>
      </c>
      <c r="U163" s="270">
        <v>120000</v>
      </c>
      <c r="V163" s="270">
        <f t="shared" si="127"/>
        <v>0</v>
      </c>
      <c r="W163" s="271">
        <f t="shared" si="120"/>
        <v>200000</v>
      </c>
      <c r="X163" s="272">
        <f t="shared" si="121"/>
        <v>0</v>
      </c>
      <c r="Y163" s="273">
        <f t="shared" si="122"/>
        <v>0</v>
      </c>
      <c r="Z163" s="273">
        <f t="shared" si="123"/>
        <v>0</v>
      </c>
      <c r="AA163" s="274">
        <f t="shared" si="124"/>
        <v>3354.0583041006398</v>
      </c>
      <c r="AB163" s="275">
        <f t="shared" si="125"/>
        <v>1</v>
      </c>
      <c r="AC163" s="276">
        <f t="shared" si="126"/>
        <v>0</v>
      </c>
      <c r="AM163" s="1703">
        <f t="shared" si="113"/>
        <v>0</v>
      </c>
      <c r="AN163" s="1704"/>
    </row>
    <row r="164" spans="1:41" ht="150" customHeight="1" x14ac:dyDescent="0.7">
      <c r="A164" s="227">
        <v>150</v>
      </c>
      <c r="B164" s="251" t="s">
        <v>463</v>
      </c>
      <c r="C164" s="252" t="s">
        <v>175</v>
      </c>
      <c r="D164" s="227" t="s">
        <v>182</v>
      </c>
      <c r="E164" s="329" t="s">
        <v>331</v>
      </c>
      <c r="F164" s="351" t="s">
        <v>576</v>
      </c>
      <c r="G164" s="450" t="s">
        <v>1290</v>
      </c>
      <c r="H164" s="330">
        <v>1</v>
      </c>
      <c r="I164" s="330">
        <v>1</v>
      </c>
      <c r="J164" s="367">
        <v>10000</v>
      </c>
      <c r="K164" s="264">
        <f t="shared" si="115"/>
        <v>10000</v>
      </c>
      <c r="L164" s="264">
        <f t="shared" si="116"/>
        <v>800</v>
      </c>
      <c r="M164" s="264">
        <f t="shared" si="117"/>
        <v>167.70291520503201</v>
      </c>
      <c r="N164" s="264">
        <f t="shared" si="118"/>
        <v>10967.702915205033</v>
      </c>
      <c r="O164" s="203" t="s">
        <v>654</v>
      </c>
      <c r="P164" s="265" t="s">
        <v>818</v>
      </c>
      <c r="Q164" s="479"/>
      <c r="R164" s="479"/>
      <c r="S164" s="268">
        <f t="shared" si="119"/>
        <v>1</v>
      </c>
      <c r="T164" s="269">
        <v>0</v>
      </c>
      <c r="U164" s="270">
        <v>10000</v>
      </c>
      <c r="V164" s="270">
        <f t="shared" si="127"/>
        <v>0</v>
      </c>
      <c r="W164" s="271">
        <f t="shared" si="120"/>
        <v>10000</v>
      </c>
      <c r="X164" s="272">
        <f t="shared" si="121"/>
        <v>0</v>
      </c>
      <c r="Y164" s="273">
        <f t="shared" si="122"/>
        <v>0</v>
      </c>
      <c r="Z164" s="273">
        <f t="shared" si="123"/>
        <v>0</v>
      </c>
      <c r="AA164" s="274">
        <f t="shared" si="124"/>
        <v>167.70291520503201</v>
      </c>
      <c r="AB164" s="275">
        <f t="shared" si="125"/>
        <v>1</v>
      </c>
      <c r="AC164" s="276">
        <f t="shared" si="126"/>
        <v>0</v>
      </c>
      <c r="AM164" s="1703">
        <f t="shared" si="113"/>
        <v>0</v>
      </c>
      <c r="AN164" s="1704"/>
    </row>
    <row r="165" spans="1:41" ht="150" customHeight="1" x14ac:dyDescent="0.7">
      <c r="A165" s="227">
        <v>151</v>
      </c>
      <c r="B165" s="251" t="s">
        <v>464</v>
      </c>
      <c r="C165" s="252" t="s">
        <v>175</v>
      </c>
      <c r="D165" s="227" t="s">
        <v>182</v>
      </c>
      <c r="E165" s="329" t="s">
        <v>331</v>
      </c>
      <c r="F165" s="351" t="s">
        <v>471</v>
      </c>
      <c r="G165" s="450" t="s">
        <v>1291</v>
      </c>
      <c r="H165" s="330">
        <v>1</v>
      </c>
      <c r="I165" s="330">
        <v>1</v>
      </c>
      <c r="J165" s="367">
        <v>17400</v>
      </c>
      <c r="K165" s="264">
        <f t="shared" si="115"/>
        <v>17400</v>
      </c>
      <c r="L165" s="264">
        <f t="shared" si="116"/>
        <v>1392</v>
      </c>
      <c r="M165" s="264">
        <f t="shared" si="117"/>
        <v>291.80307245675567</v>
      </c>
      <c r="N165" s="264">
        <f t="shared" si="118"/>
        <v>19083.803072456754</v>
      </c>
      <c r="O165" s="203" t="s">
        <v>654</v>
      </c>
      <c r="P165" s="482" t="s">
        <v>623</v>
      </c>
      <c r="Q165" s="482" t="s">
        <v>986</v>
      </c>
      <c r="R165" s="482"/>
      <c r="S165" s="268">
        <f t="shared" si="119"/>
        <v>1</v>
      </c>
      <c r="T165" s="269">
        <f t="shared" si="119"/>
        <v>1</v>
      </c>
      <c r="U165" s="270">
        <v>15000</v>
      </c>
      <c r="V165" s="270">
        <v>22780</v>
      </c>
      <c r="W165" s="271">
        <f t="shared" si="120"/>
        <v>-5380</v>
      </c>
      <c r="X165" s="272">
        <f t="shared" si="121"/>
        <v>0</v>
      </c>
      <c r="Y165" s="273">
        <f t="shared" si="122"/>
        <v>0</v>
      </c>
      <c r="Z165" s="273">
        <f t="shared" si="123"/>
        <v>22780</v>
      </c>
      <c r="AA165" s="274">
        <f t="shared" si="124"/>
        <v>23071.803072456754</v>
      </c>
      <c r="AB165" s="275">
        <f t="shared" si="125"/>
        <v>-0.30919540229885056</v>
      </c>
      <c r="AC165" s="276">
        <f t="shared" si="126"/>
        <v>3.7270964970970287E-2</v>
      </c>
      <c r="AM165" s="1703">
        <f t="shared" si="113"/>
        <v>0</v>
      </c>
      <c r="AN165" s="1704">
        <v>22780</v>
      </c>
      <c r="AO165" s="1695" t="s">
        <v>1592</v>
      </c>
    </row>
    <row r="166" spans="1:41" ht="150" customHeight="1" thickBot="1" x14ac:dyDescent="0.75">
      <c r="A166" s="227">
        <v>152</v>
      </c>
      <c r="B166" s="251" t="s">
        <v>594</v>
      </c>
      <c r="C166" s="252" t="s">
        <v>175</v>
      </c>
      <c r="D166" s="227" t="s">
        <v>182</v>
      </c>
      <c r="E166" s="329" t="s">
        <v>331</v>
      </c>
      <c r="F166" s="351" t="s">
        <v>472</v>
      </c>
      <c r="G166" s="450" t="s">
        <v>1292</v>
      </c>
      <c r="H166" s="330">
        <v>1</v>
      </c>
      <c r="I166" s="330">
        <v>1</v>
      </c>
      <c r="J166" s="367">
        <v>29200</v>
      </c>
      <c r="K166" s="264">
        <f t="shared" si="115"/>
        <v>29200</v>
      </c>
      <c r="L166" s="264">
        <f t="shared" si="116"/>
        <v>2336</v>
      </c>
      <c r="M166" s="264">
        <f t="shared" si="117"/>
        <v>489.69251239869345</v>
      </c>
      <c r="N166" s="264">
        <f t="shared" si="118"/>
        <v>32025.692512398695</v>
      </c>
      <c r="O166" s="203" t="s">
        <v>654</v>
      </c>
      <c r="P166" s="265" t="s">
        <v>819</v>
      </c>
      <c r="Q166" s="479"/>
      <c r="R166" s="479"/>
      <c r="S166" s="268">
        <f t="shared" si="119"/>
        <v>1</v>
      </c>
      <c r="T166" s="269">
        <v>0</v>
      </c>
      <c r="U166" s="483">
        <v>17000</v>
      </c>
      <c r="V166" s="270">
        <v>0</v>
      </c>
      <c r="W166" s="271">
        <f t="shared" si="120"/>
        <v>29200</v>
      </c>
      <c r="X166" s="272">
        <f t="shared" si="121"/>
        <v>0</v>
      </c>
      <c r="Y166" s="273">
        <f t="shared" si="122"/>
        <v>0</v>
      </c>
      <c r="Z166" s="273">
        <f t="shared" si="123"/>
        <v>0</v>
      </c>
      <c r="AA166" s="274">
        <f t="shared" si="124"/>
        <v>489.69251239869345</v>
      </c>
      <c r="AB166" s="275">
        <f t="shared" si="125"/>
        <v>1</v>
      </c>
      <c r="AC166" s="276">
        <f t="shared" si="126"/>
        <v>0</v>
      </c>
      <c r="AM166" s="1703">
        <f t="shared" si="113"/>
        <v>0</v>
      </c>
      <c r="AN166" s="1704"/>
    </row>
    <row r="167" spans="1:41" ht="60" customHeight="1" thickBot="1" x14ac:dyDescent="0.75">
      <c r="A167" s="227">
        <v>153</v>
      </c>
      <c r="B167" s="251"/>
      <c r="C167" s="252" t="s">
        <v>184</v>
      </c>
      <c r="D167" s="227"/>
      <c r="E167" s="227"/>
      <c r="F167" s="1486" t="s">
        <v>473</v>
      </c>
      <c r="G167" s="1487"/>
      <c r="H167" s="1487"/>
      <c r="I167" s="1487"/>
      <c r="J167" s="1487"/>
      <c r="K167" s="387">
        <f>SUM(K155:K166)</f>
        <v>441100</v>
      </c>
      <c r="L167" s="387">
        <f>SUM(L155:L166)</f>
        <v>35288</v>
      </c>
      <c r="M167" s="387">
        <f>SUM(M155:M166)</f>
        <v>7397.3755896939601</v>
      </c>
      <c r="N167" s="387">
        <f>SUM(N155:N166)</f>
        <v>483785.37558969395</v>
      </c>
      <c r="O167" s="444"/>
      <c r="P167" s="444"/>
      <c r="Q167" s="444"/>
      <c r="R167" s="444"/>
      <c r="S167" s="1493" t="s">
        <v>473</v>
      </c>
      <c r="T167" s="1480"/>
      <c r="U167" s="1480"/>
      <c r="V167" s="387">
        <f>SUM(V155:V166)</f>
        <v>611199.63</v>
      </c>
      <c r="W167" s="472">
        <f>SUM(W155:W166)</f>
        <v>-170099.63</v>
      </c>
      <c r="X167" s="473">
        <f>SUM(X155:X166)</f>
        <v>0</v>
      </c>
      <c r="Y167" s="474"/>
      <c r="Z167" s="475">
        <f>SUM(Z155:Z166)</f>
        <v>611199.63</v>
      </c>
      <c r="AA167" s="476">
        <f>SUM(AA155:AA166)</f>
        <v>618597.0055896939</v>
      </c>
      <c r="AM167" s="1703"/>
      <c r="AN167" s="1704"/>
    </row>
    <row r="168" spans="1:41" ht="60" customHeight="1" thickBot="1" x14ac:dyDescent="0.75">
      <c r="A168" s="227">
        <v>154</v>
      </c>
      <c r="B168" s="251">
        <v>9</v>
      </c>
      <c r="C168" s="252" t="s">
        <v>167</v>
      </c>
      <c r="D168" s="227"/>
      <c r="E168" s="227"/>
      <c r="F168" s="1463" t="s">
        <v>505</v>
      </c>
      <c r="G168" s="1464"/>
      <c r="H168" s="1464"/>
      <c r="I168" s="1464"/>
      <c r="J168" s="1464"/>
      <c r="K168" s="1464"/>
      <c r="L168" s="1464"/>
      <c r="M168" s="1464"/>
      <c r="N168" s="1475"/>
      <c r="O168" s="253"/>
      <c r="P168" s="253"/>
      <c r="Q168" s="253"/>
      <c r="R168" s="253"/>
      <c r="S168" s="1476" t="str">
        <f>IF(F168&lt;&gt;"",F168,"")</f>
        <v>ATIVIDADES, BRINDES E MATERIAIS</v>
      </c>
      <c r="T168" s="1477"/>
      <c r="U168" s="1477"/>
      <c r="V168" s="1477"/>
      <c r="W168" s="1477"/>
      <c r="X168" s="1477"/>
      <c r="Y168" s="1477"/>
      <c r="Z168" s="1477"/>
      <c r="AA168" s="1478"/>
      <c r="AM168" s="1703">
        <f t="shared" si="113"/>
        <v>0</v>
      </c>
      <c r="AN168" s="1704"/>
    </row>
    <row r="169" spans="1:41" ht="60" customHeight="1" x14ac:dyDescent="0.7">
      <c r="A169" s="227">
        <v>155</v>
      </c>
      <c r="B169" s="251" t="s">
        <v>475</v>
      </c>
      <c r="C169" s="252" t="s">
        <v>169</v>
      </c>
      <c r="D169" s="227"/>
      <c r="E169" s="227"/>
      <c r="F169" s="1472" t="s">
        <v>476</v>
      </c>
      <c r="G169" s="1473"/>
      <c r="H169" s="1473"/>
      <c r="I169" s="1473"/>
      <c r="J169" s="1473"/>
      <c r="K169" s="1473"/>
      <c r="L169" s="378" t="s">
        <v>171</v>
      </c>
      <c r="M169" s="378" t="s">
        <v>172</v>
      </c>
      <c r="N169" s="379" t="s">
        <v>129</v>
      </c>
      <c r="O169" s="430"/>
      <c r="P169" s="430"/>
      <c r="Q169" s="430"/>
      <c r="R169" s="430"/>
      <c r="S169" s="1479" t="str">
        <f>IF(F169&lt;&gt;"",F169,"")</f>
        <v>ATIVAÇÕES</v>
      </c>
      <c r="T169" s="1480"/>
      <c r="U169" s="1480"/>
      <c r="V169" s="1480"/>
      <c r="W169" s="1480"/>
      <c r="X169" s="1480"/>
      <c r="Y169" s="1480"/>
      <c r="Z169" s="1480"/>
      <c r="AA169" s="1481"/>
      <c r="AB169" s="258" t="s">
        <v>173</v>
      </c>
      <c r="AC169" s="259" t="s">
        <v>130</v>
      </c>
      <c r="AM169" s="1703">
        <f t="shared" si="113"/>
        <v>0</v>
      </c>
      <c r="AN169" s="1704"/>
    </row>
    <row r="170" spans="1:41" ht="150" customHeight="1" x14ac:dyDescent="0.7">
      <c r="A170" s="227">
        <v>156</v>
      </c>
      <c r="B170" s="251" t="s">
        <v>477</v>
      </c>
      <c r="C170" s="252" t="s">
        <v>175</v>
      </c>
      <c r="D170" s="227" t="s">
        <v>182</v>
      </c>
      <c r="E170" s="227" t="s">
        <v>179</v>
      </c>
      <c r="F170" s="351" t="s">
        <v>522</v>
      </c>
      <c r="G170" s="349" t="s">
        <v>1293</v>
      </c>
      <c r="H170" s="330">
        <v>1</v>
      </c>
      <c r="I170" s="330">
        <v>1</v>
      </c>
      <c r="J170" s="367">
        <v>33900</v>
      </c>
      <c r="K170" s="264">
        <f t="shared" ref="K170:K175" si="131">IF(F170&lt;&gt;"",H170*I170*J170,"")</f>
        <v>33900</v>
      </c>
      <c r="L170" s="264">
        <f t="shared" ref="L170:L175" si="132">IF(K170&lt;&gt;"",IF(D170="INTERNO",0,K170*$L$14),"")</f>
        <v>2712</v>
      </c>
      <c r="M170" s="264">
        <f t="shared" ref="M170:M175" si="133">IF(K170&lt;&gt;"",IF(E170="FAT.OGGI",SUM(K170:L170)*(1/(1-$M$14)-1),L170*(1/(1-$M$14)-1)),0)</f>
        <v>7674.923914358289</v>
      </c>
      <c r="N170" s="265">
        <f t="shared" ref="N170:N175" si="134">SUM(K170:M170)</f>
        <v>44286.923914358289</v>
      </c>
      <c r="O170" s="203" t="s">
        <v>654</v>
      </c>
      <c r="P170" s="431" t="s">
        <v>623</v>
      </c>
      <c r="Q170" s="484" t="s">
        <v>1119</v>
      </c>
      <c r="R170" s="485" t="s">
        <v>1120</v>
      </c>
      <c r="S170" s="268">
        <f t="shared" ref="S170:T175" si="135">IF(H170&lt;&gt;"",H170,"")</f>
        <v>1</v>
      </c>
      <c r="T170" s="269">
        <f t="shared" si="135"/>
        <v>1</v>
      </c>
      <c r="U170" s="270">
        <v>25330</v>
      </c>
      <c r="V170" s="270">
        <v>28520</v>
      </c>
      <c r="W170" s="271">
        <f t="shared" ref="W170:W175" si="136">IF(S170&lt;&gt;"",K170-V170,"")</f>
        <v>5380</v>
      </c>
      <c r="X170" s="272">
        <f t="shared" ref="X170:X175" si="137">IF(S170&lt;&gt;"",0%,"")</f>
        <v>0</v>
      </c>
      <c r="Y170" s="273">
        <f t="shared" ref="Y170:Y175" si="138">IF(S170&lt;&gt;"",X170*W170,"")</f>
        <v>0</v>
      </c>
      <c r="Z170" s="273">
        <f t="shared" ref="Z170:Z174" si="139">IF(S170&lt;&gt;"",Y170+V170,"")</f>
        <v>28520</v>
      </c>
      <c r="AA170" s="274">
        <f t="shared" ref="AA170:AA175" si="140">IF(S170&lt;&gt;"",Z170+M170,"")</f>
        <v>36194.923914358289</v>
      </c>
      <c r="AB170" s="275">
        <f t="shared" ref="AB170:AB175" si="141">IF(S170&lt;&gt;"", IFERROR(W170/K170, 0), 0)</f>
        <v>0.15870206489675517</v>
      </c>
      <c r="AC170" s="276">
        <f t="shared" ref="AC170:AC175" si="142">V170/$V$176</f>
        <v>0.62104849186692146</v>
      </c>
      <c r="AM170" s="1703">
        <f t="shared" si="113"/>
        <v>0</v>
      </c>
      <c r="AN170" s="1704">
        <f>10595+10595+7330</f>
        <v>28520</v>
      </c>
      <c r="AO170" s="1695" t="s">
        <v>1574</v>
      </c>
    </row>
    <row r="171" spans="1:41" ht="150" customHeight="1" x14ac:dyDescent="0.7">
      <c r="A171" s="227">
        <v>157</v>
      </c>
      <c r="B171" s="251" t="s">
        <v>478</v>
      </c>
      <c r="C171" s="252" t="s">
        <v>175</v>
      </c>
      <c r="D171" s="227" t="s">
        <v>182</v>
      </c>
      <c r="E171" s="227" t="s">
        <v>179</v>
      </c>
      <c r="F171" s="423" t="s">
        <v>484</v>
      </c>
      <c r="G171" s="381" t="s">
        <v>1294</v>
      </c>
      <c r="H171" s="353">
        <v>3</v>
      </c>
      <c r="I171" s="353">
        <v>3</v>
      </c>
      <c r="J171" s="486">
        <v>750</v>
      </c>
      <c r="K171" s="264">
        <f t="shared" si="131"/>
        <v>6750</v>
      </c>
      <c r="L171" s="264">
        <f t="shared" si="132"/>
        <v>540</v>
      </c>
      <c r="M171" s="264">
        <f t="shared" si="133"/>
        <v>1528.1928148058541</v>
      </c>
      <c r="N171" s="265">
        <f t="shared" si="134"/>
        <v>8818.1928148058541</v>
      </c>
      <c r="O171" s="203" t="s">
        <v>654</v>
      </c>
      <c r="P171" s="431" t="s">
        <v>623</v>
      </c>
      <c r="Q171" s="484" t="s">
        <v>1121</v>
      </c>
      <c r="R171" s="203" t="s">
        <v>980</v>
      </c>
      <c r="S171" s="268">
        <v>1</v>
      </c>
      <c r="T171" s="269">
        <v>1</v>
      </c>
      <c r="U171" s="270">
        <v>2400</v>
      </c>
      <c r="V171" s="270">
        <v>0</v>
      </c>
      <c r="W171" s="271">
        <f t="shared" si="136"/>
        <v>6750</v>
      </c>
      <c r="X171" s="272">
        <f t="shared" si="137"/>
        <v>0</v>
      </c>
      <c r="Y171" s="273">
        <f t="shared" si="138"/>
        <v>0</v>
      </c>
      <c r="Z171" s="273">
        <f t="shared" si="139"/>
        <v>0</v>
      </c>
      <c r="AA171" s="274">
        <f t="shared" si="140"/>
        <v>1528.1928148058541</v>
      </c>
      <c r="AB171" s="275">
        <f t="shared" si="141"/>
        <v>1</v>
      </c>
      <c r="AC171" s="276">
        <f t="shared" si="142"/>
        <v>0</v>
      </c>
      <c r="AM171" s="1703">
        <f t="shared" si="113"/>
        <v>0</v>
      </c>
      <c r="AN171" s="1704"/>
    </row>
    <row r="172" spans="1:41" ht="150" customHeight="1" x14ac:dyDescent="0.7">
      <c r="A172" s="227">
        <v>158</v>
      </c>
      <c r="B172" s="251" t="s">
        <v>479</v>
      </c>
      <c r="C172" s="252" t="s">
        <v>175</v>
      </c>
      <c r="D172" s="227" t="s">
        <v>182</v>
      </c>
      <c r="E172" s="227" t="s">
        <v>179</v>
      </c>
      <c r="F172" s="423" t="s">
        <v>485</v>
      </c>
      <c r="G172" s="381" t="s">
        <v>1295</v>
      </c>
      <c r="H172" s="353">
        <v>1</v>
      </c>
      <c r="I172" s="353">
        <v>1</v>
      </c>
      <c r="J172" s="486">
        <v>2000</v>
      </c>
      <c r="K172" s="264">
        <f t="shared" si="131"/>
        <v>2000</v>
      </c>
      <c r="L172" s="264">
        <f t="shared" si="132"/>
        <v>160</v>
      </c>
      <c r="M172" s="264">
        <f t="shared" si="133"/>
        <v>452.79787105358639</v>
      </c>
      <c r="N172" s="265">
        <f t="shared" si="134"/>
        <v>2612.7978710535863</v>
      </c>
      <c r="O172" s="203" t="s">
        <v>654</v>
      </c>
      <c r="P172" s="431" t="s">
        <v>623</v>
      </c>
      <c r="Q172" s="484" t="s">
        <v>1122</v>
      </c>
      <c r="R172" s="203" t="s">
        <v>1123</v>
      </c>
      <c r="S172" s="268">
        <f t="shared" si="135"/>
        <v>1</v>
      </c>
      <c r="T172" s="269">
        <f t="shared" si="135"/>
        <v>1</v>
      </c>
      <c r="U172" s="270">
        <f>1595.47+225</f>
        <v>1820.47</v>
      </c>
      <c r="V172" s="270">
        <v>0</v>
      </c>
      <c r="W172" s="271">
        <f t="shared" si="136"/>
        <v>2000</v>
      </c>
      <c r="X172" s="272">
        <f t="shared" si="137"/>
        <v>0</v>
      </c>
      <c r="Y172" s="273">
        <f t="shared" si="138"/>
        <v>0</v>
      </c>
      <c r="Z172" s="273">
        <f t="shared" si="139"/>
        <v>0</v>
      </c>
      <c r="AA172" s="274">
        <f t="shared" si="140"/>
        <v>452.79787105358639</v>
      </c>
      <c r="AB172" s="275">
        <f t="shared" si="141"/>
        <v>1</v>
      </c>
      <c r="AC172" s="276">
        <f t="shared" si="142"/>
        <v>0</v>
      </c>
      <c r="AM172" s="1703">
        <f t="shared" si="113"/>
        <v>0</v>
      </c>
      <c r="AN172" s="1704"/>
    </row>
    <row r="173" spans="1:41" ht="150" customHeight="1" x14ac:dyDescent="0.7">
      <c r="A173" s="227">
        <v>159</v>
      </c>
      <c r="B173" s="251" t="s">
        <v>480</v>
      </c>
      <c r="C173" s="252" t="s">
        <v>175</v>
      </c>
      <c r="D173" s="227" t="s">
        <v>182</v>
      </c>
      <c r="E173" s="227" t="s">
        <v>179</v>
      </c>
      <c r="F173" s="423" t="s">
        <v>487</v>
      </c>
      <c r="G173" s="381" t="s">
        <v>1296</v>
      </c>
      <c r="H173" s="353">
        <v>1</v>
      </c>
      <c r="I173" s="353">
        <v>1</v>
      </c>
      <c r="J173" s="449">
        <v>10760</v>
      </c>
      <c r="K173" s="264">
        <f t="shared" si="131"/>
        <v>10760</v>
      </c>
      <c r="L173" s="264">
        <f t="shared" si="132"/>
        <v>860.80000000000007</v>
      </c>
      <c r="M173" s="264">
        <f t="shared" si="133"/>
        <v>2436.0525462682945</v>
      </c>
      <c r="N173" s="265">
        <f t="shared" si="134"/>
        <v>14056.852546268294</v>
      </c>
      <c r="O173" s="203" t="s">
        <v>654</v>
      </c>
      <c r="P173" s="431" t="s">
        <v>623</v>
      </c>
      <c r="Q173" s="431" t="s">
        <v>1124</v>
      </c>
      <c r="R173" s="487" t="s">
        <v>964</v>
      </c>
      <c r="S173" s="268">
        <f t="shared" si="135"/>
        <v>1</v>
      </c>
      <c r="T173" s="269">
        <f t="shared" si="135"/>
        <v>1</v>
      </c>
      <c r="U173" s="270">
        <v>17400</v>
      </c>
      <c r="V173" s="270">
        <v>17402.34</v>
      </c>
      <c r="W173" s="271">
        <f t="shared" si="136"/>
        <v>-6642.34</v>
      </c>
      <c r="X173" s="272">
        <f t="shared" si="137"/>
        <v>0</v>
      </c>
      <c r="Y173" s="273">
        <f t="shared" si="138"/>
        <v>0</v>
      </c>
      <c r="Z173" s="273">
        <v>17402.34</v>
      </c>
      <c r="AA173" s="274">
        <f t="shared" si="140"/>
        <v>19838.392546268296</v>
      </c>
      <c r="AB173" s="275">
        <f t="shared" si="141"/>
        <v>-0.61731784386617106</v>
      </c>
      <c r="AC173" s="276">
        <f t="shared" si="142"/>
        <v>0.3789515081330786</v>
      </c>
      <c r="AM173" s="1703">
        <f t="shared" si="113"/>
        <v>0</v>
      </c>
      <c r="AN173" s="1704">
        <f>4150+4150+4550+4552.34</f>
        <v>17402.34</v>
      </c>
      <c r="AO173" s="1695" t="s">
        <v>1642</v>
      </c>
    </row>
    <row r="174" spans="1:41" ht="150" customHeight="1" x14ac:dyDescent="0.7">
      <c r="A174" s="227">
        <v>160</v>
      </c>
      <c r="B174" s="251" t="s">
        <v>481</v>
      </c>
      <c r="C174" s="252" t="s">
        <v>175</v>
      </c>
      <c r="D174" s="227" t="s">
        <v>182</v>
      </c>
      <c r="E174" s="227" t="s">
        <v>179</v>
      </c>
      <c r="F174" s="488" t="s">
        <v>491</v>
      </c>
      <c r="G174" s="489" t="s">
        <v>1297</v>
      </c>
      <c r="H174" s="490">
        <v>2</v>
      </c>
      <c r="I174" s="490">
        <v>0</v>
      </c>
      <c r="J174" s="491">
        <v>550</v>
      </c>
      <c r="K174" s="492">
        <f t="shared" si="131"/>
        <v>0</v>
      </c>
      <c r="L174" s="492">
        <f t="shared" si="132"/>
        <v>0</v>
      </c>
      <c r="M174" s="492">
        <f t="shared" si="133"/>
        <v>0</v>
      </c>
      <c r="N174" s="493">
        <f t="shared" si="134"/>
        <v>0</v>
      </c>
      <c r="O174" s="203" t="s">
        <v>654</v>
      </c>
      <c r="P174" s="385" t="s">
        <v>1125</v>
      </c>
      <c r="Q174" s="264"/>
      <c r="S174" s="268">
        <f t="shared" si="135"/>
        <v>2</v>
      </c>
      <c r="T174" s="269">
        <f t="shared" si="135"/>
        <v>0</v>
      </c>
      <c r="U174" s="270">
        <v>350</v>
      </c>
      <c r="V174" s="270">
        <f t="shared" ref="V174:V175" si="143">IF(S174&lt;&gt;"",S174*T174*U174,"")</f>
        <v>0</v>
      </c>
      <c r="W174" s="271">
        <f t="shared" si="136"/>
        <v>0</v>
      </c>
      <c r="X174" s="272">
        <f t="shared" si="137"/>
        <v>0</v>
      </c>
      <c r="Y174" s="273">
        <f t="shared" si="138"/>
        <v>0</v>
      </c>
      <c r="Z174" s="273">
        <f t="shared" si="139"/>
        <v>0</v>
      </c>
      <c r="AA174" s="274">
        <f t="shared" si="140"/>
        <v>0</v>
      </c>
      <c r="AB174" s="275">
        <f t="shared" si="141"/>
        <v>0</v>
      </c>
      <c r="AC174" s="276">
        <f t="shared" si="142"/>
        <v>0</v>
      </c>
      <c r="AM174" s="1703">
        <f t="shared" si="113"/>
        <v>0</v>
      </c>
      <c r="AN174" s="1704"/>
    </row>
    <row r="175" spans="1:41" ht="150" customHeight="1" x14ac:dyDescent="0.7">
      <c r="A175" s="227">
        <v>161</v>
      </c>
      <c r="B175" s="251" t="s">
        <v>482</v>
      </c>
      <c r="C175" s="252" t="s">
        <v>175</v>
      </c>
      <c r="D175" s="227" t="s">
        <v>182</v>
      </c>
      <c r="E175" s="227" t="s">
        <v>179</v>
      </c>
      <c r="F175" s="488" t="s">
        <v>492</v>
      </c>
      <c r="G175" s="494" t="s">
        <v>1298</v>
      </c>
      <c r="H175" s="490">
        <v>1</v>
      </c>
      <c r="I175" s="490">
        <v>0</v>
      </c>
      <c r="J175" s="495">
        <v>755</v>
      </c>
      <c r="K175" s="492">
        <f t="shared" si="131"/>
        <v>0</v>
      </c>
      <c r="L175" s="492">
        <f t="shared" si="132"/>
        <v>0</v>
      </c>
      <c r="M175" s="492">
        <f t="shared" si="133"/>
        <v>0</v>
      </c>
      <c r="N175" s="493">
        <f t="shared" si="134"/>
        <v>0</v>
      </c>
      <c r="O175" s="203" t="s">
        <v>654</v>
      </c>
      <c r="P175" s="385" t="s">
        <v>1125</v>
      </c>
      <c r="Q175" s="264"/>
      <c r="S175" s="268">
        <f t="shared" si="135"/>
        <v>1</v>
      </c>
      <c r="T175" s="269">
        <v>0</v>
      </c>
      <c r="U175" s="270">
        <v>500</v>
      </c>
      <c r="V175" s="270">
        <f t="shared" si="143"/>
        <v>0</v>
      </c>
      <c r="W175" s="271">
        <f t="shared" si="136"/>
        <v>0</v>
      </c>
      <c r="X175" s="272">
        <f t="shared" si="137"/>
        <v>0</v>
      </c>
      <c r="Y175" s="273">
        <f t="shared" si="138"/>
        <v>0</v>
      </c>
      <c r="Z175" s="273">
        <f>IF(S175&lt;&gt;"",Y175+V175,"")</f>
        <v>0</v>
      </c>
      <c r="AA175" s="274">
        <f t="shared" si="140"/>
        <v>0</v>
      </c>
      <c r="AB175" s="275">
        <f t="shared" si="141"/>
        <v>0</v>
      </c>
      <c r="AC175" s="276">
        <f t="shared" si="142"/>
        <v>0</v>
      </c>
      <c r="AM175" s="1703">
        <f t="shared" si="113"/>
        <v>0</v>
      </c>
      <c r="AN175" s="1704"/>
    </row>
    <row r="176" spans="1:41" ht="60" customHeight="1" thickBot="1" x14ac:dyDescent="0.75">
      <c r="A176" s="297">
        <v>162</v>
      </c>
      <c r="B176" s="251"/>
      <c r="C176" s="298" t="s">
        <v>184</v>
      </c>
      <c r="D176" s="297"/>
      <c r="E176" s="297"/>
      <c r="F176" s="1484" t="s">
        <v>502</v>
      </c>
      <c r="G176" s="1483"/>
      <c r="H176" s="1483"/>
      <c r="I176" s="1483"/>
      <c r="J176" s="1483"/>
      <c r="K176" s="496">
        <f>SUM(K170:K175)</f>
        <v>53410</v>
      </c>
      <c r="L176" s="496">
        <f>SUM(L170:L175)</f>
        <v>4272.8</v>
      </c>
      <c r="M176" s="496">
        <f>SUM(M170:M175)</f>
        <v>12091.967146486024</v>
      </c>
      <c r="N176" s="496">
        <f>SUM(N170:N175)</f>
        <v>69774.767146486018</v>
      </c>
      <c r="O176" s="497"/>
      <c r="P176" s="497"/>
      <c r="Q176" s="497"/>
      <c r="R176" s="497"/>
      <c r="S176" s="1482" t="s">
        <v>502</v>
      </c>
      <c r="T176" s="1485"/>
      <c r="U176" s="1485"/>
      <c r="V176" s="496">
        <f>SUM(V170:V175)</f>
        <v>45922.34</v>
      </c>
      <c r="W176" s="496">
        <f>SUM(W170:W175)</f>
        <v>7487.66</v>
      </c>
      <c r="X176" s="288">
        <f>SUM(X170:X175)</f>
        <v>0</v>
      </c>
      <c r="Y176" s="289"/>
      <c r="Z176" s="498">
        <f>SUM(Z170:Z175)</f>
        <v>45922.34</v>
      </c>
      <c r="AA176" s="499">
        <f>SUM(AA170:AA175)</f>
        <v>58014.307146486033</v>
      </c>
      <c r="AB176" s="275"/>
      <c r="AM176" s="1703"/>
      <c r="AN176" s="1704"/>
    </row>
    <row r="177" spans="1:41" ht="60" customHeight="1" x14ac:dyDescent="0.7">
      <c r="A177" s="279">
        <v>163</v>
      </c>
      <c r="B177" s="251" t="s">
        <v>493</v>
      </c>
      <c r="C177" s="280" t="s">
        <v>169</v>
      </c>
      <c r="D177" s="279"/>
      <c r="E177" s="279"/>
      <c r="F177" s="1472" t="s">
        <v>501</v>
      </c>
      <c r="G177" s="1473"/>
      <c r="H177" s="1473"/>
      <c r="I177" s="1473"/>
      <c r="J177" s="1473"/>
      <c r="K177" s="1473"/>
      <c r="L177" s="378" t="s">
        <v>171</v>
      </c>
      <c r="M177" s="378" t="s">
        <v>172</v>
      </c>
      <c r="N177" s="379" t="s">
        <v>129</v>
      </c>
      <c r="O177" s="380"/>
      <c r="P177" s="380"/>
      <c r="Q177" s="380"/>
      <c r="R177" s="380"/>
      <c r="S177" s="1472" t="str">
        <f>IF(F177&lt;&gt;"",F177,"")</f>
        <v>BRINDES</v>
      </c>
      <c r="T177" s="1473"/>
      <c r="U177" s="1473"/>
      <c r="V177" s="1473"/>
      <c r="W177" s="1473"/>
      <c r="X177" s="1473"/>
      <c r="Y177" s="1473"/>
      <c r="Z177" s="1473"/>
      <c r="AA177" s="1474"/>
      <c r="AB177" s="258" t="s">
        <v>173</v>
      </c>
      <c r="AC177" s="259" t="s">
        <v>130</v>
      </c>
      <c r="AM177" s="1703">
        <f t="shared" si="113"/>
        <v>0</v>
      </c>
      <c r="AN177" s="1704"/>
    </row>
    <row r="178" spans="1:41" ht="150" customHeight="1" x14ac:dyDescent="0.7">
      <c r="A178" s="227">
        <v>164</v>
      </c>
      <c r="B178" s="251" t="s">
        <v>494</v>
      </c>
      <c r="C178" s="252" t="s">
        <v>175</v>
      </c>
      <c r="D178" s="227" t="s">
        <v>182</v>
      </c>
      <c r="E178" s="227" t="s">
        <v>179</v>
      </c>
      <c r="F178" s="351" t="s">
        <v>488</v>
      </c>
      <c r="G178" s="381" t="s">
        <v>1299</v>
      </c>
      <c r="H178" s="353">
        <v>570</v>
      </c>
      <c r="I178" s="353">
        <v>1</v>
      </c>
      <c r="J178" s="449">
        <v>75</v>
      </c>
      <c r="K178" s="264">
        <f t="shared" ref="K178" si="144">IF(F178&lt;&gt;"",H178*I178*J178,"")</f>
        <v>42750</v>
      </c>
      <c r="L178" s="264">
        <f t="shared" ref="L178" si="145">IF(K178&lt;&gt;"",IF(D178="INTERNO",0,K178*$L$14),"")</f>
        <v>3420</v>
      </c>
      <c r="M178" s="264">
        <f t="shared" ref="M178" si="146">IF(K178&lt;&gt;"",IF(E178="FAT.OGGI",SUM(K178:L178)*(1/(1-$M$14)-1),L178*(1/(1-$M$14)-1)),0)</f>
        <v>9678.554493770409</v>
      </c>
      <c r="N178" s="265">
        <f t="shared" ref="N178" si="147">SUM(K178:M178)</f>
        <v>55848.554493770411</v>
      </c>
      <c r="O178" s="203" t="s">
        <v>654</v>
      </c>
      <c r="P178" s="431" t="s">
        <v>623</v>
      </c>
      <c r="Q178" s="431" t="s">
        <v>1126</v>
      </c>
      <c r="R178" s="203" t="s">
        <v>964</v>
      </c>
      <c r="S178" s="268">
        <f t="shared" ref="S178:T178" si="148">IF(H178&lt;&gt;"",H178,"")</f>
        <v>570</v>
      </c>
      <c r="T178" s="269">
        <f t="shared" si="148"/>
        <v>1</v>
      </c>
      <c r="U178" s="270">
        <v>44.66</v>
      </c>
      <c r="V178" s="270">
        <v>33649</v>
      </c>
      <c r="W178" s="271">
        <f>IF(S178&lt;&gt;"",K178-V178,"")</f>
        <v>9101</v>
      </c>
      <c r="X178" s="272">
        <f t="shared" ref="X178" si="149">IF(S178&lt;&gt;"",0%,"")</f>
        <v>0</v>
      </c>
      <c r="Y178" s="273">
        <f t="shared" ref="Y178" si="150">IF(S178&lt;&gt;"",X178*W178,"")</f>
        <v>0</v>
      </c>
      <c r="Z178" s="273">
        <f>IF(S178&lt;&gt;"",Y178+V178,"")</f>
        <v>33649</v>
      </c>
      <c r="AA178" s="274">
        <f>IF(S178&lt;&gt;"",Z178+M178,"")</f>
        <v>43327.554493770411</v>
      </c>
      <c r="AB178" s="275">
        <f>IF(S178&lt;&gt;"", IFERROR(W178/K178, 0), 0)</f>
        <v>0.21288888888888888</v>
      </c>
      <c r="AC178" s="276">
        <f>V178/$V$179</f>
        <v>1</v>
      </c>
      <c r="AM178" s="1703">
        <f t="shared" si="113"/>
        <v>0</v>
      </c>
      <c r="AN178" s="1704">
        <v>33649</v>
      </c>
      <c r="AO178" s="1695" t="s">
        <v>1603</v>
      </c>
    </row>
    <row r="179" spans="1:41" ht="60" customHeight="1" thickBot="1" x14ac:dyDescent="0.75">
      <c r="A179" s="227">
        <v>165</v>
      </c>
      <c r="B179" s="251"/>
      <c r="C179" s="252" t="s">
        <v>184</v>
      </c>
      <c r="D179" s="227"/>
      <c r="E179" s="227"/>
      <c r="F179" s="1486" t="s">
        <v>503</v>
      </c>
      <c r="G179" s="1487"/>
      <c r="H179" s="1487"/>
      <c r="I179" s="1487"/>
      <c r="J179" s="1487"/>
      <c r="K179" s="387">
        <f>SUM(K178:K178)</f>
        <v>42750</v>
      </c>
      <c r="L179" s="387">
        <f>SUM(L178:L178)</f>
        <v>3420</v>
      </c>
      <c r="M179" s="387">
        <f>SUM(M178:M178)</f>
        <v>9678.554493770409</v>
      </c>
      <c r="N179" s="387">
        <f>SUM(N178:N178)</f>
        <v>55848.554493770411</v>
      </c>
      <c r="O179" s="432"/>
      <c r="P179" s="432"/>
      <c r="Q179" s="432"/>
      <c r="R179" s="432"/>
      <c r="S179" s="1488" t="s">
        <v>503</v>
      </c>
      <c r="T179" s="1489"/>
      <c r="U179" s="1489"/>
      <c r="V179" s="387">
        <f>SUM(V178:V178)</f>
        <v>33649</v>
      </c>
      <c r="W179" s="500">
        <f>SUM(W178:W178)</f>
        <v>9101</v>
      </c>
      <c r="X179" s="501">
        <f>SUM(X178:X178)</f>
        <v>0</v>
      </c>
      <c r="Y179" s="502"/>
      <c r="Z179" s="503">
        <f>SUM(Z178:Z178)</f>
        <v>33649</v>
      </c>
      <c r="AA179" s="504">
        <f>SUM(AA178:AA178)</f>
        <v>43327.554493770411</v>
      </c>
      <c r="AM179" s="1703"/>
      <c r="AN179" s="1704"/>
    </row>
    <row r="180" spans="1:41" ht="60" customHeight="1" x14ac:dyDescent="0.7">
      <c r="A180" s="227">
        <v>166</v>
      </c>
      <c r="B180" s="251" t="s">
        <v>504</v>
      </c>
      <c r="C180" s="252" t="s">
        <v>169</v>
      </c>
      <c r="D180" s="227"/>
      <c r="E180" s="227"/>
      <c r="F180" s="1459" t="s">
        <v>506</v>
      </c>
      <c r="G180" s="1460"/>
      <c r="H180" s="1460"/>
      <c r="I180" s="1460"/>
      <c r="J180" s="1460"/>
      <c r="K180" s="1490"/>
      <c r="L180" s="505" t="s">
        <v>171</v>
      </c>
      <c r="M180" s="506" t="s">
        <v>172</v>
      </c>
      <c r="N180" s="507" t="s">
        <v>129</v>
      </c>
      <c r="O180" s="407"/>
      <c r="P180" s="407"/>
      <c r="Q180" s="407"/>
      <c r="R180" s="407"/>
      <c r="S180" s="1479" t="str">
        <f>IF(F180&lt;&gt;"",F180,"")</f>
        <v>MATERIAIS E IMPRESSOS</v>
      </c>
      <c r="T180" s="1480"/>
      <c r="U180" s="1480"/>
      <c r="V180" s="1480"/>
      <c r="W180" s="1480"/>
      <c r="X180" s="1480"/>
      <c r="Y180" s="1480"/>
      <c r="Z180" s="1480"/>
      <c r="AA180" s="1481"/>
      <c r="AB180" s="258" t="s">
        <v>173</v>
      </c>
      <c r="AC180" s="259" t="s">
        <v>130</v>
      </c>
      <c r="AM180" s="1703">
        <f t="shared" si="113"/>
        <v>0</v>
      </c>
      <c r="AN180" s="1704"/>
    </row>
    <row r="181" spans="1:41" ht="150" customHeight="1" x14ac:dyDescent="0.7">
      <c r="A181" s="227">
        <v>167</v>
      </c>
      <c r="B181" s="251" t="s">
        <v>507</v>
      </c>
      <c r="C181" s="252" t="s">
        <v>175</v>
      </c>
      <c r="D181" s="227" t="s">
        <v>182</v>
      </c>
      <c r="E181" s="227" t="s">
        <v>179</v>
      </c>
      <c r="F181" s="508" t="s">
        <v>483</v>
      </c>
      <c r="G181" s="494" t="s">
        <v>1300</v>
      </c>
      <c r="H181" s="490">
        <v>11</v>
      </c>
      <c r="I181" s="490">
        <v>0</v>
      </c>
      <c r="J181" s="491">
        <v>335</v>
      </c>
      <c r="K181" s="509">
        <f t="shared" ref="K181:K188" si="151">IF(F181&lt;&gt;"",H181*I181*J181,"")</f>
        <v>0</v>
      </c>
      <c r="L181" s="509">
        <f t="shared" ref="L181:L188" si="152">IF(K181&lt;&gt;"",IF(D181="INTERNO",0,K181*$L$14),"")</f>
        <v>0</v>
      </c>
      <c r="M181" s="509">
        <f t="shared" ref="M181:M188" si="153">IF(K181&lt;&gt;"",IF(E181="FAT.OGGI",SUM(K181:L181)*(1/(1-$M$14)-1),L181*(1/(1-$M$14)-1)),0)</f>
        <v>0</v>
      </c>
      <c r="N181" s="510">
        <f t="shared" ref="N181:N188" si="154">SUM(K181:M181)</f>
        <v>0</v>
      </c>
      <c r="O181" s="203" t="s">
        <v>654</v>
      </c>
      <c r="P181" s="431" t="s">
        <v>623</v>
      </c>
      <c r="Q181" s="431" t="s">
        <v>1130</v>
      </c>
      <c r="S181" s="511">
        <f t="shared" ref="S181:T188" si="155">IF(H181&lt;&gt;"",H181,"")</f>
        <v>11</v>
      </c>
      <c r="T181" s="269">
        <f t="shared" si="155"/>
        <v>0</v>
      </c>
      <c r="U181" s="270">
        <v>280</v>
      </c>
      <c r="V181" s="270">
        <f t="shared" ref="V181:V188" si="156">IF(S181&lt;&gt;"",S181*T181*U181,"")</f>
        <v>0</v>
      </c>
      <c r="W181" s="271">
        <f t="shared" ref="W181:W188" si="157">IF(S181&lt;&gt;"",K181-V181,"")</f>
        <v>0</v>
      </c>
      <c r="X181" s="272">
        <f t="shared" ref="X181:X188" si="158">IF(S181&lt;&gt;"",0%,"")</f>
        <v>0</v>
      </c>
      <c r="Y181" s="273">
        <f t="shared" ref="Y181:Y188" si="159">IF(S181&lt;&gt;"",X181*W181,"")</f>
        <v>0</v>
      </c>
      <c r="Z181" s="273">
        <f t="shared" ref="Z181:Z188" si="160">IF(S181&lt;&gt;"",Y181+V181,"")</f>
        <v>0</v>
      </c>
      <c r="AA181" s="274">
        <f t="shared" ref="AA181:AA188" si="161">IF(S181&lt;&gt;"",Z181+M181,"")</f>
        <v>0</v>
      </c>
      <c r="AB181" s="275">
        <f t="shared" ref="AB181:AB188" si="162">IF(S181&lt;&gt;"", IFERROR(W181/K181, 0), 0)</f>
        <v>0</v>
      </c>
      <c r="AC181" s="276">
        <f t="shared" ref="AC181:AC188" si="163">V181/$V$189</f>
        <v>0</v>
      </c>
      <c r="AM181" s="1703">
        <f t="shared" si="113"/>
        <v>0</v>
      </c>
      <c r="AN181" s="1704"/>
    </row>
    <row r="182" spans="1:41" ht="150" customHeight="1" x14ac:dyDescent="0.7">
      <c r="A182" s="227">
        <v>168</v>
      </c>
      <c r="B182" s="251" t="s">
        <v>508</v>
      </c>
      <c r="C182" s="252" t="s">
        <v>175</v>
      </c>
      <c r="D182" s="227" t="s">
        <v>182</v>
      </c>
      <c r="E182" s="227" t="s">
        <v>179</v>
      </c>
      <c r="F182" s="512" t="s">
        <v>515</v>
      </c>
      <c r="G182" s="513" t="s">
        <v>1301</v>
      </c>
      <c r="H182" s="514">
        <v>570</v>
      </c>
      <c r="I182" s="514">
        <v>1</v>
      </c>
      <c r="J182" s="515">
        <v>7.18</v>
      </c>
      <c r="K182" s="516">
        <f t="shared" si="151"/>
        <v>4092.6</v>
      </c>
      <c r="L182" s="516">
        <f t="shared" si="152"/>
        <v>327.40800000000002</v>
      </c>
      <c r="M182" s="516">
        <f t="shared" si="153"/>
        <v>926.56028353695376</v>
      </c>
      <c r="N182" s="517">
        <f t="shared" si="154"/>
        <v>5346.5682835369535</v>
      </c>
      <c r="O182" s="203" t="s">
        <v>654</v>
      </c>
      <c r="P182" s="431" t="s">
        <v>623</v>
      </c>
      <c r="Q182" s="484" t="s">
        <v>1127</v>
      </c>
      <c r="R182" s="203" t="s">
        <v>991</v>
      </c>
      <c r="S182" s="268">
        <f t="shared" si="155"/>
        <v>570</v>
      </c>
      <c r="T182" s="269">
        <f t="shared" si="155"/>
        <v>1</v>
      </c>
      <c r="U182" s="270">
        <v>3.3578899999999998</v>
      </c>
      <c r="V182" s="270">
        <v>0</v>
      </c>
      <c r="W182" s="271">
        <f t="shared" si="157"/>
        <v>4092.6</v>
      </c>
      <c r="X182" s="272">
        <f t="shared" si="158"/>
        <v>0</v>
      </c>
      <c r="Y182" s="273">
        <f t="shared" si="159"/>
        <v>0</v>
      </c>
      <c r="Z182" s="273">
        <f t="shared" si="160"/>
        <v>0</v>
      </c>
      <c r="AA182" s="274">
        <f t="shared" si="161"/>
        <v>926.56028353695376</v>
      </c>
      <c r="AB182" s="275">
        <f t="shared" si="162"/>
        <v>1</v>
      </c>
      <c r="AC182" s="276">
        <f t="shared" si="163"/>
        <v>0</v>
      </c>
      <c r="AM182" s="1703">
        <f t="shared" si="113"/>
        <v>0</v>
      </c>
      <c r="AN182" s="1704"/>
    </row>
    <row r="183" spans="1:41" ht="150" customHeight="1" x14ac:dyDescent="0.7">
      <c r="A183" s="227">
        <v>169</v>
      </c>
      <c r="B183" s="251" t="s">
        <v>509</v>
      </c>
      <c r="C183" s="252" t="s">
        <v>175</v>
      </c>
      <c r="D183" s="227" t="s">
        <v>182</v>
      </c>
      <c r="E183" s="227" t="s">
        <v>179</v>
      </c>
      <c r="F183" s="260" t="s">
        <v>516</v>
      </c>
      <c r="G183" s="366" t="s">
        <v>1302</v>
      </c>
      <c r="H183" s="330">
        <v>570</v>
      </c>
      <c r="I183" s="330">
        <v>1</v>
      </c>
      <c r="J183" s="367">
        <v>3.0449999999999999</v>
      </c>
      <c r="K183" s="263">
        <f t="shared" si="151"/>
        <v>1735.6499999999999</v>
      </c>
      <c r="L183" s="263">
        <f t="shared" si="152"/>
        <v>138.852</v>
      </c>
      <c r="M183" s="263">
        <f t="shared" si="153"/>
        <v>392.94931244707863</v>
      </c>
      <c r="N183" s="281">
        <f t="shared" si="154"/>
        <v>2267.4513124470786</v>
      </c>
      <c r="O183" s="203" t="s">
        <v>654</v>
      </c>
      <c r="P183" s="431" t="s">
        <v>623</v>
      </c>
      <c r="Q183" s="518" t="s">
        <v>1128</v>
      </c>
      <c r="R183" s="452" t="s">
        <v>991</v>
      </c>
      <c r="S183" s="268">
        <f t="shared" si="155"/>
        <v>570</v>
      </c>
      <c r="T183" s="269">
        <f t="shared" si="155"/>
        <v>1</v>
      </c>
      <c r="U183" s="270">
        <v>5.2213000000000003</v>
      </c>
      <c r="V183" s="270">
        <v>1487.6</v>
      </c>
      <c r="W183" s="271">
        <f t="shared" si="157"/>
        <v>248.04999999999995</v>
      </c>
      <c r="X183" s="272">
        <f t="shared" si="158"/>
        <v>0</v>
      </c>
      <c r="Y183" s="273">
        <f t="shared" si="159"/>
        <v>0</v>
      </c>
      <c r="Z183" s="273">
        <f t="shared" si="160"/>
        <v>1487.6</v>
      </c>
      <c r="AA183" s="274">
        <f t="shared" si="161"/>
        <v>1880.5493124470786</v>
      </c>
      <c r="AB183" s="275">
        <f t="shared" si="162"/>
        <v>0.14291475815976723</v>
      </c>
      <c r="AC183" s="276">
        <f t="shared" si="163"/>
        <v>0.10784399014064085</v>
      </c>
      <c r="AM183" s="1703">
        <f t="shared" si="113"/>
        <v>0</v>
      </c>
      <c r="AN183" s="1704">
        <v>1487.6</v>
      </c>
      <c r="AO183" s="1695" t="s">
        <v>1019</v>
      </c>
    </row>
    <row r="184" spans="1:41" ht="150" customHeight="1" x14ac:dyDescent="0.7">
      <c r="A184" s="227">
        <v>170</v>
      </c>
      <c r="B184" s="251" t="s">
        <v>510</v>
      </c>
      <c r="C184" s="252" t="s">
        <v>175</v>
      </c>
      <c r="D184" s="227" t="s">
        <v>182</v>
      </c>
      <c r="E184" s="227" t="s">
        <v>179</v>
      </c>
      <c r="F184" s="260" t="s">
        <v>517</v>
      </c>
      <c r="G184" s="366" t="s">
        <v>1303</v>
      </c>
      <c r="H184" s="330">
        <v>150</v>
      </c>
      <c r="I184" s="330">
        <v>1</v>
      </c>
      <c r="J184" s="367">
        <v>5</v>
      </c>
      <c r="K184" s="263">
        <f t="shared" si="151"/>
        <v>750</v>
      </c>
      <c r="L184" s="263">
        <f t="shared" si="152"/>
        <v>60</v>
      </c>
      <c r="M184" s="263">
        <f t="shared" si="153"/>
        <v>169.79920164509491</v>
      </c>
      <c r="N184" s="281">
        <f t="shared" si="154"/>
        <v>979.79920164509485</v>
      </c>
      <c r="O184" s="203" t="s">
        <v>654</v>
      </c>
      <c r="P184" s="431" t="s">
        <v>623</v>
      </c>
      <c r="R184" s="519" t="s">
        <v>1176</v>
      </c>
      <c r="S184" s="268">
        <v>1</v>
      </c>
      <c r="T184" s="269">
        <f t="shared" si="155"/>
        <v>1</v>
      </c>
      <c r="U184" s="270">
        <v>987.5</v>
      </c>
      <c r="V184" s="270">
        <v>12306.4</v>
      </c>
      <c r="W184" s="271">
        <f t="shared" si="157"/>
        <v>-11556.4</v>
      </c>
      <c r="X184" s="272">
        <f t="shared" si="158"/>
        <v>0</v>
      </c>
      <c r="Y184" s="273">
        <f t="shared" si="159"/>
        <v>0</v>
      </c>
      <c r="Z184" s="273">
        <v>12306.4</v>
      </c>
      <c r="AA184" s="274">
        <f t="shared" si="161"/>
        <v>12476.199201645095</v>
      </c>
      <c r="AB184" s="275">
        <f t="shared" si="162"/>
        <v>-15.408533333333333</v>
      </c>
      <c r="AC184" s="276">
        <f t="shared" si="163"/>
        <v>0.89215600985935917</v>
      </c>
      <c r="AM184" s="1703">
        <f t="shared" si="113"/>
        <v>0</v>
      </c>
      <c r="AN184" s="1704">
        <v>12306.4</v>
      </c>
      <c r="AO184" s="1695" t="s">
        <v>1550</v>
      </c>
    </row>
    <row r="185" spans="1:41" ht="150" customHeight="1" x14ac:dyDescent="0.7">
      <c r="A185" s="227">
        <v>171</v>
      </c>
      <c r="B185" s="251" t="s">
        <v>511</v>
      </c>
      <c r="C185" s="252" t="s">
        <v>175</v>
      </c>
      <c r="D185" s="227" t="s">
        <v>182</v>
      </c>
      <c r="E185" s="227" t="s">
        <v>179</v>
      </c>
      <c r="F185" s="520" t="s">
        <v>518</v>
      </c>
      <c r="G185" s="521" t="s">
        <v>1304</v>
      </c>
      <c r="H185" s="522">
        <v>200</v>
      </c>
      <c r="I185" s="522">
        <v>0</v>
      </c>
      <c r="J185" s="523">
        <v>2.68</v>
      </c>
      <c r="K185" s="509">
        <f t="shared" si="151"/>
        <v>0</v>
      </c>
      <c r="L185" s="509">
        <f t="shared" si="152"/>
        <v>0</v>
      </c>
      <c r="M185" s="509">
        <f t="shared" si="153"/>
        <v>0</v>
      </c>
      <c r="N185" s="510">
        <f t="shared" si="154"/>
        <v>0</v>
      </c>
      <c r="O185" s="524" t="s">
        <v>654</v>
      </c>
      <c r="P185" s="385" t="s">
        <v>1125</v>
      </c>
      <c r="Q185" s="264"/>
      <c r="S185" s="525">
        <f t="shared" si="155"/>
        <v>200</v>
      </c>
      <c r="T185" s="526">
        <v>0</v>
      </c>
      <c r="U185" s="527">
        <v>1.8</v>
      </c>
      <c r="V185" s="270">
        <f t="shared" si="156"/>
        <v>0</v>
      </c>
      <c r="W185" s="271">
        <f t="shared" si="157"/>
        <v>0</v>
      </c>
      <c r="X185" s="272">
        <f t="shared" si="158"/>
        <v>0</v>
      </c>
      <c r="Y185" s="273">
        <f t="shared" si="159"/>
        <v>0</v>
      </c>
      <c r="Z185" s="273">
        <f t="shared" si="160"/>
        <v>0</v>
      </c>
      <c r="AA185" s="274">
        <f t="shared" si="161"/>
        <v>0</v>
      </c>
      <c r="AB185" s="275">
        <f t="shared" si="162"/>
        <v>0</v>
      </c>
      <c r="AC185" s="276">
        <f t="shared" si="163"/>
        <v>0</v>
      </c>
      <c r="AM185" s="1703">
        <f t="shared" si="113"/>
        <v>0</v>
      </c>
      <c r="AN185" s="1704"/>
    </row>
    <row r="186" spans="1:41" ht="150" customHeight="1" x14ac:dyDescent="0.7">
      <c r="A186" s="227">
        <v>172</v>
      </c>
      <c r="B186" s="251" t="s">
        <v>512</v>
      </c>
      <c r="C186" s="252" t="s">
        <v>175</v>
      </c>
      <c r="D186" s="227" t="s">
        <v>182</v>
      </c>
      <c r="E186" s="227" t="s">
        <v>179</v>
      </c>
      <c r="F186" s="260" t="s">
        <v>519</v>
      </c>
      <c r="G186" s="366" t="s">
        <v>1305</v>
      </c>
      <c r="H186" s="330">
        <v>570</v>
      </c>
      <c r="I186" s="330">
        <v>1</v>
      </c>
      <c r="J186" s="367">
        <v>1.3975299999999999</v>
      </c>
      <c r="K186" s="263">
        <f t="shared" si="151"/>
        <v>796.59209999999996</v>
      </c>
      <c r="L186" s="263">
        <f t="shared" si="152"/>
        <v>63.727367999999998</v>
      </c>
      <c r="M186" s="263">
        <f t="shared" si="153"/>
        <v>180.34760348905277</v>
      </c>
      <c r="N186" s="281">
        <f t="shared" si="154"/>
        <v>1040.6670714890527</v>
      </c>
      <c r="O186" s="203" t="s">
        <v>654</v>
      </c>
      <c r="P186" s="518" t="s">
        <v>974</v>
      </c>
      <c r="Q186" s="382"/>
      <c r="S186" s="268">
        <f t="shared" si="155"/>
        <v>570</v>
      </c>
      <c r="T186" s="269">
        <v>0</v>
      </c>
      <c r="U186" s="270">
        <v>1</v>
      </c>
      <c r="V186" s="270">
        <f t="shared" si="156"/>
        <v>0</v>
      </c>
      <c r="W186" s="271">
        <f t="shared" si="157"/>
        <v>796.59209999999996</v>
      </c>
      <c r="X186" s="272">
        <f t="shared" si="158"/>
        <v>0</v>
      </c>
      <c r="Y186" s="273">
        <f t="shared" si="159"/>
        <v>0</v>
      </c>
      <c r="Z186" s="273">
        <f t="shared" si="160"/>
        <v>0</v>
      </c>
      <c r="AA186" s="274">
        <f t="shared" si="161"/>
        <v>180.34760348905277</v>
      </c>
      <c r="AB186" s="275">
        <f t="shared" si="162"/>
        <v>1</v>
      </c>
      <c r="AC186" s="276">
        <f t="shared" si="163"/>
        <v>0</v>
      </c>
      <c r="AM186" s="1703">
        <f t="shared" si="113"/>
        <v>0</v>
      </c>
      <c r="AN186" s="1704"/>
    </row>
    <row r="187" spans="1:41" ht="150" customHeight="1" x14ac:dyDescent="0.7">
      <c r="A187" s="227">
        <v>173</v>
      </c>
      <c r="B187" s="251" t="s">
        <v>513</v>
      </c>
      <c r="C187" s="252" t="s">
        <v>175</v>
      </c>
      <c r="D187" s="227" t="s">
        <v>182</v>
      </c>
      <c r="E187" s="227" t="s">
        <v>179</v>
      </c>
      <c r="F187" s="260" t="s">
        <v>520</v>
      </c>
      <c r="G187" s="366" t="s">
        <v>1306</v>
      </c>
      <c r="H187" s="330">
        <v>570</v>
      </c>
      <c r="I187" s="330">
        <v>1</v>
      </c>
      <c r="J187" s="367">
        <v>3.9790000000000001</v>
      </c>
      <c r="K187" s="263">
        <f t="shared" si="151"/>
        <v>2268.0300000000002</v>
      </c>
      <c r="L187" s="263">
        <f t="shared" si="152"/>
        <v>181.44240000000002</v>
      </c>
      <c r="M187" s="263">
        <f t="shared" si="153"/>
        <v>513.47957774283282</v>
      </c>
      <c r="N187" s="281">
        <f t="shared" si="154"/>
        <v>2962.9519777428332</v>
      </c>
      <c r="O187" s="203" t="s">
        <v>654</v>
      </c>
      <c r="P187" s="431" t="s">
        <v>623</v>
      </c>
      <c r="Q187" s="431" t="s">
        <v>1001</v>
      </c>
      <c r="S187" s="268">
        <f t="shared" si="155"/>
        <v>570</v>
      </c>
      <c r="T187" s="269">
        <f t="shared" si="155"/>
        <v>1</v>
      </c>
      <c r="U187" s="270">
        <v>2.4842105000000001</v>
      </c>
      <c r="V187" s="270">
        <v>0</v>
      </c>
      <c r="W187" s="271">
        <f t="shared" si="157"/>
        <v>2268.0300000000002</v>
      </c>
      <c r="X187" s="272">
        <f t="shared" si="158"/>
        <v>0</v>
      </c>
      <c r="Y187" s="273">
        <f t="shared" si="159"/>
        <v>0</v>
      </c>
      <c r="Z187" s="273">
        <f t="shared" si="160"/>
        <v>0</v>
      </c>
      <c r="AA187" s="274">
        <f t="shared" si="161"/>
        <v>513.47957774283282</v>
      </c>
      <c r="AB187" s="275">
        <f t="shared" si="162"/>
        <v>1</v>
      </c>
      <c r="AC187" s="276">
        <f t="shared" si="163"/>
        <v>0</v>
      </c>
      <c r="AM187" s="1703">
        <f t="shared" si="113"/>
        <v>0</v>
      </c>
      <c r="AN187" s="1704"/>
    </row>
    <row r="188" spans="1:41" ht="150" customHeight="1" x14ac:dyDescent="0.7">
      <c r="A188" s="227">
        <v>174</v>
      </c>
      <c r="B188" s="251" t="s">
        <v>514</v>
      </c>
      <c r="C188" s="252" t="s">
        <v>175</v>
      </c>
      <c r="D188" s="227" t="s">
        <v>182</v>
      </c>
      <c r="E188" s="227" t="s">
        <v>179</v>
      </c>
      <c r="F188" s="520" t="s">
        <v>521</v>
      </c>
      <c r="G188" s="528" t="s">
        <v>1307</v>
      </c>
      <c r="H188" s="522">
        <v>200</v>
      </c>
      <c r="I188" s="522">
        <v>0</v>
      </c>
      <c r="J188" s="523">
        <v>20</v>
      </c>
      <c r="K188" s="509">
        <f t="shared" si="151"/>
        <v>0</v>
      </c>
      <c r="L188" s="509">
        <f t="shared" si="152"/>
        <v>0</v>
      </c>
      <c r="M188" s="509">
        <f t="shared" si="153"/>
        <v>0</v>
      </c>
      <c r="N188" s="510">
        <f t="shared" si="154"/>
        <v>0</v>
      </c>
      <c r="O188" s="524" t="s">
        <v>654</v>
      </c>
      <c r="P188" s="264"/>
      <c r="Q188" s="264"/>
      <c r="S188" s="268">
        <f t="shared" si="155"/>
        <v>200</v>
      </c>
      <c r="T188" s="269">
        <f t="shared" si="155"/>
        <v>0</v>
      </c>
      <c r="U188" s="270">
        <v>2</v>
      </c>
      <c r="V188" s="270">
        <f t="shared" si="156"/>
        <v>0</v>
      </c>
      <c r="W188" s="271">
        <f t="shared" si="157"/>
        <v>0</v>
      </c>
      <c r="X188" s="272">
        <f t="shared" si="158"/>
        <v>0</v>
      </c>
      <c r="Y188" s="273">
        <f t="shared" si="159"/>
        <v>0</v>
      </c>
      <c r="Z188" s="273">
        <f t="shared" si="160"/>
        <v>0</v>
      </c>
      <c r="AA188" s="274">
        <f t="shared" si="161"/>
        <v>0</v>
      </c>
      <c r="AB188" s="275">
        <f t="shared" si="162"/>
        <v>0</v>
      </c>
      <c r="AC188" s="276">
        <f t="shared" si="163"/>
        <v>0</v>
      </c>
      <c r="AM188" s="1703">
        <f t="shared" si="113"/>
        <v>0</v>
      </c>
      <c r="AN188" s="1704"/>
    </row>
    <row r="189" spans="1:41" ht="60" customHeight="1" thickBot="1" x14ac:dyDescent="0.75">
      <c r="A189" s="227">
        <v>175</v>
      </c>
      <c r="B189" s="251"/>
      <c r="C189" s="252" t="s">
        <v>184</v>
      </c>
      <c r="D189" s="227"/>
      <c r="E189" s="227"/>
      <c r="F189" s="1491" t="s">
        <v>523</v>
      </c>
      <c r="G189" s="1492"/>
      <c r="H189" s="1492"/>
      <c r="I189" s="1492"/>
      <c r="J189" s="1492"/>
      <c r="K189" s="398">
        <f>SUM(K181:K188)</f>
        <v>9642.8721000000005</v>
      </c>
      <c r="L189" s="398">
        <f>SUM(L181:L188)</f>
        <v>771.42976799999997</v>
      </c>
      <c r="M189" s="398">
        <f>SUM(M181:M188)</f>
        <v>2183.1359788610125</v>
      </c>
      <c r="N189" s="398">
        <f>SUM(N181:N188)</f>
        <v>12597.437846861012</v>
      </c>
      <c r="O189" s="370"/>
      <c r="P189" s="370"/>
      <c r="Q189" s="370"/>
      <c r="R189" s="370"/>
      <c r="S189" s="1493"/>
      <c r="T189" s="1480"/>
      <c r="U189" s="1480"/>
      <c r="V189" s="398">
        <f>SUM(V181:V188)</f>
        <v>13794</v>
      </c>
      <c r="W189" s="472">
        <f>SUM(W181:W188)</f>
        <v>-4151.1278999999995</v>
      </c>
      <c r="X189" s="473">
        <f>SUM(X181:X188)</f>
        <v>0</v>
      </c>
      <c r="Y189" s="474"/>
      <c r="Z189" s="475">
        <f>SUM(Z181:Z188)</f>
        <v>13794</v>
      </c>
      <c r="AA189" s="476">
        <f>SUM(AA181:AA188)</f>
        <v>15977.135978861015</v>
      </c>
      <c r="AM189" s="1703"/>
      <c r="AN189" s="1704"/>
    </row>
    <row r="190" spans="1:41" ht="60" customHeight="1" thickBot="1" x14ac:dyDescent="0.75">
      <c r="A190" s="227">
        <v>176</v>
      </c>
      <c r="B190" s="251">
        <v>10</v>
      </c>
      <c r="C190" s="252" t="s">
        <v>167</v>
      </c>
      <c r="D190" s="227"/>
      <c r="E190" s="227"/>
      <c r="F190" s="1463" t="s">
        <v>532</v>
      </c>
      <c r="G190" s="1464"/>
      <c r="H190" s="1464"/>
      <c r="I190" s="1464"/>
      <c r="J190" s="1464"/>
      <c r="K190" s="1464"/>
      <c r="L190" s="1464"/>
      <c r="M190" s="1464"/>
      <c r="N190" s="1475"/>
      <c r="O190" s="253"/>
      <c r="P190" s="253"/>
      <c r="Q190" s="253"/>
      <c r="R190" s="253"/>
      <c r="S190" s="1476" t="str">
        <f>IF(F190&lt;&gt;"",F190,"")</f>
        <v>OPERAÇÃO</v>
      </c>
      <c r="T190" s="1477"/>
      <c r="U190" s="1477"/>
      <c r="V190" s="1477"/>
      <c r="W190" s="1477"/>
      <c r="X190" s="1477"/>
      <c r="Y190" s="1477"/>
      <c r="Z190" s="1477"/>
      <c r="AA190" s="1478"/>
      <c r="AM190" s="1703">
        <f t="shared" si="113"/>
        <v>0</v>
      </c>
      <c r="AN190" s="1704"/>
    </row>
    <row r="191" spans="1:41" ht="60" customHeight="1" x14ac:dyDescent="0.7">
      <c r="A191" s="227">
        <v>177</v>
      </c>
      <c r="B191" s="251" t="s">
        <v>525</v>
      </c>
      <c r="C191" s="252" t="s">
        <v>169</v>
      </c>
      <c r="D191" s="227"/>
      <c r="E191" s="227"/>
      <c r="F191" s="1469" t="s">
        <v>532</v>
      </c>
      <c r="G191" s="1470"/>
      <c r="H191" s="1470"/>
      <c r="I191" s="1470"/>
      <c r="J191" s="1470"/>
      <c r="K191" s="1471"/>
      <c r="L191" s="254" t="s">
        <v>171</v>
      </c>
      <c r="M191" s="255" t="s">
        <v>172</v>
      </c>
      <c r="N191" s="406" t="s">
        <v>129</v>
      </c>
      <c r="O191" s="407"/>
      <c r="P191" s="407"/>
      <c r="Q191" s="407"/>
      <c r="R191" s="407"/>
      <c r="S191" s="1479" t="str">
        <f>IF(F191&lt;&gt;"",F191,"")</f>
        <v>OPERAÇÃO</v>
      </c>
      <c r="T191" s="1480"/>
      <c r="U191" s="1480"/>
      <c r="V191" s="1480"/>
      <c r="W191" s="1480"/>
      <c r="X191" s="1480"/>
      <c r="Y191" s="1480"/>
      <c r="Z191" s="1480"/>
      <c r="AA191" s="1481"/>
      <c r="AB191" s="258" t="s">
        <v>173</v>
      </c>
      <c r="AC191" s="259" t="s">
        <v>130</v>
      </c>
      <c r="AM191" s="1703">
        <f t="shared" si="113"/>
        <v>0</v>
      </c>
      <c r="AN191" s="1704"/>
    </row>
    <row r="192" spans="1:41" ht="150" customHeight="1" x14ac:dyDescent="0.7">
      <c r="A192" s="227">
        <v>178</v>
      </c>
      <c r="B192" s="251" t="s">
        <v>526</v>
      </c>
      <c r="C192" s="252" t="s">
        <v>175</v>
      </c>
      <c r="D192" s="227" t="s">
        <v>182</v>
      </c>
      <c r="E192" s="227" t="s">
        <v>179</v>
      </c>
      <c r="F192" s="260" t="s">
        <v>533</v>
      </c>
      <c r="G192" s="381" t="s">
        <v>1308</v>
      </c>
      <c r="H192" s="353">
        <v>40</v>
      </c>
      <c r="I192" s="353">
        <v>7</v>
      </c>
      <c r="J192" s="486">
        <v>38</v>
      </c>
      <c r="K192" s="263">
        <f t="shared" ref="K192:K197" si="164">IF(F192&lt;&gt;"",H192*I192*J192,"")</f>
        <v>10640</v>
      </c>
      <c r="L192" s="263">
        <f t="shared" ref="L192:L197" si="165">IF(K192&lt;&gt;"",IF(D192="INTERNO",0,K192*$L$14),"")</f>
        <v>851.2</v>
      </c>
      <c r="M192" s="263">
        <f t="shared" ref="M192:M197" si="166">IF(K192&lt;&gt;"",IF(E192="FAT.OGGI",SUM(K192:L192)*(1/(1-$M$14)-1),L192*(1/(1-$M$14)-1)),0)</f>
        <v>2408.8846740050799</v>
      </c>
      <c r="N192" s="281">
        <f t="shared" ref="N192:N197" si="167">SUM(K192:M192)</f>
        <v>13900.08467400508</v>
      </c>
      <c r="O192" s="203" t="s">
        <v>654</v>
      </c>
      <c r="P192" s="431" t="s">
        <v>623</v>
      </c>
      <c r="Q192" s="431" t="s">
        <v>972</v>
      </c>
      <c r="S192" s="269">
        <v>43</v>
      </c>
      <c r="T192" s="269">
        <v>8</v>
      </c>
      <c r="U192" s="270">
        <v>24</v>
      </c>
      <c r="V192" s="270">
        <v>7520</v>
      </c>
      <c r="W192" s="271">
        <f t="shared" ref="W192:W197" si="168">IF(S192&lt;&gt;"",K192-V192,"")</f>
        <v>3120</v>
      </c>
      <c r="X192" s="272">
        <f t="shared" ref="X192:X197" si="169">IF(S192&lt;&gt;"",0%,"")</f>
        <v>0</v>
      </c>
      <c r="Y192" s="273">
        <f t="shared" ref="Y192:Y197" si="170">IF(S192&lt;&gt;"",X192*W192,"")</f>
        <v>0</v>
      </c>
      <c r="Z192" s="273">
        <f t="shared" ref="Z192:Z197" si="171">IF(S192&lt;&gt;"",Y192+V192,"")</f>
        <v>7520</v>
      </c>
      <c r="AA192" s="274">
        <f t="shared" ref="AA192:AA197" si="172">IF(S192&lt;&gt;"",Z192+M192,"")</f>
        <v>9928.8846740050794</v>
      </c>
      <c r="AB192" s="275">
        <f t="shared" ref="AB192:AB197" si="173">IF(S192&lt;&gt;"", IFERROR(W192/K192, 0), 0)</f>
        <v>0.2932330827067669</v>
      </c>
      <c r="AC192" s="276">
        <f t="shared" ref="AC192:AC197" si="174">V192/$V$198</f>
        <v>0.19222903885480572</v>
      </c>
      <c r="AM192" s="1703">
        <f t="shared" si="113"/>
        <v>0</v>
      </c>
      <c r="AN192" s="1704">
        <f>1000+6520</f>
        <v>7520</v>
      </c>
      <c r="AO192" s="1695" t="s">
        <v>1552</v>
      </c>
    </row>
    <row r="193" spans="1:41" ht="150" customHeight="1" x14ac:dyDescent="0.7">
      <c r="A193" s="227">
        <v>179</v>
      </c>
      <c r="B193" s="251" t="s">
        <v>527</v>
      </c>
      <c r="C193" s="252" t="s">
        <v>175</v>
      </c>
      <c r="D193" s="227" t="s">
        <v>182</v>
      </c>
      <c r="E193" s="227" t="s">
        <v>179</v>
      </c>
      <c r="F193" s="260" t="s">
        <v>534</v>
      </c>
      <c r="G193" s="261" t="s">
        <v>1309</v>
      </c>
      <c r="H193" s="352">
        <v>1</v>
      </c>
      <c r="I193" s="352">
        <v>6</v>
      </c>
      <c r="J193" s="529">
        <v>400</v>
      </c>
      <c r="K193" s="263">
        <f t="shared" si="164"/>
        <v>2400</v>
      </c>
      <c r="L193" s="263">
        <f t="shared" si="165"/>
        <v>192</v>
      </c>
      <c r="M193" s="263">
        <f t="shared" si="166"/>
        <v>543.35744526430369</v>
      </c>
      <c r="N193" s="281">
        <f t="shared" si="167"/>
        <v>3135.3574452643038</v>
      </c>
      <c r="O193" s="203" t="s">
        <v>654</v>
      </c>
      <c r="P193" s="431" t="s">
        <v>623</v>
      </c>
      <c r="Q193" s="518" t="s">
        <v>973</v>
      </c>
      <c r="S193" s="269">
        <f t="shared" ref="S193:T197" si="175">IF(H193&lt;&gt;"",H193,"")</f>
        <v>1</v>
      </c>
      <c r="T193" s="269">
        <v>1</v>
      </c>
      <c r="U193" s="270">
        <v>2178</v>
      </c>
      <c r="V193" s="270">
        <v>0</v>
      </c>
      <c r="W193" s="287">
        <f t="shared" si="168"/>
        <v>2400</v>
      </c>
      <c r="X193" s="288">
        <f t="shared" si="169"/>
        <v>0</v>
      </c>
      <c r="Y193" s="289">
        <f t="shared" si="170"/>
        <v>0</v>
      </c>
      <c r="Z193" s="289">
        <f t="shared" si="171"/>
        <v>0</v>
      </c>
      <c r="AA193" s="290">
        <f t="shared" si="172"/>
        <v>543.35744526430369</v>
      </c>
      <c r="AB193" s="275">
        <f t="shared" si="173"/>
        <v>1</v>
      </c>
      <c r="AC193" s="276">
        <f t="shared" si="174"/>
        <v>0</v>
      </c>
      <c r="AM193" s="1703">
        <f t="shared" si="113"/>
        <v>0</v>
      </c>
      <c r="AN193" s="1704"/>
    </row>
    <row r="194" spans="1:41" ht="150" customHeight="1" x14ac:dyDescent="0.7">
      <c r="A194" s="297">
        <v>180</v>
      </c>
      <c r="B194" s="251" t="s">
        <v>528</v>
      </c>
      <c r="C194" s="298" t="s">
        <v>175</v>
      </c>
      <c r="D194" s="227" t="s">
        <v>182</v>
      </c>
      <c r="E194" s="227" t="s">
        <v>179</v>
      </c>
      <c r="F194" s="351" t="s">
        <v>486</v>
      </c>
      <c r="G194" s="530" t="s">
        <v>1180</v>
      </c>
      <c r="H194" s="353">
        <v>1</v>
      </c>
      <c r="I194" s="353">
        <v>0</v>
      </c>
      <c r="J194" s="449">
        <v>1500</v>
      </c>
      <c r="K194" s="264">
        <f t="shared" si="164"/>
        <v>0</v>
      </c>
      <c r="L194" s="264">
        <f t="shared" si="165"/>
        <v>0</v>
      </c>
      <c r="M194" s="264">
        <f t="shared" si="166"/>
        <v>0</v>
      </c>
      <c r="N194" s="265">
        <f t="shared" si="167"/>
        <v>0</v>
      </c>
      <c r="O194" s="203" t="s">
        <v>654</v>
      </c>
      <c r="P194" s="431" t="s">
        <v>974</v>
      </c>
      <c r="Q194" s="264"/>
      <c r="R194" s="519" t="s">
        <v>1177</v>
      </c>
      <c r="S194" s="269">
        <f t="shared" si="175"/>
        <v>1</v>
      </c>
      <c r="T194" s="269">
        <f t="shared" si="175"/>
        <v>0</v>
      </c>
      <c r="U194" s="270">
        <v>0</v>
      </c>
      <c r="V194" s="270">
        <f t="shared" ref="V194" si="176">IF(S194&lt;&gt;"",S194*T194*U194,"")</f>
        <v>0</v>
      </c>
      <c r="W194" s="354">
        <f t="shared" si="168"/>
        <v>0</v>
      </c>
      <c r="X194" s="303">
        <f t="shared" si="169"/>
        <v>0</v>
      </c>
      <c r="Y194" s="304">
        <f t="shared" si="170"/>
        <v>0</v>
      </c>
      <c r="Z194" s="304">
        <f t="shared" si="171"/>
        <v>0</v>
      </c>
      <c r="AA194" s="273">
        <f t="shared" si="172"/>
        <v>0</v>
      </c>
      <c r="AB194" s="276">
        <f t="shared" si="173"/>
        <v>0</v>
      </c>
      <c r="AC194" s="276">
        <f t="shared" si="174"/>
        <v>0</v>
      </c>
      <c r="AM194" s="1703">
        <f t="shared" si="113"/>
        <v>0</v>
      </c>
      <c r="AN194" s="1704"/>
    </row>
    <row r="195" spans="1:41" ht="150" customHeight="1" x14ac:dyDescent="0.7">
      <c r="A195" s="279">
        <v>181</v>
      </c>
      <c r="B195" s="251" t="s">
        <v>529</v>
      </c>
      <c r="C195" s="280" t="s">
        <v>175</v>
      </c>
      <c r="D195" s="279" t="s">
        <v>182</v>
      </c>
      <c r="E195" s="279" t="s">
        <v>179</v>
      </c>
      <c r="F195" s="531" t="s">
        <v>535</v>
      </c>
      <c r="G195" s="532" t="s">
        <v>1310</v>
      </c>
      <c r="H195" s="533">
        <v>1</v>
      </c>
      <c r="I195" s="533">
        <v>1</v>
      </c>
      <c r="J195" s="534">
        <v>4500</v>
      </c>
      <c r="K195" s="416">
        <f t="shared" si="164"/>
        <v>4500</v>
      </c>
      <c r="L195" s="416">
        <f t="shared" si="165"/>
        <v>360</v>
      </c>
      <c r="M195" s="416">
        <f t="shared" si="166"/>
        <v>1018.7952098705694</v>
      </c>
      <c r="N195" s="417">
        <f t="shared" si="167"/>
        <v>5878.7952098705691</v>
      </c>
      <c r="O195" s="203" t="s">
        <v>654</v>
      </c>
      <c r="P195" s="431" t="s">
        <v>623</v>
      </c>
      <c r="Q195" s="535" t="s">
        <v>975</v>
      </c>
      <c r="R195" s="519" t="s">
        <v>1176</v>
      </c>
      <c r="S195" s="269">
        <f t="shared" si="175"/>
        <v>1</v>
      </c>
      <c r="T195" s="269">
        <f t="shared" si="175"/>
        <v>1</v>
      </c>
      <c r="U195" s="270">
        <v>4000</v>
      </c>
      <c r="V195" s="270">
        <v>0</v>
      </c>
      <c r="W195" s="386">
        <f t="shared" si="168"/>
        <v>4500</v>
      </c>
      <c r="X195" s="317">
        <f t="shared" si="169"/>
        <v>0</v>
      </c>
      <c r="Y195" s="318">
        <f t="shared" si="170"/>
        <v>0</v>
      </c>
      <c r="Z195" s="318">
        <f t="shared" si="171"/>
        <v>0</v>
      </c>
      <c r="AA195" s="312">
        <f t="shared" si="172"/>
        <v>1018.7952098705694</v>
      </c>
      <c r="AB195" s="275">
        <f t="shared" si="173"/>
        <v>1</v>
      </c>
      <c r="AC195" s="276">
        <f t="shared" si="174"/>
        <v>0</v>
      </c>
      <c r="AM195" s="1703">
        <f t="shared" si="113"/>
        <v>0</v>
      </c>
      <c r="AN195" s="1704"/>
    </row>
    <row r="196" spans="1:41" ht="150" customHeight="1" x14ac:dyDescent="0.7">
      <c r="A196" s="227">
        <v>182</v>
      </c>
      <c r="B196" s="251" t="s">
        <v>530</v>
      </c>
      <c r="C196" s="252" t="s">
        <v>175</v>
      </c>
      <c r="D196" s="227" t="s">
        <v>182</v>
      </c>
      <c r="E196" s="227" t="s">
        <v>179</v>
      </c>
      <c r="F196" s="260" t="s">
        <v>536</v>
      </c>
      <c r="G196" s="381" t="s">
        <v>1311</v>
      </c>
      <c r="H196" s="353">
        <v>1</v>
      </c>
      <c r="I196" s="353">
        <v>3</v>
      </c>
      <c r="J196" s="486">
        <v>850</v>
      </c>
      <c r="K196" s="263">
        <f t="shared" si="164"/>
        <v>2550</v>
      </c>
      <c r="L196" s="263">
        <f t="shared" si="165"/>
        <v>204</v>
      </c>
      <c r="M196" s="263">
        <f t="shared" si="166"/>
        <v>577.31728559332271</v>
      </c>
      <c r="N196" s="281">
        <f t="shared" si="167"/>
        <v>3331.3172855933226</v>
      </c>
      <c r="O196" s="203" t="s">
        <v>654</v>
      </c>
      <c r="P196" s="431" t="s">
        <v>623</v>
      </c>
      <c r="Q196" s="264"/>
      <c r="S196" s="269">
        <f t="shared" si="175"/>
        <v>1</v>
      </c>
      <c r="T196" s="269">
        <v>4</v>
      </c>
      <c r="U196" s="270">
        <v>380</v>
      </c>
      <c r="V196" s="270">
        <v>1900</v>
      </c>
      <c r="W196" s="271">
        <f t="shared" si="168"/>
        <v>650</v>
      </c>
      <c r="X196" s="272">
        <f t="shared" si="169"/>
        <v>0</v>
      </c>
      <c r="Y196" s="273">
        <f t="shared" si="170"/>
        <v>0</v>
      </c>
      <c r="Z196" s="273">
        <v>1900</v>
      </c>
      <c r="AA196" s="274">
        <f t="shared" si="172"/>
        <v>2477.3172855933226</v>
      </c>
      <c r="AB196" s="275">
        <f t="shared" si="173"/>
        <v>0.25490196078431371</v>
      </c>
      <c r="AC196" s="276">
        <f t="shared" si="174"/>
        <v>4.8568507157464212E-2</v>
      </c>
      <c r="AM196" s="1703">
        <f t="shared" si="113"/>
        <v>0</v>
      </c>
      <c r="AN196" s="1704">
        <f>1520+380</f>
        <v>1900</v>
      </c>
      <c r="AO196" s="1695" t="s">
        <v>1554</v>
      </c>
    </row>
    <row r="197" spans="1:41" ht="150" customHeight="1" x14ac:dyDescent="0.7">
      <c r="A197" s="227">
        <v>183</v>
      </c>
      <c r="B197" s="251" t="s">
        <v>531</v>
      </c>
      <c r="C197" s="252" t="s">
        <v>175</v>
      </c>
      <c r="D197" s="227" t="s">
        <v>182</v>
      </c>
      <c r="E197" s="227" t="s">
        <v>179</v>
      </c>
      <c r="F197" s="260" t="s">
        <v>537</v>
      </c>
      <c r="G197" s="349" t="s">
        <v>1312</v>
      </c>
      <c r="H197" s="353">
        <v>1</v>
      </c>
      <c r="I197" s="353">
        <v>7</v>
      </c>
      <c r="J197" s="486">
        <v>3500</v>
      </c>
      <c r="K197" s="263">
        <f t="shared" si="164"/>
        <v>24500</v>
      </c>
      <c r="L197" s="263">
        <f t="shared" si="165"/>
        <v>1960</v>
      </c>
      <c r="M197" s="263">
        <f t="shared" si="166"/>
        <v>5546.7739204064337</v>
      </c>
      <c r="N197" s="281">
        <f t="shared" si="167"/>
        <v>32006.773920406435</v>
      </c>
      <c r="O197" s="203" t="s">
        <v>654</v>
      </c>
      <c r="P197" s="431" t="s">
        <v>623</v>
      </c>
      <c r="Q197" s="431"/>
      <c r="S197" s="269">
        <f t="shared" si="175"/>
        <v>1</v>
      </c>
      <c r="T197" s="269">
        <f t="shared" si="175"/>
        <v>7</v>
      </c>
      <c r="U197" s="270">
        <v>2500</v>
      </c>
      <c r="V197" s="270">
        <v>29700</v>
      </c>
      <c r="W197" s="271">
        <f t="shared" si="168"/>
        <v>-5200</v>
      </c>
      <c r="X197" s="272">
        <f t="shared" si="169"/>
        <v>0</v>
      </c>
      <c r="Y197" s="273">
        <f t="shared" si="170"/>
        <v>0</v>
      </c>
      <c r="Z197" s="273">
        <f t="shared" si="171"/>
        <v>29700</v>
      </c>
      <c r="AA197" s="274">
        <f t="shared" si="172"/>
        <v>35246.773920406435</v>
      </c>
      <c r="AB197" s="275">
        <f t="shared" si="173"/>
        <v>-0.21224489795918366</v>
      </c>
      <c r="AC197" s="276">
        <f t="shared" si="174"/>
        <v>0.75920245398773001</v>
      </c>
      <c r="AM197" s="1703">
        <f t="shared" si="113"/>
        <v>0</v>
      </c>
      <c r="AN197" s="1704">
        <f>26400+3300</f>
        <v>29700</v>
      </c>
      <c r="AO197" s="1695" t="s">
        <v>1558</v>
      </c>
    </row>
    <row r="198" spans="1:41" ht="60" customHeight="1" thickBot="1" x14ac:dyDescent="0.75">
      <c r="A198" s="227">
        <v>184</v>
      </c>
      <c r="B198" s="251"/>
      <c r="C198" s="252" t="s">
        <v>184</v>
      </c>
      <c r="D198" s="227"/>
      <c r="E198" s="227"/>
      <c r="F198" s="1459" t="s">
        <v>538</v>
      </c>
      <c r="G198" s="1460"/>
      <c r="H198" s="1460"/>
      <c r="I198" s="1460"/>
      <c r="J198" s="1460"/>
      <c r="K198" s="370">
        <f>SUM(K192:K197)</f>
        <v>44590</v>
      </c>
      <c r="L198" s="370">
        <f>SUM(L192:L197)</f>
        <v>3567.2</v>
      </c>
      <c r="M198" s="370">
        <f>SUM(M192:M197)</f>
        <v>10095.128535139709</v>
      </c>
      <c r="N198" s="370">
        <f>SUM(N192:N197)</f>
        <v>58252.328535139706</v>
      </c>
      <c r="O198" s="370"/>
      <c r="P198" s="370"/>
      <c r="Q198" s="370"/>
      <c r="R198" s="370"/>
      <c r="S198" s="1482"/>
      <c r="T198" s="1483"/>
      <c r="U198" s="1483"/>
      <c r="V198" s="372">
        <f>SUM(V192:V197)</f>
        <v>39120</v>
      </c>
      <c r="W198" s="373">
        <f>SUM(W192:W197)</f>
        <v>5470</v>
      </c>
      <c r="X198" s="374">
        <f>SUM(X192:X197)</f>
        <v>0</v>
      </c>
      <c r="Y198" s="375"/>
      <c r="Z198" s="376">
        <f>SUM(Z192:Z197)</f>
        <v>39120</v>
      </c>
      <c r="AA198" s="377">
        <f>SUM(AA192:AA197)</f>
        <v>49215.128535139709</v>
      </c>
      <c r="AM198" s="1703"/>
      <c r="AN198" s="1704"/>
    </row>
    <row r="199" spans="1:41" ht="60" customHeight="1" thickBot="1" x14ac:dyDescent="0.75">
      <c r="A199" s="227">
        <v>185</v>
      </c>
      <c r="B199" s="251">
        <v>11</v>
      </c>
      <c r="C199" s="252" t="s">
        <v>167</v>
      </c>
      <c r="D199" s="227"/>
      <c r="E199" s="227"/>
      <c r="F199" s="1463" t="s">
        <v>543</v>
      </c>
      <c r="G199" s="1464"/>
      <c r="H199" s="1464"/>
      <c r="I199" s="1464"/>
      <c r="J199" s="1464"/>
      <c r="K199" s="1464"/>
      <c r="L199" s="1464"/>
      <c r="M199" s="1464"/>
      <c r="N199" s="1465"/>
      <c r="O199" s="253"/>
      <c r="P199" s="253"/>
      <c r="Q199" s="253"/>
      <c r="R199" s="253"/>
      <c r="S199" s="1466" t="str">
        <f>IF(F199&lt;&gt;"",F199,"")</f>
        <v>TAXAS E DOCUMENTAÇÕES</v>
      </c>
      <c r="T199" s="1467"/>
      <c r="U199" s="1467"/>
      <c r="V199" s="1467"/>
      <c r="W199" s="1467"/>
      <c r="X199" s="1467"/>
      <c r="Y199" s="1467"/>
      <c r="Z199" s="1467"/>
      <c r="AA199" s="1468"/>
      <c r="AM199" s="1703">
        <f t="shared" si="113"/>
        <v>0</v>
      </c>
      <c r="AN199" s="1704"/>
    </row>
    <row r="200" spans="1:41" ht="60" customHeight="1" x14ac:dyDescent="0.7">
      <c r="A200" s="227">
        <v>186</v>
      </c>
      <c r="B200" s="251" t="s">
        <v>539</v>
      </c>
      <c r="C200" s="252" t="s">
        <v>169</v>
      </c>
      <c r="D200" s="227"/>
      <c r="E200" s="227"/>
      <c r="F200" s="1469" t="s">
        <v>543</v>
      </c>
      <c r="G200" s="1470"/>
      <c r="H200" s="1470"/>
      <c r="I200" s="1470"/>
      <c r="J200" s="1470"/>
      <c r="K200" s="1471"/>
      <c r="L200" s="254" t="s">
        <v>171</v>
      </c>
      <c r="M200" s="255" t="s">
        <v>172</v>
      </c>
      <c r="N200" s="536" t="s">
        <v>129</v>
      </c>
      <c r="O200" s="407"/>
      <c r="P200" s="407"/>
      <c r="Q200" s="407"/>
      <c r="R200" s="407"/>
      <c r="S200" s="1472" t="str">
        <f>IF(F200&lt;&gt;"",F200,"")</f>
        <v>TAXAS E DOCUMENTAÇÕES</v>
      </c>
      <c r="T200" s="1473"/>
      <c r="U200" s="1473"/>
      <c r="V200" s="1473"/>
      <c r="W200" s="1473"/>
      <c r="X200" s="1473"/>
      <c r="Y200" s="1473"/>
      <c r="Z200" s="1473"/>
      <c r="AA200" s="1474"/>
      <c r="AB200" s="258" t="s">
        <v>173</v>
      </c>
      <c r="AC200" s="259" t="s">
        <v>130</v>
      </c>
      <c r="AM200" s="1703">
        <f t="shared" si="113"/>
        <v>0</v>
      </c>
      <c r="AN200" s="1704"/>
    </row>
    <row r="201" spans="1:41" ht="150" customHeight="1" x14ac:dyDescent="0.7">
      <c r="A201" s="227">
        <v>187</v>
      </c>
      <c r="B201" s="251" t="s">
        <v>540</v>
      </c>
      <c r="C201" s="252" t="s">
        <v>175</v>
      </c>
      <c r="D201" s="227" t="s">
        <v>182</v>
      </c>
      <c r="E201" s="227" t="s">
        <v>179</v>
      </c>
      <c r="F201" s="260" t="s">
        <v>544</v>
      </c>
      <c r="G201" s="261" t="s">
        <v>1313</v>
      </c>
      <c r="H201" s="330">
        <v>1</v>
      </c>
      <c r="I201" s="330">
        <v>1</v>
      </c>
      <c r="J201" s="367">
        <v>2500</v>
      </c>
      <c r="K201" s="263">
        <f>IF(F201&lt;&gt;"",H201*I201*J201,"")</f>
        <v>2500</v>
      </c>
      <c r="L201" s="263">
        <f>IF(K201&lt;&gt;"",IF(D201="INTERNO",0,K201*$L$14),"")</f>
        <v>200</v>
      </c>
      <c r="M201" s="263">
        <f>IF(K201&lt;&gt;"",IF(E201="FAT.OGGI",SUM(K201:L201)*(1/(1-$M$14)-1),L201*(1/(1-$M$14)-1)),0)</f>
        <v>565.99733881698296</v>
      </c>
      <c r="N201" s="281">
        <f>SUM(K201:M201)</f>
        <v>3265.9973388169828</v>
      </c>
      <c r="O201" s="203" t="s">
        <v>654</v>
      </c>
      <c r="P201" s="431" t="s">
        <v>623</v>
      </c>
      <c r="Q201" s="368"/>
      <c r="R201" s="537" t="s">
        <v>951</v>
      </c>
      <c r="S201" s="268">
        <f t="shared" ref="S201:T203" si="177">IF(H201&lt;&gt;"",H201,"")</f>
        <v>1</v>
      </c>
      <c r="T201" s="269">
        <f t="shared" si="177"/>
        <v>1</v>
      </c>
      <c r="U201" s="270">
        <v>4971.1400000000003</v>
      </c>
      <c r="V201" s="270">
        <v>4971.1400000000003</v>
      </c>
      <c r="W201" s="278">
        <f>IF(S201&lt;&gt;"",K201-V201,"")</f>
        <v>-2471.1400000000003</v>
      </c>
      <c r="X201" s="272">
        <f>IF(S201&lt;&gt;"",0%,"")</f>
        <v>0</v>
      </c>
      <c r="Y201" s="273">
        <f>IF(S201&lt;&gt;"",X201*W201,"")</f>
        <v>0</v>
      </c>
      <c r="Z201" s="273">
        <f>IF(S201&lt;&gt;"",Y201+V201,"")</f>
        <v>4971.1400000000003</v>
      </c>
      <c r="AA201" s="274">
        <f>IF(S201&lt;&gt;"",Z201+M201,"")</f>
        <v>5537.1373388169832</v>
      </c>
      <c r="AB201" s="275">
        <f>IF(S201&lt;&gt;"", IFERROR(W201/K201, 0), 0)</f>
        <v>-0.98845600000000011</v>
      </c>
      <c r="AC201" s="276">
        <f>V201/$V$204</f>
        <v>0.42491499375167752</v>
      </c>
      <c r="AM201" s="1703">
        <f t="shared" si="113"/>
        <v>0</v>
      </c>
      <c r="AN201" s="1704">
        <v>4971.1400000000003</v>
      </c>
      <c r="AO201" s="1695" t="s">
        <v>544</v>
      </c>
    </row>
    <row r="202" spans="1:41" ht="150" customHeight="1" x14ac:dyDescent="0.7">
      <c r="A202" s="227">
        <v>188</v>
      </c>
      <c r="B202" s="251" t="s">
        <v>541</v>
      </c>
      <c r="C202" s="252" t="s">
        <v>175</v>
      </c>
      <c r="D202" s="227" t="s">
        <v>182</v>
      </c>
      <c r="E202" s="227" t="s">
        <v>179</v>
      </c>
      <c r="F202" s="351" t="s">
        <v>545</v>
      </c>
      <c r="G202" s="336" t="s">
        <v>546</v>
      </c>
      <c r="H202" s="330">
        <v>1</v>
      </c>
      <c r="I202" s="330">
        <v>1</v>
      </c>
      <c r="J202" s="367">
        <v>3800</v>
      </c>
      <c r="K202" s="263">
        <f>IF(F202&lt;&gt;"",H202*I202*J202,"")</f>
        <v>3800</v>
      </c>
      <c r="L202" s="263">
        <f>IF(K202&lt;&gt;"",IF(D202="INTERNO",0,K202*$L$14),"")</f>
        <v>304</v>
      </c>
      <c r="M202" s="263">
        <f>IF(K202&lt;&gt;"",IF(E202="FAT.OGGI",SUM(K202:L202)*(1/(1-$M$14)-1),L202*(1/(1-$M$14)-1)),0)</f>
        <v>860.31595500181413</v>
      </c>
      <c r="N202" s="281">
        <f>SUM(K202:M202)</f>
        <v>4964.3159550018145</v>
      </c>
      <c r="O202" s="203" t="s">
        <v>654</v>
      </c>
      <c r="P202" s="431" t="s">
        <v>623</v>
      </c>
      <c r="Q202" s="431" t="s">
        <v>976</v>
      </c>
      <c r="R202" s="537" t="s">
        <v>951</v>
      </c>
      <c r="S202" s="268">
        <f t="shared" si="177"/>
        <v>1</v>
      </c>
      <c r="T202" s="269">
        <f t="shared" si="177"/>
        <v>1</v>
      </c>
      <c r="U202" s="270">
        <v>1840.53</v>
      </c>
      <c r="V202" s="270">
        <v>3972</v>
      </c>
      <c r="W202" s="271">
        <f>IF(S202&lt;&gt;"",K202-V202,"")</f>
        <v>-172</v>
      </c>
      <c r="X202" s="272">
        <f>IF(S202&lt;&gt;"",0%,"")</f>
        <v>0</v>
      </c>
      <c r="Y202" s="273">
        <f>IF(S202&lt;&gt;"",X202*W202,"")</f>
        <v>0</v>
      </c>
      <c r="Z202" s="273">
        <f>IF(S202&lt;&gt;"",Y202+V202,"")</f>
        <v>3972</v>
      </c>
      <c r="AA202" s="274">
        <f>IF(S202&lt;&gt;"",Z202+M202,"")</f>
        <v>4832.3159550018145</v>
      </c>
      <c r="AB202" s="275">
        <f>IF(S202&lt;&gt;"", IFERROR(W202/K202, 0), 0)</f>
        <v>-4.5263157894736845E-2</v>
      </c>
      <c r="AC202" s="276">
        <f>V202/$V$204</f>
        <v>0.33951213508001443</v>
      </c>
      <c r="AM202" s="1703">
        <f t="shared" si="113"/>
        <v>0</v>
      </c>
      <c r="AN202" s="1704">
        <f>2131.47+1840.53</f>
        <v>3972</v>
      </c>
      <c r="AO202" s="1695" t="s">
        <v>1557</v>
      </c>
    </row>
    <row r="203" spans="1:41" ht="150" customHeight="1" thickBot="1" x14ac:dyDescent="0.75">
      <c r="A203" s="227">
        <v>189</v>
      </c>
      <c r="B203" s="251" t="s">
        <v>542</v>
      </c>
      <c r="C203" s="252" t="s">
        <v>175</v>
      </c>
      <c r="D203" s="227" t="s">
        <v>182</v>
      </c>
      <c r="E203" s="227" t="s">
        <v>179</v>
      </c>
      <c r="F203" s="351" t="s">
        <v>547</v>
      </c>
      <c r="G203" s="261" t="s">
        <v>1314</v>
      </c>
      <c r="H203" s="330">
        <v>1</v>
      </c>
      <c r="I203" s="330">
        <v>1</v>
      </c>
      <c r="J203" s="367">
        <v>5000</v>
      </c>
      <c r="K203" s="263">
        <f>IF(F203&lt;&gt;"",H203*I203*J203,"")</f>
        <v>5000</v>
      </c>
      <c r="L203" s="263">
        <f>IF(K203&lt;&gt;"",IF(D203="INTERNO",0,K203*$L$14),"")</f>
        <v>400</v>
      </c>
      <c r="M203" s="263">
        <f>IF(K203&lt;&gt;"",IF(E203="FAT.OGGI",SUM(K203:L203)*(1/(1-$M$14)-1),L203*(1/(1-$M$14)-1)),0)</f>
        <v>1131.9946776339659</v>
      </c>
      <c r="N203" s="281">
        <f>SUM(K203:M203)</f>
        <v>6531.9946776339657</v>
      </c>
      <c r="O203" s="203" t="s">
        <v>654</v>
      </c>
      <c r="P203" s="431" t="s">
        <v>623</v>
      </c>
      <c r="Q203" s="431" t="s">
        <v>977</v>
      </c>
      <c r="R203" s="537"/>
      <c r="S203" s="268">
        <f t="shared" si="177"/>
        <v>1</v>
      </c>
      <c r="T203" s="269">
        <f t="shared" si="177"/>
        <v>1</v>
      </c>
      <c r="U203" s="270">
        <f>2756+210</f>
        <v>2966</v>
      </c>
      <c r="V203" s="270">
        <v>2756</v>
      </c>
      <c r="W203" s="271">
        <f>IF(S203&lt;&gt;"",K203-V203,"")</f>
        <v>2244</v>
      </c>
      <c r="X203" s="272">
        <f>IF(S203&lt;&gt;"",0%,"")</f>
        <v>0</v>
      </c>
      <c r="Y203" s="273">
        <f>IF(S203&lt;&gt;"",X203*W203,"")</f>
        <v>0</v>
      </c>
      <c r="Z203" s="273">
        <f>IF(S203&lt;&gt;"",Y203+V203,"")</f>
        <v>2756</v>
      </c>
      <c r="AA203" s="274">
        <f>IF(S203&lt;&gt;"",Z203+M203,"")</f>
        <v>3887.9946776339657</v>
      </c>
      <c r="AB203" s="538">
        <f>IF(S203&lt;&gt;"", IFERROR(W203/K203, 0), 0)</f>
        <v>0.44879999999999998</v>
      </c>
      <c r="AC203" s="539">
        <f>V203/$V$204</f>
        <v>0.23557287116830811</v>
      </c>
      <c r="AM203" s="1703">
        <f t="shared" si="113"/>
        <v>0</v>
      </c>
      <c r="AN203" s="1704">
        <v>2756</v>
      </c>
      <c r="AO203" s="1695" t="s">
        <v>1546</v>
      </c>
    </row>
    <row r="204" spans="1:41" ht="60" customHeight="1" thickBot="1" x14ac:dyDescent="0.75">
      <c r="A204" s="227">
        <v>190</v>
      </c>
      <c r="B204" s="297"/>
      <c r="C204" s="227" t="s">
        <v>184</v>
      </c>
      <c r="D204" s="227"/>
      <c r="E204" s="227"/>
      <c r="F204" s="1459" t="s">
        <v>548</v>
      </c>
      <c r="G204" s="1460"/>
      <c r="H204" s="1460"/>
      <c r="I204" s="1460"/>
      <c r="J204" s="1460"/>
      <c r="K204" s="370">
        <f>SUM(K201:K203)</f>
        <v>11300</v>
      </c>
      <c r="L204" s="370">
        <f>SUM(L201:L203)</f>
        <v>904</v>
      </c>
      <c r="M204" s="370">
        <f>SUM(M201:M203)</f>
        <v>2558.307971452763</v>
      </c>
      <c r="N204" s="371">
        <f>SUM(N201:N203)</f>
        <v>14762.307971452763</v>
      </c>
      <c r="O204" s="540"/>
      <c r="P204" s="540"/>
      <c r="Q204" s="540"/>
      <c r="R204" s="540"/>
      <c r="S204" s="1461" t="s">
        <v>548</v>
      </c>
      <c r="T204" s="1462"/>
      <c r="U204" s="1462"/>
      <c r="V204" s="541">
        <f>SUM(V201:V203)</f>
        <v>11699.14</v>
      </c>
      <c r="W204" s="542">
        <f>SUM(W201:W203)</f>
        <v>-399.14000000000033</v>
      </c>
      <c r="X204" s="543">
        <f>SUM(X201:X203)</f>
        <v>0</v>
      </c>
      <c r="Y204" s="544"/>
      <c r="Z204" s="545">
        <f>SUM(Z201:Z203)</f>
        <v>11699.14</v>
      </c>
      <c r="AA204" s="546">
        <f>IF(S204&lt;&gt;"",Z204+M204,"")</f>
        <v>14257.447971452762</v>
      </c>
      <c r="AB204" s="547" t="s">
        <v>235</v>
      </c>
      <c r="AC204" s="548" t="s">
        <v>549</v>
      </c>
      <c r="AM204" s="1703"/>
      <c r="AN204" s="1704"/>
    </row>
    <row r="205" spans="1:41" ht="60" customHeight="1" thickBot="1" x14ac:dyDescent="0.75">
      <c r="A205" s="549">
        <v>191</v>
      </c>
      <c r="C205" s="297" t="s">
        <v>186</v>
      </c>
      <c r="D205" s="297"/>
      <c r="E205" s="297"/>
      <c r="F205" s="550" t="s">
        <v>187</v>
      </c>
      <c r="G205" s="551"/>
      <c r="H205" s="551"/>
      <c r="I205" s="551"/>
      <c r="J205" s="551"/>
      <c r="K205" s="552">
        <f>SUM(K17:K24)+SUM(K28:K45)+SUM(K49:K83)+SUM(K86:K91)+SUM(K95:K97)+SUM(K100:K108)+SUM(K111:K115)+SUM(K119:K120)+SUM(K123:K123)+SUM(K126:K128)+SUM(K132:K145)+SUM(K149:K151)+SUM(K155:K166)+SUM(K170:K175)+SUM(K178:K178)+SUM(K181:K188)+SUM(K192:K197)+SUM(K201:K203)</f>
        <v>4821313.7821000004</v>
      </c>
      <c r="L205" s="552">
        <f>SUM(L17:L24)+SUM(L28:L45)+SUM(L49:L83)+SUM(L86:L91)+SUM(L95:L97)+SUM(L100:L108)+SUM(L111:L115)+SUM(L119:L120)+SUM(L123:L123)+SUM(L126:L128)+SUM(L132:L145)+SUM(L149:L151)+SUM(L155:L166)+SUM(L170:L175)+SUM(L178:L178)+SUM(L181:L188)+SUM(L192:L197)+SUM(L201:L203)</f>
        <v>271199.81476799998</v>
      </c>
      <c r="M205" s="552">
        <f>SUM(M17:M24)+SUM(M28:M45)+SUM(M49:M83)+SUM(M86:M91)+SUM(M95:M97)+SUM(M100:M108)+SUM(M111:M115)+SUM(M119:M120)+SUM(M123:M123)+SUM(M126:M128)+SUM(M132:M145)+SUM(M149:M151)+SUM(M155:M166)+SUM(M170:M175)+SUM(M178:M178)+SUM(M181:M188)+SUM(M192:M197)+SUM(M201:M203)</f>
        <v>153735.23746186565</v>
      </c>
      <c r="N205" s="553">
        <f>SUM(N17:N24)+SUM(N28:N45)+SUM(N49:N83)+SUM(N86:N91)+SUM(N95:N97)+SUM(N100:N108)+SUM(N111:N115)+SUM(N119:N120)+SUM(N123:N123)+SUM(N126:N128)+SUM(N132:N145)+SUM(N149:N151)+SUM(N155:N166)+SUM(N170:N175)+SUM(N178:N178)+SUM(N181:N188)+SUM(N192:N197)+SUM(N201:N203)</f>
        <v>5246248.8343298649</v>
      </c>
      <c r="S205" s="554" t="s">
        <v>43</v>
      </c>
      <c r="T205" s="555">
        <f t="shared" ref="T205:Y205" si="178">SUM(T17:T24)+SUM(T28:T45)+SUM(T49:T83)+SUM(T86:T91)+SUM(T95:T97)+SUM(T100:T108)+SUM(T111:T115)+SUM(T119:T120)+SUM(T123:T123)+SUM(T126:T128)+SUM(T132:T145)+SUM(T149:T151)+SUM(T155:T166)+SUM(T170:T175)+SUM(T178:T178)+SUM(T181:T188)+SUM(T192:T197)+SUM(T201:T203)</f>
        <v>191</v>
      </c>
      <c r="U205" s="552">
        <f>SUM(U17:U24)+SUM(U28:U45)+SUM(U49:U83)+SUM(U86:U91)+SUM(U95:U97)+SUM(U100:U108)+SUM(U111:U115)+SUM(U119:U120)+SUM(U123:U123)+SUM(U126:U128)+SUM(U132:U145)+SUM(U149:U151)+SUM(U155:U166)+SUM(U170:U175)+SUM(U178:U178)+SUM(U181:U188)+SUM(U192:U197)+SUM(U201:U203)</f>
        <v>2159885.6125004999</v>
      </c>
      <c r="V205" s="552">
        <f>SUM(V201:V203,V192:V197,V181:V188,V178,V170:V175,V155:V166,V149:V151,V132:V145,V126:V128,V123,V119:V120,V111:V115,V100:V108,V95:V97,V86:V91,V49:V83,V28:V45,V17:V24)</f>
        <v>3276773.6599999997</v>
      </c>
      <c r="W205" s="552">
        <f>SUM(W17:W24)+SUM(W28:W45)+SUM(W49:W83)+SUM(W86:W91)+SUM(W95:W97)+SUM(W100:W108)+SUM(W111:W115)+SUM(W119:W120)+SUM(W123:W123)+SUM(W126:W128)+SUM(W132:W145)+SUM(W149:W151)+SUM(W155:W166)+SUM(W170:W175)+SUM(W178:W178)+SUM(W181:W188)+SUM(W192:W197)+SUM(W201:W203)</f>
        <v>1544540.1221</v>
      </c>
      <c r="X205" s="556">
        <f t="shared" si="178"/>
        <v>0</v>
      </c>
      <c r="Y205" s="552">
        <f t="shared" si="178"/>
        <v>0</v>
      </c>
      <c r="Z205" s="552">
        <f>SUM(Z17:Z24)+SUM(Z28:Z45)+SUM(Z49:Z83)+SUM(Z86:Z91)+SUM(Z95:Z97)+SUM(Z100:Z108)+SUM(Z111:Z115)+SUM(Z119:Z120)+SUM(Z123:Z123)+SUM(Z126:Z128)+SUM(Z132:Z145)+SUM(Z149:Z151)+SUM(Z155:Z166)+SUM(Z170:Z175)+SUM(Z178:Z178)+SUM(Z181:Z188)+SUM(Z192:Z197)+SUM(Z201:Z203)</f>
        <v>3276773.6599999997</v>
      </c>
      <c r="AA205" s="552">
        <f>SUM(AA17:AA24)+SUM(AA28:AA45)+SUM(AA49:AA83)+SUM(AA86:AA91)+SUM(AA95:AA97)+SUM(AA100:AA108)+SUM(AA111:AA115)+SUM(AA119:AA120)+SUM(AA123:AA123)+SUM(AA126:AA128)+SUM(AA132:AA145)+SUM(AA149:AA151)+SUM(AA155:AA166)+SUM(AA170:AA175)+SUM(AA178:AA178)+SUM(AA181:AA188)+SUM(AA192:AA197)+SUM(AA201:AA203)</f>
        <v>3430508.897461866</v>
      </c>
      <c r="AB205" s="557">
        <f>IF(S205&lt;&gt;"",(N205-AA205)/N205,"")</f>
        <v>0.34610251900107103</v>
      </c>
      <c r="AC205" s="558">
        <f>IF(AB205&lt;&gt;"",(N205-AA205),"")</f>
        <v>1815739.9368679989</v>
      </c>
      <c r="AM205" s="1703">
        <f>SUM(AM17:AM203)</f>
        <v>0</v>
      </c>
      <c r="AN205" s="1704">
        <f>SUM(AN17:AN203)</f>
        <v>3276773.6599999997</v>
      </c>
      <c r="AO205" s="1705"/>
    </row>
    <row r="209" spans="22:41" x14ac:dyDescent="0.7">
      <c r="AN209" s="1706">
        <f>Z205</f>
        <v>3276773.6599999997</v>
      </c>
      <c r="AO209" s="1707" t="s">
        <v>1615</v>
      </c>
    </row>
    <row r="210" spans="22:41" x14ac:dyDescent="0.7">
      <c r="V210" s="394">
        <f>Z205-V205</f>
        <v>0</v>
      </c>
      <c r="AN210" s="1708">
        <f>N205-Z205</f>
        <v>1969475.1743298653</v>
      </c>
      <c r="AO210" s="1709" t="s">
        <v>799</v>
      </c>
    </row>
    <row r="211" spans="22:41" x14ac:dyDescent="0.7">
      <c r="AN211" s="1710">
        <f>AN210*100%/N205</f>
        <v>0.37540635919558668</v>
      </c>
      <c r="AO211" s="1709"/>
    </row>
  </sheetData>
  <autoFilter ref="A1:AN205" xr:uid="{107B9E09-8154-459A-AE62-6A4242823A27}">
    <filterColumn colId="5" showButton="0"/>
  </autoFilter>
  <mergeCells count="103">
    <mergeCell ref="AM12:AN12"/>
    <mergeCell ref="AI12:AJ12"/>
    <mergeCell ref="F1:G1"/>
    <mergeCell ref="F2:G2"/>
    <mergeCell ref="S12:V12"/>
    <mergeCell ref="W12:Z12"/>
    <mergeCell ref="AE12:AG12"/>
    <mergeCell ref="F25:J25"/>
    <mergeCell ref="S25:U25"/>
    <mergeCell ref="AM15:AN15"/>
    <mergeCell ref="AM16:AN16"/>
    <mergeCell ref="S27:AA27"/>
    <mergeCell ref="F46:J46"/>
    <mergeCell ref="S46:U46"/>
    <mergeCell ref="F15:N15"/>
    <mergeCell ref="S15:AA15"/>
    <mergeCell ref="F16:K16"/>
    <mergeCell ref="S16:AA16"/>
    <mergeCell ref="F26:N26"/>
    <mergeCell ref="S26:AA26"/>
    <mergeCell ref="F27:K27"/>
    <mergeCell ref="F93:N93"/>
    <mergeCell ref="S93:AA93"/>
    <mergeCell ref="F92:J92"/>
    <mergeCell ref="S92:U92"/>
    <mergeCell ref="F47:N47"/>
    <mergeCell ref="S47:AA47"/>
    <mergeCell ref="F48:K48"/>
    <mergeCell ref="S48:AA48"/>
    <mergeCell ref="F84:J84"/>
    <mergeCell ref="S84:U84"/>
    <mergeCell ref="F85:K85"/>
    <mergeCell ref="S85:AA85"/>
    <mergeCell ref="F109:J109"/>
    <mergeCell ref="S109:U109"/>
    <mergeCell ref="F94:K94"/>
    <mergeCell ref="S94:AA94"/>
    <mergeCell ref="F98:J98"/>
    <mergeCell ref="S98:U98"/>
    <mergeCell ref="F99:K99"/>
    <mergeCell ref="S99:AA99"/>
    <mergeCell ref="F117:N117"/>
    <mergeCell ref="S117:AA117"/>
    <mergeCell ref="F131:K131"/>
    <mergeCell ref="S131:AA131"/>
    <mergeCell ref="F130:N130"/>
    <mergeCell ref="S130:AA130"/>
    <mergeCell ref="F146:J146"/>
    <mergeCell ref="S146:U146"/>
    <mergeCell ref="F118:K118"/>
    <mergeCell ref="S118:AA118"/>
    <mergeCell ref="F110:K110"/>
    <mergeCell ref="S110:AA110"/>
    <mergeCell ref="F116:J116"/>
    <mergeCell ref="S116:U116"/>
    <mergeCell ref="F129:J129"/>
    <mergeCell ref="S129:U129"/>
    <mergeCell ref="F125:K125"/>
    <mergeCell ref="S125:AA125"/>
    <mergeCell ref="F121:J121"/>
    <mergeCell ref="S121:U121"/>
    <mergeCell ref="F122:K122"/>
    <mergeCell ref="S122:AA122"/>
    <mergeCell ref="F124:J124"/>
    <mergeCell ref="S124:U124"/>
    <mergeCell ref="F154:K154"/>
    <mergeCell ref="S154:AA154"/>
    <mergeCell ref="F167:J167"/>
    <mergeCell ref="S167:U167"/>
    <mergeCell ref="F168:N168"/>
    <mergeCell ref="S168:AA168"/>
    <mergeCell ref="F169:K169"/>
    <mergeCell ref="S169:AA169"/>
    <mergeCell ref="F147:N147"/>
    <mergeCell ref="S147:AA147"/>
    <mergeCell ref="F148:K148"/>
    <mergeCell ref="S148:AA148"/>
    <mergeCell ref="F152:J152"/>
    <mergeCell ref="S152:U152"/>
    <mergeCell ref="F153:N153"/>
    <mergeCell ref="S153:AA153"/>
    <mergeCell ref="F177:K177"/>
    <mergeCell ref="S177:AA177"/>
    <mergeCell ref="F176:J176"/>
    <mergeCell ref="S176:U176"/>
    <mergeCell ref="F179:J179"/>
    <mergeCell ref="S179:U179"/>
    <mergeCell ref="F180:K180"/>
    <mergeCell ref="S180:AA180"/>
    <mergeCell ref="F189:J189"/>
    <mergeCell ref="S189:U189"/>
    <mergeCell ref="F204:J204"/>
    <mergeCell ref="S204:U204"/>
    <mergeCell ref="F199:N199"/>
    <mergeCell ref="S199:AA199"/>
    <mergeCell ref="F200:K200"/>
    <mergeCell ref="S200:AA200"/>
    <mergeCell ref="F190:N190"/>
    <mergeCell ref="S190:AA190"/>
    <mergeCell ref="F191:K191"/>
    <mergeCell ref="S191:AA191"/>
    <mergeCell ref="F198:J198"/>
    <mergeCell ref="S198:U198"/>
  </mergeCells>
  <phoneticPr fontId="22" type="noConversion"/>
  <dataValidations disablePrompts="1" count="3">
    <dataValidation type="list" allowBlank="1" showInputMessage="1" showErrorMessage="1" sqref="D111:D115 D28:D46 D49:D83 D155:D166 D100:D108 D178 D123 D149:D151 D181:D188 D201:D203 D192:D197 D170:D176 D95:D97 D86:D91 D132:D145 D119:D120 D126:D128 D17:D25 D205" xr:uid="{4780B4D9-35BF-4574-A1C9-517401F40B36}">
      <formula1>"INTERNO,OPERACIONAL"</formula1>
    </dataValidation>
    <dataValidation type="list" allowBlank="1" showInputMessage="1" showErrorMessage="1" sqref="E49:E83 E178 E100:E108 E111:E115 E119:E120 E155:E166 E123 E132:E145 E181:E188 E201:E203 E192:E197 E170:E176 E95:E97 E86:E91 E149:E151 E28:E46 E126:E128 E17:E25" xr:uid="{DE5903BB-2917-4879-938F-ABF27802FB3A}">
      <formula1>"FAT.OGGI,FAT.CLIENTE"</formula1>
    </dataValidation>
    <dataValidation type="list" allowBlank="1" showInputMessage="1" showErrorMessage="1" sqref="E205" xr:uid="{9225914E-3705-40D0-B835-DA3ACC9522EE}">
      <formula1>"FAT.OGGI,FAT.CLIENTE "</formula1>
    </dataValidation>
  </dataValidations>
  <pageMargins left="0" right="0" top="0.19685039370078741" bottom="0" header="0" footer="0"/>
  <pageSetup paperSize="9" scale="26" fitToHeight="0" orientation="landscape"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1B3F4-2AC6-4926-B19B-712D10FBD37F}">
  <sheetPr>
    <tabColor theme="2" tint="-0.749992370372631"/>
  </sheetPr>
  <dimension ref="A1:AN103"/>
  <sheetViews>
    <sheetView topLeftCell="B72" zoomScale="40" zoomScaleNormal="40" workbookViewId="0">
      <selection activeCell="AL1" sqref="AL1:AN1048576"/>
    </sheetView>
  </sheetViews>
  <sheetFormatPr defaultColWidth="8.88671875" defaultRowHeight="36.6" x14ac:dyDescent="0.7"/>
  <cols>
    <col min="1" max="1" width="8.109375" style="559" hidden="1" customWidth="1"/>
    <col min="2" max="2" width="14" style="559" customWidth="1"/>
    <col min="3" max="3" width="15.109375" style="559" hidden="1" customWidth="1"/>
    <col min="4" max="4" width="21.44140625" style="559" hidden="1" customWidth="1"/>
    <col min="5" max="5" width="18.33203125" style="559" hidden="1" customWidth="1"/>
    <col min="6" max="6" width="37.109375" style="559" customWidth="1"/>
    <col min="7" max="7" width="61.109375" style="559" customWidth="1"/>
    <col min="8" max="8" width="8.5546875" style="559" hidden="1" customWidth="1"/>
    <col min="9" max="9" width="7.5546875" style="559" hidden="1" customWidth="1"/>
    <col min="10" max="10" width="18.88671875" style="559" hidden="1" customWidth="1"/>
    <col min="11" max="11" width="39.44140625" style="559" customWidth="1"/>
    <col min="12" max="12" width="34.5546875" style="559" customWidth="1"/>
    <col min="13" max="13" width="34.44140625" style="559" bestFit="1" customWidth="1"/>
    <col min="14" max="14" width="36.33203125" style="559" bestFit="1" customWidth="1"/>
    <col min="15" max="15" width="33.109375" style="559" hidden="1" customWidth="1"/>
    <col min="16" max="16" width="35.44140625" style="559" hidden="1" customWidth="1"/>
    <col min="17" max="17" width="29.88671875" style="559" hidden="1" customWidth="1"/>
    <col min="18" max="18" width="11.109375" style="562" customWidth="1"/>
    <col min="19" max="19" width="8.44140625" style="562" hidden="1" customWidth="1"/>
    <col min="20" max="20" width="21.6640625" style="559" hidden="1" customWidth="1"/>
    <col min="21" max="21" width="36.33203125" style="559" bestFit="1" customWidth="1"/>
    <col min="22" max="22" width="30.109375" style="559" hidden="1" customWidth="1"/>
    <col min="23" max="23" width="9.5546875" style="559" hidden="1" customWidth="1"/>
    <col min="24" max="24" width="16.109375" style="559" hidden="1" customWidth="1"/>
    <col min="25" max="25" width="44.88671875" style="559" bestFit="1" customWidth="1"/>
    <col min="26" max="26" width="32.33203125" style="559" hidden="1" customWidth="1"/>
    <col min="27" max="27" width="19.44140625" style="559" hidden="1" customWidth="1"/>
    <col min="28" max="28" width="32.33203125" style="559" hidden="1" customWidth="1"/>
    <col min="29" max="29" width="25.5546875" style="559" hidden="1" customWidth="1"/>
    <col min="30" max="30" width="14.109375" style="559" hidden="1" customWidth="1"/>
    <col min="31" max="31" width="7.5546875" style="559" hidden="1" customWidth="1"/>
    <col min="32" max="32" width="6.88671875" style="559" hidden="1" customWidth="1"/>
    <col min="33" max="33" width="1.44140625" style="559" hidden="1" customWidth="1"/>
    <col min="34" max="34" width="14" style="559" hidden="1" customWidth="1"/>
    <col min="35" max="35" width="11.5546875" style="559" hidden="1" customWidth="1"/>
    <col min="36" max="36" width="6.44140625" style="559" hidden="1" customWidth="1"/>
    <col min="37" max="37" width="12.5546875" style="559" hidden="1" customWidth="1"/>
    <col min="38" max="38" width="38.5546875" style="1711" customWidth="1"/>
    <col min="39" max="39" width="43.5546875" style="1711" customWidth="1"/>
    <col min="40" max="40" width="35.44140625" style="1695" bestFit="1" customWidth="1"/>
    <col min="41" max="41" width="21.44140625" style="559" customWidth="1"/>
    <col min="42" max="16384" width="8.88671875" style="559"/>
  </cols>
  <sheetData>
    <row r="1" spans="1:39" ht="49.5" customHeight="1" x14ac:dyDescent="0.7">
      <c r="B1" s="560"/>
      <c r="C1" s="561"/>
      <c r="D1" s="561"/>
      <c r="F1" s="1399" t="s">
        <v>128</v>
      </c>
      <c r="G1" s="1399"/>
    </row>
    <row r="2" spans="1:39" ht="24.75" customHeight="1" x14ac:dyDescent="0.7">
      <c r="B2" s="562"/>
      <c r="D2" s="561"/>
      <c r="F2" s="1577" t="s">
        <v>0</v>
      </c>
      <c r="G2" s="1577"/>
    </row>
    <row r="3" spans="1:39" x14ac:dyDescent="0.7">
      <c r="B3" s="563"/>
      <c r="F3" s="564"/>
      <c r="G3" s="564"/>
    </row>
    <row r="4" spans="1:39" x14ac:dyDescent="0.7">
      <c r="F4" s="565" t="s">
        <v>245</v>
      </c>
      <c r="G4" s="566"/>
    </row>
    <row r="5" spans="1:39" x14ac:dyDescent="0.7">
      <c r="F5" s="567" t="s">
        <v>224</v>
      </c>
      <c r="G5" s="568"/>
    </row>
    <row r="6" spans="1:39" x14ac:dyDescent="0.7">
      <c r="D6" s="559" t="s">
        <v>155</v>
      </c>
      <c r="F6" s="567" t="s">
        <v>246</v>
      </c>
      <c r="G6" s="569"/>
    </row>
    <row r="7" spans="1:39" x14ac:dyDescent="0.7">
      <c r="F7" s="567" t="s">
        <v>247</v>
      </c>
      <c r="G7" s="569"/>
      <c r="J7" s="559" t="s">
        <v>225</v>
      </c>
    </row>
    <row r="8" spans="1:39" x14ac:dyDescent="0.7">
      <c r="F8" s="567" t="s">
        <v>248</v>
      </c>
      <c r="G8" s="570"/>
    </row>
    <row r="9" spans="1:39" x14ac:dyDescent="0.7">
      <c r="F9" s="567" t="s">
        <v>249</v>
      </c>
      <c r="G9" s="569"/>
      <c r="J9" s="559" t="s">
        <v>155</v>
      </c>
      <c r="M9" s="559">
        <v>0.80469999999999997</v>
      </c>
    </row>
    <row r="10" spans="1:39" x14ac:dyDescent="0.7">
      <c r="F10" s="567" t="s">
        <v>177</v>
      </c>
      <c r="G10" s="569"/>
      <c r="M10" s="559">
        <f>1-M9</f>
        <v>0.19530000000000003</v>
      </c>
    </row>
    <row r="11" spans="1:39" x14ac:dyDescent="0.7">
      <c r="F11" s="571" t="s">
        <v>250</v>
      </c>
      <c r="G11" s="572"/>
    </row>
    <row r="12" spans="1:39" ht="87" hidden="1" thickBot="1" x14ac:dyDescent="0.75">
      <c r="B12" s="573"/>
      <c r="L12" s="574">
        <v>0</v>
      </c>
      <c r="M12" s="575">
        <v>0</v>
      </c>
      <c r="R12" s="1409" t="s">
        <v>1</v>
      </c>
      <c r="S12" s="1410"/>
      <c r="T12" s="1410"/>
      <c r="U12" s="1578"/>
      <c r="V12" s="1412" t="s">
        <v>2</v>
      </c>
      <c r="W12" s="1413"/>
      <c r="X12" s="1413"/>
      <c r="Y12" s="1571"/>
      <c r="Z12" s="576" t="s">
        <v>56</v>
      </c>
      <c r="AA12" s="577">
        <f>(1/(1-M14))-1</f>
        <v>0.20962864400629</v>
      </c>
      <c r="AD12" s="1392" t="s">
        <v>3</v>
      </c>
      <c r="AE12" s="1393"/>
      <c r="AF12" s="1572"/>
      <c r="AH12" s="1390" t="s">
        <v>58</v>
      </c>
      <c r="AI12" s="1573"/>
      <c r="AK12" s="578" t="s">
        <v>71</v>
      </c>
      <c r="AL12" s="1696" t="s">
        <v>70</v>
      </c>
      <c r="AM12" s="1697"/>
    </row>
    <row r="13" spans="1:39" ht="37.200000000000003" thickBot="1" x14ac:dyDescent="0.75">
      <c r="A13" s="579" t="s">
        <v>4</v>
      </c>
      <c r="B13" s="580" t="s">
        <v>5</v>
      </c>
      <c r="C13" s="579" t="s">
        <v>6</v>
      </c>
      <c r="D13" s="579" t="s">
        <v>7</v>
      </c>
      <c r="E13" s="579" t="s">
        <v>8</v>
      </c>
      <c r="L13" s="574">
        <v>0.05</v>
      </c>
      <c r="M13" s="575">
        <v>0.82669999999999999</v>
      </c>
    </row>
    <row r="14" spans="1:39" ht="74.25" customHeight="1" thickBot="1" x14ac:dyDescent="0.75">
      <c r="A14" s="581">
        <v>0</v>
      </c>
      <c r="B14" s="582"/>
      <c r="C14" s="583"/>
      <c r="D14" s="584"/>
      <c r="E14" s="584"/>
      <c r="F14" s="585" t="s">
        <v>131</v>
      </c>
      <c r="G14" s="586" t="s">
        <v>132</v>
      </c>
      <c r="H14" s="587" t="s">
        <v>133</v>
      </c>
      <c r="I14" s="587" t="s">
        <v>134</v>
      </c>
      <c r="J14" s="588" t="s">
        <v>135</v>
      </c>
      <c r="K14" s="589" t="s">
        <v>9</v>
      </c>
      <c r="L14" s="590">
        <v>0.08</v>
      </c>
      <c r="M14" s="591">
        <f>1-M13</f>
        <v>0.17330000000000001</v>
      </c>
      <c r="N14" s="592" t="s">
        <v>129</v>
      </c>
      <c r="O14" s="593"/>
      <c r="R14" s="594" t="s">
        <v>136</v>
      </c>
      <c r="S14" s="595" t="s">
        <v>137</v>
      </c>
      <c r="T14" s="596" t="s">
        <v>138</v>
      </c>
      <c r="U14" s="597" t="s">
        <v>139</v>
      </c>
      <c r="V14" s="598" t="s">
        <v>140</v>
      </c>
      <c r="W14" s="599" t="s">
        <v>141</v>
      </c>
      <c r="X14" s="600" t="s">
        <v>142</v>
      </c>
      <c r="Y14" s="600" t="s">
        <v>143</v>
      </c>
      <c r="Z14" s="601" t="s">
        <v>144</v>
      </c>
      <c r="AA14" s="602" t="s">
        <v>145</v>
      </c>
      <c r="AB14" s="603" t="s">
        <v>130</v>
      </c>
      <c r="AD14" s="604" t="s">
        <v>146</v>
      </c>
      <c r="AE14" s="605" t="s">
        <v>147</v>
      </c>
      <c r="AF14" s="605" t="s">
        <v>33</v>
      </c>
      <c r="AH14" s="606" t="s">
        <v>148</v>
      </c>
      <c r="AI14" s="607" t="s">
        <v>149</v>
      </c>
      <c r="AJ14" s="559" t="s">
        <v>150</v>
      </c>
      <c r="AK14" s="559" t="s">
        <v>150</v>
      </c>
      <c r="AL14" s="1698" t="s">
        <v>151</v>
      </c>
      <c r="AM14" s="1712" t="s">
        <v>152</v>
      </c>
    </row>
    <row r="15" spans="1:39" ht="50.1" customHeight="1" thickBot="1" x14ac:dyDescent="0.75">
      <c r="A15" s="584">
        <v>1</v>
      </c>
      <c r="B15" s="608">
        <v>1</v>
      </c>
      <c r="C15" s="609" t="s">
        <v>167</v>
      </c>
      <c r="D15" s="584"/>
      <c r="E15" s="584"/>
      <c r="F15" s="1534" t="s">
        <v>168</v>
      </c>
      <c r="G15" s="1535"/>
      <c r="H15" s="1535"/>
      <c r="I15" s="1535"/>
      <c r="J15" s="1535"/>
      <c r="K15" s="1535"/>
      <c r="L15" s="1535"/>
      <c r="M15" s="1535"/>
      <c r="N15" s="1536"/>
      <c r="O15" s="611"/>
      <c r="R15" s="1395" t="str">
        <f>IF(F15&lt;&gt;"",F15,"")</f>
        <v>INTERNO</v>
      </c>
      <c r="S15" s="1396"/>
      <c r="T15" s="1396"/>
      <c r="U15" s="1396"/>
      <c r="V15" s="1396"/>
      <c r="W15" s="1396"/>
      <c r="X15" s="1396"/>
      <c r="Y15" s="1396"/>
      <c r="Z15" s="1563"/>
      <c r="AL15" s="1699"/>
      <c r="AM15" s="1700"/>
    </row>
    <row r="16" spans="1:39" ht="50.1" customHeight="1" x14ac:dyDescent="0.7">
      <c r="A16" s="584">
        <v>2</v>
      </c>
      <c r="B16" s="608" t="s">
        <v>170</v>
      </c>
      <c r="C16" s="609" t="s">
        <v>169</v>
      </c>
      <c r="D16" s="584"/>
      <c r="E16" s="584"/>
      <c r="F16" s="1539" t="s">
        <v>174</v>
      </c>
      <c r="G16" s="1540"/>
      <c r="H16" s="1540"/>
      <c r="I16" s="1540"/>
      <c r="J16" s="1540"/>
      <c r="K16" s="1541"/>
      <c r="L16" s="612" t="s">
        <v>171</v>
      </c>
      <c r="M16" s="613" t="s">
        <v>172</v>
      </c>
      <c r="N16" s="614" t="s">
        <v>129</v>
      </c>
      <c r="O16" s="615"/>
      <c r="R16" s="1397" t="str">
        <f>IF(F16&lt;&gt;"",F16,"")</f>
        <v>EQUIPE INTERNA</v>
      </c>
      <c r="S16" s="1398"/>
      <c r="T16" s="1398"/>
      <c r="U16" s="1398"/>
      <c r="V16" s="1398"/>
      <c r="W16" s="1398"/>
      <c r="X16" s="1398"/>
      <c r="Y16" s="1398"/>
      <c r="Z16" s="1561"/>
      <c r="AA16" s="616" t="s">
        <v>173</v>
      </c>
      <c r="AB16" s="617" t="s">
        <v>130</v>
      </c>
      <c r="AL16" s="1701"/>
      <c r="AM16" s="1702"/>
    </row>
    <row r="17" spans="1:40" ht="159.9" customHeight="1" x14ac:dyDescent="0.7">
      <c r="A17" s="584">
        <v>3</v>
      </c>
      <c r="B17" s="608" t="s">
        <v>176</v>
      </c>
      <c r="C17" s="609" t="s">
        <v>175</v>
      </c>
      <c r="D17" s="584" t="s">
        <v>168</v>
      </c>
      <c r="E17" s="584" t="s">
        <v>179</v>
      </c>
      <c r="F17" s="618" t="s">
        <v>254</v>
      </c>
      <c r="G17" s="618" t="s">
        <v>1315</v>
      </c>
      <c r="H17" s="619">
        <v>1</v>
      </c>
      <c r="I17" s="619">
        <v>1</v>
      </c>
      <c r="J17" s="620">
        <v>6000</v>
      </c>
      <c r="K17" s="621">
        <f t="shared" ref="K17:K23" si="0">IF(F17&lt;&gt;"",H17*I17*J17,"")</f>
        <v>6000</v>
      </c>
      <c r="L17" s="621">
        <f>IF(K17&lt;&gt;"",IF(D17="INTERNO",0,K17*$L$14),"")</f>
        <v>0</v>
      </c>
      <c r="M17" s="621">
        <f t="shared" ref="M17:M23" si="1">IF(K17&lt;&gt;"",IF(E17="FAT.OGGI",SUM(K17:L17)*(1/(1-$M$14)-1),L17*(1/(1-$M$14)-1)),"")</f>
        <v>1257.77186403774</v>
      </c>
      <c r="N17" s="622">
        <f t="shared" ref="N17:N23" si="2">SUM(K17:M17)</f>
        <v>7257.7718640377398</v>
      </c>
      <c r="O17" s="623"/>
      <c r="R17" s="624">
        <f t="shared" ref="R17:S23" si="3">IF(H17&lt;&gt;"",H17,"")</f>
        <v>1</v>
      </c>
      <c r="S17" s="625">
        <f t="shared" si="3"/>
        <v>1</v>
      </c>
      <c r="T17" s="626">
        <v>6000</v>
      </c>
      <c r="U17" s="626">
        <v>11300</v>
      </c>
      <c r="V17" s="627">
        <f t="shared" ref="V17:V23" si="4">IF(R17&lt;&gt;"",K17-U17,"")</f>
        <v>-5300</v>
      </c>
      <c r="W17" s="628">
        <f t="shared" ref="W17:W23" si="5">IF(R17&lt;&gt;"",0%,"")</f>
        <v>0</v>
      </c>
      <c r="X17" s="629">
        <f t="shared" ref="X17:X23" si="6">IF(R17&lt;&gt;"",W17*V17,"")</f>
        <v>0</v>
      </c>
      <c r="Y17" s="629">
        <f>IF(R17&lt;&gt;"",X17+U17,"")</f>
        <v>11300</v>
      </c>
      <c r="Z17" s="630">
        <f t="shared" ref="Z17:Z25" si="7">IF(R17&lt;&gt;"",Y17+M17,"")</f>
        <v>12557.771864037741</v>
      </c>
      <c r="AA17" s="631">
        <f>IFERROR(IF(R17&lt;&gt;"",V17/K17,""),0)</f>
        <v>-0.8833333333333333</v>
      </c>
      <c r="AB17" s="632">
        <f t="shared" ref="AB17:AB23" si="8">U17/$U$24</f>
        <v>1</v>
      </c>
      <c r="AL17" s="1703">
        <f>Y17-AM17</f>
        <v>0</v>
      </c>
      <c r="AM17" s="1713">
        <v>11300</v>
      </c>
      <c r="AN17" s="1695" t="s">
        <v>1549</v>
      </c>
    </row>
    <row r="18" spans="1:40" ht="159.9" customHeight="1" x14ac:dyDescent="0.7">
      <c r="A18" s="633">
        <v>4</v>
      </c>
      <c r="B18" s="608" t="s">
        <v>153</v>
      </c>
      <c r="C18" s="634" t="s">
        <v>175</v>
      </c>
      <c r="D18" s="633" t="s">
        <v>168</v>
      </c>
      <c r="E18" s="633" t="s">
        <v>179</v>
      </c>
      <c r="F18" s="618" t="s">
        <v>255</v>
      </c>
      <c r="G18" s="618" t="s">
        <v>1316</v>
      </c>
      <c r="H18" s="619">
        <v>1</v>
      </c>
      <c r="I18" s="619">
        <v>1</v>
      </c>
      <c r="J18" s="620">
        <v>5000</v>
      </c>
      <c r="K18" s="621">
        <f t="shared" si="0"/>
        <v>5000</v>
      </c>
      <c r="L18" s="621">
        <f t="shared" ref="L18:L23" si="9">IF(K18&lt;&gt;"",IF(D18="INTERNO",0,K18*$L$14),"")</f>
        <v>0</v>
      </c>
      <c r="M18" s="621">
        <f t="shared" si="1"/>
        <v>1048.14322003145</v>
      </c>
      <c r="N18" s="635">
        <f t="shared" si="2"/>
        <v>6048.1432200314503</v>
      </c>
      <c r="O18" s="623"/>
      <c r="R18" s="636">
        <f t="shared" si="3"/>
        <v>1</v>
      </c>
      <c r="S18" s="637">
        <f t="shared" si="3"/>
        <v>1</v>
      </c>
      <c r="T18" s="638">
        <v>5000</v>
      </c>
      <c r="U18" s="626">
        <v>0</v>
      </c>
      <c r="V18" s="627">
        <f t="shared" si="4"/>
        <v>5000</v>
      </c>
      <c r="W18" s="628">
        <f t="shared" si="5"/>
        <v>0</v>
      </c>
      <c r="X18" s="629">
        <f t="shared" si="6"/>
        <v>0</v>
      </c>
      <c r="Y18" s="629">
        <f>IF(R18&lt;&gt;"",X18+U18,"")</f>
        <v>0</v>
      </c>
      <c r="Z18" s="639">
        <f t="shared" si="7"/>
        <v>1048.14322003145</v>
      </c>
      <c r="AA18" s="640">
        <f>IFERROR(IF(R18&lt;&gt;"",V18/K18,""),0)</f>
        <v>1</v>
      </c>
      <c r="AB18" s="632">
        <f t="shared" si="8"/>
        <v>0</v>
      </c>
      <c r="AL18" s="1703">
        <f>Y18-AM18</f>
        <v>0</v>
      </c>
      <c r="AM18" s="1713"/>
    </row>
    <row r="19" spans="1:40" ht="159.9" customHeight="1" x14ac:dyDescent="0.7">
      <c r="A19" s="633">
        <v>5</v>
      </c>
      <c r="B19" s="608" t="s">
        <v>230</v>
      </c>
      <c r="C19" s="634" t="s">
        <v>175</v>
      </c>
      <c r="D19" s="633" t="s">
        <v>168</v>
      </c>
      <c r="E19" s="633" t="s">
        <v>179</v>
      </c>
      <c r="F19" s="618" t="s">
        <v>256</v>
      </c>
      <c r="G19" s="618" t="s">
        <v>1317</v>
      </c>
      <c r="H19" s="619">
        <v>1</v>
      </c>
      <c r="I19" s="619">
        <v>1</v>
      </c>
      <c r="J19" s="620">
        <v>7000</v>
      </c>
      <c r="K19" s="621">
        <f>IF(F19&lt;&gt;"",H19*I19*J19,"")</f>
        <v>7000</v>
      </c>
      <c r="L19" s="621">
        <f>IF(K19&lt;&gt;"",IF(D19="INTERNO",0,K19*$L$14),"")</f>
        <v>0</v>
      </c>
      <c r="M19" s="621">
        <f t="shared" si="1"/>
        <v>1467.4005080440299</v>
      </c>
      <c r="N19" s="641">
        <f>SUM(K19:M19)</f>
        <v>8467.4005080440293</v>
      </c>
      <c r="O19" s="623"/>
      <c r="R19" s="642">
        <f t="shared" si="3"/>
        <v>1</v>
      </c>
      <c r="S19" s="637">
        <f t="shared" si="3"/>
        <v>1</v>
      </c>
      <c r="T19" s="643">
        <v>7000</v>
      </c>
      <c r="U19" s="626">
        <v>0</v>
      </c>
      <c r="V19" s="627">
        <f t="shared" si="4"/>
        <v>7000</v>
      </c>
      <c r="W19" s="628">
        <f>IF(R19&lt;&gt;"",0%,"")</f>
        <v>0</v>
      </c>
      <c r="X19" s="629">
        <f>IF(R19&lt;&gt;"",W19*V19,"")</f>
        <v>0</v>
      </c>
      <c r="Y19" s="629">
        <f>IF(R19&lt;&gt;"",X19+U19,"")</f>
        <v>0</v>
      </c>
      <c r="Z19" s="644">
        <f t="shared" si="7"/>
        <v>1467.4005080440299</v>
      </c>
      <c r="AA19" s="645">
        <f>IF(R19&lt;&gt;"", IFERROR(V19/K19, 0), 0)</f>
        <v>1</v>
      </c>
      <c r="AB19" s="632">
        <f t="shared" si="8"/>
        <v>0</v>
      </c>
      <c r="AL19" s="1703">
        <f t="shared" ref="AL19:AL80" si="10">Y19-AM19</f>
        <v>0</v>
      </c>
      <c r="AM19" s="1713"/>
    </row>
    <row r="20" spans="1:40" ht="159.9" customHeight="1" x14ac:dyDescent="0.7">
      <c r="A20" s="646">
        <v>6</v>
      </c>
      <c r="B20" s="608" t="s">
        <v>231</v>
      </c>
      <c r="C20" s="647" t="s">
        <v>175</v>
      </c>
      <c r="D20" s="633" t="s">
        <v>168</v>
      </c>
      <c r="E20" s="633" t="s">
        <v>179</v>
      </c>
      <c r="F20" s="618" t="s">
        <v>72</v>
      </c>
      <c r="G20" s="618" t="s">
        <v>1318</v>
      </c>
      <c r="H20" s="619">
        <v>1</v>
      </c>
      <c r="I20" s="619">
        <v>1</v>
      </c>
      <c r="J20" s="620">
        <v>6000</v>
      </c>
      <c r="K20" s="621">
        <f>IF(F20&lt;&gt;"",H20*I20*J20,"")</f>
        <v>6000</v>
      </c>
      <c r="L20" s="621">
        <f>IF(K20&lt;&gt;"",IF(D20="INTERNO",0,K20*$L$14),"")</f>
        <v>0</v>
      </c>
      <c r="M20" s="621">
        <f t="shared" si="1"/>
        <v>1257.77186403774</v>
      </c>
      <c r="N20" s="622">
        <f>SUM(K20:M20)</f>
        <v>7257.7718640377398</v>
      </c>
      <c r="O20" s="623"/>
      <c r="R20" s="648">
        <f t="shared" si="3"/>
        <v>1</v>
      </c>
      <c r="S20" s="649">
        <f t="shared" si="3"/>
        <v>1</v>
      </c>
      <c r="T20" s="626">
        <v>6000</v>
      </c>
      <c r="U20" s="650">
        <v>0</v>
      </c>
      <c r="V20" s="651">
        <f t="shared" si="4"/>
        <v>6000</v>
      </c>
      <c r="W20" s="652">
        <f>IF(R20&lt;&gt;"",0%,"")</f>
        <v>0</v>
      </c>
      <c r="X20" s="653">
        <f>IF(R20&lt;&gt;"",W20*V20,"")</f>
        <v>0</v>
      </c>
      <c r="Y20" s="653">
        <f>IF(R20&lt;&gt;"",X20+U20,"")</f>
        <v>0</v>
      </c>
      <c r="Z20" s="630">
        <f t="shared" si="7"/>
        <v>1257.77186403774</v>
      </c>
      <c r="AA20" s="631">
        <f>IF(R20&lt;&gt;"", IFERROR(V20/K20, 0), 0)</f>
        <v>1</v>
      </c>
      <c r="AB20" s="632">
        <f t="shared" si="8"/>
        <v>0</v>
      </c>
      <c r="AL20" s="1703">
        <f t="shared" si="10"/>
        <v>0</v>
      </c>
      <c r="AM20" s="1713"/>
    </row>
    <row r="21" spans="1:40" ht="159.9" customHeight="1" x14ac:dyDescent="0.7">
      <c r="A21" s="654">
        <v>7</v>
      </c>
      <c r="B21" s="608" t="s">
        <v>178</v>
      </c>
      <c r="C21" s="655" t="s">
        <v>175</v>
      </c>
      <c r="D21" s="633" t="s">
        <v>168</v>
      </c>
      <c r="E21" s="633" t="s">
        <v>179</v>
      </c>
      <c r="F21" s="618" t="s">
        <v>257</v>
      </c>
      <c r="G21" s="656" t="s">
        <v>1319</v>
      </c>
      <c r="H21" s="619">
        <v>1</v>
      </c>
      <c r="I21" s="619">
        <v>1</v>
      </c>
      <c r="J21" s="620">
        <v>3000</v>
      </c>
      <c r="K21" s="621">
        <f>IF(F21&lt;&gt;"",H21*I21*J21,"")</f>
        <v>3000</v>
      </c>
      <c r="L21" s="621">
        <f>IF(K21&lt;&gt;"",IF(D21="INTERNO",0,K21*$L$14),"")</f>
        <v>0</v>
      </c>
      <c r="M21" s="621">
        <f t="shared" si="1"/>
        <v>628.88593201886999</v>
      </c>
      <c r="N21" s="657">
        <f>SUM(K21:M21)</f>
        <v>3628.8859320188699</v>
      </c>
      <c r="O21" s="623"/>
      <c r="R21" s="658">
        <f t="shared" si="3"/>
        <v>1</v>
      </c>
      <c r="S21" s="659">
        <f t="shared" si="3"/>
        <v>1</v>
      </c>
      <c r="T21" s="626">
        <v>3000</v>
      </c>
      <c r="U21" s="660">
        <v>0</v>
      </c>
      <c r="V21" s="661">
        <f t="shared" si="4"/>
        <v>3000</v>
      </c>
      <c r="W21" s="662">
        <f>IF(R21&lt;&gt;"",0%,"")</f>
        <v>0</v>
      </c>
      <c r="X21" s="663">
        <f>IF(R21&lt;&gt;"",W21*V21,"")</f>
        <v>0</v>
      </c>
      <c r="Y21" s="663">
        <f>IF(R21&lt;&gt;"",X21+U21,"")</f>
        <v>0</v>
      </c>
      <c r="Z21" s="664">
        <f t="shared" si="7"/>
        <v>628.88593201886999</v>
      </c>
      <c r="AA21" s="631">
        <f>IFERROR(IF(R21&lt;&gt;"",V21/K21,""),0)</f>
        <v>1</v>
      </c>
      <c r="AB21" s="632">
        <f t="shared" si="8"/>
        <v>0</v>
      </c>
      <c r="AL21" s="1703">
        <f t="shared" si="10"/>
        <v>0</v>
      </c>
      <c r="AM21" s="1713"/>
    </row>
    <row r="22" spans="1:40" ht="159.9" customHeight="1" x14ac:dyDescent="0.7">
      <c r="A22" s="633">
        <v>8</v>
      </c>
      <c r="B22" s="608" t="s">
        <v>236</v>
      </c>
      <c r="C22" s="634" t="s">
        <v>175</v>
      </c>
      <c r="D22" s="633" t="s">
        <v>168</v>
      </c>
      <c r="E22" s="633" t="s">
        <v>179</v>
      </c>
      <c r="F22" s="618" t="s">
        <v>476</v>
      </c>
      <c r="G22" s="656" t="s">
        <v>1320</v>
      </c>
      <c r="H22" s="619">
        <v>1</v>
      </c>
      <c r="I22" s="619">
        <v>1</v>
      </c>
      <c r="J22" s="620">
        <v>4500</v>
      </c>
      <c r="K22" s="621">
        <f t="shared" si="0"/>
        <v>4500</v>
      </c>
      <c r="L22" s="621">
        <f t="shared" si="9"/>
        <v>0</v>
      </c>
      <c r="M22" s="621">
        <f t="shared" si="1"/>
        <v>943.32889802830505</v>
      </c>
      <c r="N22" s="657">
        <f t="shared" si="2"/>
        <v>5443.328898028305</v>
      </c>
      <c r="O22" s="623"/>
      <c r="R22" s="665">
        <f t="shared" si="3"/>
        <v>1</v>
      </c>
      <c r="S22" s="666">
        <f t="shared" si="3"/>
        <v>1</v>
      </c>
      <c r="T22" s="626">
        <v>4500</v>
      </c>
      <c r="U22" s="643">
        <v>0</v>
      </c>
      <c r="V22" s="667">
        <f t="shared" si="4"/>
        <v>4500</v>
      </c>
      <c r="W22" s="668">
        <f t="shared" si="5"/>
        <v>0</v>
      </c>
      <c r="X22" s="669">
        <f t="shared" si="6"/>
        <v>0</v>
      </c>
      <c r="Y22" s="669">
        <f t="shared" ref="Y22:Y23" si="11">IF(R22&lt;&gt;"",X22+U22,"")</f>
        <v>0</v>
      </c>
      <c r="Z22" s="664">
        <f t="shared" si="7"/>
        <v>943.32889802830505</v>
      </c>
      <c r="AA22" s="631">
        <f>IFERROR(IF(R22&lt;&gt;"",V22/K22,""),0)</f>
        <v>1</v>
      </c>
      <c r="AB22" s="632">
        <f t="shared" si="8"/>
        <v>0</v>
      </c>
      <c r="AL22" s="1703">
        <f t="shared" si="10"/>
        <v>0</v>
      </c>
      <c r="AM22" s="1713"/>
    </row>
    <row r="23" spans="1:40" ht="159.9" customHeight="1" x14ac:dyDescent="0.7">
      <c r="A23" s="584">
        <v>9</v>
      </c>
      <c r="B23" s="608" t="s">
        <v>251</v>
      </c>
      <c r="C23" s="609" t="s">
        <v>175</v>
      </c>
      <c r="D23" s="584" t="s">
        <v>168</v>
      </c>
      <c r="E23" s="584" t="s">
        <v>179</v>
      </c>
      <c r="F23" s="618" t="s">
        <v>258</v>
      </c>
      <c r="G23" s="618" t="s">
        <v>1321</v>
      </c>
      <c r="H23" s="619">
        <v>1</v>
      </c>
      <c r="I23" s="619">
        <v>1</v>
      </c>
      <c r="J23" s="620">
        <v>6000</v>
      </c>
      <c r="K23" s="621">
        <f t="shared" si="0"/>
        <v>6000</v>
      </c>
      <c r="L23" s="621">
        <f t="shared" si="9"/>
        <v>0</v>
      </c>
      <c r="M23" s="621">
        <f t="shared" si="1"/>
        <v>1257.77186403774</v>
      </c>
      <c r="N23" s="622">
        <f t="shared" si="2"/>
        <v>7257.7718640377398</v>
      </c>
      <c r="O23" s="623"/>
      <c r="R23" s="624">
        <f t="shared" si="3"/>
        <v>1</v>
      </c>
      <c r="S23" s="625">
        <f t="shared" si="3"/>
        <v>1</v>
      </c>
      <c r="T23" s="626">
        <v>6000</v>
      </c>
      <c r="U23" s="626">
        <v>0</v>
      </c>
      <c r="V23" s="627">
        <f t="shared" si="4"/>
        <v>6000</v>
      </c>
      <c r="W23" s="628">
        <f t="shared" si="5"/>
        <v>0</v>
      </c>
      <c r="X23" s="629">
        <f t="shared" si="6"/>
        <v>0</v>
      </c>
      <c r="Y23" s="629">
        <f t="shared" si="11"/>
        <v>0</v>
      </c>
      <c r="Z23" s="630">
        <f t="shared" si="7"/>
        <v>1257.77186403774</v>
      </c>
      <c r="AA23" s="631">
        <f>IFERROR(IF(R23&lt;&gt;"",V23/K23,""),0)</f>
        <v>1</v>
      </c>
      <c r="AB23" s="632">
        <f t="shared" si="8"/>
        <v>0</v>
      </c>
      <c r="AL23" s="1703">
        <f t="shared" si="10"/>
        <v>0</v>
      </c>
      <c r="AM23" s="1713"/>
    </row>
    <row r="24" spans="1:40" ht="50.1" customHeight="1" thickBot="1" x14ac:dyDescent="0.75">
      <c r="A24" s="646">
        <v>10</v>
      </c>
      <c r="B24" s="608"/>
      <c r="C24" s="647" t="s">
        <v>184</v>
      </c>
      <c r="D24" s="646"/>
      <c r="E24" s="646"/>
      <c r="F24" s="1526" t="s">
        <v>238</v>
      </c>
      <c r="G24" s="1527"/>
      <c r="H24" s="1527"/>
      <c r="I24" s="1527"/>
      <c r="J24" s="1527"/>
      <c r="K24" s="670">
        <f>SUM(K17:K23)</f>
        <v>37500</v>
      </c>
      <c r="L24" s="670">
        <f>SUM(L17:L23)</f>
        <v>0</v>
      </c>
      <c r="M24" s="670">
        <f>SUM(M17:M23)</f>
        <v>7861.0741502358751</v>
      </c>
      <c r="N24" s="671">
        <f>SUM(N17:N23)</f>
        <v>45361.07415023588</v>
      </c>
      <c r="O24" s="672"/>
      <c r="R24" s="1574" t="s">
        <v>238</v>
      </c>
      <c r="S24" s="1575"/>
      <c r="T24" s="1576"/>
      <c r="U24" s="673">
        <f>SUM(U17:U23)</f>
        <v>11300</v>
      </c>
      <c r="V24" s="674">
        <f>SUM(V17:V23)</f>
        <v>26200</v>
      </c>
      <c r="W24" s="675"/>
      <c r="X24" s="676"/>
      <c r="Y24" s="677">
        <f>SUM(Y17:Y23)</f>
        <v>11300</v>
      </c>
      <c r="Z24" s="678">
        <f t="shared" si="7"/>
        <v>19161.074150235876</v>
      </c>
      <c r="AA24" s="679"/>
      <c r="AL24" s="1703"/>
      <c r="AM24" s="1713"/>
    </row>
    <row r="25" spans="1:40" ht="50.1" customHeight="1" thickBot="1" x14ac:dyDescent="0.75">
      <c r="A25" s="633">
        <v>11</v>
      </c>
      <c r="B25" s="608"/>
      <c r="C25" s="634" t="s">
        <v>183</v>
      </c>
      <c r="D25" s="633"/>
      <c r="E25" s="633"/>
      <c r="F25" s="1567" t="s">
        <v>185</v>
      </c>
      <c r="G25" s="1568"/>
      <c r="H25" s="1568"/>
      <c r="I25" s="1568"/>
      <c r="J25" s="1568"/>
      <c r="K25" s="680">
        <f>SUM(K17:K23)</f>
        <v>37500</v>
      </c>
      <c r="L25" s="680">
        <f>SUM(L17:L23)</f>
        <v>0</v>
      </c>
      <c r="M25" s="680">
        <f>SUM(M17:M23)</f>
        <v>7861.0741502358751</v>
      </c>
      <c r="N25" s="681">
        <f>SUM(N17:N23)</f>
        <v>45361.07415023588</v>
      </c>
      <c r="O25" s="682"/>
      <c r="R25" s="1569" t="s">
        <v>185</v>
      </c>
      <c r="S25" s="1570"/>
      <c r="T25" s="1570"/>
      <c r="U25" s="683">
        <f>SUM(U17:U23)</f>
        <v>11300</v>
      </c>
      <c r="V25" s="684">
        <f>SUM(V17:V23)</f>
        <v>26200</v>
      </c>
      <c r="W25" s="685"/>
      <c r="X25" s="686"/>
      <c r="Y25" s="687">
        <f>SUM(Y17:Y23)</f>
        <v>11300</v>
      </c>
      <c r="Z25" s="688">
        <f t="shared" si="7"/>
        <v>19161.074150235876</v>
      </c>
      <c r="AA25" s="689"/>
      <c r="AL25" s="1703"/>
      <c r="AM25" s="1713"/>
    </row>
    <row r="26" spans="1:40" ht="50.1" customHeight="1" thickBot="1" x14ac:dyDescent="0.75">
      <c r="A26" s="654">
        <v>12</v>
      </c>
      <c r="B26" s="608">
        <v>2</v>
      </c>
      <c r="C26" s="634" t="s">
        <v>167</v>
      </c>
      <c r="D26" s="633"/>
      <c r="E26" s="633"/>
      <c r="F26" s="1534" t="s">
        <v>260</v>
      </c>
      <c r="G26" s="1535"/>
      <c r="H26" s="1535"/>
      <c r="I26" s="1535"/>
      <c r="J26" s="1535"/>
      <c r="K26" s="1535"/>
      <c r="L26" s="1535"/>
      <c r="M26" s="1535"/>
      <c r="N26" s="1536"/>
      <c r="O26" s="611"/>
      <c r="R26" s="1395" t="str">
        <f>IF(F26&lt;&gt;"",F26,"")</f>
        <v>STAFF</v>
      </c>
      <c r="S26" s="1396"/>
      <c r="T26" s="1396"/>
      <c r="U26" s="1396"/>
      <c r="V26" s="1396"/>
      <c r="W26" s="1396"/>
      <c r="X26" s="1396"/>
      <c r="Y26" s="1396"/>
      <c r="Z26" s="1563"/>
      <c r="AL26" s="1703"/>
      <c r="AM26" s="1713"/>
    </row>
    <row r="27" spans="1:40" ht="50.1" customHeight="1" x14ac:dyDescent="0.7">
      <c r="A27" s="646">
        <v>13</v>
      </c>
      <c r="B27" s="608" t="s">
        <v>180</v>
      </c>
      <c r="C27" s="609" t="s">
        <v>169</v>
      </c>
      <c r="D27" s="584"/>
      <c r="E27" s="584"/>
      <c r="F27" s="1539" t="s">
        <v>260</v>
      </c>
      <c r="G27" s="1540"/>
      <c r="H27" s="1540"/>
      <c r="I27" s="1540"/>
      <c r="J27" s="1540"/>
      <c r="K27" s="1541"/>
      <c r="L27" s="612" t="s">
        <v>171</v>
      </c>
      <c r="M27" s="613" t="s">
        <v>172</v>
      </c>
      <c r="N27" s="614" t="s">
        <v>129</v>
      </c>
      <c r="O27" s="615"/>
      <c r="R27" s="1397" t="str">
        <f>IF(F27&lt;&gt;"",F27,"")</f>
        <v>STAFF</v>
      </c>
      <c r="S27" s="1398"/>
      <c r="T27" s="1398"/>
      <c r="U27" s="1398"/>
      <c r="V27" s="1398"/>
      <c r="W27" s="1398"/>
      <c r="X27" s="1398"/>
      <c r="Y27" s="1398"/>
      <c r="Z27" s="1561"/>
      <c r="AA27" s="616" t="s">
        <v>173</v>
      </c>
      <c r="AB27" s="617" t="s">
        <v>130</v>
      </c>
      <c r="AL27" s="1703"/>
      <c r="AM27" s="1713"/>
    </row>
    <row r="28" spans="1:40" ht="159.9" customHeight="1" x14ac:dyDescent="0.7">
      <c r="A28" s="584">
        <v>14</v>
      </c>
      <c r="B28" s="608" t="s">
        <v>181</v>
      </c>
      <c r="C28" s="609" t="s">
        <v>175</v>
      </c>
      <c r="D28" s="584" t="s">
        <v>182</v>
      </c>
      <c r="E28" s="690" t="s">
        <v>179</v>
      </c>
      <c r="F28" s="691" t="s">
        <v>279</v>
      </c>
      <c r="G28" s="692" t="s">
        <v>1322</v>
      </c>
      <c r="H28" s="693">
        <v>1</v>
      </c>
      <c r="I28" s="693">
        <v>1</v>
      </c>
      <c r="J28" s="694">
        <v>4000</v>
      </c>
      <c r="K28" s="695">
        <f t="shared" ref="K28:K33" si="12">IF(F28&lt;&gt;"",H28*I28*J28,"")</f>
        <v>4000</v>
      </c>
      <c r="L28" s="695">
        <f t="shared" ref="L28:L33" si="13">IF(K28&lt;&gt;"",IF(D28="INTERNO",0,K28*$L$14),"")</f>
        <v>320</v>
      </c>
      <c r="M28" s="695">
        <f t="shared" ref="M28:M33" si="14">IF(K28&lt;&gt;"",IF(E28="FAT.OGGI",SUM(K28:L28)*(1/(1-$M$14)-1),L28*(1/(1-$M$14)-1)),0)</f>
        <v>905.59574210717278</v>
      </c>
      <c r="N28" s="635">
        <f t="shared" ref="N28:N33" si="15">SUM(K28:M28)</f>
        <v>5225.5957421071726</v>
      </c>
      <c r="O28" s="623"/>
      <c r="R28" s="696">
        <v>1</v>
      </c>
      <c r="S28" s="696">
        <v>1</v>
      </c>
      <c r="T28" s="626">
        <v>4000</v>
      </c>
      <c r="U28" s="626">
        <v>0</v>
      </c>
      <c r="V28" s="698">
        <f t="shared" ref="V28:V33" si="16">IF(R28&lt;&gt;"",K28-U28,"")</f>
        <v>4000</v>
      </c>
      <c r="W28" s="699">
        <f t="shared" ref="W28:W33" si="17">IF(R28&lt;&gt;"",0%,"")</f>
        <v>0</v>
      </c>
      <c r="X28" s="700">
        <f t="shared" ref="X28:X33" si="18">IF(R28&lt;&gt;"",W28*V28,"")</f>
        <v>0</v>
      </c>
      <c r="Y28" s="700">
        <f t="shared" ref="Y28:Y33" si="19">IF(R28&lt;&gt;"",X28+U28,"")</f>
        <v>0</v>
      </c>
      <c r="Z28" s="701">
        <f t="shared" ref="Z28:Z35" si="20">IF(R28&lt;&gt;"",Y28+M28,"")</f>
        <v>905.59574210717278</v>
      </c>
      <c r="AA28" s="632">
        <f t="shared" ref="AA28:AA33" si="21">IF(R28&lt;&gt;"", IFERROR(V28/K28, 0), 0)</f>
        <v>1</v>
      </c>
      <c r="AB28" s="632" t="e">
        <f t="shared" ref="AB28:AB33" si="22">U28/$U$34</f>
        <v>#DIV/0!</v>
      </c>
      <c r="AL28" s="1703">
        <f t="shared" si="10"/>
        <v>0</v>
      </c>
      <c r="AM28" s="1713"/>
    </row>
    <row r="29" spans="1:40" ht="159.9" customHeight="1" x14ac:dyDescent="0.7">
      <c r="A29" s="584">
        <v>15</v>
      </c>
      <c r="B29" s="608" t="s">
        <v>261</v>
      </c>
      <c r="C29" s="609" t="s">
        <v>175</v>
      </c>
      <c r="D29" s="584" t="s">
        <v>182</v>
      </c>
      <c r="E29" s="690" t="s">
        <v>179</v>
      </c>
      <c r="F29" s="691" t="s">
        <v>280</v>
      </c>
      <c r="G29" s="692" t="s">
        <v>1323</v>
      </c>
      <c r="H29" s="693">
        <v>1</v>
      </c>
      <c r="I29" s="693">
        <v>1</v>
      </c>
      <c r="J29" s="694">
        <v>4000</v>
      </c>
      <c r="K29" s="695">
        <f t="shared" si="12"/>
        <v>4000</v>
      </c>
      <c r="L29" s="695">
        <f t="shared" si="13"/>
        <v>320</v>
      </c>
      <c r="M29" s="695">
        <f t="shared" si="14"/>
        <v>905.59574210717278</v>
      </c>
      <c r="N29" s="635">
        <f t="shared" si="15"/>
        <v>5225.5957421071726</v>
      </c>
      <c r="O29" s="623"/>
      <c r="R29" s="696">
        <f>IF(H29&lt;&gt;"",H29,"")</f>
        <v>1</v>
      </c>
      <c r="S29" s="696">
        <v>1</v>
      </c>
      <c r="T29" s="626">
        <v>4000</v>
      </c>
      <c r="U29" s="626">
        <v>0</v>
      </c>
      <c r="V29" s="698">
        <f t="shared" si="16"/>
        <v>4000</v>
      </c>
      <c r="W29" s="699">
        <f t="shared" si="17"/>
        <v>0</v>
      </c>
      <c r="X29" s="700">
        <f t="shared" si="18"/>
        <v>0</v>
      </c>
      <c r="Y29" s="700">
        <f t="shared" si="19"/>
        <v>0</v>
      </c>
      <c r="Z29" s="701">
        <f t="shared" si="20"/>
        <v>905.59574210717278</v>
      </c>
      <c r="AA29" s="632">
        <f t="shared" si="21"/>
        <v>1</v>
      </c>
      <c r="AB29" s="632" t="e">
        <f t="shared" si="22"/>
        <v>#DIV/0!</v>
      </c>
      <c r="AL29" s="1703">
        <f t="shared" si="10"/>
        <v>0</v>
      </c>
      <c r="AM29" s="1713"/>
    </row>
    <row r="30" spans="1:40" ht="159.9" customHeight="1" x14ac:dyDescent="0.7">
      <c r="A30" s="584">
        <v>16</v>
      </c>
      <c r="B30" s="608" t="s">
        <v>262</v>
      </c>
      <c r="C30" s="609" t="s">
        <v>175</v>
      </c>
      <c r="D30" s="584" t="s">
        <v>182</v>
      </c>
      <c r="E30" s="690" t="s">
        <v>179</v>
      </c>
      <c r="F30" s="691" t="s">
        <v>283</v>
      </c>
      <c r="G30" s="692" t="s">
        <v>1324</v>
      </c>
      <c r="H30" s="702">
        <v>5</v>
      </c>
      <c r="I30" s="702">
        <v>1</v>
      </c>
      <c r="J30" s="694">
        <v>850</v>
      </c>
      <c r="K30" s="695">
        <f t="shared" si="12"/>
        <v>4250</v>
      </c>
      <c r="L30" s="695">
        <f t="shared" si="13"/>
        <v>340</v>
      </c>
      <c r="M30" s="695">
        <f t="shared" si="14"/>
        <v>962.19547598887107</v>
      </c>
      <c r="N30" s="635">
        <f t="shared" si="15"/>
        <v>5552.1954759888713</v>
      </c>
      <c r="O30" s="623"/>
      <c r="R30" s="696">
        <f>IF(H30&lt;&gt;"",H30,"")</f>
        <v>5</v>
      </c>
      <c r="S30" s="696">
        <f>IF(I30&lt;&gt;"",I30,"")</f>
        <v>1</v>
      </c>
      <c r="T30" s="626">
        <v>850</v>
      </c>
      <c r="U30" s="626">
        <v>0</v>
      </c>
      <c r="V30" s="698">
        <f t="shared" si="16"/>
        <v>4250</v>
      </c>
      <c r="W30" s="699">
        <f t="shared" si="17"/>
        <v>0</v>
      </c>
      <c r="X30" s="700">
        <f t="shared" si="18"/>
        <v>0</v>
      </c>
      <c r="Y30" s="700">
        <f t="shared" si="19"/>
        <v>0</v>
      </c>
      <c r="Z30" s="701">
        <f t="shared" si="20"/>
        <v>962.19547598887107</v>
      </c>
      <c r="AA30" s="632">
        <f t="shared" si="21"/>
        <v>1</v>
      </c>
      <c r="AB30" s="632" t="e">
        <f t="shared" si="22"/>
        <v>#DIV/0!</v>
      </c>
      <c r="AL30" s="1703">
        <f t="shared" si="10"/>
        <v>0</v>
      </c>
      <c r="AM30" s="1713"/>
    </row>
    <row r="31" spans="1:40" ht="159.9" customHeight="1" x14ac:dyDescent="0.7">
      <c r="A31" s="584">
        <v>17</v>
      </c>
      <c r="B31" s="608" t="s">
        <v>263</v>
      </c>
      <c r="C31" s="609" t="s">
        <v>175</v>
      </c>
      <c r="D31" s="584" t="s">
        <v>182</v>
      </c>
      <c r="E31" s="690" t="s">
        <v>179</v>
      </c>
      <c r="F31" s="691" t="s">
        <v>286</v>
      </c>
      <c r="G31" s="703" t="s">
        <v>1325</v>
      </c>
      <c r="H31" s="702">
        <v>6</v>
      </c>
      <c r="I31" s="702">
        <v>1</v>
      </c>
      <c r="J31" s="694">
        <v>450</v>
      </c>
      <c r="K31" s="695">
        <f t="shared" si="12"/>
        <v>2700</v>
      </c>
      <c r="L31" s="695">
        <f t="shared" si="13"/>
        <v>216</v>
      </c>
      <c r="M31" s="695">
        <f t="shared" si="14"/>
        <v>611.27712592234161</v>
      </c>
      <c r="N31" s="635">
        <f t="shared" si="15"/>
        <v>3527.2771259223418</v>
      </c>
      <c r="O31" s="623"/>
      <c r="R31" s="696">
        <f>IF(H31&lt;&gt;"",H31,"")</f>
        <v>6</v>
      </c>
      <c r="S31" s="696">
        <f>IF(I31&lt;&gt;"",I31,"")</f>
        <v>1</v>
      </c>
      <c r="T31" s="626">
        <v>370</v>
      </c>
      <c r="U31" s="626">
        <v>0</v>
      </c>
      <c r="V31" s="698">
        <f t="shared" si="16"/>
        <v>2700</v>
      </c>
      <c r="W31" s="699">
        <f t="shared" si="17"/>
        <v>0</v>
      </c>
      <c r="X31" s="700">
        <f t="shared" si="18"/>
        <v>0</v>
      </c>
      <c r="Y31" s="700">
        <f t="shared" si="19"/>
        <v>0</v>
      </c>
      <c r="Z31" s="701">
        <f t="shared" si="20"/>
        <v>611.27712592234161</v>
      </c>
      <c r="AA31" s="632">
        <f t="shared" si="21"/>
        <v>1</v>
      </c>
      <c r="AB31" s="632" t="e">
        <f t="shared" si="22"/>
        <v>#DIV/0!</v>
      </c>
      <c r="AL31" s="1703">
        <f t="shared" si="10"/>
        <v>0</v>
      </c>
      <c r="AM31" s="1713"/>
    </row>
    <row r="32" spans="1:40" ht="159.9" customHeight="1" x14ac:dyDescent="0.7">
      <c r="A32" s="584">
        <v>18</v>
      </c>
      <c r="B32" s="608" t="s">
        <v>264</v>
      </c>
      <c r="C32" s="609" t="s">
        <v>175</v>
      </c>
      <c r="D32" s="584" t="s">
        <v>182</v>
      </c>
      <c r="E32" s="690" t="s">
        <v>179</v>
      </c>
      <c r="F32" s="691" t="s">
        <v>288</v>
      </c>
      <c r="G32" s="692" t="s">
        <v>1326</v>
      </c>
      <c r="H32" s="702">
        <v>6</v>
      </c>
      <c r="I32" s="702">
        <v>1</v>
      </c>
      <c r="J32" s="694">
        <v>380</v>
      </c>
      <c r="K32" s="694">
        <f t="shared" si="12"/>
        <v>2280</v>
      </c>
      <c r="L32" s="694">
        <f t="shared" si="13"/>
        <v>182.4</v>
      </c>
      <c r="M32" s="694">
        <f t="shared" si="14"/>
        <v>516.18957300108855</v>
      </c>
      <c r="N32" s="704">
        <f t="shared" si="15"/>
        <v>2978.5895730010889</v>
      </c>
      <c r="O32" s="705"/>
      <c r="R32" s="696">
        <f>IF(H32&lt;&gt;"",H32,"")</f>
        <v>6</v>
      </c>
      <c r="S32" s="696">
        <f>IF(I32&lt;&gt;"",I32,"")</f>
        <v>1</v>
      </c>
      <c r="T32" s="626">
        <v>200</v>
      </c>
      <c r="U32" s="626">
        <v>0</v>
      </c>
      <c r="V32" s="698">
        <f t="shared" si="16"/>
        <v>2280</v>
      </c>
      <c r="W32" s="699">
        <f t="shared" si="17"/>
        <v>0</v>
      </c>
      <c r="X32" s="700">
        <f t="shared" si="18"/>
        <v>0</v>
      </c>
      <c r="Y32" s="700">
        <f t="shared" si="19"/>
        <v>0</v>
      </c>
      <c r="Z32" s="701">
        <f t="shared" si="20"/>
        <v>516.18957300108855</v>
      </c>
      <c r="AA32" s="632">
        <f t="shared" si="21"/>
        <v>1</v>
      </c>
      <c r="AB32" s="632" t="e">
        <f t="shared" si="22"/>
        <v>#DIV/0!</v>
      </c>
      <c r="AL32" s="1703">
        <f t="shared" si="10"/>
        <v>0</v>
      </c>
      <c r="AM32" s="1713"/>
    </row>
    <row r="33" spans="1:39" ht="159.9" customHeight="1" x14ac:dyDescent="0.7">
      <c r="A33" s="646">
        <v>19</v>
      </c>
      <c r="B33" s="608" t="s">
        <v>265</v>
      </c>
      <c r="C33" s="647" t="s">
        <v>175</v>
      </c>
      <c r="D33" s="584" t="s">
        <v>182</v>
      </c>
      <c r="E33" s="690" t="s">
        <v>179</v>
      </c>
      <c r="F33" s="691" t="s">
        <v>295</v>
      </c>
      <c r="G33" s="703" t="s">
        <v>1327</v>
      </c>
      <c r="H33" s="706">
        <v>1</v>
      </c>
      <c r="I33" s="706">
        <v>1</v>
      </c>
      <c r="J33" s="694">
        <v>15000</v>
      </c>
      <c r="K33" s="621">
        <f t="shared" si="12"/>
        <v>15000</v>
      </c>
      <c r="L33" s="621">
        <f t="shared" si="13"/>
        <v>1200</v>
      </c>
      <c r="M33" s="621">
        <f t="shared" si="14"/>
        <v>3395.984032901898</v>
      </c>
      <c r="N33" s="622">
        <f t="shared" si="15"/>
        <v>19595.984032901899</v>
      </c>
      <c r="O33" s="623"/>
      <c r="R33" s="649">
        <f>IF(H33&lt;&gt;"",H33,"")</f>
        <v>1</v>
      </c>
      <c r="S33" s="649">
        <f>IF(I33&lt;&gt;"",I33,"")</f>
        <v>1</v>
      </c>
      <c r="T33" s="626">
        <v>12000</v>
      </c>
      <c r="U33" s="626">
        <v>0</v>
      </c>
      <c r="V33" s="651">
        <f t="shared" si="16"/>
        <v>15000</v>
      </c>
      <c r="W33" s="652">
        <f t="shared" si="17"/>
        <v>0</v>
      </c>
      <c r="X33" s="653">
        <f t="shared" si="18"/>
        <v>0</v>
      </c>
      <c r="Y33" s="653">
        <f t="shared" si="19"/>
        <v>0</v>
      </c>
      <c r="Z33" s="629">
        <f t="shared" si="20"/>
        <v>3395.984032901898</v>
      </c>
      <c r="AA33" s="632">
        <f t="shared" si="21"/>
        <v>1</v>
      </c>
      <c r="AB33" s="632" t="e">
        <f t="shared" si="22"/>
        <v>#DIV/0!</v>
      </c>
      <c r="AL33" s="1703">
        <f t="shared" si="10"/>
        <v>0</v>
      </c>
      <c r="AM33" s="1713"/>
    </row>
    <row r="34" spans="1:39" ht="50.1" customHeight="1" thickBot="1" x14ac:dyDescent="0.75">
      <c r="A34" s="584">
        <v>20</v>
      </c>
      <c r="B34" s="608"/>
      <c r="C34" s="609" t="s">
        <v>184</v>
      </c>
      <c r="D34" s="584"/>
      <c r="E34" s="584"/>
      <c r="F34" s="1526" t="s">
        <v>368</v>
      </c>
      <c r="G34" s="1527"/>
      <c r="H34" s="1527"/>
      <c r="I34" s="1527"/>
      <c r="J34" s="1564"/>
      <c r="K34" s="707">
        <f>SUM(K28:K33)</f>
        <v>32230</v>
      </c>
      <c r="L34" s="707">
        <f>SUM(L28:L33)</f>
        <v>2578.4</v>
      </c>
      <c r="M34" s="707">
        <f>SUM(M28:M33)</f>
        <v>7296.8376920285446</v>
      </c>
      <c r="N34" s="708">
        <f>SUM(N28:N33)</f>
        <v>42105.237692028546</v>
      </c>
      <c r="O34" s="672"/>
      <c r="R34" s="1565" t="s">
        <v>1138</v>
      </c>
      <c r="S34" s="1566"/>
      <c r="T34" s="1566"/>
      <c r="U34" s="673">
        <f>SUM(U28:U33)</f>
        <v>0</v>
      </c>
      <c r="V34" s="674">
        <f>SUM(V28:V33)</f>
        <v>32230</v>
      </c>
      <c r="W34" s="675"/>
      <c r="X34" s="676"/>
      <c r="Y34" s="677">
        <f>SUM(Y28:Y33)</f>
        <v>0</v>
      </c>
      <c r="Z34" s="678">
        <f t="shared" si="20"/>
        <v>7296.8376920285446</v>
      </c>
      <c r="AA34" s="709"/>
      <c r="AB34" s="710"/>
      <c r="AL34" s="1703"/>
      <c r="AM34" s="1713"/>
    </row>
    <row r="35" spans="1:39" ht="50.1" customHeight="1" thickBot="1" x14ac:dyDescent="0.75">
      <c r="A35" s="584">
        <v>21</v>
      </c>
      <c r="B35" s="608"/>
      <c r="C35" s="609" t="s">
        <v>183</v>
      </c>
      <c r="D35" s="584"/>
      <c r="E35" s="584"/>
      <c r="F35" s="1557" t="s">
        <v>260</v>
      </c>
      <c r="G35" s="1558"/>
      <c r="H35" s="1558"/>
      <c r="I35" s="1558"/>
      <c r="J35" s="1558"/>
      <c r="K35" s="711">
        <f>SUM(K28:K33)</f>
        <v>32230</v>
      </c>
      <c r="L35" s="711">
        <f>SUM(L28:L33)</f>
        <v>2578.4</v>
      </c>
      <c r="M35" s="711">
        <f>SUM(M28:M33)</f>
        <v>7296.8376920285446</v>
      </c>
      <c r="N35" s="711">
        <f>SUM(N28:N33)</f>
        <v>42105.237692028546</v>
      </c>
      <c r="O35" s="711"/>
      <c r="R35" s="1532" t="s">
        <v>1139</v>
      </c>
      <c r="S35" s="1533"/>
      <c r="T35" s="1533"/>
      <c r="U35" s="711">
        <f>SUM(U28:U33)</f>
        <v>0</v>
      </c>
      <c r="V35" s="712">
        <f>SUM(V28:V33)</f>
        <v>32230</v>
      </c>
      <c r="W35" s="713"/>
      <c r="X35" s="713"/>
      <c r="Y35" s="714">
        <f>SUM(Y28:Y33)</f>
        <v>0</v>
      </c>
      <c r="Z35" s="715">
        <f t="shared" si="20"/>
        <v>7296.8376920285446</v>
      </c>
      <c r="AL35" s="1703"/>
      <c r="AM35" s="1713"/>
    </row>
    <row r="36" spans="1:39" ht="50.1" customHeight="1" x14ac:dyDescent="0.7">
      <c r="A36" s="633">
        <v>22</v>
      </c>
      <c r="B36" s="608" t="s">
        <v>1098</v>
      </c>
      <c r="C36" s="634" t="s">
        <v>169</v>
      </c>
      <c r="D36" s="633"/>
      <c r="E36" s="633"/>
      <c r="F36" s="1397" t="s">
        <v>297</v>
      </c>
      <c r="G36" s="1398"/>
      <c r="H36" s="1398"/>
      <c r="I36" s="1398"/>
      <c r="J36" s="1398"/>
      <c r="K36" s="1398"/>
      <c r="L36" s="716" t="s">
        <v>171</v>
      </c>
      <c r="M36" s="716" t="s">
        <v>172</v>
      </c>
      <c r="N36" s="717" t="s">
        <v>129</v>
      </c>
      <c r="O36" s="615"/>
      <c r="R36" s="1397" t="str">
        <f>IF(F36&lt;&gt;"",F36,"")</f>
        <v xml:space="preserve">LOGÍSTICA TERRESTRE </v>
      </c>
      <c r="S36" s="1398"/>
      <c r="T36" s="1398"/>
      <c r="U36" s="1398"/>
      <c r="V36" s="1398"/>
      <c r="W36" s="1398"/>
      <c r="X36" s="1398"/>
      <c r="Y36" s="1398"/>
      <c r="Z36" s="1561"/>
      <c r="AA36" s="616" t="s">
        <v>173</v>
      </c>
      <c r="AB36" s="617" t="s">
        <v>130</v>
      </c>
      <c r="AL36" s="1703"/>
      <c r="AM36" s="1713"/>
    </row>
    <row r="37" spans="1:39" ht="159.9" customHeight="1" x14ac:dyDescent="0.7">
      <c r="A37" s="584">
        <v>23</v>
      </c>
      <c r="B37" s="608" t="s">
        <v>1099</v>
      </c>
      <c r="C37" s="609" t="s">
        <v>175</v>
      </c>
      <c r="D37" s="584" t="s">
        <v>182</v>
      </c>
      <c r="E37" s="584" t="s">
        <v>331</v>
      </c>
      <c r="F37" s="718" t="s">
        <v>369</v>
      </c>
      <c r="G37" s="618" t="s">
        <v>1328</v>
      </c>
      <c r="H37" s="702">
        <v>1</v>
      </c>
      <c r="I37" s="702">
        <v>1</v>
      </c>
      <c r="J37" s="719">
        <v>13353</v>
      </c>
      <c r="K37" s="620">
        <f t="shared" ref="K37:K40" si="23">IF(F37&lt;&gt;"",H37*I37*J37,"")</f>
        <v>13353</v>
      </c>
      <c r="L37" s="621">
        <f t="shared" ref="L37:L40" si="24">IF(K37&lt;&gt;"",IF(D37="INTERNO",0,K37*$L$14),"")</f>
        <v>1068.24</v>
      </c>
      <c r="M37" s="621">
        <f t="shared" ref="M37:M40" si="25">IF(K37&lt;&gt;"",IF(E37="FAT.OGGI",SUM(K37:L37)*(1/(1-$M$14)-1),L37*(1/(1-$M$14)-1)),"")</f>
        <v>223.93370267327924</v>
      </c>
      <c r="N37" s="622">
        <f t="shared" ref="N37:N40" si="26">SUM(K37:M37)</f>
        <v>14645.173702673279</v>
      </c>
      <c r="O37" s="623"/>
      <c r="R37" s="624">
        <f t="shared" ref="R37:S40" si="27">IF(H37&lt;&gt;"",H37,"")</f>
        <v>1</v>
      </c>
      <c r="S37" s="625">
        <f t="shared" si="27"/>
        <v>1</v>
      </c>
      <c r="T37" s="626">
        <f>J37*0.85</f>
        <v>11350.05</v>
      </c>
      <c r="U37" s="626">
        <v>0</v>
      </c>
      <c r="V37" s="627">
        <f t="shared" ref="V37:V40" si="28">IF(R37&lt;&gt;"",K37-U37,"")</f>
        <v>13353</v>
      </c>
      <c r="W37" s="628">
        <f t="shared" ref="W37:W40" si="29">IF(R37&lt;&gt;"",0%,"")</f>
        <v>0</v>
      </c>
      <c r="X37" s="629">
        <f t="shared" ref="X37:X40" si="30">IF(R37&lt;&gt;"",W37*V37,"")</f>
        <v>0</v>
      </c>
      <c r="Y37" s="629">
        <f t="shared" ref="Y37:Y40" si="31">IF(R37&lt;&gt;"",X37+U37,"")</f>
        <v>0</v>
      </c>
      <c r="Z37" s="630">
        <f t="shared" ref="Z37:Z42" si="32">IF(R37&lt;&gt;"",Y37+M37,"")</f>
        <v>223.93370267327924</v>
      </c>
      <c r="AA37" s="631">
        <f t="shared" ref="AA37:AA40" si="33">IFERROR(IF(R37&lt;&gt;"",V37/K37,""),0)</f>
        <v>1</v>
      </c>
      <c r="AB37" s="632" t="e">
        <f>U37/$U$41</f>
        <v>#DIV/0!</v>
      </c>
      <c r="AL37" s="1703">
        <f t="shared" si="10"/>
        <v>0</v>
      </c>
      <c r="AM37" s="1713"/>
    </row>
    <row r="38" spans="1:39" ht="159.9" customHeight="1" x14ac:dyDescent="0.7">
      <c r="A38" s="584">
        <v>24</v>
      </c>
      <c r="B38" s="608" t="s">
        <v>1140</v>
      </c>
      <c r="C38" s="609" t="s">
        <v>175</v>
      </c>
      <c r="D38" s="584" t="s">
        <v>182</v>
      </c>
      <c r="E38" s="584" t="s">
        <v>331</v>
      </c>
      <c r="F38" s="718" t="s">
        <v>370</v>
      </c>
      <c r="G38" s="618" t="s">
        <v>1329</v>
      </c>
      <c r="H38" s="702">
        <v>1</v>
      </c>
      <c r="I38" s="702">
        <v>1</v>
      </c>
      <c r="J38" s="719">
        <v>13353</v>
      </c>
      <c r="K38" s="620">
        <f t="shared" si="23"/>
        <v>13353</v>
      </c>
      <c r="L38" s="621">
        <f t="shared" si="24"/>
        <v>1068.24</v>
      </c>
      <c r="M38" s="621">
        <f t="shared" si="25"/>
        <v>223.93370267327924</v>
      </c>
      <c r="N38" s="622">
        <f t="shared" si="26"/>
        <v>14645.173702673279</v>
      </c>
      <c r="O38" s="623"/>
      <c r="R38" s="636">
        <f t="shared" si="27"/>
        <v>1</v>
      </c>
      <c r="S38" s="637">
        <f t="shared" si="27"/>
        <v>1</v>
      </c>
      <c r="T38" s="626">
        <f>J38*0.85</f>
        <v>11350.05</v>
      </c>
      <c r="U38" s="626">
        <v>0</v>
      </c>
      <c r="V38" s="720">
        <f t="shared" si="28"/>
        <v>13353</v>
      </c>
      <c r="W38" s="721">
        <f t="shared" si="29"/>
        <v>0</v>
      </c>
      <c r="X38" s="701">
        <f t="shared" si="30"/>
        <v>0</v>
      </c>
      <c r="Y38" s="701">
        <f t="shared" si="31"/>
        <v>0</v>
      </c>
      <c r="Z38" s="639">
        <f t="shared" si="32"/>
        <v>223.93370267327924</v>
      </c>
      <c r="AA38" s="631">
        <f t="shared" si="33"/>
        <v>1</v>
      </c>
      <c r="AB38" s="632" t="e">
        <f>U38/$U$41</f>
        <v>#DIV/0!</v>
      </c>
      <c r="AL38" s="1703">
        <f t="shared" si="10"/>
        <v>0</v>
      </c>
      <c r="AM38" s="1713"/>
    </row>
    <row r="39" spans="1:39" ht="159.9" customHeight="1" x14ac:dyDescent="0.7">
      <c r="A39" s="633">
        <v>25</v>
      </c>
      <c r="B39" s="608" t="s">
        <v>1141</v>
      </c>
      <c r="C39" s="634" t="s">
        <v>175</v>
      </c>
      <c r="D39" s="633" t="s">
        <v>182</v>
      </c>
      <c r="E39" s="584" t="s">
        <v>331</v>
      </c>
      <c r="F39" s="718" t="s">
        <v>1142</v>
      </c>
      <c r="G39" s="618" t="s">
        <v>1330</v>
      </c>
      <c r="H39" s="702">
        <v>1</v>
      </c>
      <c r="I39" s="702">
        <v>1</v>
      </c>
      <c r="J39" s="719">
        <v>3600</v>
      </c>
      <c r="K39" s="620">
        <f t="shared" si="23"/>
        <v>3600</v>
      </c>
      <c r="L39" s="621">
        <f t="shared" si="24"/>
        <v>288</v>
      </c>
      <c r="M39" s="621">
        <f t="shared" si="25"/>
        <v>60.37304947381152</v>
      </c>
      <c r="N39" s="622">
        <f t="shared" si="26"/>
        <v>3948.3730494738115</v>
      </c>
      <c r="O39" s="623"/>
      <c r="R39" s="624">
        <f t="shared" si="27"/>
        <v>1</v>
      </c>
      <c r="S39" s="625">
        <f t="shared" si="27"/>
        <v>1</v>
      </c>
      <c r="T39" s="626">
        <v>1000</v>
      </c>
      <c r="U39" s="626">
        <v>0</v>
      </c>
      <c r="V39" s="627">
        <f t="shared" si="28"/>
        <v>3600</v>
      </c>
      <c r="W39" s="628">
        <f t="shared" si="29"/>
        <v>0</v>
      </c>
      <c r="X39" s="629">
        <f t="shared" si="30"/>
        <v>0</v>
      </c>
      <c r="Y39" s="629">
        <f t="shared" si="31"/>
        <v>0</v>
      </c>
      <c r="Z39" s="630">
        <f t="shared" si="32"/>
        <v>60.37304947381152</v>
      </c>
      <c r="AA39" s="631">
        <f t="shared" si="33"/>
        <v>1</v>
      </c>
      <c r="AB39" s="632" t="e">
        <f>U39/$U$41</f>
        <v>#DIV/0!</v>
      </c>
      <c r="AL39" s="1703">
        <f t="shared" si="10"/>
        <v>0</v>
      </c>
      <c r="AM39" s="1713"/>
    </row>
    <row r="40" spans="1:39" ht="159.9" customHeight="1" x14ac:dyDescent="0.7">
      <c r="A40" s="633">
        <v>26</v>
      </c>
      <c r="B40" s="608" t="s">
        <v>1143</v>
      </c>
      <c r="C40" s="634" t="s">
        <v>175</v>
      </c>
      <c r="D40" s="633" t="s">
        <v>182</v>
      </c>
      <c r="E40" s="633" t="s">
        <v>331</v>
      </c>
      <c r="F40" s="718" t="s">
        <v>373</v>
      </c>
      <c r="G40" s="618" t="s">
        <v>1331</v>
      </c>
      <c r="H40" s="702">
        <v>1</v>
      </c>
      <c r="I40" s="702">
        <v>1</v>
      </c>
      <c r="J40" s="719">
        <v>4000</v>
      </c>
      <c r="K40" s="620">
        <f t="shared" si="23"/>
        <v>4000</v>
      </c>
      <c r="L40" s="621">
        <f t="shared" si="24"/>
        <v>320</v>
      </c>
      <c r="M40" s="621">
        <f t="shared" si="25"/>
        <v>67.0811660820128</v>
      </c>
      <c r="N40" s="622">
        <f t="shared" si="26"/>
        <v>4387.0811660820127</v>
      </c>
      <c r="O40" s="623"/>
      <c r="R40" s="636">
        <f t="shared" si="27"/>
        <v>1</v>
      </c>
      <c r="S40" s="637">
        <f t="shared" si="27"/>
        <v>1</v>
      </c>
      <c r="T40" s="638">
        <v>2500</v>
      </c>
      <c r="U40" s="626">
        <v>0</v>
      </c>
      <c r="V40" s="720">
        <f t="shared" si="28"/>
        <v>4000</v>
      </c>
      <c r="W40" s="721">
        <f t="shared" si="29"/>
        <v>0</v>
      </c>
      <c r="X40" s="701">
        <f t="shared" si="30"/>
        <v>0</v>
      </c>
      <c r="Y40" s="701">
        <f t="shared" si="31"/>
        <v>0</v>
      </c>
      <c r="Z40" s="639">
        <f t="shared" si="32"/>
        <v>67.0811660820128</v>
      </c>
      <c r="AA40" s="631">
        <f t="shared" si="33"/>
        <v>1</v>
      </c>
      <c r="AB40" s="632" t="e">
        <f>U40/$U$41</f>
        <v>#DIV/0!</v>
      </c>
      <c r="AL40" s="1703">
        <f t="shared" si="10"/>
        <v>0</v>
      </c>
      <c r="AM40" s="1713"/>
    </row>
    <row r="41" spans="1:39" ht="50.1" customHeight="1" thickBot="1" x14ac:dyDescent="0.75">
      <c r="A41" s="584">
        <v>27</v>
      </c>
      <c r="B41" s="608"/>
      <c r="C41" s="609" t="s">
        <v>184</v>
      </c>
      <c r="D41" s="584"/>
      <c r="E41" s="584"/>
      <c r="F41" s="1553" t="s">
        <v>375</v>
      </c>
      <c r="G41" s="1554"/>
      <c r="H41" s="1554"/>
      <c r="I41" s="1554"/>
      <c r="J41" s="1554"/>
      <c r="K41" s="722">
        <f>SUM(K37:K40)</f>
        <v>34306</v>
      </c>
      <c r="L41" s="722">
        <f>SUM(L37:L40)</f>
        <v>2744.48</v>
      </c>
      <c r="M41" s="722">
        <f>SUM(M37:M40)</f>
        <v>575.32162090238285</v>
      </c>
      <c r="N41" s="722">
        <f>SUM(N37:N40)</f>
        <v>37625.801620902377</v>
      </c>
      <c r="O41" s="723"/>
      <c r="R41" s="1553" t="s">
        <v>191</v>
      </c>
      <c r="S41" s="1554"/>
      <c r="T41" s="1554"/>
      <c r="U41" s="722">
        <f>SUM(U37:U40)</f>
        <v>0</v>
      </c>
      <c r="V41" s="724">
        <f>SUM(V37:V40)</f>
        <v>34306</v>
      </c>
      <c r="W41" s="725"/>
      <c r="X41" s="725"/>
      <c r="Y41" s="726">
        <f>SUM(Y37:Y40)</f>
        <v>0</v>
      </c>
      <c r="Z41" s="727">
        <f t="shared" si="32"/>
        <v>575.32162090238285</v>
      </c>
      <c r="AL41" s="1703"/>
      <c r="AM41" s="1713"/>
    </row>
    <row r="42" spans="1:39" ht="50.1" customHeight="1" thickBot="1" x14ac:dyDescent="0.75">
      <c r="A42" s="584">
        <v>28</v>
      </c>
      <c r="B42" s="608"/>
      <c r="C42" s="609" t="s">
        <v>183</v>
      </c>
      <c r="D42" s="584"/>
      <c r="E42" s="584"/>
      <c r="F42" s="1557" t="s">
        <v>376</v>
      </c>
      <c r="G42" s="1558"/>
      <c r="H42" s="1558"/>
      <c r="I42" s="1558"/>
      <c r="J42" s="1558"/>
      <c r="K42" s="711">
        <f>SUM(K37:K40)</f>
        <v>34306</v>
      </c>
      <c r="L42" s="711">
        <f>SUM(L37:L40)</f>
        <v>2744.48</v>
      </c>
      <c r="M42" s="711">
        <f>SUM(M37:M40)</f>
        <v>575.32162090238285</v>
      </c>
      <c r="N42" s="711">
        <f>SUM(N37:N40)</f>
        <v>37625.801620902377</v>
      </c>
      <c r="O42" s="711"/>
      <c r="R42" s="1532" t="s">
        <v>1144</v>
      </c>
      <c r="S42" s="1533"/>
      <c r="T42" s="1533"/>
      <c r="U42" s="711">
        <f>SUM(U37:U40)</f>
        <v>0</v>
      </c>
      <c r="V42" s="712">
        <f>SUM(V37:V40)</f>
        <v>34306</v>
      </c>
      <c r="W42" s="713"/>
      <c r="X42" s="713"/>
      <c r="Y42" s="714">
        <f>SUM(Y37:Y40)</f>
        <v>0</v>
      </c>
      <c r="Z42" s="715">
        <f t="shared" si="32"/>
        <v>575.32162090238285</v>
      </c>
      <c r="AL42" s="1703"/>
      <c r="AM42" s="1713"/>
    </row>
    <row r="43" spans="1:39" ht="50.1" customHeight="1" thickBot="1" x14ac:dyDescent="0.75">
      <c r="A43" s="584">
        <v>29</v>
      </c>
      <c r="B43" s="608">
        <v>3</v>
      </c>
      <c r="C43" s="609" t="s">
        <v>167</v>
      </c>
      <c r="D43" s="584"/>
      <c r="E43" s="584"/>
      <c r="F43" s="1534" t="s">
        <v>377</v>
      </c>
      <c r="G43" s="1535"/>
      <c r="H43" s="1535"/>
      <c r="I43" s="1535"/>
      <c r="J43" s="1535"/>
      <c r="K43" s="1535"/>
      <c r="L43" s="1535"/>
      <c r="M43" s="1535"/>
      <c r="N43" s="1536"/>
      <c r="O43" s="611"/>
      <c r="R43" s="1395" t="str">
        <f>IF(F43&lt;&gt;"",F43,"")</f>
        <v>HOTEL</v>
      </c>
      <c r="S43" s="1396"/>
      <c r="T43" s="1396"/>
      <c r="U43" s="1396"/>
      <c r="V43" s="1396"/>
      <c r="W43" s="1396"/>
      <c r="X43" s="1396"/>
      <c r="Y43" s="1396"/>
      <c r="Z43" s="1563"/>
      <c r="AL43" s="1703"/>
      <c r="AM43" s="1713"/>
    </row>
    <row r="44" spans="1:39" ht="50.1" customHeight="1" x14ac:dyDescent="0.7">
      <c r="A44" s="584">
        <v>30</v>
      </c>
      <c r="B44" s="608" t="s">
        <v>192</v>
      </c>
      <c r="C44" s="609" t="s">
        <v>169</v>
      </c>
      <c r="D44" s="584"/>
      <c r="E44" s="584"/>
      <c r="F44" s="1397" t="s">
        <v>378</v>
      </c>
      <c r="G44" s="1398"/>
      <c r="H44" s="1398"/>
      <c r="I44" s="1398"/>
      <c r="J44" s="1398"/>
      <c r="K44" s="1398"/>
      <c r="L44" s="716" t="s">
        <v>171</v>
      </c>
      <c r="M44" s="716" t="s">
        <v>172</v>
      </c>
      <c r="N44" s="717" t="s">
        <v>129</v>
      </c>
      <c r="O44" s="615"/>
      <c r="R44" s="1397" t="str">
        <f>IF(F44&lt;&gt;"",F44,"")</f>
        <v>HOSPEDAGEM</v>
      </c>
      <c r="S44" s="1398"/>
      <c r="T44" s="1398"/>
      <c r="U44" s="1398"/>
      <c r="V44" s="1398"/>
      <c r="W44" s="1398"/>
      <c r="X44" s="1398"/>
      <c r="Y44" s="1398"/>
      <c r="Z44" s="1561"/>
      <c r="AA44" s="616" t="s">
        <v>173</v>
      </c>
      <c r="AB44" s="617" t="s">
        <v>130</v>
      </c>
      <c r="AL44" s="1703"/>
      <c r="AM44" s="1713"/>
    </row>
    <row r="45" spans="1:39" ht="159.9" customHeight="1" x14ac:dyDescent="0.7">
      <c r="A45" s="584">
        <v>31</v>
      </c>
      <c r="B45" s="608" t="s">
        <v>193</v>
      </c>
      <c r="C45" s="609" t="s">
        <v>175</v>
      </c>
      <c r="D45" s="584" t="s">
        <v>182</v>
      </c>
      <c r="E45" s="584" t="s">
        <v>331</v>
      </c>
      <c r="F45" s="718" t="s">
        <v>381</v>
      </c>
      <c r="G45" s="618" t="s">
        <v>1332</v>
      </c>
      <c r="H45" s="702">
        <v>57</v>
      </c>
      <c r="I45" s="702">
        <v>1</v>
      </c>
      <c r="J45" s="719">
        <v>900</v>
      </c>
      <c r="K45" s="621">
        <f>IF(F45&lt;&gt;"",H45*I45*J45,"")</f>
        <v>51300</v>
      </c>
      <c r="L45" s="621">
        <f>IF(K45&lt;&gt;"",IF(D45="INTERNO",0,K45*$L$13),"")</f>
        <v>2565</v>
      </c>
      <c r="M45" s="621">
        <f>IF(K45&lt;&gt;"",IF(E45="FAT.OGGI",SUM(K45:L45)*(1/(1-$M$14)-1),L45*(1/(1-$M$14)-1)),0)</f>
        <v>537.69747187613382</v>
      </c>
      <c r="N45" s="622">
        <f>SUM(K45:M45)</f>
        <v>54402.697471876134</v>
      </c>
      <c r="O45" s="623"/>
      <c r="R45" s="624">
        <f>IF(H45&lt;&gt;"",H45,"")</f>
        <v>57</v>
      </c>
      <c r="S45" s="625">
        <f>IF(I45&lt;&gt;"",I45,"")</f>
        <v>1</v>
      </c>
      <c r="T45" s="626">
        <v>900</v>
      </c>
      <c r="U45" s="626">
        <v>0</v>
      </c>
      <c r="V45" s="627">
        <f>IF(R45&lt;&gt;"",K45-U45,"")</f>
        <v>51300</v>
      </c>
      <c r="W45" s="628">
        <f>IF(R45&lt;&gt;"",0%,"")</f>
        <v>0</v>
      </c>
      <c r="X45" s="629">
        <f>IF(R45&lt;&gt;"",W45*V45,"")</f>
        <v>0</v>
      </c>
      <c r="Y45" s="629">
        <f>IF(R45&lt;&gt;"",X45+U45,"")</f>
        <v>0</v>
      </c>
      <c r="Z45" s="630">
        <f>IF(R45&lt;&gt;"",Y45+M45,"")</f>
        <v>537.69747187613382</v>
      </c>
      <c r="AA45" s="631">
        <f>IF(R45&lt;&gt;"", IFERROR(V45/K45, 0), 0)</f>
        <v>1</v>
      </c>
      <c r="AB45" s="632" t="e">
        <f>U45/$U$46</f>
        <v>#DIV/0!</v>
      </c>
      <c r="AC45" s="728">
        <f>U45*0.1</f>
        <v>0</v>
      </c>
      <c r="AL45" s="1703">
        <f t="shared" si="10"/>
        <v>0</v>
      </c>
      <c r="AM45" s="1713"/>
    </row>
    <row r="46" spans="1:39" ht="50.1" customHeight="1" thickBot="1" x14ac:dyDescent="0.75">
      <c r="A46" s="584">
        <v>32</v>
      </c>
      <c r="B46" s="608"/>
      <c r="C46" s="609" t="s">
        <v>184</v>
      </c>
      <c r="D46" s="584"/>
      <c r="E46" s="584"/>
      <c r="F46" s="1553" t="s">
        <v>383</v>
      </c>
      <c r="G46" s="1554"/>
      <c r="H46" s="1554"/>
      <c r="I46" s="1554"/>
      <c r="J46" s="1554"/>
      <c r="K46" s="722">
        <f>SUM(K45:K45)</f>
        <v>51300</v>
      </c>
      <c r="L46" s="722">
        <f>SUM(L45:L45)</f>
        <v>2565</v>
      </c>
      <c r="M46" s="722">
        <f>SUM(M45:M45)</f>
        <v>537.69747187613382</v>
      </c>
      <c r="N46" s="729">
        <f>SUM(N45:N45)</f>
        <v>54402.697471876134</v>
      </c>
      <c r="O46" s="723"/>
      <c r="R46" s="1549" t="s">
        <v>191</v>
      </c>
      <c r="S46" s="1550"/>
      <c r="T46" s="1550"/>
      <c r="U46" s="730">
        <f>SUM(U45:U45)</f>
        <v>0</v>
      </c>
      <c r="V46" s="731">
        <f>SUM(V45:V45)</f>
        <v>51300</v>
      </c>
      <c r="W46" s="732"/>
      <c r="X46" s="732"/>
      <c r="Y46" s="733">
        <f>SUM(Y45:Y45)</f>
        <v>0</v>
      </c>
      <c r="Z46" s="734">
        <f>IF(R46&lt;&gt;"",Y46+M46,"")</f>
        <v>537.69747187613382</v>
      </c>
      <c r="AC46" s="735">
        <f>SUM(AC45:AC45)</f>
        <v>0</v>
      </c>
      <c r="AL46" s="1703"/>
      <c r="AM46" s="1713"/>
    </row>
    <row r="47" spans="1:39" ht="50.1" customHeight="1" x14ac:dyDescent="0.7">
      <c r="A47" s="584">
        <v>33</v>
      </c>
      <c r="B47" s="608" t="s">
        <v>195</v>
      </c>
      <c r="C47" s="609" t="s">
        <v>169</v>
      </c>
      <c r="D47" s="584"/>
      <c r="E47" s="584"/>
      <c r="F47" s="1539" t="s">
        <v>384</v>
      </c>
      <c r="G47" s="1540"/>
      <c r="H47" s="1540"/>
      <c r="I47" s="1540"/>
      <c r="J47" s="1540"/>
      <c r="K47" s="1541"/>
      <c r="L47" s="612" t="s">
        <v>171</v>
      </c>
      <c r="M47" s="613" t="s">
        <v>172</v>
      </c>
      <c r="N47" s="614" t="s">
        <v>129</v>
      </c>
      <c r="O47" s="615"/>
      <c r="R47" s="1555" t="str">
        <f>IF(F47&lt;&gt;"",F47,"")</f>
        <v>SALAS DE EVENTOS</v>
      </c>
      <c r="S47" s="1556"/>
      <c r="T47" s="1556"/>
      <c r="U47" s="1556"/>
      <c r="V47" s="1556"/>
      <c r="W47" s="1556"/>
      <c r="X47" s="1556"/>
      <c r="Y47" s="1556"/>
      <c r="Z47" s="1562"/>
      <c r="AA47" s="616" t="s">
        <v>173</v>
      </c>
      <c r="AB47" s="617" t="s">
        <v>130</v>
      </c>
      <c r="AL47" s="1703"/>
      <c r="AM47" s="1713"/>
    </row>
    <row r="48" spans="1:39" ht="159.9" customHeight="1" x14ac:dyDescent="0.7">
      <c r="A48" s="584">
        <v>34</v>
      </c>
      <c r="B48" s="608" t="s">
        <v>196</v>
      </c>
      <c r="C48" s="609" t="s">
        <v>175</v>
      </c>
      <c r="D48" s="584" t="s">
        <v>182</v>
      </c>
      <c r="E48" s="584" t="s">
        <v>331</v>
      </c>
      <c r="F48" s="691" t="s">
        <v>392</v>
      </c>
      <c r="G48" s="703" t="s">
        <v>1333</v>
      </c>
      <c r="H48" s="702">
        <v>1</v>
      </c>
      <c r="I48" s="702">
        <v>1</v>
      </c>
      <c r="J48" s="719">
        <v>6350</v>
      </c>
      <c r="K48" s="695">
        <f>IF(F48&lt;&gt;"",H48*I48*J48,"")</f>
        <v>6350</v>
      </c>
      <c r="L48" s="695">
        <f>IF(K48&lt;&gt;"",IF(D48="INTERNO",0,K48*$L$13),"")</f>
        <v>317.5</v>
      </c>
      <c r="M48" s="621">
        <f>IF(K48&lt;&gt;"",IF(E48="FAT.OGGI",SUM(K48:L48)*(1/(1-$M$14)-1),L48*(1/(1-$M$14)-1)),0)</f>
        <v>66.557094471997075</v>
      </c>
      <c r="N48" s="635">
        <f>SUM(K48:M48)</f>
        <v>6734.0570944719975</v>
      </c>
      <c r="O48" s="623"/>
      <c r="R48" s="624">
        <f>IF(H48&lt;&gt;"",H48,"")</f>
        <v>1</v>
      </c>
      <c r="S48" s="625">
        <f>IF(I48&lt;&gt;"",I48,"")</f>
        <v>1</v>
      </c>
      <c r="T48" s="626">
        <v>6350</v>
      </c>
      <c r="U48" s="626">
        <v>0</v>
      </c>
      <c r="V48" s="627">
        <f t="shared" ref="V48:V49" si="34">IF(R48&lt;&gt;"",K48-U48,"")</f>
        <v>6350</v>
      </c>
      <c r="W48" s="628">
        <f>IF(R48&lt;&gt;"",0%,"")</f>
        <v>0</v>
      </c>
      <c r="X48" s="629">
        <f>IF(R48&lt;&gt;"",W48*V48,"")</f>
        <v>0</v>
      </c>
      <c r="Y48" s="629">
        <f>IF(R48&lt;&gt;"",X48+U48,"")</f>
        <v>0</v>
      </c>
      <c r="Z48" s="630">
        <f t="shared" ref="Z48:Z50" si="35">IF(R48&lt;&gt;"",Y48+M48,"")</f>
        <v>66.557094471997075</v>
      </c>
      <c r="AA48" s="631">
        <f>IF(R48&lt;&gt;"", IFERROR(V48/K48, 0), 0)</f>
        <v>1</v>
      </c>
      <c r="AB48" s="632" t="e">
        <f>U48/$U$50</f>
        <v>#DIV/0!</v>
      </c>
      <c r="AL48" s="1703">
        <f t="shared" si="10"/>
        <v>0</v>
      </c>
      <c r="AM48" s="1713"/>
    </row>
    <row r="49" spans="1:40" ht="159.9" customHeight="1" x14ac:dyDescent="0.7">
      <c r="A49" s="646">
        <v>35</v>
      </c>
      <c r="B49" s="608" t="s">
        <v>197</v>
      </c>
      <c r="C49" s="647" t="s">
        <v>175</v>
      </c>
      <c r="D49" s="584" t="s">
        <v>182</v>
      </c>
      <c r="E49" s="584" t="s">
        <v>331</v>
      </c>
      <c r="F49" s="618" t="s">
        <v>606</v>
      </c>
      <c r="G49" s="736" t="s">
        <v>1334</v>
      </c>
      <c r="H49" s="737">
        <v>115</v>
      </c>
      <c r="I49" s="737">
        <v>1</v>
      </c>
      <c r="J49" s="738">
        <v>15</v>
      </c>
      <c r="K49" s="621">
        <f>IF(F49&lt;&gt;"",H49*I49*J49,"")</f>
        <v>1725</v>
      </c>
      <c r="L49" s="621">
        <f>IF(K49&lt;&gt;"",IF(D49="INTERNO",0,K49*$L$14),"")</f>
        <v>138</v>
      </c>
      <c r="M49" s="621">
        <f>IF(K49&lt;&gt;"",IF(E49="FAT.OGGI",SUM(K49:L49)*(1/(1-$M$14)-1),L49*(1/(1-$M$14)-1)),0)</f>
        <v>28.928752872868021</v>
      </c>
      <c r="N49" s="621">
        <f>SUM(K49:M49)</f>
        <v>1891.928752872868</v>
      </c>
      <c r="O49" s="623"/>
      <c r="R49" s="739">
        <f>IF(H49&lt;&gt;"",H49,"")</f>
        <v>115</v>
      </c>
      <c r="S49" s="739">
        <f>IF(I49&lt;&gt;"",I49,"")</f>
        <v>1</v>
      </c>
      <c r="T49" s="650">
        <v>10</v>
      </c>
      <c r="U49" s="626">
        <v>0</v>
      </c>
      <c r="V49" s="651">
        <f t="shared" si="34"/>
        <v>1725</v>
      </c>
      <c r="W49" s="652">
        <f>IF(R49&lt;&gt;"",0%,"")</f>
        <v>0</v>
      </c>
      <c r="X49" s="653">
        <f>IF(R49&lt;&gt;"",W49*V49,"")</f>
        <v>0</v>
      </c>
      <c r="Y49" s="653">
        <f>IF(R49&lt;&gt;"",X49+U49,"")</f>
        <v>0</v>
      </c>
      <c r="Z49" s="629">
        <f t="shared" si="35"/>
        <v>28.928752872868021</v>
      </c>
      <c r="AA49" s="632">
        <f>IF(R49&lt;&gt;"", IFERROR(V49/K49, 0), 0)</f>
        <v>1</v>
      </c>
      <c r="AB49" s="679"/>
      <c r="AL49" s="1703">
        <f t="shared" si="10"/>
        <v>0</v>
      </c>
      <c r="AM49" s="1713"/>
    </row>
    <row r="50" spans="1:40" ht="50.1" customHeight="1" thickBot="1" x14ac:dyDescent="0.75">
      <c r="A50" s="633">
        <v>36</v>
      </c>
      <c r="B50" s="608"/>
      <c r="C50" s="634" t="s">
        <v>184</v>
      </c>
      <c r="D50" s="633"/>
      <c r="E50" s="633"/>
      <c r="F50" s="1559" t="s">
        <v>385</v>
      </c>
      <c r="G50" s="1560"/>
      <c r="H50" s="1560"/>
      <c r="I50" s="1560"/>
      <c r="J50" s="1560"/>
      <c r="K50" s="740">
        <f>SUM(K48:K49)</f>
        <v>8075</v>
      </c>
      <c r="L50" s="740">
        <f>SUM(L48:L49)</f>
        <v>455.5</v>
      </c>
      <c r="M50" s="740">
        <f>SUM(M48:M49)</f>
        <v>95.485847344865093</v>
      </c>
      <c r="N50" s="740">
        <f>SUM(N48:N49)</f>
        <v>8625.9858473448658</v>
      </c>
      <c r="O50" s="723"/>
      <c r="R50" s="1549" t="s">
        <v>1145</v>
      </c>
      <c r="S50" s="1550"/>
      <c r="T50" s="1550"/>
      <c r="U50" s="740">
        <f>SUM(U48:U49)</f>
        <v>0</v>
      </c>
      <c r="V50" s="731">
        <f>SUM(V48:V49)</f>
        <v>8075</v>
      </c>
      <c r="W50" s="732"/>
      <c r="X50" s="732"/>
      <c r="Y50" s="733">
        <f>SUM(Y48:Y49)</f>
        <v>0</v>
      </c>
      <c r="Z50" s="734">
        <f t="shared" si="35"/>
        <v>95.485847344865093</v>
      </c>
      <c r="AL50" s="1703"/>
      <c r="AM50" s="1713"/>
    </row>
    <row r="51" spans="1:40" ht="50.1" customHeight="1" thickBot="1" x14ac:dyDescent="0.75">
      <c r="A51" s="584">
        <v>37</v>
      </c>
      <c r="B51" s="608" t="s">
        <v>1146</v>
      </c>
      <c r="C51" s="609" t="s">
        <v>169</v>
      </c>
      <c r="D51" s="584"/>
      <c r="E51" s="584"/>
      <c r="F51" s="1547" t="s">
        <v>189</v>
      </c>
      <c r="G51" s="1548"/>
      <c r="H51" s="1548"/>
      <c r="I51" s="1548"/>
      <c r="J51" s="1548"/>
      <c r="K51" s="1548"/>
      <c r="L51" s="613" t="s">
        <v>171</v>
      </c>
      <c r="M51" s="613" t="s">
        <v>172</v>
      </c>
      <c r="N51" s="741" t="s">
        <v>129</v>
      </c>
      <c r="O51" s="615"/>
      <c r="R51" s="1397" t="str">
        <f>IF(F51&lt;&gt;"",F51,"")</f>
        <v xml:space="preserve">A&amp;B </v>
      </c>
      <c r="S51" s="1398"/>
      <c r="T51" s="1398"/>
      <c r="U51" s="1398"/>
      <c r="V51" s="1398"/>
      <c r="W51" s="1398"/>
      <c r="X51" s="1398"/>
      <c r="Y51" s="1398"/>
      <c r="Z51" s="1561"/>
      <c r="AA51" s="616" t="s">
        <v>173</v>
      </c>
      <c r="AB51" s="617" t="s">
        <v>130</v>
      </c>
      <c r="AL51" s="1703"/>
      <c r="AM51" s="1713"/>
    </row>
    <row r="52" spans="1:40" ht="159.9" customHeight="1" x14ac:dyDescent="0.7">
      <c r="A52" s="584">
        <v>38</v>
      </c>
      <c r="B52" s="608" t="s">
        <v>1147</v>
      </c>
      <c r="C52" s="609" t="s">
        <v>175</v>
      </c>
      <c r="D52" s="584" t="s">
        <v>182</v>
      </c>
      <c r="E52" s="584" t="s">
        <v>331</v>
      </c>
      <c r="F52" s="742" t="s">
        <v>1148</v>
      </c>
      <c r="G52" s="743" t="s">
        <v>399</v>
      </c>
      <c r="H52" s="744">
        <v>114</v>
      </c>
      <c r="I52" s="744">
        <v>2</v>
      </c>
      <c r="J52" s="745">
        <v>192</v>
      </c>
      <c r="K52" s="746">
        <f t="shared" ref="K52:K55" si="36">IF(F52&lt;&gt;"",H52*I52*J52,"")</f>
        <v>43776</v>
      </c>
      <c r="L52" s="747">
        <f>IF(K52&lt;&gt;"",IF(D52="INTERNO",0,K52*$L$13),"")</f>
        <v>2188.8000000000002</v>
      </c>
      <c r="M52" s="621">
        <f>IF(K52&lt;&gt;"",IF(E52="FAT.OGGI",SUM(K52:L52)*(1/(1-$M$14)-1),L52*(1/(1-$M$14)-1)),0)</f>
        <v>458.83517600096758</v>
      </c>
      <c r="N52" s="748">
        <f t="shared" ref="N52:N55" si="37">SUM(K52:M52)</f>
        <v>46423.635176000971</v>
      </c>
      <c r="O52" s="623"/>
      <c r="R52" s="636">
        <f t="shared" ref="R52:S55" si="38">IF(H52&lt;&gt;"",H52,"")</f>
        <v>114</v>
      </c>
      <c r="S52" s="637">
        <f t="shared" si="38"/>
        <v>2</v>
      </c>
      <c r="T52" s="626">
        <v>181</v>
      </c>
      <c r="U52" s="626">
        <v>0</v>
      </c>
      <c r="V52" s="720">
        <f>IF(R52&lt;&gt;"",K52-U52,"")</f>
        <v>43776</v>
      </c>
      <c r="W52" s="721">
        <f t="shared" ref="W52:W55" si="39">IF(R52&lt;&gt;"",0%,"")</f>
        <v>0</v>
      </c>
      <c r="X52" s="701">
        <f t="shared" ref="X52:X55" si="40">IF(R52&lt;&gt;"",W52*V52,"")</f>
        <v>0</v>
      </c>
      <c r="Y52" s="701">
        <f t="shared" ref="Y52:Y55" si="41">IF(R52&lt;&gt;"",X52+U52,"")</f>
        <v>0</v>
      </c>
      <c r="Z52" s="639">
        <f t="shared" ref="Z52:Z57" si="42">IF(R52&lt;&gt;"",Y52+M52,"")</f>
        <v>458.83517600096758</v>
      </c>
      <c r="AA52" s="631">
        <f>IFERROR(IF(R52&lt;&gt;"",V52/K52,""),0)</f>
        <v>1</v>
      </c>
      <c r="AB52" s="632" t="e">
        <f>U52/$U$56</f>
        <v>#DIV/0!</v>
      </c>
      <c r="AL52" s="1703">
        <f t="shared" si="10"/>
        <v>0</v>
      </c>
      <c r="AM52" s="1713"/>
    </row>
    <row r="53" spans="1:40" ht="159.9" customHeight="1" x14ac:dyDescent="0.7">
      <c r="A53" s="584">
        <v>39</v>
      </c>
      <c r="B53" s="608" t="s">
        <v>1149</v>
      </c>
      <c r="C53" s="609" t="s">
        <v>175</v>
      </c>
      <c r="D53" s="584" t="s">
        <v>182</v>
      </c>
      <c r="E53" s="584" t="s">
        <v>331</v>
      </c>
      <c r="F53" s="718" t="s">
        <v>1150</v>
      </c>
      <c r="G53" s="618" t="s">
        <v>399</v>
      </c>
      <c r="H53" s="737">
        <v>114</v>
      </c>
      <c r="I53" s="737">
        <v>2</v>
      </c>
      <c r="J53" s="738">
        <v>192</v>
      </c>
      <c r="K53" s="620">
        <f t="shared" si="36"/>
        <v>43776</v>
      </c>
      <c r="L53" s="621">
        <f>IF(K53&lt;&gt;"",IF(D53="INTERNO",0,K53*$L$13),"")</f>
        <v>2188.8000000000002</v>
      </c>
      <c r="M53" s="621">
        <f>IF(K53&lt;&gt;"",IF(E53="FAT.OGGI",SUM(K53:L53)*(1/(1-$M$14)-1),L53*(1/(1-$M$14)-1)),0)</f>
        <v>458.83517600096758</v>
      </c>
      <c r="N53" s="622">
        <f t="shared" si="37"/>
        <v>46423.635176000971</v>
      </c>
      <c r="O53" s="623"/>
      <c r="R53" s="648">
        <f t="shared" si="38"/>
        <v>114</v>
      </c>
      <c r="S53" s="696">
        <f t="shared" si="38"/>
        <v>2</v>
      </c>
      <c r="T53" s="638">
        <v>181</v>
      </c>
      <c r="U53" s="626">
        <v>0</v>
      </c>
      <c r="V53" s="698">
        <f>IF(R53&lt;&gt;"",K53-U53,"")</f>
        <v>43776</v>
      </c>
      <c r="W53" s="699">
        <f t="shared" si="39"/>
        <v>0</v>
      </c>
      <c r="X53" s="700">
        <f t="shared" si="40"/>
        <v>0</v>
      </c>
      <c r="Y53" s="700">
        <f t="shared" si="41"/>
        <v>0</v>
      </c>
      <c r="Z53" s="639">
        <f t="shared" si="42"/>
        <v>458.83517600096758</v>
      </c>
      <c r="AA53" s="640">
        <f>IF(R53&lt;&gt;"", IFERROR(V53/K53, 0), 0)</f>
        <v>1</v>
      </c>
      <c r="AB53" s="632" t="e">
        <f>U53/$U$56</f>
        <v>#DIV/0!</v>
      </c>
      <c r="AL53" s="1703">
        <f t="shared" si="10"/>
        <v>0</v>
      </c>
      <c r="AM53" s="1713"/>
    </row>
    <row r="54" spans="1:40" ht="159.9" customHeight="1" x14ac:dyDescent="0.7">
      <c r="A54" s="646">
        <v>40</v>
      </c>
      <c r="B54" s="608" t="s">
        <v>1151</v>
      </c>
      <c r="C54" s="647" t="s">
        <v>175</v>
      </c>
      <c r="D54" s="584" t="s">
        <v>182</v>
      </c>
      <c r="E54" s="584" t="s">
        <v>331</v>
      </c>
      <c r="F54" s="718" t="s">
        <v>405</v>
      </c>
      <c r="G54" s="618" t="s">
        <v>1152</v>
      </c>
      <c r="H54" s="749">
        <v>114</v>
      </c>
      <c r="I54" s="749">
        <v>2</v>
      </c>
      <c r="J54" s="738">
        <v>55</v>
      </c>
      <c r="K54" s="620">
        <f>IF(F54&lt;&gt;"",H54*I54*J54,"")</f>
        <v>12540</v>
      </c>
      <c r="L54" s="621">
        <f>IF(K54&lt;&gt;"",IF(D54="INTERNO",0,K54*$L$14),"")</f>
        <v>1003.2</v>
      </c>
      <c r="M54" s="621">
        <f>IF(K54&lt;&gt;"",IF(E54="FAT.OGGI",SUM(K54:L54)*(1/(1-$M$14)-1),L54*(1/(1-$M$14)-1)),0)</f>
        <v>210.29945566711012</v>
      </c>
      <c r="N54" s="622">
        <f>SUM(K54:M54)</f>
        <v>13753.499455667112</v>
      </c>
      <c r="O54" s="623"/>
      <c r="R54" s="648">
        <f t="shared" si="38"/>
        <v>114</v>
      </c>
      <c r="S54" s="696">
        <f t="shared" si="38"/>
        <v>2</v>
      </c>
      <c r="T54" s="638">
        <v>55</v>
      </c>
      <c r="U54" s="626">
        <v>0</v>
      </c>
      <c r="V54" s="698">
        <f>IF(R54&lt;&gt;"",K54-U54,"")</f>
        <v>12540</v>
      </c>
      <c r="W54" s="699">
        <f t="shared" si="39"/>
        <v>0</v>
      </c>
      <c r="X54" s="700">
        <f t="shared" si="40"/>
        <v>0</v>
      </c>
      <c r="Y54" s="700">
        <f t="shared" si="41"/>
        <v>0</v>
      </c>
      <c r="Z54" s="639">
        <f t="shared" si="42"/>
        <v>210.29945566711012</v>
      </c>
      <c r="AA54" s="640">
        <f>IF(R54&lt;&gt;"", IFERROR(V54/K54, 0), 0)</f>
        <v>1</v>
      </c>
      <c r="AB54" s="632" t="e">
        <f>U54/$U$56</f>
        <v>#DIV/0!</v>
      </c>
      <c r="AL54" s="1703">
        <f t="shared" si="10"/>
        <v>0</v>
      </c>
      <c r="AM54" s="1713"/>
    </row>
    <row r="55" spans="1:40" ht="159.9" customHeight="1" x14ac:dyDescent="0.7">
      <c r="A55" s="633">
        <v>41</v>
      </c>
      <c r="B55" s="608" t="s">
        <v>1153</v>
      </c>
      <c r="C55" s="634" t="s">
        <v>175</v>
      </c>
      <c r="D55" s="633" t="s">
        <v>182</v>
      </c>
      <c r="E55" s="633" t="s">
        <v>331</v>
      </c>
      <c r="F55" s="718" t="s">
        <v>1154</v>
      </c>
      <c r="G55" s="618" t="s">
        <v>399</v>
      </c>
      <c r="H55" s="737">
        <v>10</v>
      </c>
      <c r="I55" s="737">
        <v>1</v>
      </c>
      <c r="J55" s="738">
        <v>192</v>
      </c>
      <c r="K55" s="620">
        <f t="shared" si="36"/>
        <v>1920</v>
      </c>
      <c r="L55" s="621">
        <f>IF(K55&lt;&gt;"",IF(D55="INTERNO",0,K55*$L$13),"")</f>
        <v>96</v>
      </c>
      <c r="M55" s="621">
        <f>IF(K55&lt;&gt;"",IF(E55="FAT.OGGI",SUM(K55:L55)*(1/(1-$M$14)-1),L55*(1/(1-$M$14)-1)),0)</f>
        <v>20.12434982460384</v>
      </c>
      <c r="N55" s="622">
        <f t="shared" si="37"/>
        <v>2036.1243498246038</v>
      </c>
      <c r="O55" s="623"/>
      <c r="R55" s="648">
        <f t="shared" si="38"/>
        <v>10</v>
      </c>
      <c r="S55" s="696">
        <f t="shared" si="38"/>
        <v>1</v>
      </c>
      <c r="T55" s="638">
        <v>181</v>
      </c>
      <c r="U55" s="626">
        <v>0</v>
      </c>
      <c r="V55" s="698">
        <f>IF(R55&lt;&gt;"",K55-U55,"")</f>
        <v>1920</v>
      </c>
      <c r="W55" s="699">
        <f t="shared" si="39"/>
        <v>0</v>
      </c>
      <c r="X55" s="700">
        <f t="shared" si="40"/>
        <v>0</v>
      </c>
      <c r="Y55" s="700">
        <f t="shared" si="41"/>
        <v>0</v>
      </c>
      <c r="Z55" s="639">
        <f t="shared" si="42"/>
        <v>20.12434982460384</v>
      </c>
      <c r="AA55" s="640">
        <f>IF(R55&lt;&gt;"", IFERROR(V55/K55, 0), 0)</f>
        <v>1</v>
      </c>
      <c r="AB55" s="632" t="e">
        <f>U55/$U$56</f>
        <v>#DIV/0!</v>
      </c>
      <c r="AL55" s="1703">
        <f t="shared" si="10"/>
        <v>0</v>
      </c>
      <c r="AM55" s="1713"/>
    </row>
    <row r="56" spans="1:40" ht="50.1" customHeight="1" thickBot="1" x14ac:dyDescent="0.75">
      <c r="A56" s="584">
        <v>42</v>
      </c>
      <c r="B56" s="608"/>
      <c r="C56" s="609" t="s">
        <v>184</v>
      </c>
      <c r="D56" s="584"/>
      <c r="E56" s="584"/>
      <c r="F56" s="1553" t="s">
        <v>407</v>
      </c>
      <c r="G56" s="1554"/>
      <c r="H56" s="1554"/>
      <c r="I56" s="1554"/>
      <c r="J56" s="1554"/>
      <c r="K56" s="722">
        <f>SUM(K52:K55)</f>
        <v>102012</v>
      </c>
      <c r="L56" s="722">
        <f>SUM(L52:L55)</f>
        <v>5476.8</v>
      </c>
      <c r="M56" s="722">
        <f>SUM(M52:M55)</f>
        <v>1148.0941574936489</v>
      </c>
      <c r="N56" s="729">
        <f>SUM(N52:N55)</f>
        <v>108636.89415749366</v>
      </c>
      <c r="O56" s="723"/>
      <c r="R56" s="1553" t="s">
        <v>1155</v>
      </c>
      <c r="S56" s="1554"/>
      <c r="T56" s="1554"/>
      <c r="U56" s="722">
        <f>SUM(U52:U55)</f>
        <v>0</v>
      </c>
      <c r="V56" s="724">
        <f>SUM(V52:V55)</f>
        <v>102012</v>
      </c>
      <c r="W56" s="725"/>
      <c r="X56" s="725"/>
      <c r="Y56" s="726">
        <f>SUM(Y52:Y55)</f>
        <v>0</v>
      </c>
      <c r="Z56" s="727">
        <f t="shared" si="42"/>
        <v>1148.0941574936489</v>
      </c>
      <c r="AL56" s="1703"/>
      <c r="AM56" s="1713"/>
    </row>
    <row r="57" spans="1:40" ht="50.1" customHeight="1" thickBot="1" x14ac:dyDescent="0.75">
      <c r="A57" s="584">
        <v>43</v>
      </c>
      <c r="B57" s="608"/>
      <c r="C57" s="609" t="s">
        <v>183</v>
      </c>
      <c r="D57" s="584"/>
      <c r="E57" s="584"/>
      <c r="F57" s="1557" t="s">
        <v>408</v>
      </c>
      <c r="G57" s="1558"/>
      <c r="H57" s="1558"/>
      <c r="I57" s="1558"/>
      <c r="J57" s="1558"/>
      <c r="K57" s="711">
        <f>SUM(K45:K45)+SUM(K48:K49)+SUM(K52:K55)</f>
        <v>161387</v>
      </c>
      <c r="L57" s="711">
        <f>SUM(L45:L45)+SUM(L48:L49)+SUM(L52:L55)</f>
        <v>8497.2999999999993</v>
      </c>
      <c r="M57" s="711">
        <f>SUM(M45:M45)+SUM(M48:M49)+SUM(M52:M55)</f>
        <v>1781.2774767146479</v>
      </c>
      <c r="N57" s="711">
        <f>SUM(N45:N45)+SUM(N48:N49)+SUM(N52:N55)</f>
        <v>171665.57747671468</v>
      </c>
      <c r="O57" s="711"/>
      <c r="R57" s="1532" t="s">
        <v>1156</v>
      </c>
      <c r="S57" s="1533"/>
      <c r="T57" s="1533"/>
      <c r="U57" s="711">
        <f>SUM(U45:U45)+SUM(U48:U49)+SUM(U52:U55)</f>
        <v>0</v>
      </c>
      <c r="V57" s="712">
        <f>SUM(V45:V45)+SUM(V48:V49)+SUM(V52:V55)</f>
        <v>161387</v>
      </c>
      <c r="W57" s="713"/>
      <c r="X57" s="713"/>
      <c r="Y57" s="714">
        <f>SUM(Y45:Y45)+SUM(Y48:Y49)+SUM(Y52:Y55)</f>
        <v>0</v>
      </c>
      <c r="Z57" s="750">
        <f t="shared" si="42"/>
        <v>1781.2774767146479</v>
      </c>
      <c r="AL57" s="1703"/>
      <c r="AM57" s="1713"/>
    </row>
    <row r="58" spans="1:40" ht="50.1" customHeight="1" thickBot="1" x14ac:dyDescent="0.75">
      <c r="A58" s="584">
        <v>44</v>
      </c>
      <c r="B58" s="608">
        <v>4</v>
      </c>
      <c r="C58" s="609" t="s">
        <v>167</v>
      </c>
      <c r="D58" s="584"/>
      <c r="E58" s="584"/>
      <c r="F58" s="1534" t="s">
        <v>188</v>
      </c>
      <c r="G58" s="1535"/>
      <c r="H58" s="1535"/>
      <c r="I58" s="1535"/>
      <c r="J58" s="1535"/>
      <c r="K58" s="1535"/>
      <c r="L58" s="1535"/>
      <c r="M58" s="1535"/>
      <c r="N58" s="1536"/>
      <c r="O58" s="611"/>
      <c r="R58" s="1543" t="str">
        <f>IF(F58&lt;&gt;"",F58,"")</f>
        <v>ARTÍSTICO</v>
      </c>
      <c r="S58" s="1537"/>
      <c r="T58" s="1537"/>
      <c r="U58" s="1537"/>
      <c r="V58" s="1537"/>
      <c r="W58" s="1537"/>
      <c r="X58" s="1537"/>
      <c r="Y58" s="1537"/>
      <c r="Z58" s="1538"/>
      <c r="AL58" s="1703">
        <f t="shared" si="10"/>
        <v>0</v>
      </c>
      <c r="AM58" s="1713"/>
    </row>
    <row r="59" spans="1:40" ht="50.1" customHeight="1" x14ac:dyDescent="0.7">
      <c r="A59" s="584">
        <v>45</v>
      </c>
      <c r="B59" s="608" t="s">
        <v>203</v>
      </c>
      <c r="C59" s="609" t="s">
        <v>169</v>
      </c>
      <c r="D59" s="584"/>
      <c r="E59" s="584"/>
      <c r="F59" s="1397" t="s">
        <v>418</v>
      </c>
      <c r="G59" s="1398"/>
      <c r="H59" s="1398"/>
      <c r="I59" s="1398"/>
      <c r="J59" s="1398"/>
      <c r="K59" s="1398"/>
      <c r="L59" s="716" t="s">
        <v>171</v>
      </c>
      <c r="M59" s="716" t="s">
        <v>172</v>
      </c>
      <c r="N59" s="717" t="s">
        <v>129</v>
      </c>
      <c r="O59" s="615"/>
      <c r="R59" s="1544" t="str">
        <f>IF(F59&lt;&gt;"",F59,"")</f>
        <v>MESTRE DE CERIMÔNIA</v>
      </c>
      <c r="S59" s="1528"/>
      <c r="T59" s="1528"/>
      <c r="U59" s="1528"/>
      <c r="V59" s="1528"/>
      <c r="W59" s="1528"/>
      <c r="X59" s="1528"/>
      <c r="Y59" s="1528"/>
      <c r="Z59" s="1542"/>
      <c r="AA59" s="616" t="s">
        <v>173</v>
      </c>
      <c r="AB59" s="617" t="s">
        <v>130</v>
      </c>
      <c r="AL59" s="1703">
        <f t="shared" si="10"/>
        <v>0</v>
      </c>
      <c r="AM59" s="1713"/>
    </row>
    <row r="60" spans="1:40" ht="159.9" customHeight="1" x14ac:dyDescent="0.7">
      <c r="A60" s="584">
        <v>46</v>
      </c>
      <c r="B60" s="608" t="s">
        <v>204</v>
      </c>
      <c r="C60" s="609" t="s">
        <v>175</v>
      </c>
      <c r="D60" s="584" t="s">
        <v>182</v>
      </c>
      <c r="E60" s="584" t="s">
        <v>179</v>
      </c>
      <c r="F60" s="718" t="s">
        <v>607</v>
      </c>
      <c r="G60" s="736" t="s">
        <v>1335</v>
      </c>
      <c r="H60" s="702">
        <v>1</v>
      </c>
      <c r="I60" s="702">
        <v>1</v>
      </c>
      <c r="J60" s="719">
        <v>20500</v>
      </c>
      <c r="K60" s="621">
        <f t="shared" ref="K60" si="43">IF(F60&lt;&gt;"",H60*I60*J60,"")</f>
        <v>20500</v>
      </c>
      <c r="L60" s="621">
        <f>IF(K60&lt;&gt;"",IF(D60="INTERNO",0,K60*$L$14),"")</f>
        <v>1640</v>
      </c>
      <c r="M60" s="621">
        <f>IF(K60&lt;&gt;"",IF(E60="FAT.OGGI",SUM(K60:L60)*(1/(1-$M$14)-1),L60*(1/(1-$M$14)-1)),0)</f>
        <v>4641.1781782992603</v>
      </c>
      <c r="N60" s="622">
        <f t="shared" ref="N60" si="44">SUM(K60:M60)</f>
        <v>26781.178178299262</v>
      </c>
      <c r="O60" s="623"/>
      <c r="R60" s="636">
        <f>IF(H60&lt;&gt;"",H60,"")</f>
        <v>1</v>
      </c>
      <c r="S60" s="637">
        <f>IF(I60&lt;&gt;"",I60,"")</f>
        <v>1</v>
      </c>
      <c r="T60" s="638">
        <v>20000</v>
      </c>
      <c r="U60" s="626">
        <v>39000</v>
      </c>
      <c r="V60" s="720">
        <f>IF(R60&lt;&gt;"",K60-U60,"")</f>
        <v>-18500</v>
      </c>
      <c r="W60" s="721">
        <f t="shared" ref="W60" si="45">IF(R60&lt;&gt;"",0%,"")</f>
        <v>0</v>
      </c>
      <c r="X60" s="701">
        <f t="shared" ref="X60" si="46">IF(R60&lt;&gt;"",W60*V60,"")</f>
        <v>0</v>
      </c>
      <c r="Y60" s="701">
        <f t="shared" ref="Y60" si="47">IF(R60&lt;&gt;"",X60+U60,"")</f>
        <v>39000</v>
      </c>
      <c r="Z60" s="639">
        <f>IF(R60&lt;&gt;"",Y60+M60,"")</f>
        <v>43641.178178299262</v>
      </c>
      <c r="AA60" s="631">
        <f>IFERROR(IF(R60&lt;&gt;"",V60/K60,""),0)</f>
        <v>-0.90243902439024393</v>
      </c>
      <c r="AB60" s="632">
        <f>U60/$U$61</f>
        <v>1</v>
      </c>
      <c r="AL60" s="1703">
        <f t="shared" si="10"/>
        <v>0</v>
      </c>
      <c r="AM60" s="1713">
        <v>39000</v>
      </c>
      <c r="AN60" s="1695" t="s">
        <v>1650</v>
      </c>
    </row>
    <row r="61" spans="1:40" ht="50.1" customHeight="1" thickBot="1" x14ac:dyDescent="0.75">
      <c r="A61" s="633">
        <v>47</v>
      </c>
      <c r="B61" s="608"/>
      <c r="C61" s="634" t="s">
        <v>184</v>
      </c>
      <c r="D61" s="633"/>
      <c r="E61" s="633"/>
      <c r="F61" s="1553" t="s">
        <v>419</v>
      </c>
      <c r="G61" s="1554"/>
      <c r="H61" s="1554"/>
      <c r="I61" s="1554"/>
      <c r="J61" s="1554"/>
      <c r="K61" s="722">
        <f>SUM(K60:K60)</f>
        <v>20500</v>
      </c>
      <c r="L61" s="722">
        <f>SUM(L60:L60)</f>
        <v>1640</v>
      </c>
      <c r="M61" s="722">
        <f>SUM(M60:M60)</f>
        <v>4641.1781782992603</v>
      </c>
      <c r="N61" s="722">
        <f>SUM(N60:N60)</f>
        <v>26781.178178299262</v>
      </c>
      <c r="O61" s="723"/>
      <c r="R61" s="1555" t="s">
        <v>1157</v>
      </c>
      <c r="S61" s="1556"/>
      <c r="T61" s="1556"/>
      <c r="U61" s="722">
        <f>SUM(U60:U60)</f>
        <v>39000</v>
      </c>
      <c r="V61" s="755">
        <f>SUM(V60:V60)</f>
        <v>-18500</v>
      </c>
      <c r="W61" s="756"/>
      <c r="X61" s="756"/>
      <c r="Y61" s="757">
        <f>SUM(Y60:Y60)</f>
        <v>39000</v>
      </c>
      <c r="Z61" s="758">
        <f>IF(R61&lt;&gt;"",Y61+M61,"")</f>
        <v>43641.178178299262</v>
      </c>
      <c r="AL61" s="1703"/>
      <c r="AM61" s="1713"/>
    </row>
    <row r="62" spans="1:40" ht="50.1" customHeight="1" thickBot="1" x14ac:dyDescent="0.75">
      <c r="A62" s="584">
        <v>48</v>
      </c>
      <c r="B62" s="608"/>
      <c r="C62" s="609" t="s">
        <v>183</v>
      </c>
      <c r="D62" s="584"/>
      <c r="E62" s="584"/>
      <c r="F62" s="1557" t="s">
        <v>190</v>
      </c>
      <c r="G62" s="1558"/>
      <c r="H62" s="1558"/>
      <c r="I62" s="1558"/>
      <c r="J62" s="1558"/>
      <c r="K62" s="711">
        <f>SUM(K60:K60)</f>
        <v>20500</v>
      </c>
      <c r="L62" s="711">
        <f>SUM(L60:L60)</f>
        <v>1640</v>
      </c>
      <c r="M62" s="711">
        <f>SUM(M60:M60)</f>
        <v>4641.1781782992603</v>
      </c>
      <c r="N62" s="711">
        <f>SUM(N60:N60)</f>
        <v>26781.178178299262</v>
      </c>
      <c r="O62" s="711"/>
      <c r="R62" s="1532" t="s">
        <v>1158</v>
      </c>
      <c r="S62" s="1533"/>
      <c r="T62" s="1533"/>
      <c r="U62" s="711">
        <f>SUM(U60:U60)</f>
        <v>39000</v>
      </c>
      <c r="V62" s="712">
        <f>SUM(V60:V60)</f>
        <v>-18500</v>
      </c>
      <c r="W62" s="713"/>
      <c r="X62" s="713"/>
      <c r="Y62" s="714">
        <f>SUM(Y60:Y60)</f>
        <v>39000</v>
      </c>
      <c r="Z62" s="759">
        <f>IF(R62&lt;&gt;"",Y62+M62,"")</f>
        <v>43641.178178299262</v>
      </c>
      <c r="AL62" s="1703"/>
      <c r="AM62" s="1713"/>
    </row>
    <row r="63" spans="1:40" ht="50.1" customHeight="1" thickBot="1" x14ac:dyDescent="0.75">
      <c r="A63" s="584">
        <v>49</v>
      </c>
      <c r="B63" s="608">
        <v>5</v>
      </c>
      <c r="C63" s="609" t="s">
        <v>167</v>
      </c>
      <c r="D63" s="584"/>
      <c r="E63" s="584"/>
      <c r="F63" s="1534" t="s">
        <v>441</v>
      </c>
      <c r="G63" s="1535"/>
      <c r="H63" s="1535"/>
      <c r="I63" s="1535"/>
      <c r="J63" s="1535"/>
      <c r="K63" s="1535"/>
      <c r="L63" s="1535"/>
      <c r="M63" s="1535"/>
      <c r="N63" s="1536"/>
      <c r="O63" s="611"/>
      <c r="R63" s="1543" t="str">
        <f>IF(F63&lt;&gt;"",F63,"")</f>
        <v>CONTEÚDO</v>
      </c>
      <c r="S63" s="1537"/>
      <c r="T63" s="1537"/>
      <c r="U63" s="1537"/>
      <c r="V63" s="1537"/>
      <c r="W63" s="1537"/>
      <c r="X63" s="1537"/>
      <c r="Y63" s="1537"/>
      <c r="Z63" s="1538"/>
      <c r="AL63" s="1703"/>
      <c r="AM63" s="1713"/>
    </row>
    <row r="64" spans="1:40" ht="50.1" customHeight="1" x14ac:dyDescent="0.7">
      <c r="A64" s="584">
        <v>50</v>
      </c>
      <c r="B64" s="608" t="s">
        <v>217</v>
      </c>
      <c r="C64" s="609" t="s">
        <v>169</v>
      </c>
      <c r="D64" s="584"/>
      <c r="E64" s="584"/>
      <c r="F64" s="1539" t="s">
        <v>441</v>
      </c>
      <c r="G64" s="1540"/>
      <c r="H64" s="1540"/>
      <c r="I64" s="1540"/>
      <c r="J64" s="1540"/>
      <c r="K64" s="1541"/>
      <c r="L64" s="612" t="s">
        <v>171</v>
      </c>
      <c r="M64" s="613" t="s">
        <v>172</v>
      </c>
      <c r="N64" s="614" t="s">
        <v>129</v>
      </c>
      <c r="O64" s="615"/>
      <c r="R64" s="1544" t="str">
        <f>IF(F64&lt;&gt;"",F64,"")</f>
        <v>CONTEÚDO</v>
      </c>
      <c r="S64" s="1528"/>
      <c r="T64" s="1528"/>
      <c r="U64" s="1528"/>
      <c r="V64" s="1528"/>
      <c r="W64" s="1528"/>
      <c r="X64" s="1528"/>
      <c r="Y64" s="1528"/>
      <c r="Z64" s="1542"/>
      <c r="AA64" s="616" t="s">
        <v>173</v>
      </c>
      <c r="AB64" s="617" t="s">
        <v>130</v>
      </c>
      <c r="AL64" s="1703"/>
      <c r="AM64" s="1713"/>
    </row>
    <row r="65" spans="1:40" ht="159.9" customHeight="1" x14ac:dyDescent="0.7">
      <c r="A65" s="584">
        <v>51</v>
      </c>
      <c r="B65" s="608" t="s">
        <v>218</v>
      </c>
      <c r="C65" s="609" t="s">
        <v>175</v>
      </c>
      <c r="D65" s="584" t="s">
        <v>182</v>
      </c>
      <c r="E65" s="760" t="s">
        <v>179</v>
      </c>
      <c r="F65" s="691" t="s">
        <v>1159</v>
      </c>
      <c r="G65" s="618" t="s">
        <v>1336</v>
      </c>
      <c r="H65" s="702">
        <v>1</v>
      </c>
      <c r="I65" s="702">
        <v>1</v>
      </c>
      <c r="J65" s="719">
        <v>17400</v>
      </c>
      <c r="K65" s="694">
        <f>IF(F65&lt;&gt;"",H65*I65*J65,"")</f>
        <v>17400</v>
      </c>
      <c r="L65" s="694">
        <f>IF(K65&lt;&gt;"",IF(D65="INTERNO",0,K65*$L$14),"")</f>
        <v>1392</v>
      </c>
      <c r="M65" s="694">
        <f>IF(K65&lt;&gt;"",IF(E65="FAT.OGGI",SUM(K65:L65)*(1/(1-$M$14)-1),L65*(1/(1-$M$14)-1)),0)</f>
        <v>3939.3414781662018</v>
      </c>
      <c r="N65" s="704">
        <f>SUM(K65:M65)</f>
        <v>22731.341478166203</v>
      </c>
      <c r="O65" s="705"/>
      <c r="R65" s="624">
        <f t="shared" ref="R65:S67" si="48">IF(H65&lt;&gt;"",H65,"")</f>
        <v>1</v>
      </c>
      <c r="S65" s="625">
        <f t="shared" si="48"/>
        <v>1</v>
      </c>
      <c r="T65" s="761">
        <v>13600</v>
      </c>
      <c r="U65" s="626">
        <v>0</v>
      </c>
      <c r="V65" s="627">
        <f>IF(R65&lt;&gt;"",K65-U65,"")</f>
        <v>17400</v>
      </c>
      <c r="W65" s="628">
        <f>IF(R65&lt;&gt;"",0%,"")</f>
        <v>0</v>
      </c>
      <c r="X65" s="629">
        <f>IF(R65&lt;&gt;"",W65*V65,"")</f>
        <v>0</v>
      </c>
      <c r="Y65" s="629">
        <f>IF(R65&lt;&gt;"",X65+U65,"")</f>
        <v>0</v>
      </c>
      <c r="Z65" s="630">
        <f>IF(R65&lt;&gt;"",Y65+M65,"")</f>
        <v>3939.3414781662018</v>
      </c>
      <c r="AA65" s="631">
        <f>IF(R65&lt;&gt;"", IFERROR(V65/K65, 0), 0)</f>
        <v>1</v>
      </c>
      <c r="AB65" s="632" t="e">
        <f>U65/$U$68</f>
        <v>#DIV/0!</v>
      </c>
      <c r="AL65" s="1703">
        <f t="shared" si="10"/>
        <v>0</v>
      </c>
      <c r="AM65" s="1713"/>
    </row>
    <row r="66" spans="1:40" ht="159.9" customHeight="1" x14ac:dyDescent="0.7">
      <c r="A66" s="584">
        <v>52</v>
      </c>
      <c r="B66" s="608" t="s">
        <v>219</v>
      </c>
      <c r="C66" s="609" t="s">
        <v>175</v>
      </c>
      <c r="D66" s="584" t="s">
        <v>182</v>
      </c>
      <c r="E66" s="760" t="s">
        <v>179</v>
      </c>
      <c r="F66" s="691" t="s">
        <v>1160</v>
      </c>
      <c r="G66" s="618" t="s">
        <v>1337</v>
      </c>
      <c r="H66" s="706">
        <v>1</v>
      </c>
      <c r="I66" s="706">
        <v>1</v>
      </c>
      <c r="J66" s="694">
        <v>12900</v>
      </c>
      <c r="K66" s="694">
        <f>IF(F66&lt;&gt;"",H66*I66*J66,"")</f>
        <v>12900</v>
      </c>
      <c r="L66" s="694">
        <f>IF(K66&lt;&gt;"",IF(D66="INTERNO",0,K66*$L$14),"")</f>
        <v>1032</v>
      </c>
      <c r="M66" s="694">
        <f>IF(K66&lt;&gt;"",IF(E66="FAT.OGGI",SUM(K66:L66)*(1/(1-$M$14)-1),L66*(1/(1-$M$14)-1)),0)</f>
        <v>2920.5462682956322</v>
      </c>
      <c r="N66" s="704">
        <f>SUM(K66:M66)</f>
        <v>16852.546268295631</v>
      </c>
      <c r="O66" s="705"/>
      <c r="R66" s="624">
        <f t="shared" si="48"/>
        <v>1</v>
      </c>
      <c r="S66" s="625">
        <f t="shared" si="48"/>
        <v>1</v>
      </c>
      <c r="T66" s="761">
        <v>10400</v>
      </c>
      <c r="U66" s="626">
        <v>0</v>
      </c>
      <c r="V66" s="627">
        <f>IF(R66&lt;&gt;"",K66-U66,"")</f>
        <v>12900</v>
      </c>
      <c r="W66" s="628">
        <f>IF(R66&lt;&gt;"",0%,"")</f>
        <v>0</v>
      </c>
      <c r="X66" s="629">
        <f>IF(R66&lt;&gt;"",W66*V66,"")</f>
        <v>0</v>
      </c>
      <c r="Y66" s="629">
        <f>IF(R66&lt;&gt;"",X66+U66,"")</f>
        <v>0</v>
      </c>
      <c r="Z66" s="630">
        <f>IF(R66&lt;&gt;"",Y66+M66,"")</f>
        <v>2920.5462682956322</v>
      </c>
      <c r="AA66" s="631">
        <f>IF(R66&lt;&gt;"", IFERROR(V66/K66, 0), 0)</f>
        <v>1</v>
      </c>
      <c r="AB66" s="632" t="e">
        <f>U66/$U$68</f>
        <v>#DIV/0!</v>
      </c>
      <c r="AL66" s="1703">
        <f t="shared" si="10"/>
        <v>0</v>
      </c>
      <c r="AM66" s="1713"/>
    </row>
    <row r="67" spans="1:40" ht="159.9" customHeight="1" x14ac:dyDescent="0.7">
      <c r="A67" s="584">
        <v>53</v>
      </c>
      <c r="B67" s="608" t="s">
        <v>805</v>
      </c>
      <c r="C67" s="609" t="s">
        <v>175</v>
      </c>
      <c r="D67" s="584" t="s">
        <v>182</v>
      </c>
      <c r="E67" s="760" t="s">
        <v>179</v>
      </c>
      <c r="F67" s="691" t="s">
        <v>448</v>
      </c>
      <c r="G67" s="618" t="s">
        <v>1338</v>
      </c>
      <c r="H67" s="706">
        <v>1</v>
      </c>
      <c r="I67" s="706">
        <v>1</v>
      </c>
      <c r="J67" s="694">
        <v>4000</v>
      </c>
      <c r="K67" s="694">
        <f>IF(F67&lt;&gt;"",H67*I67*J67,"")</f>
        <v>4000</v>
      </c>
      <c r="L67" s="694">
        <f>IF(K67&lt;&gt;"",IF(D67="INTERNO",0,K67*$L$14),"")</f>
        <v>320</v>
      </c>
      <c r="M67" s="694">
        <f>IF(K67&lt;&gt;"",IF(E67="FAT.OGGI",SUM(K67:L67)*(1/(1-$M$14)-1),L67*(1/(1-$M$14)-1)),0)</f>
        <v>905.59574210717278</v>
      </c>
      <c r="N67" s="704">
        <f>SUM(K67:M67)</f>
        <v>5225.5957421071726</v>
      </c>
      <c r="O67" s="705"/>
      <c r="R67" s="624">
        <f t="shared" si="48"/>
        <v>1</v>
      </c>
      <c r="S67" s="625">
        <f t="shared" si="48"/>
        <v>1</v>
      </c>
      <c r="T67" s="626">
        <v>2000</v>
      </c>
      <c r="U67" s="626">
        <v>0</v>
      </c>
      <c r="V67" s="627">
        <f>IF(R67&lt;&gt;"",K67-U67,"")</f>
        <v>4000</v>
      </c>
      <c r="W67" s="628">
        <f>IF(R67&lt;&gt;"",0%,"")</f>
        <v>0</v>
      </c>
      <c r="X67" s="629">
        <f>IF(R67&lt;&gt;"",W67*V67,"")</f>
        <v>0</v>
      </c>
      <c r="Y67" s="629">
        <f>IF(R67&lt;&gt;"",X67+U67,"")</f>
        <v>0</v>
      </c>
      <c r="Z67" s="630">
        <f>IF(R67&lt;&gt;"",Y67+M67,"")</f>
        <v>905.59574210717278</v>
      </c>
      <c r="AA67" s="631">
        <f>IF(R67&lt;&gt;"", IFERROR(V67/K67, 0), 0)</f>
        <v>1</v>
      </c>
      <c r="AB67" s="632" t="e">
        <f>U67/$U$68</f>
        <v>#DIV/0!</v>
      </c>
      <c r="AL67" s="1703">
        <f t="shared" si="10"/>
        <v>0</v>
      </c>
      <c r="AM67" s="1713"/>
    </row>
    <row r="68" spans="1:40" ht="50.1" customHeight="1" thickBot="1" x14ac:dyDescent="0.75">
      <c r="A68" s="584">
        <v>54</v>
      </c>
      <c r="B68" s="608"/>
      <c r="C68" s="609" t="s">
        <v>184</v>
      </c>
      <c r="D68" s="584"/>
      <c r="E68" s="584"/>
      <c r="F68" s="1526" t="s">
        <v>450</v>
      </c>
      <c r="G68" s="1527"/>
      <c r="H68" s="1527"/>
      <c r="I68" s="1527"/>
      <c r="J68" s="1527"/>
      <c r="K68" s="740">
        <f>SUM(K65:K67)</f>
        <v>34300</v>
      </c>
      <c r="L68" s="740">
        <f>SUM(L65:L67)</f>
        <v>2744</v>
      </c>
      <c r="M68" s="740">
        <f>SUM(M65:M67)</f>
        <v>7765.483488569007</v>
      </c>
      <c r="N68" s="740">
        <f>SUM(N65:N67)</f>
        <v>44809.483488569007</v>
      </c>
      <c r="O68" s="723"/>
      <c r="R68" s="1544" t="s">
        <v>450</v>
      </c>
      <c r="S68" s="1528"/>
      <c r="T68" s="1528"/>
      <c r="U68" s="740">
        <f>SUM(U65:U67)</f>
        <v>0</v>
      </c>
      <c r="V68" s="762">
        <f>SUM(V65:V67)</f>
        <v>34300</v>
      </c>
      <c r="W68" s="763"/>
      <c r="X68" s="763"/>
      <c r="Y68" s="764">
        <f>SUM(Y65:Y67)</f>
        <v>0</v>
      </c>
      <c r="Z68" s="750">
        <f>IF(R68&lt;&gt;"",Y68+M68,"")</f>
        <v>7765.483488569007</v>
      </c>
      <c r="AL68" s="1703"/>
      <c r="AM68" s="1713"/>
    </row>
    <row r="69" spans="1:40" ht="50.1" customHeight="1" thickBot="1" x14ac:dyDescent="0.75">
      <c r="A69" s="584">
        <v>55</v>
      </c>
      <c r="B69" s="608"/>
      <c r="C69" s="609" t="s">
        <v>183</v>
      </c>
      <c r="D69" s="584"/>
      <c r="E69" s="584"/>
      <c r="F69" s="1529" t="s">
        <v>450</v>
      </c>
      <c r="G69" s="1530"/>
      <c r="H69" s="1530"/>
      <c r="I69" s="1530"/>
      <c r="J69" s="1530"/>
      <c r="K69" s="711">
        <f>SUM(K65:K67)</f>
        <v>34300</v>
      </c>
      <c r="L69" s="711">
        <f>SUM(L65:L67)</f>
        <v>2744</v>
      </c>
      <c r="M69" s="711">
        <f>SUM(M65:M67)</f>
        <v>7765.483488569007</v>
      </c>
      <c r="N69" s="711">
        <f>SUM(N65:N67)</f>
        <v>44809.483488569007</v>
      </c>
      <c r="O69" s="711"/>
      <c r="R69" s="1532" t="s">
        <v>450</v>
      </c>
      <c r="S69" s="1533"/>
      <c r="T69" s="1533"/>
      <c r="U69" s="711">
        <f>SUM(U65:U67)</f>
        <v>0</v>
      </c>
      <c r="V69" s="712">
        <f>SUM(V65:V67)</f>
        <v>34300</v>
      </c>
      <c r="W69" s="713"/>
      <c r="X69" s="713"/>
      <c r="Y69" s="714">
        <f>SUM(Y65:Y67)</f>
        <v>0</v>
      </c>
      <c r="Z69" s="715">
        <f>IF(R69&lt;&gt;"",Y69+M69,"")</f>
        <v>7765.483488569007</v>
      </c>
      <c r="AL69" s="1703"/>
      <c r="AM69" s="1713"/>
    </row>
    <row r="70" spans="1:40" ht="50.1" customHeight="1" thickBot="1" x14ac:dyDescent="0.75">
      <c r="A70" s="584">
        <v>56</v>
      </c>
      <c r="B70" s="608">
        <v>6</v>
      </c>
      <c r="C70" s="609" t="s">
        <v>167</v>
      </c>
      <c r="D70" s="584"/>
      <c r="E70" s="584"/>
      <c r="F70" s="1534" t="s">
        <v>1161</v>
      </c>
      <c r="G70" s="1535"/>
      <c r="H70" s="1535"/>
      <c r="I70" s="1535"/>
      <c r="J70" s="1535"/>
      <c r="K70" s="1535"/>
      <c r="L70" s="1535"/>
      <c r="M70" s="1535"/>
      <c r="N70" s="1536"/>
      <c r="O70" s="611"/>
      <c r="R70" s="1543" t="str">
        <f>IF(F70&lt;&gt;"",F70,"")</f>
        <v>ATIVIDADES, BRINDES E MATERIAIS - CONVENÇÃO</v>
      </c>
      <c r="S70" s="1537"/>
      <c r="T70" s="1537"/>
      <c r="U70" s="1537"/>
      <c r="V70" s="1537"/>
      <c r="W70" s="1537"/>
      <c r="X70" s="1537"/>
      <c r="Y70" s="1537"/>
      <c r="Z70" s="1538"/>
      <c r="AL70" s="1703"/>
      <c r="AM70" s="1713"/>
    </row>
    <row r="71" spans="1:40" ht="50.1" customHeight="1" thickBot="1" x14ac:dyDescent="0.75">
      <c r="A71" s="584">
        <v>57</v>
      </c>
      <c r="B71" s="608" t="s">
        <v>227</v>
      </c>
      <c r="C71" s="609" t="s">
        <v>169</v>
      </c>
      <c r="D71" s="584"/>
      <c r="E71" s="584"/>
      <c r="F71" s="1547" t="s">
        <v>476</v>
      </c>
      <c r="G71" s="1548"/>
      <c r="H71" s="1548"/>
      <c r="I71" s="1548"/>
      <c r="J71" s="1548"/>
      <c r="K71" s="1548"/>
      <c r="L71" s="613" t="s">
        <v>171</v>
      </c>
      <c r="M71" s="613" t="s">
        <v>172</v>
      </c>
      <c r="N71" s="741" t="s">
        <v>129</v>
      </c>
      <c r="O71" s="615"/>
      <c r="R71" s="1544" t="str">
        <f>IF(F71&lt;&gt;"",F71,"")</f>
        <v>ATIVAÇÕES</v>
      </c>
      <c r="S71" s="1528"/>
      <c r="T71" s="1528"/>
      <c r="U71" s="1528"/>
      <c r="V71" s="1528"/>
      <c r="W71" s="1528"/>
      <c r="X71" s="1528"/>
      <c r="Y71" s="1528"/>
      <c r="Z71" s="1542"/>
      <c r="AA71" s="616" t="s">
        <v>173</v>
      </c>
      <c r="AB71" s="617" t="s">
        <v>130</v>
      </c>
      <c r="AL71" s="1703"/>
      <c r="AM71" s="1713"/>
    </row>
    <row r="72" spans="1:40" ht="159.9" customHeight="1" x14ac:dyDescent="0.7">
      <c r="A72" s="584">
        <v>58</v>
      </c>
      <c r="B72" s="608" t="s">
        <v>228</v>
      </c>
      <c r="C72" s="609" t="s">
        <v>175</v>
      </c>
      <c r="D72" s="584" t="s">
        <v>182</v>
      </c>
      <c r="E72" s="584" t="s">
        <v>179</v>
      </c>
      <c r="F72" s="742" t="s">
        <v>484</v>
      </c>
      <c r="G72" s="743" t="s">
        <v>1339</v>
      </c>
      <c r="H72" s="765">
        <v>1</v>
      </c>
      <c r="I72" s="765">
        <v>1</v>
      </c>
      <c r="J72" s="766">
        <v>3800</v>
      </c>
      <c r="K72" s="747">
        <f t="shared" ref="K72:K80" si="49">IF(F72&lt;&gt;"",H72*I72*J72,"")</f>
        <v>3800</v>
      </c>
      <c r="L72" s="747">
        <f t="shared" ref="L72:L80" si="50">IF(K72&lt;&gt;"",IF(D72="INTERNO",0,K72*$L$14),"")</f>
        <v>304</v>
      </c>
      <c r="M72" s="747">
        <f t="shared" ref="M72:M80" si="51">IF(K72&lt;&gt;"",IF(E72="FAT.OGGI",SUM(K72:L72)*(1/(1-$M$14)-1),L72*(1/(1-$M$14)-1)),0)</f>
        <v>860.31595500181413</v>
      </c>
      <c r="N72" s="748">
        <f t="shared" ref="N72:N80" si="52">SUM(K72:M72)</f>
        <v>4964.3159550018145</v>
      </c>
      <c r="O72" s="623"/>
      <c r="R72" s="624">
        <f t="shared" ref="R72:R80" si="53">IF(H72&lt;&gt;"",H72,"")</f>
        <v>1</v>
      </c>
      <c r="S72" s="625">
        <f t="shared" ref="S72:S80" si="54">IF(I72&lt;&gt;"",I72,"")</f>
        <v>1</v>
      </c>
      <c r="T72" s="626">
        <v>2400</v>
      </c>
      <c r="U72" s="626">
        <v>0</v>
      </c>
      <c r="V72" s="627">
        <f>IF(R72&lt;&gt;"",K72-U72,"")</f>
        <v>3800</v>
      </c>
      <c r="W72" s="628">
        <f t="shared" ref="W72:W80" si="55">IF(R72&lt;&gt;"",0%,"")</f>
        <v>0</v>
      </c>
      <c r="X72" s="629">
        <f t="shared" ref="X72:X80" si="56">IF(R72&lt;&gt;"",W72*V72,"")</f>
        <v>0</v>
      </c>
      <c r="Y72" s="629">
        <f t="shared" ref="Y72:Y80" si="57">IF(R72&lt;&gt;"",X72+U72,"")</f>
        <v>0</v>
      </c>
      <c r="Z72" s="630">
        <f>IF(R72&lt;&gt;"",Y72+M72,"")</f>
        <v>860.31595500181413</v>
      </c>
      <c r="AA72" s="631">
        <f>IF(R72&lt;&gt;"", IFERROR(V72/K72, 0), 0)</f>
        <v>1</v>
      </c>
      <c r="AB72" s="632">
        <f t="shared" ref="AB72:AB80" si="58">U72/$U$81</f>
        <v>0</v>
      </c>
      <c r="AL72" s="1703">
        <f t="shared" si="10"/>
        <v>0</v>
      </c>
      <c r="AM72" s="1713"/>
    </row>
    <row r="73" spans="1:40" ht="159.9" customHeight="1" x14ac:dyDescent="0.7">
      <c r="A73" s="584">
        <v>59</v>
      </c>
      <c r="B73" s="608" t="s">
        <v>229</v>
      </c>
      <c r="C73" s="609" t="s">
        <v>175</v>
      </c>
      <c r="D73" s="584" t="s">
        <v>182</v>
      </c>
      <c r="E73" s="584" t="s">
        <v>179</v>
      </c>
      <c r="F73" s="718" t="s">
        <v>485</v>
      </c>
      <c r="G73" s="618" t="s">
        <v>1340</v>
      </c>
      <c r="H73" s="706">
        <v>1</v>
      </c>
      <c r="I73" s="706">
        <v>1</v>
      </c>
      <c r="J73" s="767">
        <v>2000</v>
      </c>
      <c r="K73" s="621">
        <f t="shared" si="49"/>
        <v>2000</v>
      </c>
      <c r="L73" s="621">
        <f t="shared" si="50"/>
        <v>160</v>
      </c>
      <c r="M73" s="621">
        <f t="shared" si="51"/>
        <v>452.79787105358639</v>
      </c>
      <c r="N73" s="622">
        <f t="shared" si="52"/>
        <v>2612.7978710535863</v>
      </c>
      <c r="O73" s="623"/>
      <c r="R73" s="624">
        <f t="shared" si="53"/>
        <v>1</v>
      </c>
      <c r="S73" s="625">
        <f t="shared" si="54"/>
        <v>1</v>
      </c>
      <c r="T73" s="626">
        <v>1800</v>
      </c>
      <c r="U73" s="626">
        <v>3630</v>
      </c>
      <c r="V73" s="627">
        <f>IF(R73&lt;&gt;"",K73-U73,"")</f>
        <v>-1630</v>
      </c>
      <c r="W73" s="628">
        <f t="shared" si="55"/>
        <v>0</v>
      </c>
      <c r="X73" s="629">
        <f t="shared" si="56"/>
        <v>0</v>
      </c>
      <c r="Y73" s="629">
        <f t="shared" si="57"/>
        <v>3630</v>
      </c>
      <c r="Z73" s="630">
        <f>IF(R73&lt;&gt;"",Y73+M73,"")</f>
        <v>4082.7978710535863</v>
      </c>
      <c r="AA73" s="631">
        <f>IF(R73&lt;&gt;"", IFERROR(V73/K73, 0), 0)</f>
        <v>-0.81499999999999995</v>
      </c>
      <c r="AB73" s="632">
        <f t="shared" si="58"/>
        <v>1</v>
      </c>
      <c r="AL73" s="1703">
        <f t="shared" si="10"/>
        <v>0</v>
      </c>
      <c r="AM73" s="1713">
        <v>3630</v>
      </c>
      <c r="AN73" s="1695" t="s">
        <v>1562</v>
      </c>
    </row>
    <row r="74" spans="1:40" ht="159.9" customHeight="1" x14ac:dyDescent="0.7">
      <c r="A74" s="584">
        <v>60</v>
      </c>
      <c r="B74" s="608" t="s">
        <v>232</v>
      </c>
      <c r="C74" s="609" t="s">
        <v>175</v>
      </c>
      <c r="D74" s="584" t="s">
        <v>182</v>
      </c>
      <c r="E74" s="584" t="s">
        <v>179</v>
      </c>
      <c r="F74" s="718" t="s">
        <v>1162</v>
      </c>
      <c r="G74" s="618" t="s">
        <v>1341</v>
      </c>
      <c r="H74" s="706">
        <v>50</v>
      </c>
      <c r="I74" s="706">
        <v>1</v>
      </c>
      <c r="J74" s="620">
        <v>13.68</v>
      </c>
      <c r="K74" s="621">
        <f t="shared" si="49"/>
        <v>684</v>
      </c>
      <c r="L74" s="621">
        <f t="shared" si="50"/>
        <v>54.72</v>
      </c>
      <c r="M74" s="621">
        <f t="shared" si="51"/>
        <v>154.85687190032655</v>
      </c>
      <c r="N74" s="622">
        <f t="shared" si="52"/>
        <v>893.57687190032652</v>
      </c>
      <c r="O74" s="623"/>
      <c r="R74" s="624">
        <f t="shared" si="53"/>
        <v>50</v>
      </c>
      <c r="S74" s="625">
        <f t="shared" si="54"/>
        <v>1</v>
      </c>
      <c r="T74" s="650">
        <v>8.8607999999999993</v>
      </c>
      <c r="U74" s="626">
        <v>0</v>
      </c>
      <c r="V74" s="627">
        <f t="shared" ref="V74:V80" si="59">IF(R74&lt;&gt;"",K74-U74,"")</f>
        <v>684</v>
      </c>
      <c r="W74" s="628">
        <f t="shared" si="55"/>
        <v>0</v>
      </c>
      <c r="X74" s="629">
        <f t="shared" si="56"/>
        <v>0</v>
      </c>
      <c r="Y74" s="629">
        <f t="shared" si="57"/>
        <v>0</v>
      </c>
      <c r="Z74" s="630">
        <f t="shared" ref="Z74:Z80" si="60">IF(R74&lt;&gt;"",Y74+M74,"")</f>
        <v>154.85687190032655</v>
      </c>
      <c r="AA74" s="631">
        <f t="shared" ref="AA74:AA80" si="61">IF(R74&lt;&gt;"", IFERROR(V74/K74, 0), 0)</f>
        <v>1</v>
      </c>
      <c r="AB74" s="632">
        <f t="shared" si="58"/>
        <v>0</v>
      </c>
      <c r="AL74" s="1703">
        <f t="shared" si="10"/>
        <v>0</v>
      </c>
      <c r="AM74" s="1713"/>
    </row>
    <row r="75" spans="1:40" ht="159.9" customHeight="1" x14ac:dyDescent="0.7">
      <c r="A75" s="584">
        <v>61</v>
      </c>
      <c r="B75" s="608" t="s">
        <v>233</v>
      </c>
      <c r="C75" s="609" t="s">
        <v>175</v>
      </c>
      <c r="D75" s="584" t="s">
        <v>182</v>
      </c>
      <c r="E75" s="584" t="s">
        <v>179</v>
      </c>
      <c r="F75" s="718" t="s">
        <v>1163</v>
      </c>
      <c r="G75" s="618" t="s">
        <v>1342</v>
      </c>
      <c r="H75" s="706">
        <v>50</v>
      </c>
      <c r="I75" s="706">
        <v>1</v>
      </c>
      <c r="J75" s="620">
        <v>29</v>
      </c>
      <c r="K75" s="621">
        <f t="shared" si="49"/>
        <v>1450</v>
      </c>
      <c r="L75" s="621">
        <f t="shared" si="50"/>
        <v>116</v>
      </c>
      <c r="M75" s="621">
        <f t="shared" si="51"/>
        <v>328.27845651385013</v>
      </c>
      <c r="N75" s="622">
        <f t="shared" si="52"/>
        <v>1894.2784565138502</v>
      </c>
      <c r="O75" s="623"/>
      <c r="R75" s="624">
        <f t="shared" si="53"/>
        <v>50</v>
      </c>
      <c r="S75" s="625">
        <f t="shared" si="54"/>
        <v>1</v>
      </c>
      <c r="T75" s="626">
        <f>9.21+9.89</f>
        <v>19.100000000000001</v>
      </c>
      <c r="U75" s="626">
        <v>0</v>
      </c>
      <c r="V75" s="627">
        <f t="shared" si="59"/>
        <v>1450</v>
      </c>
      <c r="W75" s="628">
        <f t="shared" si="55"/>
        <v>0</v>
      </c>
      <c r="X75" s="629">
        <f t="shared" si="56"/>
        <v>0</v>
      </c>
      <c r="Y75" s="629">
        <f t="shared" si="57"/>
        <v>0</v>
      </c>
      <c r="Z75" s="630">
        <f t="shared" si="60"/>
        <v>328.27845651385013</v>
      </c>
      <c r="AA75" s="631">
        <f t="shared" si="61"/>
        <v>1</v>
      </c>
      <c r="AB75" s="632">
        <f t="shared" si="58"/>
        <v>0</v>
      </c>
      <c r="AL75" s="1703">
        <f t="shared" si="10"/>
        <v>0</v>
      </c>
      <c r="AM75" s="1713"/>
    </row>
    <row r="76" spans="1:40" ht="159.9" customHeight="1" x14ac:dyDescent="0.7">
      <c r="A76" s="584">
        <v>62</v>
      </c>
      <c r="B76" s="608" t="s">
        <v>234</v>
      </c>
      <c r="C76" s="609" t="s">
        <v>175</v>
      </c>
      <c r="D76" s="584" t="s">
        <v>182</v>
      </c>
      <c r="E76" s="584" t="s">
        <v>179</v>
      </c>
      <c r="F76" s="718" t="s">
        <v>1164</v>
      </c>
      <c r="G76" s="618" t="s">
        <v>1343</v>
      </c>
      <c r="H76" s="706">
        <v>50</v>
      </c>
      <c r="I76" s="706">
        <v>1</v>
      </c>
      <c r="J76" s="620">
        <v>34</v>
      </c>
      <c r="K76" s="621">
        <f t="shared" si="49"/>
        <v>1700</v>
      </c>
      <c r="L76" s="621">
        <f t="shared" si="50"/>
        <v>136</v>
      </c>
      <c r="M76" s="621">
        <f t="shared" si="51"/>
        <v>384.87819039554842</v>
      </c>
      <c r="N76" s="622">
        <f t="shared" si="52"/>
        <v>2220.8781903955482</v>
      </c>
      <c r="O76" s="623"/>
      <c r="R76" s="624">
        <f t="shared" si="53"/>
        <v>50</v>
      </c>
      <c r="S76" s="625">
        <f t="shared" si="54"/>
        <v>1</v>
      </c>
      <c r="T76" s="626">
        <v>8.36</v>
      </c>
      <c r="U76" s="626">
        <v>0</v>
      </c>
      <c r="V76" s="627">
        <f t="shared" si="59"/>
        <v>1700</v>
      </c>
      <c r="W76" s="628">
        <f t="shared" si="55"/>
        <v>0</v>
      </c>
      <c r="X76" s="629">
        <f t="shared" si="56"/>
        <v>0</v>
      </c>
      <c r="Y76" s="629">
        <f t="shared" si="57"/>
        <v>0</v>
      </c>
      <c r="Z76" s="630">
        <f t="shared" si="60"/>
        <v>384.87819039554842</v>
      </c>
      <c r="AA76" s="631">
        <f t="shared" si="61"/>
        <v>1</v>
      </c>
      <c r="AB76" s="632">
        <f t="shared" si="58"/>
        <v>0</v>
      </c>
      <c r="AL76" s="1703">
        <f t="shared" si="10"/>
        <v>0</v>
      </c>
      <c r="AM76" s="1713"/>
    </row>
    <row r="77" spans="1:40" ht="159.9" customHeight="1" x14ac:dyDescent="0.7">
      <c r="A77" s="584">
        <v>63</v>
      </c>
      <c r="B77" s="608" t="s">
        <v>237</v>
      </c>
      <c r="C77" s="609" t="s">
        <v>175</v>
      </c>
      <c r="D77" s="584" t="s">
        <v>182</v>
      </c>
      <c r="E77" s="584" t="s">
        <v>179</v>
      </c>
      <c r="F77" s="718" t="s">
        <v>1165</v>
      </c>
      <c r="G77" s="618" t="s">
        <v>1344</v>
      </c>
      <c r="H77" s="706">
        <v>50</v>
      </c>
      <c r="I77" s="706">
        <v>1</v>
      </c>
      <c r="J77" s="620">
        <v>13.5</v>
      </c>
      <c r="K77" s="621">
        <f t="shared" si="49"/>
        <v>675</v>
      </c>
      <c r="L77" s="621">
        <f t="shared" si="50"/>
        <v>54</v>
      </c>
      <c r="M77" s="621">
        <f t="shared" si="51"/>
        <v>152.8192814805854</v>
      </c>
      <c r="N77" s="622">
        <f t="shared" si="52"/>
        <v>881.81928148058546</v>
      </c>
      <c r="O77" s="623"/>
      <c r="R77" s="624">
        <f t="shared" si="53"/>
        <v>50</v>
      </c>
      <c r="S77" s="625">
        <f t="shared" si="54"/>
        <v>1</v>
      </c>
      <c r="T77" s="626">
        <v>12.4</v>
      </c>
      <c r="U77" s="626">
        <v>0</v>
      </c>
      <c r="V77" s="627">
        <f t="shared" si="59"/>
        <v>675</v>
      </c>
      <c r="W77" s="628">
        <f t="shared" si="55"/>
        <v>0</v>
      </c>
      <c r="X77" s="629">
        <f t="shared" si="56"/>
        <v>0</v>
      </c>
      <c r="Y77" s="629">
        <f t="shared" si="57"/>
        <v>0</v>
      </c>
      <c r="Z77" s="630">
        <f t="shared" si="60"/>
        <v>152.8192814805854</v>
      </c>
      <c r="AA77" s="631">
        <f t="shared" si="61"/>
        <v>1</v>
      </c>
      <c r="AB77" s="632">
        <f t="shared" si="58"/>
        <v>0</v>
      </c>
      <c r="AL77" s="1703">
        <f t="shared" si="10"/>
        <v>0</v>
      </c>
      <c r="AM77" s="1713"/>
    </row>
    <row r="78" spans="1:40" ht="159.9" customHeight="1" x14ac:dyDescent="0.7">
      <c r="A78" s="584">
        <v>64</v>
      </c>
      <c r="B78" s="608" t="s">
        <v>240</v>
      </c>
      <c r="C78" s="609" t="s">
        <v>175</v>
      </c>
      <c r="D78" s="584" t="s">
        <v>182</v>
      </c>
      <c r="E78" s="584" t="s">
        <v>179</v>
      </c>
      <c r="F78" s="768" t="s">
        <v>1166</v>
      </c>
      <c r="G78" s="769" t="s">
        <v>1345</v>
      </c>
      <c r="H78" s="770">
        <v>75</v>
      </c>
      <c r="I78" s="770">
        <v>1</v>
      </c>
      <c r="J78" s="771">
        <v>35.869999999999997</v>
      </c>
      <c r="K78" s="621">
        <f t="shared" si="49"/>
        <v>2690.25</v>
      </c>
      <c r="L78" s="621">
        <f t="shared" si="50"/>
        <v>215.22</v>
      </c>
      <c r="M78" s="621">
        <f t="shared" si="51"/>
        <v>609.06973630095536</v>
      </c>
      <c r="N78" s="622">
        <f t="shared" si="52"/>
        <v>3514.5397363009552</v>
      </c>
      <c r="O78" s="623"/>
      <c r="R78" s="624">
        <f t="shared" si="53"/>
        <v>75</v>
      </c>
      <c r="S78" s="625">
        <f t="shared" si="54"/>
        <v>1</v>
      </c>
      <c r="T78" s="626">
        <v>32.155299999999997</v>
      </c>
      <c r="U78" s="626">
        <v>0</v>
      </c>
      <c r="V78" s="627">
        <f t="shared" si="59"/>
        <v>2690.25</v>
      </c>
      <c r="W78" s="628">
        <f t="shared" si="55"/>
        <v>0</v>
      </c>
      <c r="X78" s="629">
        <f t="shared" si="56"/>
        <v>0</v>
      </c>
      <c r="Y78" s="629">
        <f t="shared" si="57"/>
        <v>0</v>
      </c>
      <c r="Z78" s="630">
        <f t="shared" si="60"/>
        <v>609.06973630095536</v>
      </c>
      <c r="AA78" s="631">
        <f t="shared" si="61"/>
        <v>1</v>
      </c>
      <c r="AB78" s="632">
        <f t="shared" si="58"/>
        <v>0</v>
      </c>
      <c r="AL78" s="1703">
        <f t="shared" si="10"/>
        <v>0</v>
      </c>
      <c r="AM78" s="1713"/>
    </row>
    <row r="79" spans="1:40" ht="159.9" customHeight="1" x14ac:dyDescent="0.7">
      <c r="A79" s="584">
        <v>65</v>
      </c>
      <c r="B79" s="608" t="s">
        <v>241</v>
      </c>
      <c r="C79" s="609" t="s">
        <v>175</v>
      </c>
      <c r="D79" s="584" t="s">
        <v>182</v>
      </c>
      <c r="E79" s="584" t="s">
        <v>179</v>
      </c>
      <c r="F79" s="768" t="s">
        <v>1167</v>
      </c>
      <c r="G79" s="769" t="s">
        <v>1346</v>
      </c>
      <c r="H79" s="770">
        <v>75</v>
      </c>
      <c r="I79" s="770">
        <v>1</v>
      </c>
      <c r="J79" s="771">
        <v>13.68</v>
      </c>
      <c r="K79" s="621">
        <f t="shared" si="49"/>
        <v>1026</v>
      </c>
      <c r="L79" s="621">
        <f t="shared" si="50"/>
        <v>82.08</v>
      </c>
      <c r="M79" s="621">
        <f t="shared" si="51"/>
        <v>232.2853078504898</v>
      </c>
      <c r="N79" s="622">
        <f t="shared" si="52"/>
        <v>1340.3653078504897</v>
      </c>
      <c r="O79" s="623"/>
      <c r="R79" s="624">
        <f t="shared" si="53"/>
        <v>75</v>
      </c>
      <c r="S79" s="625">
        <f t="shared" si="54"/>
        <v>1</v>
      </c>
      <c r="T79" s="626">
        <v>8.8607999999999993</v>
      </c>
      <c r="U79" s="626">
        <v>0</v>
      </c>
      <c r="V79" s="627">
        <f t="shared" si="59"/>
        <v>1026</v>
      </c>
      <c r="W79" s="628">
        <f t="shared" si="55"/>
        <v>0</v>
      </c>
      <c r="X79" s="629">
        <f t="shared" si="56"/>
        <v>0</v>
      </c>
      <c r="Y79" s="629">
        <f t="shared" si="57"/>
        <v>0</v>
      </c>
      <c r="Z79" s="630">
        <f t="shared" si="60"/>
        <v>232.2853078504898</v>
      </c>
      <c r="AA79" s="631">
        <f t="shared" si="61"/>
        <v>1</v>
      </c>
      <c r="AB79" s="632">
        <f t="shared" si="58"/>
        <v>0</v>
      </c>
      <c r="AL79" s="1703">
        <f t="shared" si="10"/>
        <v>0</v>
      </c>
      <c r="AM79" s="1713"/>
    </row>
    <row r="80" spans="1:40" ht="159.9" customHeight="1" thickBot="1" x14ac:dyDescent="0.75">
      <c r="A80" s="584">
        <v>66</v>
      </c>
      <c r="B80" s="608" t="s">
        <v>242</v>
      </c>
      <c r="C80" s="609" t="s">
        <v>175</v>
      </c>
      <c r="D80" s="584" t="s">
        <v>182</v>
      </c>
      <c r="E80" s="584" t="s">
        <v>179</v>
      </c>
      <c r="F80" s="772" t="s">
        <v>1168</v>
      </c>
      <c r="G80" s="773" t="s">
        <v>1347</v>
      </c>
      <c r="H80" s="774">
        <v>75</v>
      </c>
      <c r="I80" s="774">
        <v>1</v>
      </c>
      <c r="J80" s="775">
        <v>38</v>
      </c>
      <c r="K80" s="776">
        <f t="shared" si="49"/>
        <v>2850</v>
      </c>
      <c r="L80" s="776">
        <f t="shared" si="50"/>
        <v>228</v>
      </c>
      <c r="M80" s="776">
        <f t="shared" si="51"/>
        <v>645.23696625136063</v>
      </c>
      <c r="N80" s="777">
        <f t="shared" si="52"/>
        <v>3723.2369662513606</v>
      </c>
      <c r="O80" s="778" t="s">
        <v>623</v>
      </c>
      <c r="P80" s="779" t="s">
        <v>1181</v>
      </c>
      <c r="Q80" s="780" t="s">
        <v>1179</v>
      </c>
      <c r="R80" s="624">
        <f t="shared" si="53"/>
        <v>75</v>
      </c>
      <c r="S80" s="625">
        <f t="shared" si="54"/>
        <v>1</v>
      </c>
      <c r="T80" s="626">
        <v>35.841065999999998</v>
      </c>
      <c r="U80" s="626">
        <v>0</v>
      </c>
      <c r="V80" s="627">
        <f t="shared" si="59"/>
        <v>2850</v>
      </c>
      <c r="W80" s="628">
        <f t="shared" si="55"/>
        <v>0</v>
      </c>
      <c r="X80" s="629">
        <f t="shared" si="56"/>
        <v>0</v>
      </c>
      <c r="Y80" s="629">
        <f t="shared" si="57"/>
        <v>0</v>
      </c>
      <c r="Z80" s="630">
        <f t="shared" si="60"/>
        <v>645.23696625136063</v>
      </c>
      <c r="AA80" s="631">
        <f t="shared" si="61"/>
        <v>1</v>
      </c>
      <c r="AB80" s="632">
        <f t="shared" si="58"/>
        <v>0</v>
      </c>
      <c r="AL80" s="1703">
        <f t="shared" si="10"/>
        <v>0</v>
      </c>
      <c r="AM80" s="1713"/>
    </row>
    <row r="81" spans="1:40" ht="50.1" customHeight="1" thickBot="1" x14ac:dyDescent="0.75">
      <c r="A81" s="646">
        <v>67</v>
      </c>
      <c r="B81" s="608"/>
      <c r="C81" s="647" t="s">
        <v>184</v>
      </c>
      <c r="D81" s="646"/>
      <c r="E81" s="646"/>
      <c r="F81" s="1549" t="s">
        <v>502</v>
      </c>
      <c r="G81" s="1550"/>
      <c r="H81" s="1550"/>
      <c r="I81" s="1550"/>
      <c r="J81" s="1550"/>
      <c r="K81" s="707">
        <f>SUM(K72:K80)</f>
        <v>16875.25</v>
      </c>
      <c r="L81" s="707">
        <f>SUM(L72:L80)</f>
        <v>1350.02</v>
      </c>
      <c r="M81" s="707">
        <f>SUM(M72:M80)</f>
        <v>3820.5386367485166</v>
      </c>
      <c r="N81" s="708">
        <f>SUM(N72:N80)</f>
        <v>22045.808636748516</v>
      </c>
      <c r="O81" s="672"/>
      <c r="R81" s="1551" t="s">
        <v>502</v>
      </c>
      <c r="S81" s="1552"/>
      <c r="T81" s="1552"/>
      <c r="U81" s="781">
        <f>SUM(U72:U80)</f>
        <v>3630</v>
      </c>
      <c r="V81" s="781">
        <f>SUM(V72:V80)</f>
        <v>13245.25</v>
      </c>
      <c r="W81" s="721"/>
      <c r="X81" s="701"/>
      <c r="Y81" s="782">
        <f>SUM(Y72:Y80)</f>
        <v>3630</v>
      </c>
      <c r="Z81" s="783">
        <f>IF(R81&lt;&gt;"",Y81+M81,"")</f>
        <v>7450.5386367485171</v>
      </c>
      <c r="AA81" s="631"/>
      <c r="AL81" s="1703"/>
      <c r="AM81" s="1713"/>
    </row>
    <row r="82" spans="1:40" ht="50.1" customHeight="1" thickBot="1" x14ac:dyDescent="0.75">
      <c r="A82" s="584">
        <v>68</v>
      </c>
      <c r="B82" s="608" t="s">
        <v>1169</v>
      </c>
      <c r="C82" s="609" t="s">
        <v>169</v>
      </c>
      <c r="D82" s="584"/>
      <c r="E82" s="584"/>
      <c r="F82" s="1545" t="s">
        <v>506</v>
      </c>
      <c r="G82" s="1546"/>
      <c r="H82" s="1546"/>
      <c r="I82" s="1546"/>
      <c r="J82" s="1546"/>
      <c r="K82" s="1546"/>
      <c r="L82" s="784" t="s">
        <v>171</v>
      </c>
      <c r="M82" s="784" t="s">
        <v>172</v>
      </c>
      <c r="N82" s="785" t="s">
        <v>129</v>
      </c>
      <c r="O82" s="615"/>
      <c r="R82" s="1544" t="str">
        <f>IF(F82&lt;&gt;"",F82,"")</f>
        <v>MATERIAIS E IMPRESSOS</v>
      </c>
      <c r="S82" s="1528"/>
      <c r="T82" s="1528"/>
      <c r="U82" s="1528"/>
      <c r="V82" s="1528"/>
      <c r="W82" s="1528"/>
      <c r="X82" s="1528"/>
      <c r="Y82" s="1528"/>
      <c r="Z82" s="1542"/>
      <c r="AA82" s="616" t="s">
        <v>173</v>
      </c>
      <c r="AB82" s="617" t="s">
        <v>130</v>
      </c>
      <c r="AL82" s="1703"/>
      <c r="AM82" s="1713"/>
    </row>
    <row r="83" spans="1:40" ht="159.9" customHeight="1" x14ac:dyDescent="0.7">
      <c r="A83" s="584">
        <v>69</v>
      </c>
      <c r="B83" s="608" t="s">
        <v>1170</v>
      </c>
      <c r="C83" s="609" t="s">
        <v>175</v>
      </c>
      <c r="D83" s="584" t="s">
        <v>182</v>
      </c>
      <c r="E83" s="584" t="s">
        <v>179</v>
      </c>
      <c r="F83" s="786" t="s">
        <v>517</v>
      </c>
      <c r="G83" s="787" t="s">
        <v>1348</v>
      </c>
      <c r="H83" s="788">
        <v>50</v>
      </c>
      <c r="I83" s="788">
        <v>1</v>
      </c>
      <c r="J83" s="789">
        <v>5</v>
      </c>
      <c r="K83" s="790">
        <f t="shared" ref="K83:K84" si="62">IF(F83&lt;&gt;"",H83*I83*J83,"")</f>
        <v>250</v>
      </c>
      <c r="L83" s="791">
        <f t="shared" ref="L83:L84" si="63">IF(K83&lt;&gt;"",IF(D83="INTERNO",0,K83*$L$14),"")</f>
        <v>20</v>
      </c>
      <c r="M83" s="791">
        <f t="shared" ref="M83:M84" si="64">IF(K83&lt;&gt;"",IF(E83="FAT.OGGI",SUM(K83:L83)*(1/(1-$M$14)-1),L83*(1/(1-$M$14)-1)),0)</f>
        <v>56.599733881698299</v>
      </c>
      <c r="N83" s="641">
        <f t="shared" ref="N83:N84" si="65">SUM(K83:M83)</f>
        <v>326.59973388169828</v>
      </c>
      <c r="O83" s="792" t="s">
        <v>623</v>
      </c>
      <c r="P83" s="793" t="s">
        <v>1129</v>
      </c>
      <c r="Q83" s="780" t="s">
        <v>1178</v>
      </c>
      <c r="R83" s="624">
        <f>IF(H83&lt;&gt;"",H83,"")</f>
        <v>50</v>
      </c>
      <c r="S83" s="625">
        <f>IF(I83&lt;&gt;"",I83,"")</f>
        <v>1</v>
      </c>
      <c r="T83" s="626">
        <v>4.75</v>
      </c>
      <c r="U83" s="626">
        <v>0</v>
      </c>
      <c r="V83" s="627">
        <f t="shared" ref="V83:V84" si="66">IF(R83&lt;&gt;"",K83-U83,"")</f>
        <v>250</v>
      </c>
      <c r="W83" s="628">
        <f t="shared" ref="W83:W84" si="67">IF(R83&lt;&gt;"",0%,"")</f>
        <v>0</v>
      </c>
      <c r="X83" s="629">
        <f t="shared" ref="X83:X84" si="68">IF(R83&lt;&gt;"",W83*V83,"")</f>
        <v>0</v>
      </c>
      <c r="Y83" s="629">
        <f t="shared" ref="Y83:Y84" si="69">IF(R83&lt;&gt;"",X83+U83,"")</f>
        <v>0</v>
      </c>
      <c r="Z83" s="630">
        <f t="shared" ref="Z83:Z86" si="70">IF(R83&lt;&gt;"",Y83+M83,"")</f>
        <v>56.599733881698299</v>
      </c>
      <c r="AA83" s="631">
        <f t="shared" ref="AA83:AA84" si="71">IF(R83&lt;&gt;"", IFERROR(V83/K83, 0), 0)</f>
        <v>1</v>
      </c>
      <c r="AB83" s="632">
        <f>U83/$U$85</f>
        <v>0</v>
      </c>
      <c r="AL83" s="1703">
        <f t="shared" ref="AL83:AL95" si="72">Y83-AM83</f>
        <v>0</v>
      </c>
      <c r="AM83" s="1713"/>
    </row>
    <row r="84" spans="1:40" ht="159.9" customHeight="1" x14ac:dyDescent="0.7">
      <c r="A84" s="584">
        <v>70</v>
      </c>
      <c r="B84" s="608" t="s">
        <v>1171</v>
      </c>
      <c r="C84" s="609" t="s">
        <v>175</v>
      </c>
      <c r="D84" s="584" t="s">
        <v>182</v>
      </c>
      <c r="E84" s="584" t="s">
        <v>179</v>
      </c>
      <c r="F84" s="691" t="s">
        <v>519</v>
      </c>
      <c r="G84" s="794" t="s">
        <v>1349</v>
      </c>
      <c r="H84" s="702">
        <v>114</v>
      </c>
      <c r="I84" s="702">
        <v>1</v>
      </c>
      <c r="J84" s="719">
        <v>36.700000000000003</v>
      </c>
      <c r="K84" s="694">
        <f t="shared" si="62"/>
        <v>4183.8</v>
      </c>
      <c r="L84" s="695">
        <f t="shared" si="63"/>
        <v>334.70400000000001</v>
      </c>
      <c r="M84" s="695">
        <f t="shared" si="64"/>
        <v>947.20786645699741</v>
      </c>
      <c r="N84" s="795">
        <f t="shared" si="65"/>
        <v>5465.7118664569971</v>
      </c>
      <c r="O84" s="792" t="s">
        <v>623</v>
      </c>
      <c r="P84" s="796" t="s">
        <v>1001</v>
      </c>
      <c r="Q84" s="797"/>
      <c r="R84" s="624">
        <v>65</v>
      </c>
      <c r="S84" s="625">
        <f>IF(I84&lt;&gt;"",I84,"")</f>
        <v>1</v>
      </c>
      <c r="T84" s="626">
        <v>7.62</v>
      </c>
      <c r="U84" s="626">
        <v>124.83</v>
      </c>
      <c r="V84" s="627">
        <f t="shared" si="66"/>
        <v>4058.9700000000003</v>
      </c>
      <c r="W84" s="628">
        <f t="shared" si="67"/>
        <v>0</v>
      </c>
      <c r="X84" s="629">
        <f t="shared" si="68"/>
        <v>0</v>
      </c>
      <c r="Y84" s="629">
        <f t="shared" si="69"/>
        <v>124.83</v>
      </c>
      <c r="Z84" s="630">
        <f t="shared" si="70"/>
        <v>1072.0378664569973</v>
      </c>
      <c r="AA84" s="631">
        <f t="shared" si="71"/>
        <v>0.97016348773841965</v>
      </c>
      <c r="AB84" s="632">
        <f>U84/$U$85</f>
        <v>1</v>
      </c>
      <c r="AL84" s="1703">
        <f t="shared" si="72"/>
        <v>0</v>
      </c>
      <c r="AM84" s="1713">
        <v>124.83</v>
      </c>
      <c r="AN84" s="1695" t="s">
        <v>1586</v>
      </c>
    </row>
    <row r="85" spans="1:40" ht="50.1" customHeight="1" thickBot="1" x14ac:dyDescent="0.75">
      <c r="A85" s="584">
        <v>71</v>
      </c>
      <c r="B85" s="608"/>
      <c r="C85" s="609" t="s">
        <v>184</v>
      </c>
      <c r="D85" s="584"/>
      <c r="E85" s="584"/>
      <c r="F85" s="1526" t="s">
        <v>523</v>
      </c>
      <c r="G85" s="1527"/>
      <c r="H85" s="1527"/>
      <c r="I85" s="1527"/>
      <c r="J85" s="1527"/>
      <c r="K85" s="740">
        <f>SUM(K83:K84)</f>
        <v>4433.8</v>
      </c>
      <c r="L85" s="740">
        <f>SUM(L83:L84)</f>
        <v>354.70400000000001</v>
      </c>
      <c r="M85" s="740">
        <f>SUM(M83:M84)</f>
        <v>1003.8076003386957</v>
      </c>
      <c r="N85" s="740">
        <f>SUM(N83:N84)</f>
        <v>5792.3116003386949</v>
      </c>
      <c r="O85" s="723"/>
      <c r="R85" s="1544" t="s">
        <v>523</v>
      </c>
      <c r="S85" s="1528"/>
      <c r="T85" s="1528"/>
      <c r="U85" s="740">
        <f>SUM(U83:U84)</f>
        <v>124.83</v>
      </c>
      <c r="V85" s="762">
        <f>SUM(V83:V84)</f>
        <v>4308.97</v>
      </c>
      <c r="W85" s="763"/>
      <c r="X85" s="763"/>
      <c r="Y85" s="764">
        <f>SUM(Y83:Y84)</f>
        <v>124.83</v>
      </c>
      <c r="Z85" s="750">
        <f t="shared" si="70"/>
        <v>1128.6376003386956</v>
      </c>
      <c r="AL85" s="1703"/>
      <c r="AM85" s="1713"/>
    </row>
    <row r="86" spans="1:40" ht="50.1" customHeight="1" thickBot="1" x14ac:dyDescent="0.75">
      <c r="A86" s="584">
        <v>72</v>
      </c>
      <c r="B86" s="608"/>
      <c r="C86" s="609" t="s">
        <v>183</v>
      </c>
      <c r="D86" s="584"/>
      <c r="E86" s="584"/>
      <c r="F86" s="1529" t="s">
        <v>524</v>
      </c>
      <c r="G86" s="1530"/>
      <c r="H86" s="1530"/>
      <c r="I86" s="1530"/>
      <c r="J86" s="1530"/>
      <c r="K86" s="711">
        <f>SUM(K72:K80)+SUM(K83:K84)</f>
        <v>21309.05</v>
      </c>
      <c r="L86" s="711">
        <f>SUM(L72:L80)+SUM(L83:L84)</f>
        <v>1704.7239999999999</v>
      </c>
      <c r="M86" s="711">
        <f>SUM(M72:M80)+SUM(M83:M84)</f>
        <v>4824.3462370872121</v>
      </c>
      <c r="N86" s="711">
        <f>SUM(N72:N80)+SUM(N83:N84)</f>
        <v>27838.120237087212</v>
      </c>
      <c r="O86" s="711"/>
      <c r="R86" s="1532" t="s">
        <v>524</v>
      </c>
      <c r="S86" s="1533"/>
      <c r="T86" s="1533"/>
      <c r="U86" s="711">
        <f>SUM(U72:U80)+SUM(U83:U84)</f>
        <v>3754.83</v>
      </c>
      <c r="V86" s="712">
        <f>SUM(V72:V80)+SUM(V83:V84)</f>
        <v>17554.22</v>
      </c>
      <c r="W86" s="713"/>
      <c r="X86" s="713"/>
      <c r="Y86" s="714">
        <f>SUM(Y72:Y80)+SUM(Y83:Y84)</f>
        <v>3754.83</v>
      </c>
      <c r="Z86" s="715">
        <f t="shared" si="70"/>
        <v>8579.1762370872129</v>
      </c>
      <c r="AL86" s="1703"/>
      <c r="AM86" s="1713"/>
    </row>
    <row r="87" spans="1:40" ht="50.1" customHeight="1" thickBot="1" x14ac:dyDescent="0.75">
      <c r="A87" s="584">
        <v>73</v>
      </c>
      <c r="B87" s="608">
        <v>7</v>
      </c>
      <c r="C87" s="609" t="s">
        <v>167</v>
      </c>
      <c r="D87" s="584"/>
      <c r="E87" s="584"/>
      <c r="F87" s="1534" t="s">
        <v>532</v>
      </c>
      <c r="G87" s="1535"/>
      <c r="H87" s="1535"/>
      <c r="I87" s="1535"/>
      <c r="J87" s="1535"/>
      <c r="K87" s="1535"/>
      <c r="L87" s="1535"/>
      <c r="M87" s="1535"/>
      <c r="N87" s="1536"/>
      <c r="O87" s="611"/>
      <c r="R87" s="1543" t="str">
        <f>IF(F87&lt;&gt;"",F87,"")</f>
        <v>OPERAÇÃO</v>
      </c>
      <c r="S87" s="1537"/>
      <c r="T87" s="1537"/>
      <c r="U87" s="1537"/>
      <c r="V87" s="1537"/>
      <c r="W87" s="1537"/>
      <c r="X87" s="1537"/>
      <c r="Y87" s="1537"/>
      <c r="Z87" s="1538"/>
      <c r="AL87" s="1703"/>
      <c r="AM87" s="1713"/>
    </row>
    <row r="88" spans="1:40" ht="50.1" customHeight="1" x14ac:dyDescent="0.7">
      <c r="A88" s="584">
        <v>74</v>
      </c>
      <c r="B88" s="608" t="s">
        <v>442</v>
      </c>
      <c r="C88" s="609" t="s">
        <v>169</v>
      </c>
      <c r="D88" s="584"/>
      <c r="E88" s="584"/>
      <c r="F88" s="1539" t="s">
        <v>532</v>
      </c>
      <c r="G88" s="1540"/>
      <c r="H88" s="1540"/>
      <c r="I88" s="1540"/>
      <c r="J88" s="1540"/>
      <c r="K88" s="1541"/>
      <c r="L88" s="612" t="s">
        <v>171</v>
      </c>
      <c r="M88" s="613" t="s">
        <v>172</v>
      </c>
      <c r="N88" s="614" t="s">
        <v>129</v>
      </c>
      <c r="O88" s="615"/>
      <c r="R88" s="1544" t="str">
        <f>IF(F88&lt;&gt;"",F88,"")</f>
        <v>OPERAÇÃO</v>
      </c>
      <c r="S88" s="1528"/>
      <c r="T88" s="1528"/>
      <c r="U88" s="1528"/>
      <c r="V88" s="1528"/>
      <c r="W88" s="1528"/>
      <c r="X88" s="1528"/>
      <c r="Y88" s="1528"/>
      <c r="Z88" s="1542"/>
      <c r="AA88" s="616" t="s">
        <v>173</v>
      </c>
      <c r="AB88" s="617" t="s">
        <v>130</v>
      </c>
      <c r="AL88" s="1703"/>
      <c r="AM88" s="1713"/>
    </row>
    <row r="89" spans="1:40" ht="159.9" customHeight="1" x14ac:dyDescent="0.7">
      <c r="A89" s="646">
        <v>75</v>
      </c>
      <c r="B89" s="608" t="s">
        <v>443</v>
      </c>
      <c r="C89" s="647" t="s">
        <v>175</v>
      </c>
      <c r="D89" s="584" t="s">
        <v>182</v>
      </c>
      <c r="E89" s="584" t="s">
        <v>179</v>
      </c>
      <c r="F89" s="718" t="s">
        <v>486</v>
      </c>
      <c r="G89" s="736" t="s">
        <v>1172</v>
      </c>
      <c r="H89" s="706">
        <v>1</v>
      </c>
      <c r="I89" s="706">
        <v>1</v>
      </c>
      <c r="J89" s="767">
        <v>3500</v>
      </c>
      <c r="K89" s="621">
        <f t="shared" ref="K89:K90" si="73">IF(F89&lt;&gt;"",H89*I89*J89,"")</f>
        <v>3500</v>
      </c>
      <c r="L89" s="621">
        <f t="shared" ref="L89:L90" si="74">IF(K89&lt;&gt;"",IF(D89="INTERNO",0,K89*$L$14),"")</f>
        <v>280</v>
      </c>
      <c r="M89" s="621">
        <f t="shared" ref="M89:M90" si="75">IF(K89&lt;&gt;"",IF(E89="FAT.OGGI",SUM(K89:L89)*(1/(1-$M$14)-1),L89*(1/(1-$M$14)-1)),0)</f>
        <v>792.39627434377621</v>
      </c>
      <c r="N89" s="622">
        <f t="shared" ref="N89:N90" si="76">SUM(K89:M89)</f>
        <v>4572.396274343776</v>
      </c>
      <c r="O89" s="792" t="s">
        <v>974</v>
      </c>
      <c r="Q89" s="780" t="s">
        <v>1178</v>
      </c>
      <c r="R89" s="625">
        <f>IF(H89&lt;&gt;"",H89,"")</f>
        <v>1</v>
      </c>
      <c r="S89" s="625">
        <f>IF(I89&lt;&gt;"",I89,"")</f>
        <v>1</v>
      </c>
      <c r="T89" s="626">
        <v>0</v>
      </c>
      <c r="U89" s="626">
        <f t="shared" ref="U89:U90" si="77">IF(R89&lt;&gt;"",R89*S89*T89,"")</f>
        <v>0</v>
      </c>
      <c r="V89" s="651">
        <f t="shared" ref="V89:V90" si="78">IF(R89&lt;&gt;"",K89-U89,"")</f>
        <v>3500</v>
      </c>
      <c r="W89" s="652">
        <f t="shared" ref="W89:W90" si="79">IF(R89&lt;&gt;"",0%,"")</f>
        <v>0</v>
      </c>
      <c r="X89" s="653">
        <f t="shared" ref="X89:X90" si="80">IF(R89&lt;&gt;"",W89*V89,"")</f>
        <v>0</v>
      </c>
      <c r="Y89" s="653">
        <f t="shared" ref="Y89:Y90" si="81">IF(R89&lt;&gt;"",X89+U89,"")</f>
        <v>0</v>
      </c>
      <c r="Z89" s="629">
        <f t="shared" ref="Z89:Z92" si="82">IF(R89&lt;&gt;"",Y89+M89,"")</f>
        <v>792.39627434377621</v>
      </c>
      <c r="AA89" s="632">
        <f t="shared" ref="AA89:AA90" si="83">IF(R89&lt;&gt;"", IFERROR(V89/K89, 0), 0)</f>
        <v>1</v>
      </c>
      <c r="AB89" s="632">
        <f>U89/$U$85</f>
        <v>0</v>
      </c>
      <c r="AL89" s="1703">
        <f t="shared" si="72"/>
        <v>0</v>
      </c>
      <c r="AM89" s="1713"/>
    </row>
    <row r="90" spans="1:40" ht="159.9" customHeight="1" x14ac:dyDescent="0.7">
      <c r="A90" s="633">
        <v>76</v>
      </c>
      <c r="B90" s="608" t="s">
        <v>444</v>
      </c>
      <c r="C90" s="634" t="s">
        <v>175</v>
      </c>
      <c r="D90" s="633" t="s">
        <v>182</v>
      </c>
      <c r="E90" s="633" t="s">
        <v>179</v>
      </c>
      <c r="F90" s="786" t="s">
        <v>535</v>
      </c>
      <c r="G90" s="798" t="s">
        <v>1350</v>
      </c>
      <c r="H90" s="799">
        <v>1</v>
      </c>
      <c r="I90" s="799">
        <v>1</v>
      </c>
      <c r="J90" s="800">
        <v>1500</v>
      </c>
      <c r="K90" s="791">
        <f t="shared" si="73"/>
        <v>1500</v>
      </c>
      <c r="L90" s="791">
        <f t="shared" si="74"/>
        <v>120</v>
      </c>
      <c r="M90" s="791">
        <f t="shared" si="75"/>
        <v>339.59840329018982</v>
      </c>
      <c r="N90" s="641">
        <f t="shared" si="76"/>
        <v>1959.5984032901897</v>
      </c>
      <c r="O90" s="792" t="s">
        <v>974</v>
      </c>
      <c r="Q90" s="780" t="s">
        <v>1178</v>
      </c>
      <c r="R90" s="625">
        <f>IF(H90&lt;&gt;"",H90,"")</f>
        <v>1</v>
      </c>
      <c r="S90" s="625">
        <f>IF(I90&lt;&gt;"",I90,"")</f>
        <v>1</v>
      </c>
      <c r="T90" s="626">
        <v>0</v>
      </c>
      <c r="U90" s="626">
        <f t="shared" si="77"/>
        <v>0</v>
      </c>
      <c r="V90" s="667">
        <f t="shared" si="78"/>
        <v>1500</v>
      </c>
      <c r="W90" s="668">
        <f t="shared" si="79"/>
        <v>0</v>
      </c>
      <c r="X90" s="669">
        <f t="shared" si="80"/>
        <v>0</v>
      </c>
      <c r="Y90" s="669">
        <f t="shared" si="81"/>
        <v>0</v>
      </c>
      <c r="Z90" s="664">
        <f t="shared" si="82"/>
        <v>339.59840329018982</v>
      </c>
      <c r="AA90" s="631">
        <f t="shared" si="83"/>
        <v>1</v>
      </c>
      <c r="AB90" s="632">
        <f>U90/$U$85</f>
        <v>0</v>
      </c>
      <c r="AL90" s="1703">
        <f t="shared" si="72"/>
        <v>0</v>
      </c>
      <c r="AM90" s="1713"/>
    </row>
    <row r="91" spans="1:40" ht="50.1" customHeight="1" thickBot="1" x14ac:dyDescent="0.75">
      <c r="A91" s="584">
        <v>77</v>
      </c>
      <c r="B91" s="608"/>
      <c r="C91" s="609" t="s">
        <v>184</v>
      </c>
      <c r="D91" s="584"/>
      <c r="E91" s="584"/>
      <c r="F91" s="1526" t="s">
        <v>538</v>
      </c>
      <c r="G91" s="1527"/>
      <c r="H91" s="1527"/>
      <c r="I91" s="1527"/>
      <c r="J91" s="1527"/>
      <c r="K91" s="740">
        <f>SUM(K89:K90)</f>
        <v>5000</v>
      </c>
      <c r="L91" s="740">
        <f>SUM(L89:L90)</f>
        <v>400</v>
      </c>
      <c r="M91" s="740">
        <f>SUM(M89:M90)</f>
        <v>1131.9946776339661</v>
      </c>
      <c r="N91" s="740">
        <f>SUM(N89:N90)</f>
        <v>6531.9946776339657</v>
      </c>
      <c r="O91" s="723"/>
      <c r="R91" s="1544" t="s">
        <v>538</v>
      </c>
      <c r="S91" s="1528"/>
      <c r="T91" s="1528"/>
      <c r="U91" s="801">
        <f>SUM(U89:U90)</f>
        <v>0</v>
      </c>
      <c r="V91" s="762">
        <f>SUM(V89:V90)</f>
        <v>5000</v>
      </c>
      <c r="W91" s="763"/>
      <c r="X91" s="763"/>
      <c r="Y91" s="764">
        <f>SUM(Y89:Y90)</f>
        <v>0</v>
      </c>
      <c r="Z91" s="750">
        <f t="shared" si="82"/>
        <v>1131.9946776339661</v>
      </c>
      <c r="AL91" s="1703"/>
      <c r="AM91" s="1713"/>
    </row>
    <row r="92" spans="1:40" ht="50.1" customHeight="1" thickBot="1" x14ac:dyDescent="0.75">
      <c r="A92" s="584">
        <v>78</v>
      </c>
      <c r="B92" s="608"/>
      <c r="C92" s="609" t="s">
        <v>183</v>
      </c>
      <c r="D92" s="584"/>
      <c r="E92" s="584"/>
      <c r="F92" s="1529" t="s">
        <v>538</v>
      </c>
      <c r="G92" s="1530"/>
      <c r="H92" s="1530"/>
      <c r="I92" s="1530"/>
      <c r="J92" s="1530"/>
      <c r="K92" s="711">
        <f>SUM(K89:K90)</f>
        <v>5000</v>
      </c>
      <c r="L92" s="711">
        <f>SUM(L89:L90)</f>
        <v>400</v>
      </c>
      <c r="M92" s="711">
        <f>SUM(M89:M90)</f>
        <v>1131.9946776339661</v>
      </c>
      <c r="N92" s="802">
        <f>SUM(N89:N90)</f>
        <v>6531.9946776339657</v>
      </c>
      <c r="O92" s="711"/>
      <c r="R92" s="1532" t="s">
        <v>538</v>
      </c>
      <c r="S92" s="1533"/>
      <c r="T92" s="1533"/>
      <c r="U92" s="803">
        <f>SUM(U89:U90)</f>
        <v>0</v>
      </c>
      <c r="V92" s="712">
        <f>SUM(V89:V90)</f>
        <v>5000</v>
      </c>
      <c r="W92" s="713"/>
      <c r="X92" s="713"/>
      <c r="Y92" s="714">
        <f>SUM(Y89:Y90)</f>
        <v>0</v>
      </c>
      <c r="Z92" s="715">
        <f t="shared" si="82"/>
        <v>1131.9946776339661</v>
      </c>
      <c r="AL92" s="1703"/>
      <c r="AM92" s="1713"/>
    </row>
    <row r="93" spans="1:40" ht="50.1" customHeight="1" thickBot="1" x14ac:dyDescent="0.75">
      <c r="A93" s="584">
        <v>79</v>
      </c>
      <c r="B93" s="608">
        <v>8</v>
      </c>
      <c r="C93" s="609" t="s">
        <v>167</v>
      </c>
      <c r="D93" s="584"/>
      <c r="E93" s="584"/>
      <c r="F93" s="1534" t="s">
        <v>1173</v>
      </c>
      <c r="G93" s="1535"/>
      <c r="H93" s="1535"/>
      <c r="I93" s="1535"/>
      <c r="J93" s="1535"/>
      <c r="K93" s="1535"/>
      <c r="L93" s="1535"/>
      <c r="M93" s="1535"/>
      <c r="N93" s="1536"/>
      <c r="O93" s="610"/>
      <c r="P93" s="804"/>
      <c r="Q93" s="804"/>
      <c r="R93" s="1537" t="str">
        <f>IF(F93&lt;&gt;"",F93,"")</f>
        <v>KIT CONSUL - PRÉ CONVENÇÃO</v>
      </c>
      <c r="S93" s="1537"/>
      <c r="T93" s="1537"/>
      <c r="U93" s="1537"/>
      <c r="V93" s="1537"/>
      <c r="W93" s="1537"/>
      <c r="X93" s="1537"/>
      <c r="Y93" s="1537"/>
      <c r="Z93" s="1538"/>
      <c r="AL93" s="1703"/>
      <c r="AM93" s="1713"/>
    </row>
    <row r="94" spans="1:40" ht="50.1" customHeight="1" x14ac:dyDescent="0.7">
      <c r="A94" s="584">
        <v>80</v>
      </c>
      <c r="B94" s="608" t="s">
        <v>451</v>
      </c>
      <c r="C94" s="609" t="s">
        <v>169</v>
      </c>
      <c r="D94" s="584"/>
      <c r="E94" s="584"/>
      <c r="F94" s="1539"/>
      <c r="G94" s="1540"/>
      <c r="H94" s="1540"/>
      <c r="I94" s="1540"/>
      <c r="J94" s="1540"/>
      <c r="K94" s="1541"/>
      <c r="L94" s="612" t="s">
        <v>171</v>
      </c>
      <c r="M94" s="613" t="s">
        <v>172</v>
      </c>
      <c r="N94" s="614" t="s">
        <v>129</v>
      </c>
      <c r="O94" s="615"/>
      <c r="P94" s="805"/>
      <c r="Q94" s="805"/>
      <c r="R94" s="1528" t="str">
        <f>IF(F94&lt;&gt;"",F94,"")</f>
        <v/>
      </c>
      <c r="S94" s="1528"/>
      <c r="T94" s="1528"/>
      <c r="U94" s="1528"/>
      <c r="V94" s="1528"/>
      <c r="W94" s="1528"/>
      <c r="X94" s="1528"/>
      <c r="Y94" s="1528"/>
      <c r="Z94" s="1542"/>
      <c r="AA94" s="616" t="s">
        <v>173</v>
      </c>
      <c r="AB94" s="617" t="s">
        <v>130</v>
      </c>
      <c r="AL94" s="1703"/>
      <c r="AM94" s="1713"/>
    </row>
    <row r="95" spans="1:40" ht="159.9" customHeight="1" x14ac:dyDescent="0.7">
      <c r="A95" s="584">
        <v>81</v>
      </c>
      <c r="B95" s="608" t="s">
        <v>453</v>
      </c>
      <c r="C95" s="609" t="s">
        <v>175</v>
      </c>
      <c r="D95" s="584" t="s">
        <v>182</v>
      </c>
      <c r="E95" s="584" t="s">
        <v>179</v>
      </c>
      <c r="F95" s="691" t="s">
        <v>1174</v>
      </c>
      <c r="G95" s="692" t="s">
        <v>1351</v>
      </c>
      <c r="H95" s="806">
        <v>1</v>
      </c>
      <c r="I95" s="806">
        <v>1</v>
      </c>
      <c r="J95" s="807">
        <v>20065.91</v>
      </c>
      <c r="K95" s="695">
        <f>IF(F95&lt;&gt;"",H95*I95*J95,"")</f>
        <v>20065.91</v>
      </c>
      <c r="L95" s="695">
        <f>IF(K95&lt;&gt;"",IF(D95="INTERNO",0,K95*$L$14),"")</f>
        <v>1605.2728</v>
      </c>
      <c r="M95" s="695">
        <f>IF(K95&lt;&gt;"",IF(E95="FAT.OGGI",SUM(K95:L95)*(1/(1-$M$14)-1),L95*(1/(1-$M$14)-1)),0)</f>
        <v>4542.9006643764351</v>
      </c>
      <c r="N95" s="635">
        <f>SUM(K95:M95)</f>
        <v>26214.083464376432</v>
      </c>
      <c r="O95" s="792" t="s">
        <v>623</v>
      </c>
      <c r="P95" s="808" t="s">
        <v>1175</v>
      </c>
      <c r="Q95" s="808"/>
      <c r="R95" s="625">
        <f>IF(H95&lt;&gt;"",H95,"")</f>
        <v>1</v>
      </c>
      <c r="S95" s="637">
        <f>IF(I95&lt;&gt;"",I95,"")</f>
        <v>1</v>
      </c>
      <c r="T95" s="638">
        <v>15000</v>
      </c>
      <c r="U95" s="638">
        <v>12750</v>
      </c>
      <c r="V95" s="720">
        <f>IF(R95&lt;&gt;"",K95-U95,"")</f>
        <v>7315.91</v>
      </c>
      <c r="W95" s="721">
        <f>IF(R95&lt;&gt;"",0%,"")</f>
        <v>0</v>
      </c>
      <c r="X95" s="701">
        <f>IF(R95&lt;&gt;"",W95*V95,"")</f>
        <v>0</v>
      </c>
      <c r="Y95" s="701">
        <v>12750</v>
      </c>
      <c r="Z95" s="809" t="str">
        <f>IFERROR(S95/#REF!, "")</f>
        <v/>
      </c>
      <c r="AA95" s="640">
        <f>IF(R95&lt;&gt;"", IFERROR(V95/K95, 0), 0)</f>
        <v>0.36459398053713987</v>
      </c>
      <c r="AB95" s="632">
        <f>U95/$U$96</f>
        <v>1</v>
      </c>
      <c r="AL95" s="1703">
        <f t="shared" si="72"/>
        <v>0</v>
      </c>
      <c r="AM95" s="1713">
        <f>12000+750</f>
        <v>12750</v>
      </c>
      <c r="AN95" s="1695" t="s">
        <v>1638</v>
      </c>
    </row>
    <row r="96" spans="1:40" ht="50.1" customHeight="1" thickBot="1" x14ac:dyDescent="0.75">
      <c r="A96" s="584">
        <v>82</v>
      </c>
      <c r="B96" s="608"/>
      <c r="C96" s="609" t="s">
        <v>184</v>
      </c>
      <c r="D96" s="584"/>
      <c r="E96" s="584"/>
      <c r="F96" s="1526" t="s">
        <v>191</v>
      </c>
      <c r="G96" s="1527"/>
      <c r="H96" s="1527"/>
      <c r="I96" s="1527"/>
      <c r="J96" s="1527"/>
      <c r="K96" s="740">
        <f>SUM(K95:K95)</f>
        <v>20065.91</v>
      </c>
      <c r="L96" s="740">
        <f>SUM(L95:L95)</f>
        <v>1605.2728</v>
      </c>
      <c r="M96" s="740">
        <f>SUM(M95:M95)</f>
        <v>4542.9006643764351</v>
      </c>
      <c r="N96" s="810">
        <f>SUM(N95:N95)</f>
        <v>26214.083464376432</v>
      </c>
      <c r="O96" s="723"/>
      <c r="P96" s="805"/>
      <c r="Q96" s="805"/>
      <c r="R96" s="1528" t="s">
        <v>191</v>
      </c>
      <c r="S96" s="1528"/>
      <c r="T96" s="1528"/>
      <c r="U96" s="801">
        <f>SUM(U95:U95)</f>
        <v>12750</v>
      </c>
      <c r="V96" s="762">
        <f>SUM(V95:V95)</f>
        <v>7315.91</v>
      </c>
      <c r="W96" s="763"/>
      <c r="X96" s="763"/>
      <c r="Y96" s="764">
        <f>SUM(Y95:Y95)</f>
        <v>12750</v>
      </c>
      <c r="Z96" s="811" t="str">
        <f>IFERROR(S96/#REF!, "")</f>
        <v/>
      </c>
      <c r="AL96" s="1703"/>
      <c r="AM96" s="1713"/>
    </row>
    <row r="97" spans="1:40" ht="50.1" customHeight="1" thickBot="1" x14ac:dyDescent="0.75">
      <c r="A97" s="584">
        <v>83</v>
      </c>
      <c r="B97" s="608"/>
      <c r="C97" s="609" t="s">
        <v>183</v>
      </c>
      <c r="D97" s="584"/>
      <c r="E97" s="584"/>
      <c r="F97" s="1529" t="s">
        <v>548</v>
      </c>
      <c r="G97" s="1530"/>
      <c r="H97" s="1530"/>
      <c r="I97" s="1530"/>
      <c r="J97" s="1530"/>
      <c r="K97" s="711">
        <f>SUM(K95:K95)</f>
        <v>20065.91</v>
      </c>
      <c r="L97" s="711">
        <f>SUM(L95:L95)</f>
        <v>1605.2728</v>
      </c>
      <c r="M97" s="711">
        <f>SUM(M95:M95)</f>
        <v>4542.9006643764351</v>
      </c>
      <c r="N97" s="802">
        <f>SUM(N95:N95)</f>
        <v>26214.083464376432</v>
      </c>
      <c r="O97" s="711"/>
      <c r="P97" s="805"/>
      <c r="Q97" s="805"/>
      <c r="R97" s="1531" t="s">
        <v>548</v>
      </c>
      <c r="S97" s="1531"/>
      <c r="T97" s="1531"/>
      <c r="U97" s="812">
        <f>SUM(U95:U95)</f>
        <v>12750</v>
      </c>
      <c r="V97" s="762">
        <f>SUM(V95:V95)</f>
        <v>7315.91</v>
      </c>
      <c r="W97" s="763"/>
      <c r="X97" s="763"/>
      <c r="Y97" s="764">
        <f>SUM(Y95:Y95)</f>
        <v>12750</v>
      </c>
      <c r="Z97" s="811" t="str">
        <f>IFERROR(S97/#REF!, "")</f>
        <v/>
      </c>
      <c r="AA97" s="813" t="s">
        <v>235</v>
      </c>
      <c r="AB97" s="814" t="s">
        <v>549</v>
      </c>
      <c r="AL97" s="1703"/>
      <c r="AM97" s="1713"/>
    </row>
    <row r="98" spans="1:40" ht="50.1" customHeight="1" thickBot="1" x14ac:dyDescent="0.75">
      <c r="A98" s="584">
        <v>84</v>
      </c>
      <c r="B98" s="815"/>
      <c r="C98" s="609" t="s">
        <v>186</v>
      </c>
      <c r="D98" s="584"/>
      <c r="E98" s="584"/>
      <c r="F98" s="816" t="s">
        <v>187</v>
      </c>
      <c r="G98" s="817"/>
      <c r="H98" s="817"/>
      <c r="I98" s="817"/>
      <c r="J98" s="817"/>
      <c r="K98" s="818">
        <f>SUM(K17:K23)+SUM(K28:K33)+SUM(K37:K40)+SUM(K45:K45)+SUM(K48:K49)+SUM(K52:K55)+SUM(K60:K60)+SUM(K65:K67)+SUM(K72:K80)+SUM(K83:K84)+SUM(K89:K90)+SUM(K95:K95)</f>
        <v>366597.95999999996</v>
      </c>
      <c r="L98" s="818">
        <f>SUM(L17:L23)+SUM(L28:L33)+SUM(L37:L40)+SUM(L45:L45)+SUM(L48:L49)+SUM(L52:L55)+SUM(L60:L60)+SUM(L65:L67)+SUM(L72:L80)+SUM(L83:L84)+SUM(L89:L90)+SUM(L95:L95)</f>
        <v>21914.176800000001</v>
      </c>
      <c r="M98" s="818">
        <f>SUM(M17:M23)+SUM(M28:M33)+SUM(M37:M40)+SUM(M45:M45)+SUM(M48:M49)+SUM(M52:M55)+SUM(M60:M60)+SUM(M65:M67)+SUM(M72:M80)+SUM(M83:M84)+SUM(M89:M90)+SUM(M95:M95)</f>
        <v>40420.414185847338</v>
      </c>
      <c r="N98" s="818">
        <f>SUM(N17:N23)+SUM(N28:N33)+SUM(N37:N40)+SUM(N45:N45)+SUM(N48:N49)+SUM(N52:N55)+SUM(N60:N60)+SUM(N65:N67)+SUM(N72:N80)+SUM(N83:N84)+SUM(N89:N90)+SUM(N95:N95)</f>
        <v>428932.55098584737</v>
      </c>
      <c r="O98" s="819"/>
      <c r="P98" s="805"/>
      <c r="Q98" s="805"/>
      <c r="R98" s="820" t="s">
        <v>43</v>
      </c>
      <c r="S98" s="820"/>
      <c r="T98" s="821"/>
      <c r="U98" s="822">
        <f>SUM(U17:U23)+SUM(U28:U33)+SUM(U37:U40)+SUM(U45:U45)+SUM(U48:U49)+SUM(U52:U55)+SUM(U60:U60)+SUM(U65:U67)+SUM(U72:U80)+SUM(U83:U84)+SUM(U89:U90)+SUM(U95:U95)</f>
        <v>66804.83</v>
      </c>
      <c r="V98" s="822">
        <f>SUM(V17:V23)+SUM(V28:V33)+SUM(V37:V40)+SUM(V45:V45)+SUM(V48:V49)+SUM(V52:V55)+SUM(V60:V60)+SUM(V65:V67)+SUM(V72:V80)+SUM(V83:V84)+SUM(V89:V90)+SUM(V95:V95)</f>
        <v>299793.12999999995</v>
      </c>
      <c r="W98" s="821"/>
      <c r="X98" s="821"/>
      <c r="Y98" s="822">
        <f>SUM(Y17:Y23)+SUM(Y28:Y33)+SUM(Y37:Y40)+SUM(Y45:Y45)+SUM(Y48:Y49)+SUM(Y52:Y55)+SUM(Y60:Y60)+SUM(Y65:Y67)+SUM(Y72:Y80)+SUM(Y83:Y84)+SUM(Y89:Y90)+SUM(Y95:Y95)</f>
        <v>66804.83</v>
      </c>
      <c r="Z98" s="823" t="str">
        <f>IFERROR(S98/#REF!, "")</f>
        <v/>
      </c>
      <c r="AA98" s="824">
        <f>IF(R98&lt;&gt;"",(N98-Y98)/N98,"")</f>
        <v>0.8442532984580966</v>
      </c>
      <c r="AB98" s="825">
        <f>IF(AA98&lt;&gt;"",(N98-Y98),"")</f>
        <v>362127.72098584735</v>
      </c>
      <c r="AL98" s="1703">
        <f>SUM(AL17:AL97)</f>
        <v>0</v>
      </c>
      <c r="AM98" s="1704">
        <f>SUM(AM17:AM97)</f>
        <v>66804.83</v>
      </c>
    </row>
    <row r="101" spans="1:40" x14ac:dyDescent="0.7">
      <c r="AM101" s="1706">
        <f>Y98</f>
        <v>66804.83</v>
      </c>
      <c r="AN101" s="1707" t="s">
        <v>1615</v>
      </c>
    </row>
    <row r="102" spans="1:40" x14ac:dyDescent="0.7">
      <c r="AM102" s="1708">
        <f>N98-Y98</f>
        <v>362127.72098584735</v>
      </c>
      <c r="AN102" s="1709" t="s">
        <v>799</v>
      </c>
    </row>
    <row r="103" spans="1:40" x14ac:dyDescent="0.7">
      <c r="AM103" s="1714">
        <f>AM102*100%/N98</f>
        <v>0.8442532984580966</v>
      </c>
      <c r="AN103" s="1709"/>
    </row>
  </sheetData>
  <mergeCells count="91">
    <mergeCell ref="F24:J24"/>
    <mergeCell ref="R24:T24"/>
    <mergeCell ref="F1:G1"/>
    <mergeCell ref="F2:G2"/>
    <mergeCell ref="R12:U12"/>
    <mergeCell ref="AL12:AM12"/>
    <mergeCell ref="F15:N15"/>
    <mergeCell ref="R15:Z15"/>
    <mergeCell ref="F16:K16"/>
    <mergeCell ref="R16:Z16"/>
    <mergeCell ref="V12:Y12"/>
    <mergeCell ref="AD12:AF12"/>
    <mergeCell ref="AH12:AI12"/>
    <mergeCell ref="AL15:AM15"/>
    <mergeCell ref="AL16:AM16"/>
    <mergeCell ref="F25:J25"/>
    <mergeCell ref="R25:T25"/>
    <mergeCell ref="F26:N26"/>
    <mergeCell ref="R26:Z26"/>
    <mergeCell ref="F27:K27"/>
    <mergeCell ref="R27:Z27"/>
    <mergeCell ref="F34:J34"/>
    <mergeCell ref="R34:T34"/>
    <mergeCell ref="F35:J35"/>
    <mergeCell ref="R35:T35"/>
    <mergeCell ref="F36:K36"/>
    <mergeCell ref="R36:Z36"/>
    <mergeCell ref="F41:J41"/>
    <mergeCell ref="R41:T41"/>
    <mergeCell ref="F42:J42"/>
    <mergeCell ref="R42:T42"/>
    <mergeCell ref="F43:N43"/>
    <mergeCell ref="R43:Z43"/>
    <mergeCell ref="F44:K44"/>
    <mergeCell ref="R44:Z44"/>
    <mergeCell ref="F46:J46"/>
    <mergeCell ref="R46:T46"/>
    <mergeCell ref="F47:K47"/>
    <mergeCell ref="R47:Z47"/>
    <mergeCell ref="F50:J50"/>
    <mergeCell ref="R50:T50"/>
    <mergeCell ref="F51:K51"/>
    <mergeCell ref="R51:Z51"/>
    <mergeCell ref="F56:J56"/>
    <mergeCell ref="R56:T56"/>
    <mergeCell ref="F57:J57"/>
    <mergeCell ref="R57:T57"/>
    <mergeCell ref="F58:N58"/>
    <mergeCell ref="R58:Z58"/>
    <mergeCell ref="F59:K59"/>
    <mergeCell ref="R59:Z59"/>
    <mergeCell ref="F61:J61"/>
    <mergeCell ref="R61:T61"/>
    <mergeCell ref="F62:J62"/>
    <mergeCell ref="R62:T62"/>
    <mergeCell ref="F63:N63"/>
    <mergeCell ref="R63:Z63"/>
    <mergeCell ref="F64:K64"/>
    <mergeCell ref="R64:Z64"/>
    <mergeCell ref="F68:J68"/>
    <mergeCell ref="R68:T68"/>
    <mergeCell ref="F69:J69"/>
    <mergeCell ref="R69:T69"/>
    <mergeCell ref="F70:N70"/>
    <mergeCell ref="R70:Z70"/>
    <mergeCell ref="F71:K71"/>
    <mergeCell ref="R71:Z71"/>
    <mergeCell ref="F81:J81"/>
    <mergeCell ref="R81:T81"/>
    <mergeCell ref="F82:K82"/>
    <mergeCell ref="R82:Z82"/>
    <mergeCell ref="F85:J85"/>
    <mergeCell ref="R85:T85"/>
    <mergeCell ref="F86:J86"/>
    <mergeCell ref="R86:T86"/>
    <mergeCell ref="F87:N87"/>
    <mergeCell ref="R87:Z87"/>
    <mergeCell ref="F88:K88"/>
    <mergeCell ref="R88:Z88"/>
    <mergeCell ref="F91:J91"/>
    <mergeCell ref="R91:T91"/>
    <mergeCell ref="F96:J96"/>
    <mergeCell ref="R96:T96"/>
    <mergeCell ref="F97:J97"/>
    <mergeCell ref="R97:T97"/>
    <mergeCell ref="F92:J92"/>
    <mergeCell ref="R92:T92"/>
    <mergeCell ref="F93:N93"/>
    <mergeCell ref="R93:Z93"/>
    <mergeCell ref="F94:K94"/>
    <mergeCell ref="R94:Z94"/>
  </mergeCells>
  <dataValidations count="3">
    <dataValidation type="list" allowBlank="1" showInputMessage="1" showErrorMessage="1" sqref="E98" xr:uid="{EA25BC97-E4EB-4009-9D06-DB8F87E518FF}">
      <formula1>"FAT.OGGI,FAT.CLIENTE "</formula1>
    </dataValidation>
    <dataValidation type="list" allowBlank="1" showInputMessage="1" showErrorMessage="1" sqref="E17:E25 E60 E65:E67 E95 E89:E90 E83:E84 E72:E81 E48:E49 E45 E37:E40 E28:E34 E52:E55" xr:uid="{FD8A451F-9571-4491-9D35-EE493094281E}">
      <formula1>"FAT.OGGI,FAT.CLIENTE"</formula1>
    </dataValidation>
    <dataValidation type="list" allowBlank="1" showInputMessage="1" showErrorMessage="1" sqref="D17:D25 D65:D67 D98 D60 D95 D89:D90 D83:D84 D72:D81 D48:D49 D45 D37:D40 D28:D34 D52:D55" xr:uid="{9C7F2416-B4ED-4474-95DB-A6FDDE37CA77}">
      <formula1>"INTERNO,OPERACIONAL"</formula1>
    </dataValidation>
  </dataValidations>
  <pageMargins left="0.511811024" right="0.511811024" top="0.78740157499999996" bottom="0.78740157499999996" header="0.31496062000000002" footer="0.31496062000000002"/>
  <pageSetup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A2DF0-4A37-493C-9A35-15D26F0487BE}">
  <sheetPr codeName="Planilha13">
    <tabColor theme="2" tint="-0.749992370372631"/>
    <pageSetUpPr autoPageBreaks="0" fitToPage="1"/>
  </sheetPr>
  <dimension ref="A1:AP120"/>
  <sheetViews>
    <sheetView showGridLines="0" zoomScale="40" zoomScaleNormal="40" workbookViewId="0">
      <pane ySplit="1" topLeftCell="A32" activePane="bottomLeft" state="frozen"/>
      <selection pane="bottomLeft" activeCell="AM1" sqref="AM1:AP1048576"/>
    </sheetView>
  </sheetViews>
  <sheetFormatPr defaultColWidth="8.88671875" defaultRowHeight="36.6" x14ac:dyDescent="0.7"/>
  <cols>
    <col min="1" max="1" width="8.109375" style="559" hidden="1" customWidth="1"/>
    <col min="2" max="2" width="13.88671875" style="559" customWidth="1"/>
    <col min="3" max="3" width="15.44140625" style="559" hidden="1" customWidth="1"/>
    <col min="4" max="4" width="23.109375" style="559" hidden="1" customWidth="1"/>
    <col min="5" max="5" width="19.88671875" style="559" hidden="1" customWidth="1"/>
    <col min="6" max="6" width="37.5546875" style="559" customWidth="1"/>
    <col min="7" max="7" width="76.44140625" style="559" customWidth="1"/>
    <col min="8" max="8" width="8.5546875" style="559" hidden="1" customWidth="1"/>
    <col min="9" max="9" width="7.6640625" style="559" hidden="1" customWidth="1"/>
    <col min="10" max="10" width="18.88671875" style="559" hidden="1" customWidth="1"/>
    <col min="11" max="11" width="41.88671875" style="559" bestFit="1" customWidth="1"/>
    <col min="12" max="12" width="52.5546875" style="559" bestFit="1" customWidth="1"/>
    <col min="13" max="13" width="39.88671875" style="559" customWidth="1"/>
    <col min="14" max="14" width="41.88671875" style="559" bestFit="1" customWidth="1"/>
    <col min="15" max="16" width="29" style="559" hidden="1" customWidth="1"/>
    <col min="17" max="17" width="37.5546875" style="559" hidden="1" customWidth="1"/>
    <col min="18" max="18" width="32.6640625" style="559" hidden="1" customWidth="1"/>
    <col min="19" max="19" width="16.88671875" style="562" customWidth="1"/>
    <col min="20" max="20" width="8.44140625" style="562" hidden="1" customWidth="1"/>
    <col min="21" max="21" width="42.5546875" style="559" hidden="1" customWidth="1"/>
    <col min="22" max="22" width="42.5546875" style="559" bestFit="1" customWidth="1"/>
    <col min="23" max="23" width="27.5546875" style="559" hidden="1" customWidth="1"/>
    <col min="24" max="24" width="12.109375" style="559" hidden="1" customWidth="1"/>
    <col min="25" max="25" width="16.109375" style="559" hidden="1" customWidth="1"/>
    <col min="26" max="26" width="46.5546875" style="559" bestFit="1" customWidth="1"/>
    <col min="27" max="27" width="25.5546875" style="559" hidden="1" customWidth="1"/>
    <col min="28" max="28" width="41" style="559" hidden="1" customWidth="1"/>
    <col min="29" max="29" width="41.88671875" style="559" hidden="1" customWidth="1"/>
    <col min="30" max="30" width="25.5546875" style="559" hidden="1" customWidth="1"/>
    <col min="31" max="31" width="14.109375" style="559" hidden="1" customWidth="1"/>
    <col min="32" max="32" width="34.5546875" style="559" hidden="1" customWidth="1"/>
    <col min="33" max="33" width="6.88671875" style="559" hidden="1" customWidth="1"/>
    <col min="34" max="34" width="1.44140625" style="559" hidden="1" customWidth="1"/>
    <col min="35" max="35" width="14" style="559" hidden="1" customWidth="1"/>
    <col min="36" max="36" width="11.5546875" style="559" hidden="1" customWidth="1"/>
    <col min="37" max="37" width="6.44140625" style="559" hidden="1" customWidth="1"/>
    <col min="38" max="38" width="12.5546875" style="559" hidden="1" customWidth="1"/>
    <col min="39" max="39" width="42.88671875" style="1711" customWidth="1"/>
    <col min="40" max="40" width="52.6640625" style="1711" customWidth="1"/>
    <col min="41" max="41" width="28.44140625" style="1695" bestFit="1" customWidth="1"/>
    <col min="42" max="42" width="21.44140625" style="1711" customWidth="1"/>
    <col min="43" max="16384" width="8.88671875" style="559"/>
  </cols>
  <sheetData>
    <row r="1" spans="1:40" ht="49.5" customHeight="1" x14ac:dyDescent="0.7">
      <c r="B1" s="560"/>
      <c r="C1" s="561"/>
      <c r="D1" s="561"/>
      <c r="F1" s="1399" t="s">
        <v>128</v>
      </c>
      <c r="G1" s="1399"/>
    </row>
    <row r="2" spans="1:40" ht="24.75" customHeight="1" x14ac:dyDescent="0.7">
      <c r="B2" s="562"/>
      <c r="D2" s="561"/>
      <c r="F2" s="1577" t="s">
        <v>0</v>
      </c>
      <c r="G2" s="1577"/>
    </row>
    <row r="3" spans="1:40" x14ac:dyDescent="0.7">
      <c r="B3" s="563"/>
      <c r="F3" s="564"/>
      <c r="G3" s="564"/>
    </row>
    <row r="4" spans="1:40" x14ac:dyDescent="0.7">
      <c r="F4" s="565" t="s">
        <v>245</v>
      </c>
      <c r="G4" s="566"/>
    </row>
    <row r="5" spans="1:40" x14ac:dyDescent="0.7">
      <c r="F5" s="567" t="s">
        <v>224</v>
      </c>
      <c r="G5" s="568"/>
    </row>
    <row r="6" spans="1:40" x14ac:dyDescent="0.7">
      <c r="D6" s="559" t="s">
        <v>155</v>
      </c>
      <c r="F6" s="567" t="s">
        <v>246</v>
      </c>
      <c r="G6" s="569"/>
    </row>
    <row r="7" spans="1:40" x14ac:dyDescent="0.7">
      <c r="F7" s="567" t="s">
        <v>247</v>
      </c>
      <c r="G7" s="569"/>
      <c r="J7" s="559" t="s">
        <v>225</v>
      </c>
    </row>
    <row r="8" spans="1:40" x14ac:dyDescent="0.7">
      <c r="F8" s="567" t="s">
        <v>248</v>
      </c>
      <c r="G8" s="570"/>
    </row>
    <row r="9" spans="1:40" x14ac:dyDescent="0.7">
      <c r="F9" s="567" t="s">
        <v>249</v>
      </c>
      <c r="G9" s="569"/>
      <c r="J9" s="559" t="s">
        <v>155</v>
      </c>
      <c r="M9" s="559">
        <v>0.80469999999999997</v>
      </c>
    </row>
    <row r="10" spans="1:40" x14ac:dyDescent="0.7">
      <c r="F10" s="567" t="s">
        <v>177</v>
      </c>
      <c r="G10" s="569"/>
      <c r="M10" s="559">
        <f>1-M9</f>
        <v>0.19530000000000003</v>
      </c>
    </row>
    <row r="11" spans="1:40" ht="37.200000000000003" thickBot="1" x14ac:dyDescent="0.75">
      <c r="F11" s="571" t="s">
        <v>250</v>
      </c>
      <c r="G11" s="572"/>
    </row>
    <row r="12" spans="1:40" ht="87" thickBot="1" x14ac:dyDescent="0.75">
      <c r="B12" s="573"/>
      <c r="L12" s="574">
        <v>0</v>
      </c>
      <c r="M12" s="575">
        <v>0</v>
      </c>
      <c r="S12" s="1409" t="s">
        <v>1</v>
      </c>
      <c r="T12" s="1410"/>
      <c r="U12" s="1410"/>
      <c r="V12" s="1411"/>
      <c r="W12" s="1412" t="s">
        <v>2</v>
      </c>
      <c r="X12" s="1413"/>
      <c r="Y12" s="1413"/>
      <c r="Z12" s="1414"/>
      <c r="AA12" s="576" t="s">
        <v>56</v>
      </c>
      <c r="AB12" s="826">
        <f>(1/(1-M14))-1</f>
        <v>0.20962864400629</v>
      </c>
      <c r="AE12" s="1392" t="s">
        <v>3</v>
      </c>
      <c r="AF12" s="1393"/>
      <c r="AG12" s="1394"/>
      <c r="AI12" s="1390" t="s">
        <v>58</v>
      </c>
      <c r="AJ12" s="1573"/>
      <c r="AL12" s="578" t="s">
        <v>71</v>
      </c>
      <c r="AM12" s="1696" t="s">
        <v>70</v>
      </c>
      <c r="AN12" s="1697"/>
    </row>
    <row r="13" spans="1:40" ht="37.200000000000003" thickBot="1" x14ac:dyDescent="0.75">
      <c r="A13" s="579" t="s">
        <v>4</v>
      </c>
      <c r="B13" s="580" t="s">
        <v>5</v>
      </c>
      <c r="C13" s="579" t="s">
        <v>6</v>
      </c>
      <c r="D13" s="579" t="s">
        <v>7</v>
      </c>
      <c r="E13" s="579" t="s">
        <v>8</v>
      </c>
      <c r="L13" s="574">
        <v>0.05</v>
      </c>
      <c r="M13" s="575">
        <v>0.82669999999999999</v>
      </c>
    </row>
    <row r="14" spans="1:40" ht="87" thickBot="1" x14ac:dyDescent="0.75">
      <c r="A14" s="581">
        <v>0</v>
      </c>
      <c r="B14" s="582"/>
      <c r="C14" s="583"/>
      <c r="D14" s="584"/>
      <c r="E14" s="584"/>
      <c r="F14" s="585" t="s">
        <v>131</v>
      </c>
      <c r="G14" s="586" t="s">
        <v>132</v>
      </c>
      <c r="H14" s="587" t="s">
        <v>133</v>
      </c>
      <c r="I14" s="587" t="s">
        <v>134</v>
      </c>
      <c r="J14" s="588" t="s">
        <v>135</v>
      </c>
      <c r="K14" s="589" t="s">
        <v>9</v>
      </c>
      <c r="L14" s="590">
        <v>0.08</v>
      </c>
      <c r="M14" s="591">
        <f>1-M13</f>
        <v>0.17330000000000001</v>
      </c>
      <c r="N14" s="592" t="s">
        <v>129</v>
      </c>
      <c r="O14" s="593"/>
      <c r="P14" s="593"/>
      <c r="Q14" s="593"/>
      <c r="S14" s="594" t="s">
        <v>136</v>
      </c>
      <c r="T14" s="595" t="s">
        <v>137</v>
      </c>
      <c r="U14" s="596" t="s">
        <v>138</v>
      </c>
      <c r="V14" s="597" t="s">
        <v>139</v>
      </c>
      <c r="W14" s="598" t="s">
        <v>140</v>
      </c>
      <c r="X14" s="599" t="s">
        <v>141</v>
      </c>
      <c r="Y14" s="600" t="s">
        <v>142</v>
      </c>
      <c r="Z14" s="600" t="s">
        <v>143</v>
      </c>
      <c r="AA14" s="601" t="s">
        <v>144</v>
      </c>
      <c r="AB14" s="602" t="s">
        <v>145</v>
      </c>
      <c r="AC14" s="603" t="s">
        <v>130</v>
      </c>
      <c r="AE14" s="604" t="s">
        <v>146</v>
      </c>
      <c r="AF14" s="605" t="s">
        <v>147</v>
      </c>
      <c r="AG14" s="605" t="s">
        <v>33</v>
      </c>
      <c r="AI14" s="606" t="s">
        <v>148</v>
      </c>
      <c r="AJ14" s="607" t="s">
        <v>149</v>
      </c>
      <c r="AK14" s="559" t="s">
        <v>150</v>
      </c>
      <c r="AL14" s="559" t="s">
        <v>150</v>
      </c>
      <c r="AM14" s="1698" t="s">
        <v>151</v>
      </c>
      <c r="AN14" s="1712" t="s">
        <v>152</v>
      </c>
    </row>
    <row r="15" spans="1:40" ht="50.1" customHeight="1" thickBot="1" x14ac:dyDescent="0.75">
      <c r="A15" s="584">
        <v>1</v>
      </c>
      <c r="B15" s="608">
        <v>1</v>
      </c>
      <c r="C15" s="609" t="s">
        <v>167</v>
      </c>
      <c r="D15" s="584"/>
      <c r="E15" s="584"/>
      <c r="F15" s="1534" t="s">
        <v>257</v>
      </c>
      <c r="G15" s="1535"/>
      <c r="H15" s="1535"/>
      <c r="I15" s="1535"/>
      <c r="J15" s="1535"/>
      <c r="K15" s="1535"/>
      <c r="L15" s="1535"/>
      <c r="M15" s="1535"/>
      <c r="N15" s="1612"/>
      <c r="O15" s="611"/>
      <c r="P15" s="611"/>
      <c r="Q15" s="611"/>
      <c r="S15" s="1395" t="str">
        <f>IF(F15&lt;&gt;"",F15,"")</f>
        <v>LOGÍSTICA</v>
      </c>
      <c r="T15" s="1396"/>
      <c r="U15" s="1396"/>
      <c r="V15" s="1396"/>
      <c r="W15" s="1396"/>
      <c r="X15" s="1396"/>
      <c r="Y15" s="1396"/>
      <c r="Z15" s="1396"/>
      <c r="AA15" s="1563"/>
      <c r="AM15" s="1699"/>
      <c r="AN15" s="1700"/>
    </row>
    <row r="16" spans="1:40" ht="50.1" customHeight="1" x14ac:dyDescent="0.7">
      <c r="A16" s="584">
        <v>2</v>
      </c>
      <c r="B16" s="608" t="s">
        <v>170</v>
      </c>
      <c r="C16" s="609" t="s">
        <v>169</v>
      </c>
      <c r="D16" s="584"/>
      <c r="E16" s="584"/>
      <c r="F16" s="1539" t="s">
        <v>296</v>
      </c>
      <c r="G16" s="1540"/>
      <c r="H16" s="1540"/>
      <c r="I16" s="1540"/>
      <c r="J16" s="1540"/>
      <c r="K16" s="1541"/>
      <c r="L16" s="612" t="s">
        <v>171</v>
      </c>
      <c r="M16" s="613" t="s">
        <v>172</v>
      </c>
      <c r="N16" s="827" t="s">
        <v>129</v>
      </c>
      <c r="O16" s="615"/>
      <c r="P16" s="615"/>
      <c r="Q16" s="615"/>
      <c r="S16" s="1397" t="str">
        <f>IF(F16&lt;&gt;"",F16,"")</f>
        <v xml:space="preserve">LOGÍSTICA AÉREA </v>
      </c>
      <c r="T16" s="1398"/>
      <c r="U16" s="1398"/>
      <c r="V16" s="1398"/>
      <c r="W16" s="1398"/>
      <c r="X16" s="1398"/>
      <c r="Y16" s="1398"/>
      <c r="Z16" s="1398"/>
      <c r="AA16" s="1561"/>
      <c r="AB16" s="616" t="s">
        <v>173</v>
      </c>
      <c r="AC16" s="617" t="s">
        <v>130</v>
      </c>
      <c r="AM16" s="1701"/>
      <c r="AN16" s="1702"/>
    </row>
    <row r="17" spans="1:41" ht="150" customHeight="1" x14ac:dyDescent="0.7">
      <c r="A17" s="584">
        <v>3</v>
      </c>
      <c r="B17" s="608" t="s">
        <v>176</v>
      </c>
      <c r="C17" s="609" t="s">
        <v>175</v>
      </c>
      <c r="D17" s="584" t="s">
        <v>182</v>
      </c>
      <c r="E17" s="584" t="s">
        <v>331</v>
      </c>
      <c r="F17" s="828" t="s">
        <v>677</v>
      </c>
      <c r="G17" s="829" t="s">
        <v>1352</v>
      </c>
      <c r="H17" s="830">
        <v>1</v>
      </c>
      <c r="I17" s="830">
        <v>1</v>
      </c>
      <c r="J17" s="831">
        <v>9942.23</v>
      </c>
      <c r="K17" s="832">
        <f t="shared" ref="K17" si="0">IF(F17&lt;&gt;"",H17*I17*J17,"")</f>
        <v>9942.23</v>
      </c>
      <c r="L17" s="832">
        <f t="shared" ref="L17" si="1">IF(K17&lt;&gt;"",IF(D17="INTERNO",0,K17*$L$12),"")</f>
        <v>0</v>
      </c>
      <c r="M17" s="832">
        <v>0</v>
      </c>
      <c r="N17" s="635">
        <f t="shared" ref="N17" si="2">SUM(K17:M17)</f>
        <v>9942.23</v>
      </c>
      <c r="O17" s="623"/>
      <c r="P17" s="623"/>
      <c r="Q17" s="623"/>
      <c r="S17" s="636">
        <f>IF(H17&lt;&gt;"",H17,"")</f>
        <v>1</v>
      </c>
      <c r="T17" s="637">
        <f>IF(I17&lt;&gt;"",I17,"")</f>
        <v>1</v>
      </c>
      <c r="U17" s="638">
        <v>9942.23</v>
      </c>
      <c r="V17" s="638">
        <v>0</v>
      </c>
      <c r="W17" s="720">
        <f>IF(S17&lt;&gt;"",K17-V17,"")</f>
        <v>9942.23</v>
      </c>
      <c r="X17" s="721">
        <f t="shared" ref="X17" si="3">IF(S17&lt;&gt;"",0%,"")</f>
        <v>0</v>
      </c>
      <c r="Y17" s="701">
        <f t="shared" ref="Y17" si="4">IF(S17&lt;&gt;"",X17*W17,"")</f>
        <v>0</v>
      </c>
      <c r="Z17" s="701">
        <f t="shared" ref="Z17" si="5">IF(S17&lt;&gt;"",Y17+V17,"")</f>
        <v>0</v>
      </c>
      <c r="AA17" s="639">
        <f>IF(S17&lt;&gt;"",Z17+M17,"")</f>
        <v>0</v>
      </c>
      <c r="AB17" s="631">
        <f>IFERROR(IF(S17&lt;&gt;"",W17/K17,""),0)</f>
        <v>1</v>
      </c>
      <c r="AC17" s="632" t="e">
        <f>V17/$V$19</f>
        <v>#DIV/0!</v>
      </c>
      <c r="AM17" s="1703">
        <f>Z17-AN17</f>
        <v>0</v>
      </c>
      <c r="AN17" s="1713"/>
    </row>
    <row r="18" spans="1:41" ht="150" customHeight="1" x14ac:dyDescent="0.7">
      <c r="A18" s="646">
        <v>4</v>
      </c>
      <c r="B18" s="608" t="s">
        <v>153</v>
      </c>
      <c r="C18" s="647" t="s">
        <v>175</v>
      </c>
      <c r="D18" s="584" t="s">
        <v>182</v>
      </c>
      <c r="E18" s="584" t="s">
        <v>331</v>
      </c>
      <c r="F18" s="828" t="s">
        <v>678</v>
      </c>
      <c r="G18" s="829" t="s">
        <v>1353</v>
      </c>
      <c r="H18" s="830">
        <v>1</v>
      </c>
      <c r="I18" s="830">
        <v>1</v>
      </c>
      <c r="J18" s="831">
        <v>2132.37</v>
      </c>
      <c r="K18" s="833">
        <f>IF(F18&lt;&gt;"",H18*I18*J18,"")</f>
        <v>2132.37</v>
      </c>
      <c r="L18" s="833">
        <v>0</v>
      </c>
      <c r="M18" s="833">
        <f>IF(K18&lt;&gt;"",IF(E18="FAT.OGGI",SUM(K18:L18)*(1/(1-$M$14)-1),L18*(1/(1-$M$14)-1)),0)</f>
        <v>0</v>
      </c>
      <c r="N18" s="622">
        <f>SUM(K18:M18)</f>
        <v>2132.37</v>
      </c>
      <c r="O18" s="623"/>
      <c r="P18" s="623"/>
      <c r="Q18" s="623"/>
      <c r="S18" s="834">
        <f>IF(H18&lt;&gt;"",H18,"")</f>
        <v>1</v>
      </c>
      <c r="T18" s="739">
        <f>IF(I18&lt;&gt;"",I18,"")</f>
        <v>1</v>
      </c>
      <c r="U18" s="650">
        <v>2132.37</v>
      </c>
      <c r="V18" s="650">
        <v>0</v>
      </c>
      <c r="W18" s="651">
        <f>IF(S18&lt;&gt;"",K18-V18,"")</f>
        <v>2132.37</v>
      </c>
      <c r="X18" s="652">
        <f>IF(S18&lt;&gt;"",0%,"")</f>
        <v>0</v>
      </c>
      <c r="Y18" s="653">
        <f>IF(S18&lt;&gt;"",X18*W18,"")</f>
        <v>0</v>
      </c>
      <c r="Z18" s="653">
        <f>IF(S18&lt;&gt;"",Y18+V18,"")</f>
        <v>0</v>
      </c>
      <c r="AA18" s="630">
        <f>IF(S18&lt;&gt;"",Z18+M18,"")</f>
        <v>0</v>
      </c>
      <c r="AB18" s="631">
        <f>IF(S18&lt;&gt;"", IFERROR(W18/K18, 0), 0)</f>
        <v>1</v>
      </c>
      <c r="AC18" s="632" t="e">
        <f>V18/$V$19</f>
        <v>#DIV/0!</v>
      </c>
      <c r="AM18" s="1703">
        <f t="shared" ref="AM18:AM81" si="6">Z18-AN18</f>
        <v>0</v>
      </c>
      <c r="AN18" s="1713"/>
    </row>
    <row r="19" spans="1:41" ht="50.1" customHeight="1" thickBot="1" x14ac:dyDescent="0.75">
      <c r="A19" s="633">
        <v>5</v>
      </c>
      <c r="B19" s="608"/>
      <c r="C19" s="634" t="s">
        <v>184</v>
      </c>
      <c r="D19" s="633"/>
      <c r="E19" s="633"/>
      <c r="F19" s="1526" t="s">
        <v>367</v>
      </c>
      <c r="G19" s="1527"/>
      <c r="H19" s="1527"/>
      <c r="I19" s="1527"/>
      <c r="J19" s="1527"/>
      <c r="K19" s="740">
        <f>SUM(K17:K18)</f>
        <v>12074.599999999999</v>
      </c>
      <c r="L19" s="740">
        <f>SUM(L17:L18)</f>
        <v>0</v>
      </c>
      <c r="M19" s="740">
        <f>SUM(M17:M18)</f>
        <v>0</v>
      </c>
      <c r="N19" s="835">
        <f>SUM(N17:N18)</f>
        <v>12074.599999999999</v>
      </c>
      <c r="O19" s="723"/>
      <c r="P19" s="723"/>
      <c r="Q19" s="723"/>
      <c r="S19" s="1614">
        <f>SUM(S17:S18)</f>
        <v>2</v>
      </c>
      <c r="T19" s="1550"/>
      <c r="U19" s="1550"/>
      <c r="V19" s="740">
        <f>SUM(V17:V18)</f>
        <v>0</v>
      </c>
      <c r="W19" s="731">
        <f>SUM(W17:W18)</f>
        <v>12074.599999999999</v>
      </c>
      <c r="X19" s="836">
        <f>SUM(X17:X18)</f>
        <v>0</v>
      </c>
      <c r="Y19" s="732"/>
      <c r="Z19" s="733">
        <f>SUM(Z17:Z18)</f>
        <v>0</v>
      </c>
      <c r="AA19" s="734">
        <f>IF(S19&lt;&gt;"",Z19+M19,"")</f>
        <v>0</v>
      </c>
      <c r="AC19" s="632"/>
      <c r="AM19" s="1703"/>
      <c r="AN19" s="1713"/>
    </row>
    <row r="20" spans="1:41" ht="50.1" customHeight="1" x14ac:dyDescent="0.7">
      <c r="A20" s="633">
        <v>6</v>
      </c>
      <c r="B20" s="608" t="s">
        <v>600</v>
      </c>
      <c r="C20" s="634" t="s">
        <v>169</v>
      </c>
      <c r="D20" s="633"/>
      <c r="E20" s="633"/>
      <c r="F20" s="1397" t="s">
        <v>297</v>
      </c>
      <c r="G20" s="1398"/>
      <c r="H20" s="1398"/>
      <c r="I20" s="1398"/>
      <c r="J20" s="1398"/>
      <c r="K20" s="1398"/>
      <c r="L20" s="716" t="s">
        <v>171</v>
      </c>
      <c r="M20" s="716" t="s">
        <v>172</v>
      </c>
      <c r="N20" s="717" t="s">
        <v>129</v>
      </c>
      <c r="O20" s="615"/>
      <c r="P20" s="615"/>
      <c r="Q20" s="615"/>
      <c r="S20" s="1397" t="str">
        <f>IF(F20&lt;&gt;"",F20,"")</f>
        <v xml:space="preserve">LOGÍSTICA TERRESTRE </v>
      </c>
      <c r="T20" s="1398"/>
      <c r="U20" s="1398"/>
      <c r="V20" s="1398"/>
      <c r="W20" s="1398"/>
      <c r="X20" s="1398"/>
      <c r="Y20" s="1398"/>
      <c r="Z20" s="1398"/>
      <c r="AA20" s="1561"/>
      <c r="AB20" s="616" t="s">
        <v>173</v>
      </c>
      <c r="AC20" s="617" t="s">
        <v>130</v>
      </c>
      <c r="AM20" s="1703"/>
      <c r="AN20" s="1713"/>
    </row>
    <row r="21" spans="1:41" ht="150" customHeight="1" x14ac:dyDescent="0.7">
      <c r="A21" s="646">
        <v>7</v>
      </c>
      <c r="B21" s="608" t="s">
        <v>601</v>
      </c>
      <c r="C21" s="647" t="s">
        <v>175</v>
      </c>
      <c r="D21" s="633" t="s">
        <v>182</v>
      </c>
      <c r="E21" s="633" t="s">
        <v>331</v>
      </c>
      <c r="F21" s="838" t="s">
        <v>596</v>
      </c>
      <c r="G21" s="940" t="s">
        <v>1378</v>
      </c>
      <c r="H21" s="702">
        <v>86</v>
      </c>
      <c r="I21" s="830">
        <v>1</v>
      </c>
      <c r="J21" s="831">
        <v>31.44</v>
      </c>
      <c r="K21" s="621">
        <f>IF(F21&lt;&gt;"",H21*I21*J21,"")</f>
        <v>2703.84</v>
      </c>
      <c r="L21" s="621">
        <f>IF(K21&lt;&gt;"",IF(D21="INTERNO",0,K21*$L$14),"")</f>
        <v>216.30720000000002</v>
      </c>
      <c r="M21" s="621">
        <f>IF(K21&lt;&gt;"",IF(E21="FAT.OGGI",SUM(K21:L21)*(1/(1-$M$14)-1),L21*(1/(1-$M$14)-1)),0)</f>
        <v>45.344185024797376</v>
      </c>
      <c r="N21" s="622">
        <f>SUM(K21:M21)</f>
        <v>2965.4913850247976</v>
      </c>
      <c r="O21" s="623"/>
      <c r="P21" s="623"/>
      <c r="Q21" s="623"/>
      <c r="S21" s="739">
        <v>1</v>
      </c>
      <c r="T21" s="739">
        <f>IF(I21&lt;&gt;"",I21,"")</f>
        <v>1</v>
      </c>
      <c r="U21" s="650">
        <v>2064</v>
      </c>
      <c r="V21" s="650">
        <f>IF(S21&lt;&gt;"",S21*T21*U21,"")</f>
        <v>2064</v>
      </c>
      <c r="W21" s="651">
        <f>IF(S21&lt;&gt;"",K21-V21,"")</f>
        <v>639.84000000000015</v>
      </c>
      <c r="X21" s="652">
        <f>IF(S21&lt;&gt;"",0%,"")</f>
        <v>0</v>
      </c>
      <c r="Y21" s="653">
        <f>IF(S21&lt;&gt;"",X21*W21,"")</f>
        <v>0</v>
      </c>
      <c r="Z21" s="653">
        <f>IF(S21&lt;&gt;"",Y21+V21,"")</f>
        <v>2064</v>
      </c>
      <c r="AA21" s="629">
        <f>IF(S21&lt;&gt;"",Z21+M21,"")</f>
        <v>2109.3441850247973</v>
      </c>
      <c r="AB21" s="632">
        <f>IF(S21&lt;&gt;"", IFERROR(W21/K21, 0), 0)</f>
        <v>0.23664122137404583</v>
      </c>
      <c r="AC21" s="632">
        <f>V21/$V$22</f>
        <v>1</v>
      </c>
      <c r="AM21" s="1703">
        <f t="shared" si="6"/>
        <v>0</v>
      </c>
      <c r="AN21" s="1713">
        <v>2064</v>
      </c>
      <c r="AO21" s="1695" t="s">
        <v>1572</v>
      </c>
    </row>
    <row r="22" spans="1:41" ht="50.1" customHeight="1" thickBot="1" x14ac:dyDescent="0.75">
      <c r="A22" s="584">
        <v>8</v>
      </c>
      <c r="B22" s="608"/>
      <c r="C22" s="609" t="s">
        <v>184</v>
      </c>
      <c r="D22" s="584"/>
      <c r="E22" s="584"/>
      <c r="F22" s="1553" t="s">
        <v>375</v>
      </c>
      <c r="G22" s="1554"/>
      <c r="H22" s="1554"/>
      <c r="I22" s="1554"/>
      <c r="J22" s="1554"/>
      <c r="K22" s="722">
        <f>SUM(K21:K21)</f>
        <v>2703.84</v>
      </c>
      <c r="L22" s="722">
        <f>SUM(L21:L21)</f>
        <v>216.30720000000002</v>
      </c>
      <c r="M22" s="722">
        <f>SUM(M21:M21)</f>
        <v>45.344185024797376</v>
      </c>
      <c r="N22" s="729">
        <f>SUM(N21:N21)</f>
        <v>2965.4913850247976</v>
      </c>
      <c r="O22" s="723"/>
      <c r="P22" s="723"/>
      <c r="Q22" s="723"/>
      <c r="S22" s="1565">
        <f>SUM(S21:S21)</f>
        <v>1</v>
      </c>
      <c r="T22" s="1554"/>
      <c r="U22" s="1554"/>
      <c r="V22" s="970">
        <f>SUM(V21:V21)</f>
        <v>2064</v>
      </c>
      <c r="W22" s="724">
        <f>SUM(W21:W21)</f>
        <v>639.84000000000015</v>
      </c>
      <c r="X22" s="1016">
        <f>SUM(X21:X21)</f>
        <v>0</v>
      </c>
      <c r="Y22" s="725"/>
      <c r="Z22" s="726">
        <f>SUM(Z21:Z21)</f>
        <v>2064</v>
      </c>
      <c r="AA22" s="727">
        <f>IF(S22&lt;&gt;"",Z22+M22,"")</f>
        <v>2109.3441850247973</v>
      </c>
      <c r="AM22" s="1703"/>
      <c r="AN22" s="1713"/>
    </row>
    <row r="23" spans="1:41" ht="50.1" customHeight="1" thickBot="1" x14ac:dyDescent="0.75">
      <c r="A23" s="584">
        <v>9</v>
      </c>
      <c r="B23" s="608"/>
      <c r="C23" s="609" t="s">
        <v>183</v>
      </c>
      <c r="D23" s="584"/>
      <c r="E23" s="584"/>
      <c r="F23" s="1557" t="s">
        <v>376</v>
      </c>
      <c r="G23" s="1558"/>
      <c r="H23" s="1558"/>
      <c r="I23" s="1558"/>
      <c r="J23" s="1558"/>
      <c r="K23" s="711">
        <f>SUM(K17:K18)+SUM(K21:K21)</f>
        <v>14778.439999999999</v>
      </c>
      <c r="L23" s="711">
        <f>SUM(L17:L18)+SUM(L21:L21)</f>
        <v>216.30720000000002</v>
      </c>
      <c r="M23" s="711">
        <f>SUM(M17:M18)+SUM(M21:M21)</f>
        <v>45.344185024797376</v>
      </c>
      <c r="N23" s="711">
        <f>SUM(N17:N18)+SUM(N21:N21)</f>
        <v>15040.091385024796</v>
      </c>
      <c r="O23" s="711"/>
      <c r="P23" s="711"/>
      <c r="Q23" s="711"/>
      <c r="S23" s="1586">
        <f>SUM(S17:S18)+SUM(S21:S21)</f>
        <v>3</v>
      </c>
      <c r="T23" s="1533"/>
      <c r="U23" s="1533"/>
      <c r="V23" s="711">
        <f>SUM(V17:V18)+SUM(V21:V21)</f>
        <v>2064</v>
      </c>
      <c r="W23" s="712">
        <f>SUM(W17:W18)+SUM(W21:W21)</f>
        <v>12714.439999999999</v>
      </c>
      <c r="X23" s="837">
        <f>SUM(X17:X18)+SUM(X21:X21)</f>
        <v>0</v>
      </c>
      <c r="Y23" s="713"/>
      <c r="Z23" s="714">
        <f>SUM(Z17:Z18)+SUM(Z21:Z21)</f>
        <v>2064</v>
      </c>
      <c r="AA23" s="715">
        <f>IF(S23&lt;&gt;"",Z23+M23,"")</f>
        <v>2109.3441850247973</v>
      </c>
      <c r="AM23" s="1703"/>
      <c r="AN23" s="1713"/>
    </row>
    <row r="24" spans="1:41" ht="50.1" customHeight="1" thickBot="1" x14ac:dyDescent="0.75">
      <c r="A24" s="584">
        <v>10</v>
      </c>
      <c r="B24" s="608">
        <v>2</v>
      </c>
      <c r="C24" s="609" t="s">
        <v>167</v>
      </c>
      <c r="D24" s="584"/>
      <c r="E24" s="584"/>
      <c r="F24" s="1534" t="s">
        <v>377</v>
      </c>
      <c r="G24" s="1535"/>
      <c r="H24" s="1535"/>
      <c r="I24" s="1535"/>
      <c r="J24" s="1535"/>
      <c r="K24" s="1535"/>
      <c r="L24" s="1535"/>
      <c r="M24" s="1535"/>
      <c r="N24" s="1610"/>
      <c r="O24" s="611"/>
      <c r="P24" s="611"/>
      <c r="Q24" s="611"/>
      <c r="S24" s="1543" t="str">
        <f>IF(F24&lt;&gt;"",F24,"")</f>
        <v>HOTEL</v>
      </c>
      <c r="T24" s="1537"/>
      <c r="U24" s="1537"/>
      <c r="V24" s="1537"/>
      <c r="W24" s="1537"/>
      <c r="X24" s="1537"/>
      <c r="Y24" s="1537"/>
      <c r="Z24" s="1537"/>
      <c r="AA24" s="1538"/>
      <c r="AM24" s="1703"/>
      <c r="AN24" s="1713"/>
    </row>
    <row r="25" spans="1:41" ht="50.1" customHeight="1" x14ac:dyDescent="0.7">
      <c r="A25" s="584">
        <v>11</v>
      </c>
      <c r="B25" s="608" t="s">
        <v>180</v>
      </c>
      <c r="C25" s="609" t="s">
        <v>169</v>
      </c>
      <c r="D25" s="584"/>
      <c r="E25" s="584"/>
      <c r="F25" s="1397" t="s">
        <v>395</v>
      </c>
      <c r="G25" s="1398"/>
      <c r="H25" s="1398"/>
      <c r="I25" s="1398"/>
      <c r="J25" s="1398"/>
      <c r="K25" s="1398"/>
      <c r="L25" s="716" t="s">
        <v>171</v>
      </c>
      <c r="M25" s="716" t="s">
        <v>172</v>
      </c>
      <c r="N25" s="717" t="s">
        <v>129</v>
      </c>
      <c r="O25" s="615"/>
      <c r="P25" s="615"/>
      <c r="Q25" s="615"/>
      <c r="S25" s="1544" t="str">
        <f>IF(F25&lt;&gt;"",F25,"")</f>
        <v>SERVIÇOS E TAXAS DIVERSAS</v>
      </c>
      <c r="T25" s="1528"/>
      <c r="U25" s="1528"/>
      <c r="V25" s="1528"/>
      <c r="W25" s="1528"/>
      <c r="X25" s="1528"/>
      <c r="Y25" s="1528"/>
      <c r="Z25" s="1528"/>
      <c r="AA25" s="1542"/>
      <c r="AB25" s="616" t="s">
        <v>173</v>
      </c>
      <c r="AC25" s="617" t="s">
        <v>130</v>
      </c>
      <c r="AM25" s="1703"/>
      <c r="AN25" s="1713"/>
    </row>
    <row r="26" spans="1:41" ht="150" customHeight="1" x14ac:dyDescent="0.7">
      <c r="A26" s="584">
        <v>12</v>
      </c>
      <c r="B26" s="608" t="s">
        <v>181</v>
      </c>
      <c r="C26" s="609" t="s">
        <v>175</v>
      </c>
      <c r="D26" s="584" t="s">
        <v>182</v>
      </c>
      <c r="E26" s="584" t="s">
        <v>331</v>
      </c>
      <c r="F26" s="838" t="s">
        <v>396</v>
      </c>
      <c r="G26" s="736" t="s">
        <v>1354</v>
      </c>
      <c r="H26" s="702">
        <v>1</v>
      </c>
      <c r="I26" s="702">
        <v>1</v>
      </c>
      <c r="J26" s="738">
        <v>14180</v>
      </c>
      <c r="K26" s="621">
        <f t="shared" ref="K26:K32" si="7">IF(F26&lt;&gt;"",H26*I26*J26,"")</f>
        <v>14180</v>
      </c>
      <c r="L26" s="621">
        <f t="shared" ref="L26:L32" si="8">IF(K26&lt;&gt;"",IF(D26="INTERNO",0,K26*$L$13),"")</f>
        <v>709</v>
      </c>
      <c r="M26" s="621">
        <f>IF(K26&lt;&gt;"",IF(E26="FAT.OGGI",SUM(K26:L26)*(1/(1-$M$14)-1),L26*(1/(1-$M$14)-1)),"")</f>
        <v>148.62670860045961</v>
      </c>
      <c r="N26" s="622">
        <f t="shared" ref="N26:N32" si="9">SUM(K26:M26)</f>
        <v>15037.626708600459</v>
      </c>
      <c r="O26" s="623"/>
      <c r="P26" s="623"/>
      <c r="Q26" s="623"/>
      <c r="S26" s="636">
        <f t="shared" ref="S26:T32" si="10">IF(H26&lt;&gt;"",H26,"")</f>
        <v>1</v>
      </c>
      <c r="T26" s="637">
        <f t="shared" si="10"/>
        <v>1</v>
      </c>
      <c r="U26" s="638">
        <v>14180</v>
      </c>
      <c r="V26" s="638">
        <v>0</v>
      </c>
      <c r="W26" s="720">
        <f t="shared" ref="W26:W32" si="11">IF(S26&lt;&gt;"",K26-V26,"")</f>
        <v>14180</v>
      </c>
      <c r="X26" s="721">
        <f t="shared" ref="X26:X32" si="12">IF(S26&lt;&gt;"",0%,"")</f>
        <v>0</v>
      </c>
      <c r="Y26" s="701">
        <f t="shared" ref="Y26:Y32" si="13">IF(S26&lt;&gt;"",X26*W26,"")</f>
        <v>0</v>
      </c>
      <c r="Z26" s="701">
        <f t="shared" ref="Z26:Z32" si="14">IF(S26&lt;&gt;"",Y26+V26,"")</f>
        <v>0</v>
      </c>
      <c r="AA26" s="639">
        <f t="shared" ref="AA26:AA34" si="15">IF(S26&lt;&gt;"",Z26+M26,"")</f>
        <v>148.62670860045961</v>
      </c>
      <c r="AB26" s="631">
        <f>IFERROR(IF(S26&lt;&gt;"",W26/K26,""),0)</f>
        <v>1</v>
      </c>
      <c r="AC26" s="632" t="e">
        <f t="shared" ref="AC26:AC32" si="16">V26/$V$33</f>
        <v>#DIV/0!</v>
      </c>
      <c r="AM26" s="1703">
        <f t="shared" si="6"/>
        <v>0</v>
      </c>
      <c r="AN26" s="1713"/>
    </row>
    <row r="27" spans="1:41" ht="150" customHeight="1" x14ac:dyDescent="0.7">
      <c r="A27" s="633">
        <v>13</v>
      </c>
      <c r="B27" s="608" t="s">
        <v>261</v>
      </c>
      <c r="C27" s="634" t="s">
        <v>175</v>
      </c>
      <c r="D27" s="633" t="s">
        <v>182</v>
      </c>
      <c r="E27" s="633" t="s">
        <v>331</v>
      </c>
      <c r="F27" s="845" t="s">
        <v>679</v>
      </c>
      <c r="G27" s="846" t="s">
        <v>1379</v>
      </c>
      <c r="H27" s="847">
        <v>12</v>
      </c>
      <c r="I27" s="847">
        <v>1</v>
      </c>
      <c r="J27" s="848">
        <v>900</v>
      </c>
      <c r="K27" s="833">
        <f t="shared" si="7"/>
        <v>10800</v>
      </c>
      <c r="L27" s="833">
        <f t="shared" si="8"/>
        <v>540</v>
      </c>
      <c r="M27" s="833">
        <f t="shared" ref="M27:M32" si="17">IF(K27&lt;&gt;"",IF(E27="FAT.OGGI",SUM(K27:L27)*(1/(1-$M$14)-1),L27*(1/(1-$M$14)-1)),0)</f>
        <v>113.1994677633966</v>
      </c>
      <c r="N27" s="849">
        <f t="shared" si="9"/>
        <v>11453.199467763397</v>
      </c>
      <c r="O27" s="850"/>
      <c r="P27" s="850"/>
      <c r="Q27" s="850"/>
      <c r="S27" s="665">
        <f t="shared" si="10"/>
        <v>12</v>
      </c>
      <c r="T27" s="666">
        <f t="shared" si="10"/>
        <v>1</v>
      </c>
      <c r="U27" s="643">
        <v>900</v>
      </c>
      <c r="V27" s="643">
        <v>0</v>
      </c>
      <c r="W27" s="667">
        <f t="shared" si="11"/>
        <v>10800</v>
      </c>
      <c r="X27" s="668">
        <f t="shared" si="12"/>
        <v>0</v>
      </c>
      <c r="Y27" s="669">
        <f t="shared" si="13"/>
        <v>0</v>
      </c>
      <c r="Z27" s="669">
        <f t="shared" si="14"/>
        <v>0</v>
      </c>
      <c r="AA27" s="664">
        <f t="shared" si="15"/>
        <v>113.1994677633966</v>
      </c>
      <c r="AB27" s="631">
        <f t="shared" ref="AB27:AB32" si="18">IF(S27&lt;&gt;"", IFERROR(W27/K27, 0), 0)</f>
        <v>1</v>
      </c>
      <c r="AC27" s="632" t="e">
        <f t="shared" si="16"/>
        <v>#DIV/0!</v>
      </c>
      <c r="AM27" s="1703">
        <f t="shared" si="6"/>
        <v>0</v>
      </c>
      <c r="AN27" s="1713"/>
    </row>
    <row r="28" spans="1:41" ht="150" customHeight="1" x14ac:dyDescent="0.7">
      <c r="A28" s="584">
        <v>14</v>
      </c>
      <c r="B28" s="608" t="s">
        <v>262</v>
      </c>
      <c r="C28" s="609" t="s">
        <v>175</v>
      </c>
      <c r="D28" s="584" t="s">
        <v>182</v>
      </c>
      <c r="E28" s="584" t="s">
        <v>331</v>
      </c>
      <c r="F28" s="768" t="s">
        <v>398</v>
      </c>
      <c r="G28" s="846" t="s">
        <v>399</v>
      </c>
      <c r="H28" s="847">
        <v>20</v>
      </c>
      <c r="I28" s="847">
        <v>4</v>
      </c>
      <c r="J28" s="851">
        <v>194</v>
      </c>
      <c r="K28" s="833">
        <f t="shared" si="7"/>
        <v>15520</v>
      </c>
      <c r="L28" s="833">
        <f t="shared" si="8"/>
        <v>776</v>
      </c>
      <c r="M28" s="833">
        <f t="shared" si="17"/>
        <v>162.67182774888104</v>
      </c>
      <c r="N28" s="849">
        <f t="shared" si="9"/>
        <v>16458.67182774888</v>
      </c>
      <c r="O28" s="850"/>
      <c r="P28" s="850"/>
      <c r="Q28" s="850"/>
      <c r="R28" s="852"/>
      <c r="S28" s="853">
        <f t="shared" si="10"/>
        <v>20</v>
      </c>
      <c r="T28" s="854">
        <f t="shared" si="10"/>
        <v>4</v>
      </c>
      <c r="U28" s="626">
        <v>192</v>
      </c>
      <c r="V28" s="626">
        <v>0</v>
      </c>
      <c r="W28" s="627">
        <f t="shared" si="11"/>
        <v>15520</v>
      </c>
      <c r="X28" s="628">
        <f t="shared" si="12"/>
        <v>0</v>
      </c>
      <c r="Y28" s="629">
        <f t="shared" si="13"/>
        <v>0</v>
      </c>
      <c r="Z28" s="629">
        <f t="shared" si="14"/>
        <v>0</v>
      </c>
      <c r="AA28" s="630">
        <f t="shared" si="15"/>
        <v>162.67182774888104</v>
      </c>
      <c r="AB28" s="631">
        <f t="shared" si="18"/>
        <v>1</v>
      </c>
      <c r="AC28" s="632" t="e">
        <f t="shared" si="16"/>
        <v>#DIV/0!</v>
      </c>
      <c r="AM28" s="1703">
        <f t="shared" si="6"/>
        <v>0</v>
      </c>
      <c r="AN28" s="1713"/>
    </row>
    <row r="29" spans="1:41" ht="150" customHeight="1" x14ac:dyDescent="0.7">
      <c r="A29" s="584">
        <v>15</v>
      </c>
      <c r="B29" s="608" t="s">
        <v>263</v>
      </c>
      <c r="C29" s="609" t="s">
        <v>175</v>
      </c>
      <c r="D29" s="584" t="s">
        <v>182</v>
      </c>
      <c r="E29" s="584" t="s">
        <v>331</v>
      </c>
      <c r="F29" s="768" t="s">
        <v>400</v>
      </c>
      <c r="G29" s="846" t="s">
        <v>399</v>
      </c>
      <c r="H29" s="847">
        <v>20</v>
      </c>
      <c r="I29" s="847">
        <v>3</v>
      </c>
      <c r="J29" s="851">
        <v>194</v>
      </c>
      <c r="K29" s="833">
        <f t="shared" si="7"/>
        <v>11640</v>
      </c>
      <c r="L29" s="833">
        <f t="shared" si="8"/>
        <v>582</v>
      </c>
      <c r="M29" s="833">
        <f t="shared" si="17"/>
        <v>122.00387081166078</v>
      </c>
      <c r="N29" s="849">
        <f t="shared" si="9"/>
        <v>12344.003870811661</v>
      </c>
      <c r="O29" s="850"/>
      <c r="P29" s="850"/>
      <c r="Q29" s="850"/>
      <c r="S29" s="853">
        <f t="shared" si="10"/>
        <v>20</v>
      </c>
      <c r="T29" s="854">
        <f t="shared" si="10"/>
        <v>3</v>
      </c>
      <c r="U29" s="626">
        <v>192</v>
      </c>
      <c r="V29" s="626">
        <v>0</v>
      </c>
      <c r="W29" s="627">
        <f t="shared" si="11"/>
        <v>11640</v>
      </c>
      <c r="X29" s="628">
        <f t="shared" si="12"/>
        <v>0</v>
      </c>
      <c r="Y29" s="629">
        <f t="shared" si="13"/>
        <v>0</v>
      </c>
      <c r="Z29" s="629">
        <f t="shared" si="14"/>
        <v>0</v>
      </c>
      <c r="AA29" s="630">
        <f t="shared" si="15"/>
        <v>122.00387081166078</v>
      </c>
      <c r="AB29" s="631">
        <f t="shared" si="18"/>
        <v>1</v>
      </c>
      <c r="AC29" s="632" t="e">
        <f t="shared" si="16"/>
        <v>#DIV/0!</v>
      </c>
      <c r="AM29" s="1703">
        <f t="shared" si="6"/>
        <v>0</v>
      </c>
      <c r="AN29" s="1713"/>
    </row>
    <row r="30" spans="1:41" ht="150" customHeight="1" x14ac:dyDescent="0.7">
      <c r="A30" s="584">
        <v>16</v>
      </c>
      <c r="B30" s="608" t="s">
        <v>264</v>
      </c>
      <c r="C30" s="609" t="s">
        <v>175</v>
      </c>
      <c r="D30" s="584" t="s">
        <v>182</v>
      </c>
      <c r="E30" s="584" t="s">
        <v>331</v>
      </c>
      <c r="F30" s="768" t="s">
        <v>401</v>
      </c>
      <c r="G30" s="846" t="s">
        <v>680</v>
      </c>
      <c r="H30" s="847">
        <v>20</v>
      </c>
      <c r="I30" s="847">
        <v>1</v>
      </c>
      <c r="J30" s="851">
        <v>365</v>
      </c>
      <c r="K30" s="833">
        <f t="shared" si="7"/>
        <v>7300</v>
      </c>
      <c r="L30" s="833">
        <f t="shared" si="8"/>
        <v>365</v>
      </c>
      <c r="M30" s="833">
        <f t="shared" si="17"/>
        <v>76.514455062295852</v>
      </c>
      <c r="N30" s="849">
        <f t="shared" si="9"/>
        <v>7741.5144550622963</v>
      </c>
      <c r="O30" s="850"/>
      <c r="P30" s="850"/>
      <c r="Q30" s="850"/>
      <c r="S30" s="853">
        <f t="shared" si="10"/>
        <v>20</v>
      </c>
      <c r="T30" s="854">
        <f t="shared" si="10"/>
        <v>1</v>
      </c>
      <c r="U30" s="626">
        <v>365</v>
      </c>
      <c r="V30" s="626">
        <v>0</v>
      </c>
      <c r="W30" s="627">
        <f t="shared" si="11"/>
        <v>7300</v>
      </c>
      <c r="X30" s="628">
        <f t="shared" si="12"/>
        <v>0</v>
      </c>
      <c r="Y30" s="629">
        <f t="shared" si="13"/>
        <v>0</v>
      </c>
      <c r="Z30" s="629">
        <f t="shared" si="14"/>
        <v>0</v>
      </c>
      <c r="AA30" s="630">
        <f t="shared" si="15"/>
        <v>76.514455062295852</v>
      </c>
      <c r="AB30" s="631">
        <f t="shared" si="18"/>
        <v>1</v>
      </c>
      <c r="AC30" s="632" t="e">
        <f t="shared" si="16"/>
        <v>#DIV/0!</v>
      </c>
      <c r="AM30" s="1703">
        <f t="shared" si="6"/>
        <v>0</v>
      </c>
      <c r="AN30" s="1713"/>
    </row>
    <row r="31" spans="1:41" ht="150" customHeight="1" x14ac:dyDescent="0.7">
      <c r="A31" s="584">
        <v>17</v>
      </c>
      <c r="B31" s="608" t="s">
        <v>265</v>
      </c>
      <c r="C31" s="609" t="s">
        <v>175</v>
      </c>
      <c r="D31" s="584" t="s">
        <v>182</v>
      </c>
      <c r="E31" s="584" t="s">
        <v>331</v>
      </c>
      <c r="F31" s="768" t="s">
        <v>403</v>
      </c>
      <c r="G31" s="846" t="s">
        <v>681</v>
      </c>
      <c r="H31" s="847">
        <v>20</v>
      </c>
      <c r="I31" s="847">
        <v>1</v>
      </c>
      <c r="J31" s="851">
        <v>445</v>
      </c>
      <c r="K31" s="833">
        <f t="shared" si="7"/>
        <v>8900</v>
      </c>
      <c r="L31" s="833">
        <f t="shared" si="8"/>
        <v>445</v>
      </c>
      <c r="M31" s="833">
        <f t="shared" si="17"/>
        <v>93.284746582799045</v>
      </c>
      <c r="N31" s="849">
        <f t="shared" si="9"/>
        <v>9438.2847465827999</v>
      </c>
      <c r="O31" s="850"/>
      <c r="P31" s="850"/>
      <c r="Q31" s="850"/>
      <c r="S31" s="853">
        <f t="shared" si="10"/>
        <v>20</v>
      </c>
      <c r="T31" s="854">
        <f t="shared" si="10"/>
        <v>1</v>
      </c>
      <c r="U31" s="626">
        <v>445</v>
      </c>
      <c r="V31" s="626">
        <v>0</v>
      </c>
      <c r="W31" s="627">
        <f t="shared" si="11"/>
        <v>8900</v>
      </c>
      <c r="X31" s="628">
        <f t="shared" si="12"/>
        <v>0</v>
      </c>
      <c r="Y31" s="629">
        <f t="shared" si="13"/>
        <v>0</v>
      </c>
      <c r="Z31" s="629">
        <f t="shared" si="14"/>
        <v>0</v>
      </c>
      <c r="AA31" s="630">
        <f t="shared" si="15"/>
        <v>93.284746582799045</v>
      </c>
      <c r="AB31" s="631">
        <f t="shared" si="18"/>
        <v>1</v>
      </c>
      <c r="AC31" s="632" t="e">
        <f t="shared" si="16"/>
        <v>#DIV/0!</v>
      </c>
      <c r="AM31" s="1703">
        <f t="shared" si="6"/>
        <v>0</v>
      </c>
      <c r="AN31" s="1713"/>
    </row>
    <row r="32" spans="1:41" ht="150" customHeight="1" x14ac:dyDescent="0.7">
      <c r="A32" s="584">
        <v>18</v>
      </c>
      <c r="B32" s="608" t="s">
        <v>266</v>
      </c>
      <c r="C32" s="609" t="s">
        <v>175</v>
      </c>
      <c r="D32" s="584" t="s">
        <v>182</v>
      </c>
      <c r="E32" s="584" t="s">
        <v>331</v>
      </c>
      <c r="F32" s="768" t="s">
        <v>405</v>
      </c>
      <c r="G32" s="846" t="s">
        <v>406</v>
      </c>
      <c r="H32" s="847">
        <v>20</v>
      </c>
      <c r="I32" s="847">
        <v>4</v>
      </c>
      <c r="J32" s="851">
        <v>38</v>
      </c>
      <c r="K32" s="833">
        <f t="shared" si="7"/>
        <v>3040</v>
      </c>
      <c r="L32" s="833">
        <f t="shared" si="8"/>
        <v>152</v>
      </c>
      <c r="M32" s="833">
        <f t="shared" si="17"/>
        <v>31.86355388895608</v>
      </c>
      <c r="N32" s="849">
        <f t="shared" si="9"/>
        <v>3223.8635538889562</v>
      </c>
      <c r="O32" s="850"/>
      <c r="P32" s="850"/>
      <c r="Q32" s="850"/>
      <c r="S32" s="853">
        <f t="shared" si="10"/>
        <v>20</v>
      </c>
      <c r="T32" s="854">
        <f t="shared" si="10"/>
        <v>4</v>
      </c>
      <c r="U32" s="626">
        <v>38</v>
      </c>
      <c r="V32" s="626">
        <v>0</v>
      </c>
      <c r="W32" s="627">
        <f t="shared" si="11"/>
        <v>3040</v>
      </c>
      <c r="X32" s="628">
        <f t="shared" si="12"/>
        <v>0</v>
      </c>
      <c r="Y32" s="629">
        <f t="shared" si="13"/>
        <v>0</v>
      </c>
      <c r="Z32" s="629">
        <f t="shared" si="14"/>
        <v>0</v>
      </c>
      <c r="AA32" s="630">
        <f t="shared" si="15"/>
        <v>31.86355388895608</v>
      </c>
      <c r="AB32" s="631">
        <f t="shared" si="18"/>
        <v>1</v>
      </c>
      <c r="AC32" s="632" t="e">
        <f t="shared" si="16"/>
        <v>#DIV/0!</v>
      </c>
      <c r="AM32" s="1703">
        <f t="shared" si="6"/>
        <v>0</v>
      </c>
      <c r="AN32" s="1713"/>
    </row>
    <row r="33" spans="1:41" ht="50.1" customHeight="1" thickBot="1" x14ac:dyDescent="0.75">
      <c r="A33" s="584">
        <v>19</v>
      </c>
      <c r="B33" s="608"/>
      <c r="C33" s="609" t="s">
        <v>184</v>
      </c>
      <c r="D33" s="584"/>
      <c r="E33" s="584"/>
      <c r="F33" s="1553" t="s">
        <v>397</v>
      </c>
      <c r="G33" s="1554"/>
      <c r="H33" s="1554"/>
      <c r="I33" s="1554"/>
      <c r="J33" s="1554"/>
      <c r="K33" s="722">
        <f>SUM(K26:K32)</f>
        <v>71380</v>
      </c>
      <c r="L33" s="722">
        <f>SUM(L26:L32)</f>
        <v>3569</v>
      </c>
      <c r="M33" s="722">
        <f>SUM(M26:M32)</f>
        <v>748.16463045844898</v>
      </c>
      <c r="N33" s="729">
        <f>SUM(N26:N32)</f>
        <v>75697.164630458443</v>
      </c>
      <c r="O33" s="723"/>
      <c r="P33" s="723"/>
      <c r="Q33" s="723"/>
      <c r="S33" s="1611">
        <f>SUM(S26:S32)</f>
        <v>113</v>
      </c>
      <c r="T33" s="1528"/>
      <c r="U33" s="1528"/>
      <c r="V33" s="801">
        <f>SUM(V26:V32)</f>
        <v>0</v>
      </c>
      <c r="W33" s="762">
        <f>SUM(W26:W32)</f>
        <v>71380</v>
      </c>
      <c r="X33" s="855">
        <f>SUM(X26:X32)</f>
        <v>0</v>
      </c>
      <c r="Y33" s="763"/>
      <c r="Z33" s="764">
        <f>SUM(Z26:Z32)</f>
        <v>0</v>
      </c>
      <c r="AA33" s="750">
        <f t="shared" si="15"/>
        <v>748.16463045844898</v>
      </c>
      <c r="AM33" s="1703"/>
      <c r="AN33" s="1713"/>
    </row>
    <row r="34" spans="1:41" ht="50.1" customHeight="1" thickBot="1" x14ac:dyDescent="0.75">
      <c r="A34" s="584">
        <v>20</v>
      </c>
      <c r="B34" s="608"/>
      <c r="C34" s="609" t="s">
        <v>183</v>
      </c>
      <c r="D34" s="584"/>
      <c r="E34" s="584"/>
      <c r="F34" s="1557" t="s">
        <v>408</v>
      </c>
      <c r="G34" s="1558"/>
      <c r="H34" s="1558"/>
      <c r="I34" s="1558"/>
      <c r="J34" s="1558"/>
      <c r="K34" s="856">
        <f>SUM(K26:K32)</f>
        <v>71380</v>
      </c>
      <c r="L34" s="856">
        <f>SUM(L26:L32)</f>
        <v>3569</v>
      </c>
      <c r="M34" s="856">
        <f>SUM(M26:M32)</f>
        <v>748.16463045844898</v>
      </c>
      <c r="N34" s="857">
        <f>SUM(N26:N32)</f>
        <v>75697.164630458443</v>
      </c>
      <c r="O34" s="856"/>
      <c r="P34" s="856"/>
      <c r="Q34" s="856"/>
      <c r="S34" s="1586">
        <f>SUM(S26:S32)</f>
        <v>113</v>
      </c>
      <c r="T34" s="1533"/>
      <c r="U34" s="1533"/>
      <c r="V34" s="803">
        <f>SUM(V26:V32)</f>
        <v>0</v>
      </c>
      <c r="W34" s="712">
        <f>SUM(W26:W32)</f>
        <v>71380</v>
      </c>
      <c r="X34" s="837">
        <f>SUM(X26:X32)</f>
        <v>0</v>
      </c>
      <c r="Y34" s="713"/>
      <c r="Z34" s="714">
        <f>SUM(Z26:Z32)</f>
        <v>0</v>
      </c>
      <c r="AA34" s="715">
        <f t="shared" si="15"/>
        <v>748.16463045844898</v>
      </c>
      <c r="AM34" s="1703"/>
      <c r="AN34" s="1713"/>
    </row>
    <row r="35" spans="1:41" ht="50.1" customHeight="1" thickBot="1" x14ac:dyDescent="0.75">
      <c r="A35" s="584">
        <v>21</v>
      </c>
      <c r="B35" s="608">
        <v>3</v>
      </c>
      <c r="C35" s="609" t="s">
        <v>167</v>
      </c>
      <c r="D35" s="584"/>
      <c r="E35" s="584"/>
      <c r="F35" s="1534" t="s">
        <v>188</v>
      </c>
      <c r="G35" s="1535"/>
      <c r="H35" s="1535"/>
      <c r="I35" s="1535"/>
      <c r="J35" s="1535"/>
      <c r="K35" s="1535"/>
      <c r="L35" s="1535"/>
      <c r="M35" s="1535"/>
      <c r="N35" s="1610"/>
      <c r="O35" s="611"/>
      <c r="P35" s="611"/>
      <c r="Q35" s="611"/>
      <c r="S35" s="1395" t="str">
        <f>IF(F35&lt;&gt;"",F35,"")</f>
        <v>ARTÍSTICO</v>
      </c>
      <c r="T35" s="1396"/>
      <c r="U35" s="1396"/>
      <c r="V35" s="1396"/>
      <c r="W35" s="1396"/>
      <c r="X35" s="1396"/>
      <c r="Y35" s="1396"/>
      <c r="Z35" s="1396"/>
      <c r="AA35" s="1563"/>
      <c r="AM35" s="1703"/>
      <c r="AN35" s="1713"/>
    </row>
    <row r="36" spans="1:41" ht="50.1" customHeight="1" thickBot="1" x14ac:dyDescent="0.75">
      <c r="A36" s="584">
        <v>22</v>
      </c>
      <c r="B36" s="608" t="s">
        <v>192</v>
      </c>
      <c r="C36" s="609" t="s">
        <v>169</v>
      </c>
      <c r="D36" s="584"/>
      <c r="E36" s="584"/>
      <c r="F36" s="1547" t="s">
        <v>418</v>
      </c>
      <c r="G36" s="1548"/>
      <c r="H36" s="1548"/>
      <c r="I36" s="1548"/>
      <c r="J36" s="1548"/>
      <c r="K36" s="1548"/>
      <c r="L36" s="613" t="s">
        <v>171</v>
      </c>
      <c r="M36" s="613" t="s">
        <v>172</v>
      </c>
      <c r="N36" s="741" t="s">
        <v>129</v>
      </c>
      <c r="O36" s="615"/>
      <c r="P36" s="615"/>
      <c r="Q36" s="615"/>
      <c r="S36" s="1397" t="str">
        <f>IF(F36&lt;&gt;"",F36,"")</f>
        <v>MESTRE DE CERIMÔNIA</v>
      </c>
      <c r="T36" s="1398"/>
      <c r="U36" s="1398"/>
      <c r="V36" s="1398"/>
      <c r="W36" s="1398"/>
      <c r="X36" s="1398"/>
      <c r="Y36" s="1398"/>
      <c r="Z36" s="1398"/>
      <c r="AA36" s="1561"/>
      <c r="AB36" s="616" t="s">
        <v>173</v>
      </c>
      <c r="AC36" s="617" t="s">
        <v>130</v>
      </c>
      <c r="AM36" s="1703"/>
      <c r="AN36" s="1713"/>
    </row>
    <row r="37" spans="1:41" ht="150" customHeight="1" x14ac:dyDescent="0.7">
      <c r="A37" s="584">
        <v>23</v>
      </c>
      <c r="B37" s="608" t="s">
        <v>193</v>
      </c>
      <c r="C37" s="609" t="s">
        <v>175</v>
      </c>
      <c r="D37" s="584" t="s">
        <v>182</v>
      </c>
      <c r="E37" s="584" t="s">
        <v>179</v>
      </c>
      <c r="F37" s="858" t="s">
        <v>413</v>
      </c>
      <c r="G37" s="859" t="s">
        <v>1356</v>
      </c>
      <c r="H37" s="860">
        <v>1</v>
      </c>
      <c r="I37" s="860">
        <v>1</v>
      </c>
      <c r="J37" s="861">
        <v>42750</v>
      </c>
      <c r="K37" s="747">
        <f>IF(F37&lt;&gt;"",H37*I37*J37,"")</f>
        <v>42750</v>
      </c>
      <c r="L37" s="747">
        <f>IF(K37&lt;&gt;"",IF(D37="INTERNO",0,K37*$L$14),"")</f>
        <v>3420</v>
      </c>
      <c r="M37" s="747">
        <f>IF(K37&lt;&gt;"",IF(E37="FAT.OGGI",SUM(K37:L37)*(1/(1-$M$14)-1),L37*(1/(1-$M$14)-1)),0)</f>
        <v>9678.554493770409</v>
      </c>
      <c r="N37" s="862">
        <f>SUM(K37:M37)</f>
        <v>55848.554493770411</v>
      </c>
      <c r="O37" s="623"/>
      <c r="P37" s="623"/>
      <c r="Q37" s="623"/>
      <c r="S37" s="853">
        <f t="shared" ref="S37:T39" si="19">IF(H37&lt;&gt;"",H37,"")</f>
        <v>1</v>
      </c>
      <c r="T37" s="854">
        <f t="shared" si="19"/>
        <v>1</v>
      </c>
      <c r="U37" s="863">
        <v>42750</v>
      </c>
      <c r="V37" s="863">
        <v>0</v>
      </c>
      <c r="W37" s="864">
        <f>IF(S37&lt;&gt;"",K37-V37,"")</f>
        <v>42750</v>
      </c>
      <c r="X37" s="865">
        <f>IF(S37&lt;&gt;"",0%,"")</f>
        <v>0</v>
      </c>
      <c r="Y37" s="866">
        <f>IF(S37&lt;&gt;"",X37*W37,"")</f>
        <v>0</v>
      </c>
      <c r="Z37" s="866">
        <f>IF(S37&lt;&gt;"",Y37+V37,"")</f>
        <v>0</v>
      </c>
      <c r="AA37" s="867">
        <f>IF(S37&lt;&gt;"",Z37+M37,"")</f>
        <v>9678.554493770409</v>
      </c>
      <c r="AB37" s="640">
        <f>IF(S37&lt;&gt;"", IFERROR(W37/K37, 0), 0)</f>
        <v>1</v>
      </c>
      <c r="AC37" s="632" t="e">
        <f>V37/$V$40</f>
        <v>#DIV/0!</v>
      </c>
      <c r="AM37" s="1703">
        <f t="shared" si="6"/>
        <v>0</v>
      </c>
      <c r="AN37" s="1713"/>
    </row>
    <row r="38" spans="1:41" ht="150" customHeight="1" x14ac:dyDescent="0.7">
      <c r="A38" s="646">
        <v>24</v>
      </c>
      <c r="B38" s="608" t="s">
        <v>194</v>
      </c>
      <c r="C38" s="647" t="s">
        <v>175</v>
      </c>
      <c r="D38" s="584" t="s">
        <v>182</v>
      </c>
      <c r="E38" s="584" t="s">
        <v>179</v>
      </c>
      <c r="F38" s="838" t="s">
        <v>858</v>
      </c>
      <c r="G38" s="868" t="s">
        <v>859</v>
      </c>
      <c r="H38" s="869">
        <v>1</v>
      </c>
      <c r="I38" s="869">
        <v>1</v>
      </c>
      <c r="J38" s="870">
        <v>12000</v>
      </c>
      <c r="K38" s="870">
        <f>IF(F38&lt;&gt;"",H38*I38*J38,"")</f>
        <v>12000</v>
      </c>
      <c r="L38" s="870">
        <f>IF(K38&lt;&gt;"",IF(D38="INTERNO",0,K38*$L$14),"")</f>
        <v>960</v>
      </c>
      <c r="M38" s="870">
        <f>IF(K38&lt;&gt;"",IF(E38="FAT.OGGI",SUM(K38:L38)*(1/(1-$M$14)-1),L38*(1/(1-$M$14)-1)),0)</f>
        <v>2716.7872263215186</v>
      </c>
      <c r="N38" s="871">
        <f>SUM(K38:M38)</f>
        <v>15676.787226321518</v>
      </c>
      <c r="O38" s="623"/>
      <c r="P38" s="872" t="s">
        <v>978</v>
      </c>
      <c r="Q38" s="623"/>
      <c r="R38" s="844" t="s">
        <v>1131</v>
      </c>
      <c r="S38" s="873">
        <f t="shared" si="19"/>
        <v>1</v>
      </c>
      <c r="T38" s="874">
        <f t="shared" si="19"/>
        <v>1</v>
      </c>
      <c r="U38" s="875">
        <v>7200</v>
      </c>
      <c r="V38" s="875">
        <v>30380</v>
      </c>
      <c r="W38" s="876">
        <f>IF(S38&lt;&gt;"",K38-V38,"")</f>
        <v>-18380</v>
      </c>
      <c r="X38" s="877">
        <f>IF(S38&lt;&gt;"",0%,"")</f>
        <v>0</v>
      </c>
      <c r="Y38" s="878">
        <f>IF(S38&lt;&gt;"",X38*W38,"")</f>
        <v>0</v>
      </c>
      <c r="Z38" s="878">
        <f>IF(S38&lt;&gt;"",Y38+V38,"")</f>
        <v>30380</v>
      </c>
      <c r="AA38" s="879">
        <f>IF(S38&lt;&gt;"",Z38+M38,"")</f>
        <v>33096.787226321518</v>
      </c>
      <c r="AB38" s="631">
        <f>IF(S38&lt;&gt;"", IFERROR(W38/K38, 0), 0)</f>
        <v>-1.5316666666666667</v>
      </c>
      <c r="AC38" s="632" t="e">
        <f>V38/$V$40</f>
        <v>#DIV/0!</v>
      </c>
      <c r="AM38" s="1703">
        <f t="shared" si="6"/>
        <v>0</v>
      </c>
      <c r="AN38" s="1713">
        <v>30380</v>
      </c>
      <c r="AO38" s="1695" t="s">
        <v>1585</v>
      </c>
    </row>
    <row r="39" spans="1:41" ht="150" customHeight="1" x14ac:dyDescent="0.7">
      <c r="A39" s="654">
        <v>25</v>
      </c>
      <c r="B39" s="608" t="s">
        <v>298</v>
      </c>
      <c r="C39" s="655" t="s">
        <v>175</v>
      </c>
      <c r="D39" s="633" t="s">
        <v>182</v>
      </c>
      <c r="E39" s="633" t="s">
        <v>179</v>
      </c>
      <c r="F39" s="838" t="s">
        <v>840</v>
      </c>
      <c r="G39" s="868" t="s">
        <v>1357</v>
      </c>
      <c r="H39" s="880">
        <v>1</v>
      </c>
      <c r="I39" s="880">
        <v>1</v>
      </c>
      <c r="J39" s="881">
        <v>10000</v>
      </c>
      <c r="K39" s="621">
        <f>IF(F39&lt;&gt;"",H39*I39*J39,"")</f>
        <v>10000</v>
      </c>
      <c r="L39" s="621">
        <f>IF(K39&lt;&gt;"",IF(D39="INTERNO",0,K39*$L$14),"")</f>
        <v>800</v>
      </c>
      <c r="M39" s="621">
        <f>IF(K39&lt;&gt;"",IF(E39="FAT.OGGI",SUM(K39:L39)*(1/(1-$M$14)-1),L39*(1/(1-$M$14)-1)),0)</f>
        <v>2263.9893552679318</v>
      </c>
      <c r="N39" s="622">
        <f>SUM(K39:M39)</f>
        <v>13063.989355267931</v>
      </c>
      <c r="O39" s="623"/>
      <c r="P39" s="623" t="s">
        <v>979</v>
      </c>
      <c r="Q39" s="623" t="s">
        <v>980</v>
      </c>
      <c r="R39" s="844" t="s">
        <v>1131</v>
      </c>
      <c r="S39" s="853">
        <f t="shared" si="19"/>
        <v>1</v>
      </c>
      <c r="T39" s="854">
        <f t="shared" si="19"/>
        <v>1</v>
      </c>
      <c r="U39" s="863">
        <v>8000</v>
      </c>
      <c r="V39" s="863">
        <v>8000</v>
      </c>
      <c r="W39" s="864">
        <f>IF(S39&lt;&gt;"",K39-V39,"")</f>
        <v>2000</v>
      </c>
      <c r="X39" s="865">
        <f>IF(S39&lt;&gt;"",0%,"")</f>
        <v>0</v>
      </c>
      <c r="Y39" s="866">
        <f>IF(S39&lt;&gt;"",X39*W39,"")</f>
        <v>0</v>
      </c>
      <c r="Z39" s="866">
        <f>IF(S39&lt;&gt;"",Y39+V39,"")</f>
        <v>8000</v>
      </c>
      <c r="AA39" s="867">
        <f>IF(S39&lt;&gt;"",Z39+M39,"")</f>
        <v>10263.989355267931</v>
      </c>
      <c r="AB39" s="645">
        <f>IF(S39&lt;&gt;"", IFERROR(W39/K39, 0), 0)</f>
        <v>0.2</v>
      </c>
      <c r="AC39" s="632" t="e">
        <f>V39/$V$40</f>
        <v>#DIV/0!</v>
      </c>
      <c r="AM39" s="1703">
        <f t="shared" si="6"/>
        <v>0</v>
      </c>
      <c r="AN39" s="1713">
        <v>8000</v>
      </c>
      <c r="AO39" s="1695" t="s">
        <v>1580</v>
      </c>
    </row>
    <row r="40" spans="1:41" ht="50.1" customHeight="1" thickBot="1" x14ac:dyDescent="0.75">
      <c r="A40" s="633">
        <v>26</v>
      </c>
      <c r="B40" s="608"/>
      <c r="C40" s="634" t="s">
        <v>184</v>
      </c>
      <c r="D40" s="633"/>
      <c r="E40" s="633"/>
      <c r="F40" s="1553" t="s">
        <v>419</v>
      </c>
      <c r="G40" s="1554"/>
      <c r="H40" s="1554"/>
      <c r="I40" s="1554"/>
      <c r="J40" s="1554"/>
      <c r="K40" s="722">
        <f>SUM(K37:K39)</f>
        <v>64750</v>
      </c>
      <c r="L40" s="722">
        <f>SUM(L37:L39)</f>
        <v>5180</v>
      </c>
      <c r="M40" s="722">
        <f>SUM(M37:M39)</f>
        <v>14659.33107535986</v>
      </c>
      <c r="N40" s="729">
        <f>SUM(N37:N39)</f>
        <v>84589.331075359863</v>
      </c>
      <c r="O40" s="723"/>
      <c r="P40" s="723"/>
      <c r="Q40" s="723"/>
      <c r="S40" s="1611">
        <f>SUM(S37:S39)</f>
        <v>3</v>
      </c>
      <c r="T40" s="1528"/>
      <c r="U40" s="1528"/>
      <c r="V40" s="801">
        <f>SUM(V37:V37)</f>
        <v>0</v>
      </c>
      <c r="W40" s="762">
        <f>SUM(W37:W37)</f>
        <v>42750</v>
      </c>
      <c r="X40" s="882">
        <f>SUM(X37:X39)</f>
        <v>0</v>
      </c>
      <c r="Y40" s="763"/>
      <c r="Z40" s="764">
        <f>SUM(Z37:Z37)</f>
        <v>0</v>
      </c>
      <c r="AA40" s="750">
        <f>IF(S40&lt;&gt;"",Z40+M40,"")</f>
        <v>14659.33107535986</v>
      </c>
      <c r="AC40" s="883"/>
      <c r="AM40" s="1703"/>
      <c r="AN40" s="1713"/>
    </row>
    <row r="41" spans="1:41" ht="50.1" customHeight="1" thickBot="1" x14ac:dyDescent="0.75">
      <c r="A41" s="584">
        <v>27</v>
      </c>
      <c r="B41" s="608"/>
      <c r="C41" s="609" t="s">
        <v>183</v>
      </c>
      <c r="D41" s="584"/>
      <c r="E41" s="584"/>
      <c r="F41" s="1557" t="s">
        <v>190</v>
      </c>
      <c r="G41" s="1558"/>
      <c r="H41" s="1558"/>
      <c r="I41" s="1558"/>
      <c r="J41" s="1558"/>
      <c r="K41" s="711">
        <f>SUM(K37:K39)</f>
        <v>64750</v>
      </c>
      <c r="L41" s="711">
        <f>SUM(L37:L39)</f>
        <v>5180</v>
      </c>
      <c r="M41" s="711">
        <f>SUM(M37:M39)</f>
        <v>14659.33107535986</v>
      </c>
      <c r="N41" s="711">
        <f>SUM(N37:N39)</f>
        <v>84589.331075359863</v>
      </c>
      <c r="O41" s="711"/>
      <c r="P41" s="711"/>
      <c r="Q41" s="711"/>
      <c r="S41" s="1593">
        <f>SUM(S37:S39)</f>
        <v>3</v>
      </c>
      <c r="T41" s="1594"/>
      <c r="U41" s="1594"/>
      <c r="V41" s="884">
        <f>SUM(V37:V37)</f>
        <v>0</v>
      </c>
      <c r="W41" s="724">
        <f>SUM(W37:W37)</f>
        <v>42750</v>
      </c>
      <c r="X41" s="885">
        <f>SUM(X37:X39)</f>
        <v>0</v>
      </c>
      <c r="Y41" s="725"/>
      <c r="Z41" s="726">
        <f>SUM(Z37:Z37)</f>
        <v>0</v>
      </c>
      <c r="AA41" s="727">
        <f>IF(S41&lt;&gt;"",Z41+M41,"")</f>
        <v>14659.33107535986</v>
      </c>
      <c r="AC41" s="883"/>
      <c r="AM41" s="1703"/>
      <c r="AN41" s="1713"/>
    </row>
    <row r="42" spans="1:41" ht="50.1" customHeight="1" x14ac:dyDescent="0.7">
      <c r="A42" s="584">
        <v>28</v>
      </c>
      <c r="B42" s="608">
        <v>4</v>
      </c>
      <c r="C42" s="609" t="s">
        <v>167</v>
      </c>
      <c r="D42" s="584"/>
      <c r="E42" s="584"/>
      <c r="F42" s="1534" t="s">
        <v>422</v>
      </c>
      <c r="G42" s="1535"/>
      <c r="H42" s="1535"/>
      <c r="I42" s="1535"/>
      <c r="J42" s="1535"/>
      <c r="K42" s="1535"/>
      <c r="L42" s="1535"/>
      <c r="M42" s="1535"/>
      <c r="N42" s="1595"/>
      <c r="O42" s="611"/>
      <c r="P42" s="611"/>
      <c r="Q42" s="611"/>
      <c r="S42" s="1587" t="str">
        <f>IF(F42&lt;&gt;"",F42,"")</f>
        <v>TÉCNICA</v>
      </c>
      <c r="T42" s="1588"/>
      <c r="U42" s="1588"/>
      <c r="V42" s="1588"/>
      <c r="W42" s="1588"/>
      <c r="X42" s="1588"/>
      <c r="Y42" s="1588"/>
      <c r="Z42" s="1588"/>
      <c r="AA42" s="1589"/>
      <c r="AC42" s="883"/>
      <c r="AM42" s="1703"/>
      <c r="AN42" s="1713"/>
    </row>
    <row r="43" spans="1:41" ht="150" customHeight="1" x14ac:dyDescent="0.7">
      <c r="A43" s="584">
        <v>29</v>
      </c>
      <c r="B43" s="608" t="s">
        <v>682</v>
      </c>
      <c r="C43" s="609" t="s">
        <v>175</v>
      </c>
      <c r="D43" s="584" t="s">
        <v>182</v>
      </c>
      <c r="E43" s="584" t="s">
        <v>331</v>
      </c>
      <c r="F43" s="838" t="s">
        <v>619</v>
      </c>
      <c r="G43" s="886" t="s">
        <v>1358</v>
      </c>
      <c r="H43" s="830">
        <v>1</v>
      </c>
      <c r="I43" s="830">
        <v>5</v>
      </c>
      <c r="J43" s="881">
        <v>1100</v>
      </c>
      <c r="K43" s="620">
        <f>IF(F43&lt;&gt;"",H43*I43*J43,"")</f>
        <v>5500</v>
      </c>
      <c r="L43" s="620">
        <f>IF(K43&lt;&gt;"",IF(D43="INTERNO",0,K43*$L$14),"")</f>
        <v>440</v>
      </c>
      <c r="M43" s="620">
        <f>IF(K43&lt;&gt;"",IF(E43="FAT.OGGI",SUM(K43:L43)*(1/(1-$M$14)-1),L43*(1/(1-$M$14)-1)),0)</f>
        <v>92.236603362767596</v>
      </c>
      <c r="N43" s="887">
        <f>SUM(K43:M43)</f>
        <v>6032.2366033627677</v>
      </c>
      <c r="O43" s="888"/>
      <c r="P43" s="888" t="s">
        <v>956</v>
      </c>
      <c r="Q43" s="888" t="s">
        <v>981</v>
      </c>
      <c r="S43" s="854">
        <f>IF(H43&lt;&gt;"",H43,"")</f>
        <v>1</v>
      </c>
      <c r="T43" s="854">
        <v>1</v>
      </c>
      <c r="U43" s="626">
        <v>5500</v>
      </c>
      <c r="V43" s="626">
        <v>0</v>
      </c>
      <c r="W43" s="889">
        <f>IF(S43&lt;&gt;"",K43-V43,"")</f>
        <v>5500</v>
      </c>
      <c r="X43" s="890">
        <f>IF(S43&lt;&gt;"",0%,"")</f>
        <v>0</v>
      </c>
      <c r="Y43" s="891">
        <f>IF(S43&lt;&gt;"",X43*W43,"")</f>
        <v>0</v>
      </c>
      <c r="Z43" s="891">
        <f>IF(S43&lt;&gt;"",Y43+V43,"")</f>
        <v>0</v>
      </c>
      <c r="AA43" s="891">
        <f>IF(S43&lt;&gt;"",Z43+M43,"")</f>
        <v>92.236603362767596</v>
      </c>
      <c r="AB43" s="631">
        <f>IF(S43&lt;&gt;"", IFERROR(W43/K43, 0), 0)</f>
        <v>1</v>
      </c>
      <c r="AC43" s="632" t="e">
        <f>V43/$V$45</f>
        <v>#DIV/0!</v>
      </c>
      <c r="AM43" s="1703">
        <f t="shared" si="6"/>
        <v>0</v>
      </c>
      <c r="AN43" s="1713"/>
    </row>
    <row r="44" spans="1:41" ht="150" customHeight="1" x14ac:dyDescent="0.7">
      <c r="A44" s="633">
        <v>30</v>
      </c>
      <c r="B44" s="608" t="s">
        <v>683</v>
      </c>
      <c r="C44" s="634" t="s">
        <v>175</v>
      </c>
      <c r="D44" s="633" t="s">
        <v>182</v>
      </c>
      <c r="E44" s="633" t="s">
        <v>331</v>
      </c>
      <c r="F44" s="839" t="s">
        <v>620</v>
      </c>
      <c r="G44" s="892" t="s">
        <v>1359</v>
      </c>
      <c r="H44" s="893">
        <v>1</v>
      </c>
      <c r="I44" s="893">
        <v>1</v>
      </c>
      <c r="J44" s="842">
        <v>11000</v>
      </c>
      <c r="K44" s="843">
        <f>IF(F44&lt;&gt;"",H44*I44*J44,"")</f>
        <v>11000</v>
      </c>
      <c r="L44" s="843">
        <f>IF(K44&lt;&gt;"",IF(D44="INTERNO",0,K44*$L$14),"")</f>
        <v>880</v>
      </c>
      <c r="M44" s="620">
        <f>IF(K44&lt;&gt;"",IF(E44="FAT.OGGI",SUM(K44:L44)*(1/(1-$M$14)-1),L44*(1/(1-$M$14)-1)),0)</f>
        <v>184.47320672553519</v>
      </c>
      <c r="N44" s="894">
        <f>SUM(K44:M44)</f>
        <v>12064.473206725535</v>
      </c>
      <c r="O44" s="705"/>
      <c r="P44" s="705"/>
      <c r="Q44" s="705"/>
      <c r="S44" s="854">
        <f>IF(H44&lt;&gt;"",H44,"")</f>
        <v>1</v>
      </c>
      <c r="T44" s="854">
        <v>0</v>
      </c>
      <c r="U44" s="626">
        <v>15000</v>
      </c>
      <c r="V44" s="626">
        <f>IF(S44&lt;&gt;"",S44*T44*U44,"")</f>
        <v>0</v>
      </c>
      <c r="W44" s="889">
        <f>IF(S44&lt;&gt;"",K44-V44,"")</f>
        <v>11000</v>
      </c>
      <c r="X44" s="890">
        <f>IF(S44&lt;&gt;"",0%,"")</f>
        <v>0</v>
      </c>
      <c r="Y44" s="891">
        <f>IF(S44&lt;&gt;"",X44*W44,"")</f>
        <v>0</v>
      </c>
      <c r="Z44" s="891">
        <f>IF(S44&lt;&gt;"",Y44+V44,"")</f>
        <v>0</v>
      </c>
      <c r="AA44" s="891">
        <f>IF(S44&lt;&gt;"",Z44+M44,"")</f>
        <v>184.47320672553519</v>
      </c>
      <c r="AB44" s="631">
        <f>IF(S44&lt;&gt;"", IFERROR(W44/K44, 0), 0)</f>
        <v>1</v>
      </c>
      <c r="AC44" s="632" t="e">
        <f>V44/$V$45</f>
        <v>#DIV/0!</v>
      </c>
      <c r="AM44" s="1703">
        <f t="shared" si="6"/>
        <v>0</v>
      </c>
      <c r="AN44" s="1713"/>
    </row>
    <row r="45" spans="1:41" ht="50.1" customHeight="1" thickBot="1" x14ac:dyDescent="0.75">
      <c r="A45" s="584">
        <v>31</v>
      </c>
      <c r="B45" s="608"/>
      <c r="C45" s="609" t="s">
        <v>184</v>
      </c>
      <c r="D45" s="584"/>
      <c r="E45" s="584"/>
      <c r="F45" s="1526" t="s">
        <v>419</v>
      </c>
      <c r="G45" s="1527"/>
      <c r="H45" s="1527"/>
      <c r="I45" s="1527"/>
      <c r="J45" s="1527"/>
      <c r="K45" s="895">
        <f>SUM(K43:K44)</f>
        <v>16500</v>
      </c>
      <c r="L45" s="895">
        <f>SUM(L43:L44)</f>
        <v>1320</v>
      </c>
      <c r="M45" s="895">
        <f>SUM(M43:M44)</f>
        <v>276.70981008830279</v>
      </c>
      <c r="N45" s="896">
        <f>SUM(N43:N44)</f>
        <v>18096.709810088301</v>
      </c>
      <c r="O45" s="897"/>
      <c r="P45" s="897"/>
      <c r="Q45" s="897"/>
      <c r="S45" s="1590">
        <f>SUM(S43:S44)</f>
        <v>2</v>
      </c>
      <c r="T45" s="1591"/>
      <c r="U45" s="1591"/>
      <c r="V45" s="898">
        <f>SUM(V43:V44)</f>
        <v>0</v>
      </c>
      <c r="W45" s="899">
        <f>SUM(W43:W44)</f>
        <v>16500</v>
      </c>
      <c r="X45" s="900">
        <f>SUM(X43:X44)</f>
        <v>0</v>
      </c>
      <c r="Y45" s="901"/>
      <c r="Z45" s="902">
        <f>SUM(Z43:Z44)</f>
        <v>0</v>
      </c>
      <c r="AA45" s="903">
        <f>IF(S45&lt;&gt;"",Z45+M45,"")</f>
        <v>276.70981008830279</v>
      </c>
      <c r="AC45" s="632"/>
      <c r="AM45" s="1703"/>
      <c r="AN45" s="1713"/>
    </row>
    <row r="46" spans="1:41" ht="50.1" customHeight="1" thickBot="1" x14ac:dyDescent="0.75">
      <c r="A46" s="584">
        <v>32</v>
      </c>
      <c r="B46" s="608"/>
      <c r="C46" s="609" t="s">
        <v>183</v>
      </c>
      <c r="D46" s="584"/>
      <c r="E46" s="584"/>
      <c r="F46" s="1529" t="s">
        <v>440</v>
      </c>
      <c r="G46" s="1530"/>
      <c r="H46" s="1530"/>
      <c r="I46" s="1530"/>
      <c r="J46" s="1530"/>
      <c r="K46" s="711">
        <f>SUM(K43:K44)</f>
        <v>16500</v>
      </c>
      <c r="L46" s="711">
        <f>SUM(L43:L44)</f>
        <v>1320</v>
      </c>
      <c r="M46" s="711">
        <f>SUM(M43:M44)</f>
        <v>276.70981008830279</v>
      </c>
      <c r="N46" s="802">
        <f>SUM(N43:N44)</f>
        <v>18096.709810088301</v>
      </c>
      <c r="O46" s="711"/>
      <c r="P46" s="711"/>
      <c r="Q46" s="711"/>
      <c r="S46" s="1596">
        <f>SUM(S43:S44)</f>
        <v>2</v>
      </c>
      <c r="T46" s="1597"/>
      <c r="U46" s="1597"/>
      <c r="V46" s="904">
        <f>SUM(V43:V44)</f>
        <v>0</v>
      </c>
      <c r="W46" s="905">
        <f>SUM(W43:W44)</f>
        <v>16500</v>
      </c>
      <c r="X46" s="906">
        <f>SUM(X43:X44)</f>
        <v>0</v>
      </c>
      <c r="Y46" s="907"/>
      <c r="Z46" s="908">
        <f>SUM(Z43:Z44)</f>
        <v>0</v>
      </c>
      <c r="AA46" s="909">
        <f>IF(S46&lt;&gt;"",Z46+M46,"")</f>
        <v>276.70981008830279</v>
      </c>
      <c r="AC46" s="632"/>
      <c r="AM46" s="1703"/>
      <c r="AN46" s="1713"/>
    </row>
    <row r="47" spans="1:41" ht="50.1" customHeight="1" thickBot="1" x14ac:dyDescent="0.75">
      <c r="A47" s="584">
        <v>33</v>
      </c>
      <c r="B47" s="608">
        <v>5</v>
      </c>
      <c r="C47" s="609" t="s">
        <v>167</v>
      </c>
      <c r="D47" s="584"/>
      <c r="E47" s="584"/>
      <c r="F47" s="1534" t="s">
        <v>458</v>
      </c>
      <c r="G47" s="1535"/>
      <c r="H47" s="1535"/>
      <c r="I47" s="1535"/>
      <c r="J47" s="1535"/>
      <c r="K47" s="1535"/>
      <c r="L47" s="1535"/>
      <c r="M47" s="1535"/>
      <c r="N47" s="1595"/>
      <c r="O47" s="611"/>
      <c r="P47" s="611"/>
      <c r="Q47" s="611"/>
      <c r="S47" s="1543" t="str">
        <f>IF(F47&lt;&gt;"",F47,"")</f>
        <v xml:space="preserve">CENOGRAFIA </v>
      </c>
      <c r="T47" s="1537"/>
      <c r="U47" s="1537"/>
      <c r="V47" s="1537"/>
      <c r="W47" s="1537"/>
      <c r="X47" s="1537"/>
      <c r="Y47" s="1537"/>
      <c r="Z47" s="1537"/>
      <c r="AA47" s="1538"/>
      <c r="AC47" s="632"/>
      <c r="AM47" s="1703"/>
      <c r="AN47" s="1713"/>
    </row>
    <row r="48" spans="1:41" ht="50.1" customHeight="1" thickBot="1" x14ac:dyDescent="0.75">
      <c r="A48" s="584">
        <v>34</v>
      </c>
      <c r="B48" s="608" t="s">
        <v>217</v>
      </c>
      <c r="C48" s="609" t="s">
        <v>169</v>
      </c>
      <c r="D48" s="584"/>
      <c r="E48" s="584"/>
      <c r="F48" s="1547" t="s">
        <v>452</v>
      </c>
      <c r="G48" s="1548"/>
      <c r="H48" s="1548"/>
      <c r="I48" s="1548"/>
      <c r="J48" s="1548"/>
      <c r="K48" s="1548"/>
      <c r="L48" s="910" t="s">
        <v>171</v>
      </c>
      <c r="M48" s="910" t="s">
        <v>172</v>
      </c>
      <c r="N48" s="911" t="s">
        <v>129</v>
      </c>
      <c r="O48" s="912"/>
      <c r="P48" s="912"/>
      <c r="Q48" s="912"/>
      <c r="S48" s="1602" t="str">
        <f>IF(F48&lt;&gt;"",F48,"")</f>
        <v>CENOGRAFIA</v>
      </c>
      <c r="T48" s="1603"/>
      <c r="U48" s="1603"/>
      <c r="V48" s="1603"/>
      <c r="W48" s="1603"/>
      <c r="X48" s="1603"/>
      <c r="Y48" s="1603"/>
      <c r="Z48" s="1603"/>
      <c r="AA48" s="1604"/>
      <c r="AB48" s="616" t="s">
        <v>173</v>
      </c>
      <c r="AC48" s="913" t="s">
        <v>130</v>
      </c>
      <c r="AM48" s="1703"/>
      <c r="AN48" s="1713"/>
    </row>
    <row r="49" spans="1:41" ht="150" customHeight="1" x14ac:dyDescent="0.7">
      <c r="A49" s="584">
        <v>35</v>
      </c>
      <c r="B49" s="608" t="s">
        <v>218</v>
      </c>
      <c r="C49" s="609" t="s">
        <v>175</v>
      </c>
      <c r="D49" s="633" t="s">
        <v>182</v>
      </c>
      <c r="E49" s="633" t="s">
        <v>331</v>
      </c>
      <c r="F49" s="840" t="s">
        <v>837</v>
      </c>
      <c r="G49" s="892" t="s">
        <v>1380</v>
      </c>
      <c r="H49" s="961">
        <v>1</v>
      </c>
      <c r="I49" s="961">
        <v>1</v>
      </c>
      <c r="J49" s="843">
        <v>100000</v>
      </c>
      <c r="K49" s="620">
        <f>IF(F49&lt;&gt;"",H49*I49*J49,"")</f>
        <v>100000</v>
      </c>
      <c r="L49" s="620">
        <f>IF(K49&lt;&gt;"",IF(D49="INTERNO",0,K49*$L$14),"")</f>
        <v>8000</v>
      </c>
      <c r="M49" s="620">
        <f>IF(K49&lt;&gt;"",IF(E49="FAT.OGGI",SUM(K49:L49)*(1/(1-$M$14)-1),L49*(1/(1-$M$14)-1)),0)</f>
        <v>1677.0291520503199</v>
      </c>
      <c r="N49" s="620">
        <f>SUM(K49:M49)</f>
        <v>109677.02915205032</v>
      </c>
      <c r="O49" s="705"/>
      <c r="P49" s="954" t="s">
        <v>623</v>
      </c>
      <c r="Q49" s="1044" t="s">
        <v>988</v>
      </c>
      <c r="R49" s="559" t="s">
        <v>989</v>
      </c>
      <c r="S49" s="1045">
        <f t="shared" ref="S49:T51" si="20">IF(H49&lt;&gt;"",H49,"")</f>
        <v>1</v>
      </c>
      <c r="T49" s="1046">
        <f t="shared" si="20"/>
        <v>1</v>
      </c>
      <c r="U49" s="1047">
        <v>100000</v>
      </c>
      <c r="V49" s="1047">
        <v>0</v>
      </c>
      <c r="W49" s="1048">
        <f>IF(S49&lt;&gt;"",K49-V49,"")</f>
        <v>100000</v>
      </c>
      <c r="X49" s="1049">
        <f>IF(S49&lt;&gt;"",0%,"")</f>
        <v>0</v>
      </c>
      <c r="Y49" s="1050">
        <f>IF(S49&lt;&gt;"",X49*W49,"")</f>
        <v>0</v>
      </c>
      <c r="Z49" s="1050">
        <f>IF(S49&lt;&gt;"",Y49+V49,"")</f>
        <v>0</v>
      </c>
      <c r="AA49" s="1051">
        <f t="shared" ref="AA49:AA54" si="21">IF(S49&lt;&gt;"",Z49+M49,"")</f>
        <v>1677.0291520503199</v>
      </c>
      <c r="AB49" s="631">
        <f>IF(S49&lt;&gt;"", IFERROR(W49/K49, 0), 0)</f>
        <v>1</v>
      </c>
      <c r="AC49" s="632">
        <f>V49/$V$53</f>
        <v>0</v>
      </c>
      <c r="AM49" s="1703">
        <f t="shared" si="6"/>
        <v>0</v>
      </c>
      <c r="AN49" s="1713"/>
    </row>
    <row r="50" spans="1:41" ht="150" customHeight="1" x14ac:dyDescent="0.7">
      <c r="A50" s="584">
        <v>36</v>
      </c>
      <c r="B50" s="608" t="s">
        <v>219</v>
      </c>
      <c r="C50" s="609" t="s">
        <v>175</v>
      </c>
      <c r="D50" s="633" t="s">
        <v>182</v>
      </c>
      <c r="E50" s="633" t="s">
        <v>331</v>
      </c>
      <c r="F50" s="736" t="s">
        <v>838</v>
      </c>
      <c r="G50" s="886" t="s">
        <v>1360</v>
      </c>
      <c r="H50" s="706">
        <v>1</v>
      </c>
      <c r="I50" s="706">
        <v>1</v>
      </c>
      <c r="J50" s="620">
        <v>9500</v>
      </c>
      <c r="K50" s="620">
        <f>IF(F50&lt;&gt;"",H50*I50*J50,"")</f>
        <v>9500</v>
      </c>
      <c r="L50" s="620">
        <f>IF(K50&lt;&gt;"",IF(D50="INTERNO",0,K50*$L$14),"")</f>
        <v>760</v>
      </c>
      <c r="M50" s="620">
        <f>IF(K50&lt;&gt;"",IF(E50="FAT.OGGI",SUM(K50:L50)*(1/(1-$M$14)-1),L50*(1/(1-$M$14)-1)),0)</f>
        <v>159.3177694447804</v>
      </c>
      <c r="N50" s="620">
        <f>SUM(K50:M50)</f>
        <v>10419.31776944478</v>
      </c>
      <c r="O50" s="705"/>
      <c r="P50" s="914" t="s">
        <v>623</v>
      </c>
      <c r="Q50" s="915" t="s">
        <v>982</v>
      </c>
      <c r="R50" s="844" t="s">
        <v>1131</v>
      </c>
      <c r="S50" s="916">
        <f t="shared" si="20"/>
        <v>1</v>
      </c>
      <c r="T50" s="916">
        <f t="shared" si="20"/>
        <v>1</v>
      </c>
      <c r="U50" s="697">
        <v>251</v>
      </c>
      <c r="V50" s="697">
        <v>0</v>
      </c>
      <c r="W50" s="917">
        <f>IF(S50&lt;&gt;"",K50-V50,"")</f>
        <v>9500</v>
      </c>
      <c r="X50" s="918">
        <f>IF(S50&lt;&gt;"",0%,"")</f>
        <v>0</v>
      </c>
      <c r="Y50" s="919">
        <f>IF(S50&lt;&gt;"",X50*W50,"")</f>
        <v>0</v>
      </c>
      <c r="Z50" s="919">
        <f>IF(S50&lt;&gt;"",Y50+V50,"")</f>
        <v>0</v>
      </c>
      <c r="AA50" s="782">
        <f t="shared" si="21"/>
        <v>159.3177694447804</v>
      </c>
      <c r="AB50" s="632">
        <f>IF(S50&lt;&gt;"", IFERROR(W50/K50, 0), 0)</f>
        <v>1</v>
      </c>
      <c r="AC50" s="632"/>
      <c r="AM50" s="1703">
        <f t="shared" si="6"/>
        <v>0</v>
      </c>
      <c r="AN50" s="1713"/>
    </row>
    <row r="51" spans="1:41" ht="150" customHeight="1" x14ac:dyDescent="0.7">
      <c r="A51" s="646">
        <v>37</v>
      </c>
      <c r="B51" s="608" t="s">
        <v>805</v>
      </c>
      <c r="C51" s="647" t="s">
        <v>175</v>
      </c>
      <c r="D51" s="633" t="s">
        <v>182</v>
      </c>
      <c r="E51" s="633" t="s">
        <v>331</v>
      </c>
      <c r="F51" s="736" t="s">
        <v>839</v>
      </c>
      <c r="G51" s="886" t="s">
        <v>1361</v>
      </c>
      <c r="H51" s="706">
        <v>1</v>
      </c>
      <c r="I51" s="706">
        <v>1</v>
      </c>
      <c r="J51" s="620">
        <v>15000</v>
      </c>
      <c r="K51" s="620">
        <f>IF(F51&lt;&gt;"",H51*I51*J51,"")</f>
        <v>15000</v>
      </c>
      <c r="L51" s="620">
        <f>IF(K51&lt;&gt;"",IF(D51="INTERNO",0,K51*$L$14),"")</f>
        <v>1200</v>
      </c>
      <c r="M51" s="620">
        <f>IF(K51&lt;&gt;"",IF(E51="FAT.OGGI",SUM(K51:L51)*(1/(1-$M$14)-1),L51*(1/(1-$M$14)-1)),0)</f>
        <v>251.55437280754799</v>
      </c>
      <c r="N51" s="620">
        <f>SUM(K51:M51)</f>
        <v>16451.554372807546</v>
      </c>
      <c r="O51" s="705"/>
      <c r="P51" s="914" t="s">
        <v>623</v>
      </c>
      <c r="Q51" s="920" t="s">
        <v>987</v>
      </c>
      <c r="R51" s="844" t="s">
        <v>1131</v>
      </c>
      <c r="S51" s="739">
        <f t="shared" si="20"/>
        <v>1</v>
      </c>
      <c r="T51" s="739">
        <f t="shared" si="20"/>
        <v>1</v>
      </c>
      <c r="U51" s="650">
        <f>5380+4600+5000</f>
        <v>14980</v>
      </c>
      <c r="V51" s="650">
        <v>15900</v>
      </c>
      <c r="W51" s="921">
        <f>IF(S51&lt;&gt;"",K51-V51,"")</f>
        <v>-900</v>
      </c>
      <c r="X51" s="922">
        <f>IF(S51&lt;&gt;"",0%,"")</f>
        <v>0</v>
      </c>
      <c r="Y51" s="923">
        <f>IF(S51&lt;&gt;"",X51*W51,"")</f>
        <v>0</v>
      </c>
      <c r="Z51" s="923">
        <f>IF(S51&lt;&gt;"",Y51+V51,"")</f>
        <v>15900</v>
      </c>
      <c r="AA51" s="891">
        <f t="shared" si="21"/>
        <v>16151.554372807548</v>
      </c>
      <c r="AB51" s="632">
        <f>IF(S51&lt;&gt;"", IFERROR(W51/K51, 0), 0)</f>
        <v>-0.06</v>
      </c>
      <c r="AC51" s="632"/>
      <c r="AM51" s="1703">
        <f t="shared" si="6"/>
        <v>0</v>
      </c>
      <c r="AN51" s="1713">
        <f>10000+1300+4600</f>
        <v>15900</v>
      </c>
      <c r="AO51" s="1695" t="s">
        <v>1593</v>
      </c>
    </row>
    <row r="52" spans="1:41" ht="150" customHeight="1" thickBot="1" x14ac:dyDescent="0.75">
      <c r="A52" s="633">
        <v>38</v>
      </c>
      <c r="B52" s="608" t="s">
        <v>826</v>
      </c>
      <c r="C52" s="634" t="s">
        <v>175</v>
      </c>
      <c r="D52" s="633" t="s">
        <v>182</v>
      </c>
      <c r="E52" s="633" t="s">
        <v>331</v>
      </c>
      <c r="F52" s="1052" t="s">
        <v>820</v>
      </c>
      <c r="G52" s="1053" t="s">
        <v>821</v>
      </c>
      <c r="H52" s="770">
        <v>2</v>
      </c>
      <c r="I52" s="770">
        <v>5</v>
      </c>
      <c r="J52" s="771">
        <v>380</v>
      </c>
      <c r="K52" s="771">
        <f>IF(F52&lt;&gt;"",H52*I52*J52,"")</f>
        <v>3800</v>
      </c>
      <c r="L52" s="771">
        <f>IF(K52&lt;&gt;"",IF(D52="INTERNO",0,K52*$L$14),"")</f>
        <v>304</v>
      </c>
      <c r="M52" s="771">
        <f>IF(K52&lt;&gt;"",IF(E52="FAT.OGGI",SUM(K52:L52)*(1/(1-$M$14)-1),L52*(1/(1-$M$14)-1)),0)</f>
        <v>63.72710777791216</v>
      </c>
      <c r="N52" s="771">
        <f>SUM(K52:M52)</f>
        <v>4167.7271077779124</v>
      </c>
      <c r="O52" s="1054"/>
      <c r="P52" s="914" t="s">
        <v>623</v>
      </c>
      <c r="Q52" s="920" t="s">
        <v>993</v>
      </c>
      <c r="R52" s="559" t="s">
        <v>990</v>
      </c>
      <c r="S52" s="1055">
        <v>1</v>
      </c>
      <c r="T52" s="1056">
        <v>1</v>
      </c>
      <c r="U52" s="1057">
        <f>2980+249.09</f>
        <v>3229.09</v>
      </c>
      <c r="V52" s="1057">
        <v>2980</v>
      </c>
      <c r="W52" s="684">
        <f>IF(S52&lt;&gt;"",K52-V52,"")</f>
        <v>820</v>
      </c>
      <c r="X52" s="1058">
        <f>IF(S52&lt;&gt;"",0%,"")</f>
        <v>0</v>
      </c>
      <c r="Y52" s="687">
        <f>IF(S52&lt;&gt;"",X52*W52,"")</f>
        <v>0</v>
      </c>
      <c r="Z52" s="687">
        <f>IF(S52&lt;&gt;"",Y52+V52,"")</f>
        <v>2980</v>
      </c>
      <c r="AA52" s="688">
        <f t="shared" si="21"/>
        <v>3043.7271077779124</v>
      </c>
      <c r="AB52" s="631">
        <f>IF(S52&lt;&gt;"", IFERROR(W52/K52, 0), 0)</f>
        <v>0.21578947368421053</v>
      </c>
      <c r="AC52" s="632">
        <f>V52/$V$53</f>
        <v>0.15783898305084745</v>
      </c>
      <c r="AM52" s="1703">
        <f t="shared" si="6"/>
        <v>0</v>
      </c>
      <c r="AN52" s="1713">
        <v>2980</v>
      </c>
      <c r="AO52" s="1695" t="s">
        <v>1556</v>
      </c>
    </row>
    <row r="53" spans="1:41" ht="50.1" customHeight="1" thickBot="1" x14ac:dyDescent="0.75">
      <c r="A53" s="584">
        <v>39</v>
      </c>
      <c r="B53" s="608"/>
      <c r="C53" s="609" t="s">
        <v>184</v>
      </c>
      <c r="D53" s="584"/>
      <c r="E53" s="584"/>
      <c r="F53" s="1553" t="s">
        <v>474</v>
      </c>
      <c r="G53" s="1554"/>
      <c r="H53" s="1554"/>
      <c r="I53" s="1554"/>
      <c r="J53" s="1554"/>
      <c r="K53" s="722">
        <f>SUM(K49:K52)</f>
        <v>128300</v>
      </c>
      <c r="L53" s="722">
        <f>SUM(L49:L52)</f>
        <v>10264</v>
      </c>
      <c r="M53" s="722">
        <f>SUM(M49:M52)</f>
        <v>2151.6284020805606</v>
      </c>
      <c r="N53" s="729">
        <f>SUM(N49:N52)</f>
        <v>140715.62840208056</v>
      </c>
      <c r="O53" s="723"/>
      <c r="P53" s="723"/>
      <c r="Q53" s="723"/>
      <c r="S53" s="1605">
        <f>SUM(S49:S52)</f>
        <v>4</v>
      </c>
      <c r="T53" s="1606"/>
      <c r="U53" s="1606"/>
      <c r="V53" s="924">
        <f>SUM(V49:V52)</f>
        <v>18880</v>
      </c>
      <c r="W53" s="925">
        <f>SUM(W49:W52)</f>
        <v>109420</v>
      </c>
      <c r="X53" s="926">
        <f>SUM(X49:X52)</f>
        <v>0</v>
      </c>
      <c r="Y53" s="927"/>
      <c r="Z53" s="928">
        <f>SUM(Z49:Z52)</f>
        <v>18880</v>
      </c>
      <c r="AA53" s="929">
        <f t="shared" si="21"/>
        <v>21031.628402080562</v>
      </c>
      <c r="AC53" s="632"/>
      <c r="AM53" s="1703"/>
      <c r="AN53" s="1713"/>
    </row>
    <row r="54" spans="1:41" ht="50.1" customHeight="1" thickBot="1" x14ac:dyDescent="0.75">
      <c r="A54" s="646">
        <v>40</v>
      </c>
      <c r="B54" s="608"/>
      <c r="C54" s="647" t="s">
        <v>183</v>
      </c>
      <c r="D54" s="646"/>
      <c r="E54" s="646"/>
      <c r="F54" s="1567" t="s">
        <v>473</v>
      </c>
      <c r="G54" s="1568"/>
      <c r="H54" s="1568"/>
      <c r="I54" s="1568"/>
      <c r="J54" s="1568"/>
      <c r="K54" s="930">
        <f>SUM(K49:K52)</f>
        <v>128300</v>
      </c>
      <c r="L54" s="930">
        <f>SUM(L49:L52)</f>
        <v>10264</v>
      </c>
      <c r="M54" s="930">
        <f>SUM(M49:M52)</f>
        <v>2151.6284020805606</v>
      </c>
      <c r="N54" s="931">
        <f>SUM(N49:N52)</f>
        <v>140715.62840208056</v>
      </c>
      <c r="O54" s="711"/>
      <c r="P54" s="711"/>
      <c r="Q54" s="711"/>
      <c r="S54" s="1593">
        <f>SUM(S49:S52)</f>
        <v>4</v>
      </c>
      <c r="T54" s="1594"/>
      <c r="U54" s="1594"/>
      <c r="V54" s="884">
        <f>SUM(V49:V52)</f>
        <v>18880</v>
      </c>
      <c r="W54" s="932">
        <f>SUM(W49:W52)</f>
        <v>109420</v>
      </c>
      <c r="X54" s="933">
        <f>SUM(X49:X52)</f>
        <v>0</v>
      </c>
      <c r="Y54" s="934"/>
      <c r="Z54" s="935">
        <f>SUM(Z49:Z52)</f>
        <v>18880</v>
      </c>
      <c r="AA54" s="936">
        <f t="shared" si="21"/>
        <v>21031.628402080562</v>
      </c>
      <c r="AC54" s="632"/>
      <c r="AM54" s="1703"/>
      <c r="AN54" s="1713"/>
    </row>
    <row r="55" spans="1:41" ht="50.1" customHeight="1" thickBot="1" x14ac:dyDescent="0.75">
      <c r="A55" s="654">
        <v>41</v>
      </c>
      <c r="B55" s="608">
        <v>6</v>
      </c>
      <c r="C55" s="655" t="s">
        <v>167</v>
      </c>
      <c r="D55" s="654"/>
      <c r="E55" s="654"/>
      <c r="F55" s="1607" t="s">
        <v>441</v>
      </c>
      <c r="G55" s="1608"/>
      <c r="H55" s="1608"/>
      <c r="I55" s="1608"/>
      <c r="J55" s="1608"/>
      <c r="K55" s="1608"/>
      <c r="L55" s="1608"/>
      <c r="M55" s="1608"/>
      <c r="N55" s="1609"/>
      <c r="O55" s="611"/>
      <c r="P55" s="611"/>
      <c r="Q55" s="611"/>
      <c r="S55" s="1607" t="str">
        <f>IF(F55&lt;&gt;"",F55,"")</f>
        <v>CONTEÚDO</v>
      </c>
      <c r="T55" s="1608"/>
      <c r="U55" s="1608"/>
      <c r="V55" s="1608"/>
      <c r="W55" s="1608"/>
      <c r="X55" s="1608"/>
      <c r="Y55" s="1608"/>
      <c r="Z55" s="1608"/>
      <c r="AA55" s="1609"/>
      <c r="AC55" s="632"/>
      <c r="AM55" s="1703"/>
      <c r="AN55" s="1713"/>
    </row>
    <row r="56" spans="1:41" ht="50.1" customHeight="1" thickBot="1" x14ac:dyDescent="0.75">
      <c r="A56" s="633">
        <v>42</v>
      </c>
      <c r="B56" s="608"/>
      <c r="C56" s="634" t="s">
        <v>184</v>
      </c>
      <c r="D56" s="633"/>
      <c r="E56" s="633"/>
      <c r="F56" s="1582" t="s">
        <v>441</v>
      </c>
      <c r="G56" s="1583"/>
      <c r="H56" s="1583"/>
      <c r="I56" s="1583"/>
      <c r="J56" s="1583"/>
      <c r="K56" s="1583"/>
      <c r="L56" s="937" t="s">
        <v>171</v>
      </c>
      <c r="M56" s="937" t="s">
        <v>172</v>
      </c>
      <c r="N56" s="938" t="s">
        <v>129</v>
      </c>
      <c r="O56" s="615"/>
      <c r="P56" s="615"/>
      <c r="Q56" s="615"/>
      <c r="S56" s="1397" t="str">
        <f>IF(F56&lt;&gt;"",F56,"")</f>
        <v>CONTEÚDO</v>
      </c>
      <c r="T56" s="1398"/>
      <c r="U56" s="1398"/>
      <c r="V56" s="1398"/>
      <c r="W56" s="1398"/>
      <c r="X56" s="1398"/>
      <c r="Y56" s="1398"/>
      <c r="Z56" s="1398"/>
      <c r="AA56" s="1561"/>
      <c r="AB56" s="616" t="s">
        <v>173</v>
      </c>
      <c r="AC56" s="939"/>
      <c r="AM56" s="1703"/>
      <c r="AN56" s="1713"/>
    </row>
    <row r="57" spans="1:41" ht="150" customHeight="1" x14ac:dyDescent="0.7">
      <c r="A57" s="584">
        <v>43</v>
      </c>
      <c r="B57" s="608" t="s">
        <v>692</v>
      </c>
      <c r="C57" s="609" t="s">
        <v>175</v>
      </c>
      <c r="D57" s="584" t="s">
        <v>182</v>
      </c>
      <c r="E57" s="584" t="s">
        <v>331</v>
      </c>
      <c r="F57" s="742" t="s">
        <v>449</v>
      </c>
      <c r="G57" s="743" t="s">
        <v>1381</v>
      </c>
      <c r="H57" s="765">
        <v>1</v>
      </c>
      <c r="I57" s="765">
        <v>1</v>
      </c>
      <c r="J57" s="746">
        <v>8000</v>
      </c>
      <c r="K57" s="746">
        <f>IF(F57&lt;&gt;"",H57*I57*J57,"")</f>
        <v>8000</v>
      </c>
      <c r="L57" s="747">
        <f>IF(K57&lt;&gt;"",IF(D57="INTERNO",0,K57*$L$14),"")</f>
        <v>640</v>
      </c>
      <c r="M57" s="747">
        <f>IF(K57&lt;&gt;"",IF(E57="FAT.OGGI",SUM(K57:L57)*(1/(1-$M$14)-1),L57*(1/(1-$M$14)-1)),0)</f>
        <v>134.1623321640256</v>
      </c>
      <c r="N57" s="748">
        <f>SUM(K57:M57)</f>
        <v>8774.1623321640254</v>
      </c>
      <c r="O57" s="623"/>
      <c r="P57" s="914" t="s">
        <v>974</v>
      </c>
      <c r="Q57" s="914"/>
      <c r="S57" s="941">
        <f>IF(H57&lt;&gt;"",H57,"")</f>
        <v>1</v>
      </c>
      <c r="T57" s="916">
        <v>0</v>
      </c>
      <c r="U57" s="697">
        <v>0</v>
      </c>
      <c r="V57" s="697">
        <f>IF(S57&lt;&gt;"",S57*T57*U57,"")</f>
        <v>0</v>
      </c>
      <c r="W57" s="698">
        <f>IF(S57&lt;&gt;"",K57-V57,"")</f>
        <v>8000</v>
      </c>
      <c r="X57" s="699">
        <f>IF(S57&lt;&gt;"",0%,"")</f>
        <v>0</v>
      </c>
      <c r="Y57" s="700">
        <f>IF(S57&lt;&gt;"",X57*W57,"")</f>
        <v>0</v>
      </c>
      <c r="Z57" s="700">
        <f>IF(S57&lt;&gt;"",Y57+V57,"")</f>
        <v>0</v>
      </c>
      <c r="AA57" s="639">
        <f t="shared" ref="AA57:AA63" si="22">IF(S57&lt;&gt;"",Z57+M57,"")</f>
        <v>134.1623321640256</v>
      </c>
      <c r="AB57" s="631">
        <f>IF(S57&lt;&gt;"", IFERROR(W57/K57, 0), 0)</f>
        <v>1</v>
      </c>
      <c r="AC57" s="632">
        <f>V57/$V$62</f>
        <v>0</v>
      </c>
      <c r="AM57" s="1703">
        <f t="shared" si="6"/>
        <v>0</v>
      </c>
      <c r="AN57" s="1713"/>
    </row>
    <row r="58" spans="1:41" ht="150" customHeight="1" x14ac:dyDescent="0.7">
      <c r="A58" s="584">
        <v>44</v>
      </c>
      <c r="B58" s="608" t="s">
        <v>693</v>
      </c>
      <c r="C58" s="609" t="s">
        <v>175</v>
      </c>
      <c r="D58" s="584" t="s">
        <v>182</v>
      </c>
      <c r="E58" s="584" t="s">
        <v>331</v>
      </c>
      <c r="F58" s="838" t="s">
        <v>804</v>
      </c>
      <c r="G58" s="940" t="s">
        <v>1362</v>
      </c>
      <c r="H58" s="830">
        <v>1</v>
      </c>
      <c r="I58" s="830">
        <v>1</v>
      </c>
      <c r="J58" s="831">
        <v>91375</v>
      </c>
      <c r="K58" s="621">
        <f>IF(F58&lt;&gt;"",H58*I58*J58,"")</f>
        <v>91375</v>
      </c>
      <c r="L58" s="621">
        <f>IF(K58&lt;&gt;"",IF(D58="INTERNO",0,K58*$L$14),"")</f>
        <v>7310</v>
      </c>
      <c r="M58" s="621">
        <f>IF(K58&lt;&gt;"",IF(E58="FAT.OGGI",SUM(K58:L58)*(1/(1-$M$14)-1),L58*(1/(1-$M$14)-1)),0)</f>
        <v>1532.3853876859798</v>
      </c>
      <c r="N58" s="622">
        <f>SUM(K58:M58)</f>
        <v>100217.38538768598</v>
      </c>
      <c r="O58" s="623"/>
      <c r="P58" s="914" t="s">
        <v>623</v>
      </c>
      <c r="Q58" s="914" t="s">
        <v>994</v>
      </c>
      <c r="R58" s="844" t="s">
        <v>1133</v>
      </c>
      <c r="S58" s="941">
        <f>IF(H58&lt;&gt;"",H58,"")</f>
        <v>1</v>
      </c>
      <c r="T58" s="916">
        <f>IF(I58&lt;&gt;"",I58,"")</f>
        <v>1</v>
      </c>
      <c r="U58" s="697">
        <v>73100</v>
      </c>
      <c r="V58" s="697">
        <v>73100</v>
      </c>
      <c r="W58" s="698">
        <f>IF(S58&lt;&gt;"",K58-V58,"")</f>
        <v>18275</v>
      </c>
      <c r="X58" s="699">
        <f>IF(S58&lt;&gt;"",0%,"")</f>
        <v>0</v>
      </c>
      <c r="Y58" s="700">
        <f>IF(S58&lt;&gt;"",X58*W58,"")</f>
        <v>0</v>
      </c>
      <c r="Z58" s="700">
        <f>IF(S58&lt;&gt;"",Y58+V58,"")</f>
        <v>73100</v>
      </c>
      <c r="AA58" s="701">
        <f t="shared" si="22"/>
        <v>74632.385387685979</v>
      </c>
      <c r="AB58" s="942">
        <f>IF(S58&lt;&gt;"", IFERROR(W58/K58, 0), 0)</f>
        <v>0.2</v>
      </c>
      <c r="AC58" s="632">
        <f>V58/$V$62</f>
        <v>0.35125654701840375</v>
      </c>
      <c r="AM58" s="1703">
        <f t="shared" si="6"/>
        <v>0</v>
      </c>
      <c r="AN58" s="1713">
        <f>17700+55400</f>
        <v>73100</v>
      </c>
      <c r="AO58" s="1695" t="s">
        <v>1571</v>
      </c>
    </row>
    <row r="59" spans="1:41" ht="150" customHeight="1" x14ac:dyDescent="0.7">
      <c r="A59" s="646">
        <v>45</v>
      </c>
      <c r="B59" s="608" t="s">
        <v>803</v>
      </c>
      <c r="C59" s="647" t="s">
        <v>175</v>
      </c>
      <c r="D59" s="584" t="s">
        <v>182</v>
      </c>
      <c r="E59" s="584" t="s">
        <v>331</v>
      </c>
      <c r="F59" s="838" t="s">
        <v>850</v>
      </c>
      <c r="G59" s="940" t="s">
        <v>1363</v>
      </c>
      <c r="H59" s="943">
        <v>1</v>
      </c>
      <c r="I59" s="943">
        <v>1</v>
      </c>
      <c r="J59" s="870">
        <v>3730</v>
      </c>
      <c r="K59" s="870">
        <f>IF(F59&lt;&gt;"",H59*I59*J59,"")</f>
        <v>3730</v>
      </c>
      <c r="L59" s="870">
        <f>IF(K59&lt;&gt;"",IF(D59="INTERNO",0,K59*$L$14),"")</f>
        <v>298.40000000000003</v>
      </c>
      <c r="M59" s="870">
        <f>IF(K59&lt;&gt;"",IF(E59="FAT.OGGI",SUM(K59:L59)*(1/(1-$M$14)-1),L59*(1/(1-$M$14)-1)),0)</f>
        <v>62.553187371476945</v>
      </c>
      <c r="N59" s="944">
        <f>SUM(K59:M59)</f>
        <v>4090.9531873714768</v>
      </c>
      <c r="O59" s="945"/>
      <c r="P59" s="914" t="s">
        <v>974</v>
      </c>
      <c r="Q59" s="914"/>
      <c r="R59" s="844" t="s">
        <v>1134</v>
      </c>
      <c r="S59" s="946">
        <f>IF(H59&lt;&gt;"",H59,"")</f>
        <v>1</v>
      </c>
      <c r="T59" s="946">
        <f>IF(I59&lt;&gt;"",I59,"")</f>
        <v>1</v>
      </c>
      <c r="U59" s="947">
        <v>0</v>
      </c>
      <c r="V59" s="947">
        <f>IF(S59&lt;&gt;"",S59*T59*U59,"")</f>
        <v>0</v>
      </c>
      <c r="W59" s="948">
        <f>IF(S59&lt;&gt;"",K59-V59,"")</f>
        <v>3730</v>
      </c>
      <c r="X59" s="949">
        <f>IF(S59&lt;&gt;"",0%,"")</f>
        <v>0</v>
      </c>
      <c r="Y59" s="950">
        <f>IF(S59&lt;&gt;"",X59*W59,"")</f>
        <v>0</v>
      </c>
      <c r="Z59" s="950">
        <f>IF(S59&lt;&gt;"",Y59+V59,"")</f>
        <v>0</v>
      </c>
      <c r="AA59" s="950">
        <f t="shared" si="22"/>
        <v>62.553187371476945</v>
      </c>
      <c r="AB59" s="632">
        <f>IF(S59&lt;&gt;"", IFERROR(W59/K59, 0), 0)</f>
        <v>1</v>
      </c>
      <c r="AC59" s="632">
        <f>V59/$V$62</f>
        <v>0</v>
      </c>
      <c r="AM59" s="1703">
        <f>Z59-AN59</f>
        <v>0</v>
      </c>
      <c r="AN59" s="1713"/>
    </row>
    <row r="60" spans="1:41" ht="150" customHeight="1" x14ac:dyDescent="0.7">
      <c r="A60" s="654">
        <v>46</v>
      </c>
      <c r="B60" s="608" t="s">
        <v>832</v>
      </c>
      <c r="C60" s="655" t="s">
        <v>175</v>
      </c>
      <c r="D60" s="633" t="s">
        <v>182</v>
      </c>
      <c r="E60" s="633" t="s">
        <v>331</v>
      </c>
      <c r="F60" s="838" t="s">
        <v>690</v>
      </c>
      <c r="G60" s="940" t="s">
        <v>1364</v>
      </c>
      <c r="H60" s="951">
        <v>1</v>
      </c>
      <c r="I60" s="951">
        <v>1</v>
      </c>
      <c r="J60" s="621">
        <v>115010</v>
      </c>
      <c r="K60" s="621">
        <f>IF(F60&lt;&gt;"",H60*I60*J60,"")</f>
        <v>115010</v>
      </c>
      <c r="L60" s="621">
        <f>IF(K60&lt;&gt;"",IF(D60="INTERNO",0,K60*$L$14),"")</f>
        <v>9200.8000000000011</v>
      </c>
      <c r="M60" s="621">
        <f>IF(K60&lt;&gt;"",IF(E60="FAT.OGGI",SUM(K60:L60)*(1/(1-$M$14)-1),L60*(1/(1-$M$14)-1)),0)</f>
        <v>1928.7512277730732</v>
      </c>
      <c r="N60" s="622">
        <f>SUM(K60:M60)</f>
        <v>126139.55122777307</v>
      </c>
      <c r="O60" s="623"/>
      <c r="P60" s="914" t="s">
        <v>623</v>
      </c>
      <c r="Q60" s="914" t="s">
        <v>995</v>
      </c>
      <c r="R60" s="559" t="s">
        <v>991</v>
      </c>
      <c r="S60" s="952">
        <f>IF(H60&lt;&gt;"",H60,"")</f>
        <v>1</v>
      </c>
      <c r="T60" s="952">
        <f>IF(I60&lt;&gt;"",I60,"")</f>
        <v>1</v>
      </c>
      <c r="U60" s="660">
        <v>115010</v>
      </c>
      <c r="V60" s="947">
        <v>115010</v>
      </c>
      <c r="W60" s="948">
        <f>IF(S60&lt;&gt;"",K60-V60,"")</f>
        <v>0</v>
      </c>
      <c r="X60" s="949">
        <f>IF(S60&lt;&gt;"",0%,"")</f>
        <v>0</v>
      </c>
      <c r="Y60" s="950">
        <f>IF(S60&lt;&gt;"",X60*W60,"")</f>
        <v>0</v>
      </c>
      <c r="Z60" s="950">
        <f>IF(S60&lt;&gt;"",Y60+V60,"")</f>
        <v>115010</v>
      </c>
      <c r="AA60" s="669">
        <f t="shared" si="22"/>
        <v>116938.75122777307</v>
      </c>
      <c r="AB60" s="953">
        <f>IF(S60&lt;&gt;"", IFERROR(W60/K60, 0), 0)</f>
        <v>0</v>
      </c>
      <c r="AC60" s="632">
        <f>V60/$V$62</f>
        <v>0.55264043054154055</v>
      </c>
      <c r="AM60" s="1703">
        <f>Z60-AN60</f>
        <v>0</v>
      </c>
      <c r="AN60" s="1713">
        <v>115010</v>
      </c>
      <c r="AO60" s="1695" t="s">
        <v>1652</v>
      </c>
    </row>
    <row r="61" spans="1:41" ht="150" customHeight="1" x14ac:dyDescent="0.7">
      <c r="A61" s="654">
        <v>47</v>
      </c>
      <c r="B61" s="608" t="s">
        <v>849</v>
      </c>
      <c r="C61" s="655" t="s">
        <v>175</v>
      </c>
      <c r="D61" s="633" t="s">
        <v>182</v>
      </c>
      <c r="E61" s="633" t="s">
        <v>331</v>
      </c>
      <c r="F61" s="838" t="s">
        <v>833</v>
      </c>
      <c r="G61" s="940" t="s">
        <v>1365</v>
      </c>
      <c r="H61" s="951">
        <v>1</v>
      </c>
      <c r="I61" s="951">
        <v>1</v>
      </c>
      <c r="J61" s="621">
        <v>23638.5</v>
      </c>
      <c r="K61" s="621">
        <f>IF(F61&lt;&gt;"",H61*I61*J61,"")</f>
        <v>23638.5</v>
      </c>
      <c r="L61" s="621">
        <f>IF(K61&lt;&gt;"",IF(D61="INTERNO",0,K61*$L$14),"")</f>
        <v>1891.08</v>
      </c>
      <c r="M61" s="621">
        <f>IF(K61&lt;&gt;"",IF(E61="FAT.OGGI",SUM(K61:L61)*(1/(1-$M$14)-1),L61*(1/(1-$M$14)-1)),0)</f>
        <v>396.42453610741489</v>
      </c>
      <c r="N61" s="622">
        <f>SUM(K61:M61)</f>
        <v>25926.004536107415</v>
      </c>
      <c r="O61" s="623"/>
      <c r="P61" s="914" t="s">
        <v>623</v>
      </c>
      <c r="Q61" s="954" t="s">
        <v>996</v>
      </c>
      <c r="S61" s="955">
        <f>IF(H61&lt;&gt;"",H61,"")</f>
        <v>1</v>
      </c>
      <c r="T61" s="952">
        <v>0</v>
      </c>
      <c r="U61" s="660">
        <v>23638.5</v>
      </c>
      <c r="V61" s="660">
        <v>20000</v>
      </c>
      <c r="W61" s="661">
        <f>IF(S61&lt;&gt;"",K61-V61,"")</f>
        <v>3638.5</v>
      </c>
      <c r="X61" s="662">
        <f>IF(S61&lt;&gt;"",0%,"")</f>
        <v>0</v>
      </c>
      <c r="Y61" s="663">
        <f>IF(S61&lt;&gt;"",X61*W61,"")</f>
        <v>0</v>
      </c>
      <c r="Z61" s="663">
        <f>IF(S61&lt;&gt;"",Y61+V61,"")</f>
        <v>20000</v>
      </c>
      <c r="AA61" s="664">
        <f t="shared" si="22"/>
        <v>20396.424536107414</v>
      </c>
      <c r="AB61" s="631">
        <f>IF(S61&lt;&gt;"", IFERROR(W61/K61, 0), 0)</f>
        <v>0.15392262622416819</v>
      </c>
      <c r="AC61" s="632">
        <f>V61/$V$62</f>
        <v>9.6103022440055738E-2</v>
      </c>
      <c r="AM61" s="1703">
        <f t="shared" si="6"/>
        <v>0</v>
      </c>
      <c r="AN61" s="1713">
        <v>20000</v>
      </c>
      <c r="AO61" s="1695" t="s">
        <v>1657</v>
      </c>
    </row>
    <row r="62" spans="1:41" ht="50.1" customHeight="1" thickBot="1" x14ac:dyDescent="0.75">
      <c r="A62" s="633">
        <v>48</v>
      </c>
      <c r="B62" s="608">
        <v>7</v>
      </c>
      <c r="C62" s="634" t="s">
        <v>167</v>
      </c>
      <c r="D62" s="633"/>
      <c r="E62" s="633"/>
      <c r="F62" s="1584"/>
      <c r="G62" s="1554"/>
      <c r="H62" s="1554"/>
      <c r="I62" s="1554"/>
      <c r="J62" s="1554"/>
      <c r="K62" s="722">
        <f>SUM(K57:K61)</f>
        <v>241753.5</v>
      </c>
      <c r="L62" s="722">
        <f>SUM(L57:L61)</f>
        <v>19340.28</v>
      </c>
      <c r="M62" s="722">
        <f>SUM(M57:M61)</f>
        <v>4054.2766711019708</v>
      </c>
      <c r="N62" s="729">
        <f>SUM(N57:N61)</f>
        <v>265148.05667110195</v>
      </c>
      <c r="O62" s="723"/>
      <c r="P62" s="723"/>
      <c r="Q62" s="723"/>
      <c r="S62" s="1549" t="s">
        <v>450</v>
      </c>
      <c r="T62" s="1550"/>
      <c r="U62" s="1550"/>
      <c r="V62" s="740">
        <f>SUM(V57:V61)</f>
        <v>208110</v>
      </c>
      <c r="W62" s="731">
        <f>SUM(W57:W61)</f>
        <v>33643.5</v>
      </c>
      <c r="X62" s="732"/>
      <c r="Y62" s="732"/>
      <c r="Z62" s="733">
        <f>SUM(Z57:Z61)</f>
        <v>208110</v>
      </c>
      <c r="AA62" s="734">
        <f>IF(S62&lt;&gt;"",Z62+M62,"")</f>
        <v>212164.27667110198</v>
      </c>
      <c r="AM62" s="1703"/>
      <c r="AN62" s="1713"/>
    </row>
    <row r="63" spans="1:41" ht="50.1" customHeight="1" thickBot="1" x14ac:dyDescent="0.75">
      <c r="A63" s="584">
        <v>49</v>
      </c>
      <c r="B63" s="608" t="s">
        <v>442</v>
      </c>
      <c r="C63" s="609" t="s">
        <v>169</v>
      </c>
      <c r="D63" s="584"/>
      <c r="E63" s="584"/>
      <c r="F63" s="1557" t="s">
        <v>450</v>
      </c>
      <c r="G63" s="1558"/>
      <c r="H63" s="1558"/>
      <c r="I63" s="1558"/>
      <c r="J63" s="1558"/>
      <c r="K63" s="711">
        <f>SUM(K57:K61)</f>
        <v>241753.5</v>
      </c>
      <c r="L63" s="711">
        <f>SUM(L57:L61)</f>
        <v>19340.28</v>
      </c>
      <c r="M63" s="711">
        <f>SUM(M57:M61)</f>
        <v>4054.2766711019708</v>
      </c>
      <c r="N63" s="711">
        <f>SUM(N57:N61)</f>
        <v>265148.05667110195</v>
      </c>
      <c r="O63" s="711"/>
      <c r="P63" s="711"/>
      <c r="Q63" s="711"/>
      <c r="S63" s="1580" t="s">
        <v>450</v>
      </c>
      <c r="T63" s="1581"/>
      <c r="U63" s="1581"/>
      <c r="V63" s="711">
        <f>SUM(V57:V61)</f>
        <v>208110</v>
      </c>
      <c r="W63" s="956">
        <f>SUM(W62:W62)</f>
        <v>33643.5</v>
      </c>
      <c r="X63" s="756"/>
      <c r="Y63" s="756"/>
      <c r="Z63" s="957">
        <f>SUM(Z62:Z62)</f>
        <v>208110</v>
      </c>
      <c r="AA63" s="758">
        <f t="shared" si="22"/>
        <v>212164.27667110198</v>
      </c>
      <c r="AM63" s="1703"/>
      <c r="AN63" s="1713"/>
    </row>
    <row r="64" spans="1:41" ht="50.1" customHeight="1" thickBot="1" x14ac:dyDescent="0.75">
      <c r="A64" s="584">
        <v>50</v>
      </c>
      <c r="B64" s="608" t="s">
        <v>443</v>
      </c>
      <c r="C64" s="609" t="s">
        <v>175</v>
      </c>
      <c r="D64" s="584" t="s">
        <v>182</v>
      </c>
      <c r="E64" s="584" t="s">
        <v>179</v>
      </c>
      <c r="F64" s="1534" t="s">
        <v>505</v>
      </c>
      <c r="G64" s="1535"/>
      <c r="H64" s="1535"/>
      <c r="I64" s="1535"/>
      <c r="J64" s="1535"/>
      <c r="K64" s="1535"/>
      <c r="L64" s="1535"/>
      <c r="M64" s="1535"/>
      <c r="N64" s="1592"/>
      <c r="O64" s="611"/>
      <c r="P64" s="611"/>
      <c r="Q64" s="611"/>
      <c r="S64" s="1543" t="str">
        <f>IF(F64&lt;&gt;"",F64,"")</f>
        <v>ATIVIDADES, BRINDES E MATERIAIS</v>
      </c>
      <c r="T64" s="1537"/>
      <c r="U64" s="1537"/>
      <c r="V64" s="1537"/>
      <c r="W64" s="1537"/>
      <c r="X64" s="1537"/>
      <c r="Y64" s="1537"/>
      <c r="Z64" s="1537"/>
      <c r="AA64" s="1538"/>
      <c r="AM64" s="1703"/>
      <c r="AN64" s="1713"/>
    </row>
    <row r="65" spans="1:41" ht="50.1" customHeight="1" thickBot="1" x14ac:dyDescent="0.75">
      <c r="A65" s="584">
        <v>51</v>
      </c>
      <c r="B65" s="608"/>
      <c r="C65" s="609" t="s">
        <v>184</v>
      </c>
      <c r="D65" s="584"/>
      <c r="E65" s="584"/>
      <c r="F65" s="1539">
        <f>SUM(F64:F64)</f>
        <v>0</v>
      </c>
      <c r="G65" s="1540"/>
      <c r="H65" s="1540"/>
      <c r="I65" s="1540"/>
      <c r="J65" s="1540"/>
      <c r="K65" s="1541"/>
      <c r="L65" s="937">
        <f>SUM(L64:L64)</f>
        <v>0</v>
      </c>
      <c r="M65" s="937">
        <f>SUM(M64:M64)</f>
        <v>0</v>
      </c>
      <c r="N65" s="958">
        <f>SUM(N64:N64)</f>
        <v>0</v>
      </c>
      <c r="O65" s="615"/>
      <c r="P65" s="615"/>
      <c r="Q65" s="615"/>
      <c r="S65" s="1547">
        <f>SUM(S64:S64)</f>
        <v>0</v>
      </c>
      <c r="T65" s="1548"/>
      <c r="U65" s="1548"/>
      <c r="V65" s="1548"/>
      <c r="W65" s="1548"/>
      <c r="X65" s="1548"/>
      <c r="Y65" s="1548"/>
      <c r="Z65" s="1548"/>
      <c r="AA65" s="1579"/>
      <c r="AB65" s="616" t="s">
        <v>173</v>
      </c>
      <c r="AC65" s="617" t="s">
        <v>130</v>
      </c>
      <c r="AM65" s="1703"/>
      <c r="AN65" s="1713"/>
    </row>
    <row r="66" spans="1:41" ht="150" customHeight="1" x14ac:dyDescent="0.7">
      <c r="A66" s="584">
        <v>52</v>
      </c>
      <c r="B66" s="608" t="s">
        <v>444</v>
      </c>
      <c r="C66" s="609" t="s">
        <v>175</v>
      </c>
      <c r="D66" s="584" t="s">
        <v>182</v>
      </c>
      <c r="E66" s="584" t="s">
        <v>179</v>
      </c>
      <c r="F66" s="1059" t="s">
        <v>790</v>
      </c>
      <c r="G66" s="1060" t="s">
        <v>1382</v>
      </c>
      <c r="H66" s="1061">
        <v>1</v>
      </c>
      <c r="I66" s="1061">
        <v>1</v>
      </c>
      <c r="J66" s="1062">
        <v>51575.256000000001</v>
      </c>
      <c r="K66" s="1062">
        <f t="shared" ref="K66:K86" si="23">IF(F66&lt;&gt;"",H66*I66*J66,"")</f>
        <v>51575.256000000001</v>
      </c>
      <c r="L66" s="1062">
        <f t="shared" ref="L66:L74" si="24">IF(K66&lt;&gt;"",IF(D66="INTERNO",0,K66*$L$14),"")</f>
        <v>4126.0204800000001</v>
      </c>
      <c r="M66" s="1062">
        <f t="shared" ref="M66:M74" si="25">IF(K66&lt;&gt;"",IF(E66="FAT.OGGI",SUM(K66:L66)*(1/(1-$M$14)-1),L66*(1/(1-$M$14)-1)),0)</f>
        <v>11676.583057921855</v>
      </c>
      <c r="N66" s="1063">
        <f t="shared" ref="N66:N74" si="26">SUM(K66:M66)</f>
        <v>67377.85953792186</v>
      </c>
      <c r="O66" s="1054"/>
      <c r="P66" s="778" t="s">
        <v>623</v>
      </c>
      <c r="Q66" s="1064" t="s">
        <v>983</v>
      </c>
      <c r="R66" s="1065" t="s">
        <v>991</v>
      </c>
      <c r="S66" s="1066">
        <f t="shared" ref="S66:S80" si="27">IF(H66&lt;&gt;"",H66,"")</f>
        <v>1</v>
      </c>
      <c r="T66" s="1067">
        <f t="shared" ref="T66:T78" si="28">IF(I66&lt;&gt;"",I66,"")</f>
        <v>1</v>
      </c>
      <c r="U66" s="1068">
        <v>51575.25</v>
      </c>
      <c r="V66" s="1068">
        <v>110513.68</v>
      </c>
      <c r="W66" s="1069">
        <f t="shared" ref="W66:W86" si="29">IF(S66&lt;&gt;"",K66-V66,"")</f>
        <v>-58938.423999999992</v>
      </c>
      <c r="X66" s="1070">
        <f t="shared" ref="X66:X74" si="30">IF(S66&lt;&gt;"",0%,"")</f>
        <v>0</v>
      </c>
      <c r="Y66" s="1071">
        <f t="shared" ref="Y66:Y74" si="31">IF(S66&lt;&gt;"",X66*W66,"")</f>
        <v>0</v>
      </c>
      <c r="Z66" s="1071">
        <f t="shared" ref="Z66:Z74" si="32">IF(S66&lt;&gt;"",Y66+V66,"")</f>
        <v>110513.68</v>
      </c>
      <c r="AA66" s="1072">
        <f t="shared" ref="AA66:AA85" si="33">IF(S66&lt;&gt;"",Z66+M66,"")</f>
        <v>122190.26305792185</v>
      </c>
      <c r="AB66" s="631">
        <f t="shared" ref="AB66:AB86" si="34">IF(S66&lt;&gt;"", IFERROR(W66/K66, 0), 0)</f>
        <v>-1.1427655153083485</v>
      </c>
      <c r="AC66" s="632">
        <f t="shared" ref="AC66:AC76" si="35">V66/$V$62</f>
        <v>0.53103493344865693</v>
      </c>
      <c r="AM66" s="1703">
        <f>Z66-AN66</f>
        <v>0</v>
      </c>
      <c r="AN66" s="1713">
        <f>104825.84+5687.84</f>
        <v>110513.68</v>
      </c>
      <c r="AO66" s="1695" t="s">
        <v>1582</v>
      </c>
    </row>
    <row r="67" spans="1:41" ht="150" customHeight="1" x14ac:dyDescent="0.7">
      <c r="A67" s="584">
        <v>53</v>
      </c>
      <c r="B67" s="608" t="s">
        <v>445</v>
      </c>
      <c r="C67" s="609" t="s">
        <v>175</v>
      </c>
      <c r="D67" s="584" t="s">
        <v>182</v>
      </c>
      <c r="E67" s="584" t="s">
        <v>179</v>
      </c>
      <c r="F67" s="768" t="s">
        <v>792</v>
      </c>
      <c r="G67" s="1052" t="s">
        <v>1383</v>
      </c>
      <c r="H67" s="770">
        <v>1</v>
      </c>
      <c r="I67" s="770">
        <v>1</v>
      </c>
      <c r="J67" s="771">
        <v>27302.472000000002</v>
      </c>
      <c r="K67" s="771">
        <f t="shared" si="23"/>
        <v>27302.472000000002</v>
      </c>
      <c r="L67" s="771">
        <f t="shared" si="24"/>
        <v>2184.19776</v>
      </c>
      <c r="M67" s="771">
        <f t="shared" si="25"/>
        <v>6181.2505980500764</v>
      </c>
      <c r="N67" s="1073">
        <f t="shared" si="26"/>
        <v>35667.920358050076</v>
      </c>
      <c r="O67" s="1054"/>
      <c r="P67" s="778" t="s">
        <v>623</v>
      </c>
      <c r="Q67" s="1064" t="s">
        <v>984</v>
      </c>
      <c r="R67" s="1065" t="s">
        <v>991</v>
      </c>
      <c r="S67" s="853">
        <f t="shared" si="27"/>
        <v>1</v>
      </c>
      <c r="T67" s="854">
        <f t="shared" si="28"/>
        <v>1</v>
      </c>
      <c r="U67" s="626">
        <v>58938.42</v>
      </c>
      <c r="V67" s="626">
        <v>0</v>
      </c>
      <c r="W67" s="1074">
        <f t="shared" si="29"/>
        <v>27302.472000000002</v>
      </c>
      <c r="X67" s="628">
        <f t="shared" si="30"/>
        <v>0</v>
      </c>
      <c r="Y67" s="629">
        <f t="shared" si="31"/>
        <v>0</v>
      </c>
      <c r="Z67" s="629">
        <f t="shared" si="32"/>
        <v>0</v>
      </c>
      <c r="AA67" s="630">
        <f t="shared" si="33"/>
        <v>6181.2505980500764</v>
      </c>
      <c r="AB67" s="631">
        <f t="shared" si="34"/>
        <v>1</v>
      </c>
      <c r="AC67" s="632">
        <f t="shared" si="35"/>
        <v>0</v>
      </c>
      <c r="AM67" s="1703">
        <f t="shared" si="6"/>
        <v>0</v>
      </c>
      <c r="AN67" s="1713"/>
    </row>
    <row r="68" spans="1:41" ht="150" customHeight="1" x14ac:dyDescent="0.7">
      <c r="A68" s="584">
        <v>54</v>
      </c>
      <c r="B68" s="608" t="s">
        <v>694</v>
      </c>
      <c r="C68" s="609" t="s">
        <v>175</v>
      </c>
      <c r="D68" s="584" t="s">
        <v>182</v>
      </c>
      <c r="E68" s="584" t="s">
        <v>179</v>
      </c>
      <c r="F68" s="768" t="s">
        <v>802</v>
      </c>
      <c r="G68" s="1052" t="s">
        <v>1384</v>
      </c>
      <c r="H68" s="770">
        <v>1</v>
      </c>
      <c r="I68" s="770">
        <v>1</v>
      </c>
      <c r="J68" s="771">
        <f>(900*4)+(192*7*2)+(1800*2)+2000</f>
        <v>11888</v>
      </c>
      <c r="K68" s="771">
        <f t="shared" si="23"/>
        <v>11888</v>
      </c>
      <c r="L68" s="771">
        <f t="shared" si="24"/>
        <v>951.04</v>
      </c>
      <c r="M68" s="771">
        <f t="shared" si="25"/>
        <v>2691.4305455425178</v>
      </c>
      <c r="N68" s="1073">
        <f t="shared" si="26"/>
        <v>15530.470545542519</v>
      </c>
      <c r="O68" s="1054"/>
      <c r="P68" s="778" t="s">
        <v>623</v>
      </c>
      <c r="Q68" s="779" t="s">
        <v>985</v>
      </c>
      <c r="R68" s="1065" t="s">
        <v>991</v>
      </c>
      <c r="S68" s="853">
        <f t="shared" si="27"/>
        <v>1</v>
      </c>
      <c r="T68" s="854">
        <f t="shared" si="28"/>
        <v>1</v>
      </c>
      <c r="U68" s="626">
        <f>(350*4*3)+(85*7*5)+(1100*2)</f>
        <v>9375</v>
      </c>
      <c r="V68" s="626">
        <v>0</v>
      </c>
      <c r="W68" s="627">
        <f t="shared" si="29"/>
        <v>11888</v>
      </c>
      <c r="X68" s="628">
        <f t="shared" si="30"/>
        <v>0</v>
      </c>
      <c r="Y68" s="629">
        <f t="shared" si="31"/>
        <v>0</v>
      </c>
      <c r="Z68" s="629">
        <f t="shared" si="32"/>
        <v>0</v>
      </c>
      <c r="AA68" s="630">
        <f t="shared" si="33"/>
        <v>2691.4305455425178</v>
      </c>
      <c r="AB68" s="631">
        <f t="shared" si="34"/>
        <v>1</v>
      </c>
      <c r="AC68" s="632">
        <f t="shared" si="35"/>
        <v>0</v>
      </c>
      <c r="AM68" s="1703">
        <f t="shared" si="6"/>
        <v>0</v>
      </c>
      <c r="AN68" s="1713"/>
    </row>
    <row r="69" spans="1:41" ht="150" customHeight="1" x14ac:dyDescent="0.7">
      <c r="A69" s="584">
        <v>55</v>
      </c>
      <c r="B69" s="608" t="s">
        <v>695</v>
      </c>
      <c r="C69" s="609" t="s">
        <v>175</v>
      </c>
      <c r="D69" s="584" t="s">
        <v>182</v>
      </c>
      <c r="E69" s="959" t="s">
        <v>331</v>
      </c>
      <c r="F69" s="839" t="s">
        <v>830</v>
      </c>
      <c r="G69" s="960" t="s">
        <v>1366</v>
      </c>
      <c r="H69" s="961">
        <v>1</v>
      </c>
      <c r="I69" s="961">
        <v>1</v>
      </c>
      <c r="J69" s="843">
        <v>15000</v>
      </c>
      <c r="K69" s="620">
        <f t="shared" si="23"/>
        <v>15000</v>
      </c>
      <c r="L69" s="620">
        <f>IF(K69&lt;&gt;"",IF(D69="INTERNO",0,K69*$L$14),"")</f>
        <v>1200</v>
      </c>
      <c r="M69" s="620">
        <f>IF(K69&lt;&gt;"",IF(E69="FAT.OGGI",SUM(K69:L69)*(1/(1-$M$14)-1),L69*(1/(1-$M$14)-1)),0)</f>
        <v>251.55437280754799</v>
      </c>
      <c r="N69" s="894">
        <f>SUM(K69:M69)</f>
        <v>16451.554372807546</v>
      </c>
      <c r="O69" s="705"/>
      <c r="P69" s="778" t="s">
        <v>623</v>
      </c>
      <c r="Q69" s="962" t="s">
        <v>997</v>
      </c>
      <c r="S69" s="853">
        <f t="shared" si="27"/>
        <v>1</v>
      </c>
      <c r="T69" s="854">
        <f t="shared" si="28"/>
        <v>1</v>
      </c>
      <c r="U69" s="626">
        <v>7000</v>
      </c>
      <c r="V69" s="626">
        <v>0</v>
      </c>
      <c r="W69" s="627">
        <f t="shared" si="29"/>
        <v>15000</v>
      </c>
      <c r="X69" s="628">
        <f>IF(S69&lt;&gt;"",0%,"")</f>
        <v>0</v>
      </c>
      <c r="Y69" s="629">
        <f>IF(S69&lt;&gt;"",X69*W69,"")</f>
        <v>0</v>
      </c>
      <c r="Z69" s="629">
        <f>IF(S69&lt;&gt;"",Y69+V69,"")</f>
        <v>0</v>
      </c>
      <c r="AA69" s="630">
        <f t="shared" si="33"/>
        <v>251.55437280754799</v>
      </c>
      <c r="AB69" s="631">
        <f t="shared" si="34"/>
        <v>1</v>
      </c>
      <c r="AC69" s="632">
        <f>V69/$V$62</f>
        <v>0</v>
      </c>
      <c r="AM69" s="1703">
        <f t="shared" si="6"/>
        <v>0</v>
      </c>
      <c r="AN69" s="1713"/>
    </row>
    <row r="70" spans="1:41" ht="150" customHeight="1" x14ac:dyDescent="0.7">
      <c r="A70" s="646">
        <v>56</v>
      </c>
      <c r="B70" s="608" t="s">
        <v>696</v>
      </c>
      <c r="C70" s="647" t="s">
        <v>175</v>
      </c>
      <c r="D70" s="584" t="s">
        <v>182</v>
      </c>
      <c r="E70" s="959" t="s">
        <v>331</v>
      </c>
      <c r="F70" s="839" t="s">
        <v>831</v>
      </c>
      <c r="G70" s="960" t="s">
        <v>1367</v>
      </c>
      <c r="H70" s="961">
        <v>2</v>
      </c>
      <c r="I70" s="961">
        <v>1</v>
      </c>
      <c r="J70" s="843">
        <v>5250</v>
      </c>
      <c r="K70" s="620">
        <f t="shared" si="23"/>
        <v>10500</v>
      </c>
      <c r="L70" s="620">
        <f>IF(K70&lt;&gt;"",IF(D70="INTERNO",0,K70*$L$14),"")</f>
        <v>840</v>
      </c>
      <c r="M70" s="620">
        <f>IF(K70&lt;&gt;"",IF(E70="FAT.OGGI",SUM(K70:L70)*(1/(1-$M$14)-1),L70*(1/(1-$M$14)-1)),0)</f>
        <v>176.0880609652836</v>
      </c>
      <c r="N70" s="894">
        <f>SUM(K70:M70)</f>
        <v>11516.088060965283</v>
      </c>
      <c r="O70" s="705"/>
      <c r="P70" s="778" t="s">
        <v>623</v>
      </c>
      <c r="Q70" s="962" t="s">
        <v>998</v>
      </c>
      <c r="S70" s="853">
        <f t="shared" si="27"/>
        <v>2</v>
      </c>
      <c r="T70" s="854">
        <f t="shared" si="28"/>
        <v>1</v>
      </c>
      <c r="U70" s="626">
        <v>3500</v>
      </c>
      <c r="V70" s="626">
        <v>0</v>
      </c>
      <c r="W70" s="627">
        <f t="shared" si="29"/>
        <v>10500</v>
      </c>
      <c r="X70" s="628">
        <f>IF(S70&lt;&gt;"",0%,"")</f>
        <v>0</v>
      </c>
      <c r="Y70" s="629">
        <f>IF(S70&lt;&gt;"",X70*W70,"")</f>
        <v>0</v>
      </c>
      <c r="Z70" s="629">
        <f>IF(S70&lt;&gt;"",Y70+V70,"")</f>
        <v>0</v>
      </c>
      <c r="AA70" s="630">
        <f t="shared" si="33"/>
        <v>176.0880609652836</v>
      </c>
      <c r="AB70" s="631">
        <f t="shared" si="34"/>
        <v>1</v>
      </c>
      <c r="AC70" s="632">
        <f>V70/$V$62</f>
        <v>0</v>
      </c>
      <c r="AM70" s="1703">
        <f t="shared" si="6"/>
        <v>0</v>
      </c>
      <c r="AN70" s="1713"/>
    </row>
    <row r="71" spans="1:41" ht="150" customHeight="1" x14ac:dyDescent="0.7">
      <c r="A71" s="633">
        <v>57</v>
      </c>
      <c r="B71" s="608" t="s">
        <v>697</v>
      </c>
      <c r="C71" s="634" t="s">
        <v>175</v>
      </c>
      <c r="D71" s="633" t="s">
        <v>182</v>
      </c>
      <c r="E71" s="633" t="s">
        <v>179</v>
      </c>
      <c r="F71" s="838" t="s">
        <v>489</v>
      </c>
      <c r="G71" s="940" t="s">
        <v>1385</v>
      </c>
      <c r="H71" s="951">
        <v>5</v>
      </c>
      <c r="I71" s="951">
        <v>3</v>
      </c>
      <c r="J71" s="1075">
        <v>85</v>
      </c>
      <c r="K71" s="620">
        <f t="shared" si="23"/>
        <v>1275</v>
      </c>
      <c r="L71" s="620">
        <f t="shared" si="24"/>
        <v>102</v>
      </c>
      <c r="M71" s="620">
        <f t="shared" si="25"/>
        <v>288.65864279666135</v>
      </c>
      <c r="N71" s="894">
        <f t="shared" si="26"/>
        <v>1665.6586427966613</v>
      </c>
      <c r="O71" s="705"/>
      <c r="P71" s="778" t="s">
        <v>623</v>
      </c>
      <c r="Q71" s="778" t="s">
        <v>1000</v>
      </c>
      <c r="R71" s="1065" t="s">
        <v>951</v>
      </c>
      <c r="S71" s="853">
        <f t="shared" si="27"/>
        <v>5</v>
      </c>
      <c r="T71" s="854">
        <f t="shared" si="28"/>
        <v>3</v>
      </c>
      <c r="U71" s="626">
        <v>45.9</v>
      </c>
      <c r="V71" s="626">
        <v>0</v>
      </c>
      <c r="W71" s="627">
        <f t="shared" si="29"/>
        <v>1275</v>
      </c>
      <c r="X71" s="628">
        <f t="shared" si="30"/>
        <v>0</v>
      </c>
      <c r="Y71" s="629">
        <f t="shared" si="31"/>
        <v>0</v>
      </c>
      <c r="Z71" s="629">
        <f t="shared" si="32"/>
        <v>0</v>
      </c>
      <c r="AA71" s="630">
        <f t="shared" si="33"/>
        <v>288.65864279666135</v>
      </c>
      <c r="AB71" s="631">
        <f t="shared" si="34"/>
        <v>1</v>
      </c>
      <c r="AC71" s="632">
        <f t="shared" si="35"/>
        <v>0</v>
      </c>
      <c r="AM71" s="1703">
        <f t="shared" si="6"/>
        <v>0</v>
      </c>
      <c r="AN71" s="1713"/>
    </row>
    <row r="72" spans="1:41" ht="150" customHeight="1" x14ac:dyDescent="0.7">
      <c r="A72" s="584">
        <v>58</v>
      </c>
      <c r="B72" s="608" t="s">
        <v>698</v>
      </c>
      <c r="C72" s="609" t="s">
        <v>175</v>
      </c>
      <c r="D72" s="633" t="s">
        <v>182</v>
      </c>
      <c r="E72" s="633" t="s">
        <v>179</v>
      </c>
      <c r="F72" s="845" t="s">
        <v>807</v>
      </c>
      <c r="G72" s="846" t="s">
        <v>1386</v>
      </c>
      <c r="H72" s="1076">
        <v>9000</v>
      </c>
      <c r="I72" s="1076">
        <v>1</v>
      </c>
      <c r="J72" s="833">
        <v>0.59</v>
      </c>
      <c r="K72" s="771">
        <f t="shared" si="23"/>
        <v>5310</v>
      </c>
      <c r="L72" s="771">
        <f>IF(K72&lt;&gt;"",IF(D72="INTERNO",0,K72*$L$14),"")</f>
        <v>424.8</v>
      </c>
      <c r="M72" s="771">
        <f>IF(K72&lt;&gt;"",IF(E72="FAT.OGGI",SUM(K72:L72)*(1/(1-$M$14)-1),L72*(1/(1-$M$14)-1)),0)</f>
        <v>1202.1783476472719</v>
      </c>
      <c r="N72" s="1073">
        <f>SUM(K72:M72)</f>
        <v>6936.9783476472721</v>
      </c>
      <c r="O72" s="1054"/>
      <c r="P72" s="778" t="s">
        <v>623</v>
      </c>
      <c r="Q72" s="778" t="s">
        <v>999</v>
      </c>
      <c r="R72" s="1065" t="s">
        <v>991</v>
      </c>
      <c r="S72" s="853">
        <f t="shared" si="27"/>
        <v>9000</v>
      </c>
      <c r="T72" s="854">
        <f t="shared" si="28"/>
        <v>1</v>
      </c>
      <c r="U72" s="626">
        <v>0.504</v>
      </c>
      <c r="V72" s="626">
        <v>5160</v>
      </c>
      <c r="W72" s="627">
        <f t="shared" si="29"/>
        <v>150</v>
      </c>
      <c r="X72" s="628">
        <f>IF(S72&lt;&gt;"",0%,"")</f>
        <v>0</v>
      </c>
      <c r="Y72" s="629">
        <f>IF(S72&lt;&gt;"",X72*W72,"")</f>
        <v>0</v>
      </c>
      <c r="Z72" s="629">
        <f>IF(S72&lt;&gt;"",Y72+V72,"")</f>
        <v>5160</v>
      </c>
      <c r="AA72" s="630">
        <f t="shared" si="33"/>
        <v>6362.1783476472719</v>
      </c>
      <c r="AB72" s="631">
        <f t="shared" si="34"/>
        <v>2.8248587570621469E-2</v>
      </c>
      <c r="AC72" s="632">
        <f t="shared" si="35"/>
        <v>2.4794579789534379E-2</v>
      </c>
      <c r="AM72" s="1703">
        <f t="shared" si="6"/>
        <v>0</v>
      </c>
      <c r="AN72" s="1713">
        <v>5160</v>
      </c>
      <c r="AO72" s="1695" t="s">
        <v>1605</v>
      </c>
    </row>
    <row r="73" spans="1:41" ht="150" customHeight="1" x14ac:dyDescent="0.7">
      <c r="A73" s="646">
        <v>59</v>
      </c>
      <c r="B73" s="608" t="s">
        <v>699</v>
      </c>
      <c r="C73" s="647" t="s">
        <v>175</v>
      </c>
      <c r="D73" s="633" t="s">
        <v>182</v>
      </c>
      <c r="E73" s="633" t="s">
        <v>179</v>
      </c>
      <c r="F73" s="845" t="s">
        <v>822</v>
      </c>
      <c r="G73" s="846" t="s">
        <v>1387</v>
      </c>
      <c r="H73" s="1076">
        <v>8</v>
      </c>
      <c r="I73" s="1076">
        <v>1</v>
      </c>
      <c r="J73" s="833">
        <v>203.1</v>
      </c>
      <c r="K73" s="771">
        <f t="shared" si="23"/>
        <v>1624.8</v>
      </c>
      <c r="L73" s="771">
        <f>IF(K73&lt;&gt;"",IF(D73="INTERNO",0,K73*$L$14),"")</f>
        <v>129.98400000000001</v>
      </c>
      <c r="M73" s="771">
        <f>IF(K73&lt;&gt;"",IF(E73="FAT.OGGI",SUM(K73:L73)*(1/(1-$M$14)-1),L73*(1/(1-$M$14)-1)),0)</f>
        <v>367.85299044393355</v>
      </c>
      <c r="N73" s="1073">
        <f>SUM(K73:M73)</f>
        <v>2122.6369904439334</v>
      </c>
      <c r="O73" s="1054"/>
      <c r="P73" s="778" t="s">
        <v>623</v>
      </c>
      <c r="Q73" s="778" t="s">
        <v>999</v>
      </c>
      <c r="R73" s="1065" t="s">
        <v>951</v>
      </c>
      <c r="S73" s="853">
        <f t="shared" si="27"/>
        <v>8</v>
      </c>
      <c r="T73" s="854">
        <f t="shared" si="28"/>
        <v>1</v>
      </c>
      <c r="U73" s="626">
        <v>160.22999999999999</v>
      </c>
      <c r="V73" s="626">
        <v>1281.8399999999999</v>
      </c>
      <c r="W73" s="627">
        <f t="shared" si="29"/>
        <v>342.96000000000004</v>
      </c>
      <c r="X73" s="628">
        <f>IF(S73&lt;&gt;"",0%,"")</f>
        <v>0</v>
      </c>
      <c r="Y73" s="629">
        <f>IF(S73&lt;&gt;"",X73*W73,"")</f>
        <v>0</v>
      </c>
      <c r="Z73" s="629">
        <f>IF(S73&lt;&gt;"",Y73+V73,"")</f>
        <v>1281.8399999999999</v>
      </c>
      <c r="AA73" s="630">
        <f t="shared" si="33"/>
        <v>1649.6929904439335</v>
      </c>
      <c r="AB73" s="631">
        <f t="shared" si="34"/>
        <v>0.21107828655834568</v>
      </c>
      <c r="AC73" s="632">
        <f t="shared" si="35"/>
        <v>6.1594349142280519E-3</v>
      </c>
      <c r="AM73" s="1703">
        <f t="shared" si="6"/>
        <v>0</v>
      </c>
      <c r="AN73" s="1713">
        <v>1281.8399999999999</v>
      </c>
      <c r="AO73" s="1695" t="s">
        <v>1599</v>
      </c>
    </row>
    <row r="74" spans="1:41" ht="150" customHeight="1" x14ac:dyDescent="0.7">
      <c r="A74" s="654">
        <v>60</v>
      </c>
      <c r="B74" s="608" t="s">
        <v>700</v>
      </c>
      <c r="C74" s="655" t="s">
        <v>175</v>
      </c>
      <c r="D74" s="633" t="s">
        <v>182</v>
      </c>
      <c r="E74" s="633" t="s">
        <v>179</v>
      </c>
      <c r="F74" s="845" t="s">
        <v>671</v>
      </c>
      <c r="G74" s="1053" t="s">
        <v>1388</v>
      </c>
      <c r="H74" s="1076">
        <v>11</v>
      </c>
      <c r="I74" s="1076">
        <v>2</v>
      </c>
      <c r="J74" s="1077">
        <v>380</v>
      </c>
      <c r="K74" s="620">
        <f t="shared" si="23"/>
        <v>8360</v>
      </c>
      <c r="L74" s="620">
        <f t="shared" si="24"/>
        <v>668.80000000000007</v>
      </c>
      <c r="M74" s="620">
        <f t="shared" si="25"/>
        <v>1892.6951010039909</v>
      </c>
      <c r="N74" s="894">
        <f t="shared" si="26"/>
        <v>10921.495101003989</v>
      </c>
      <c r="O74" s="705"/>
      <c r="P74" s="778" t="s">
        <v>623</v>
      </c>
      <c r="Q74" s="778" t="s">
        <v>1000</v>
      </c>
      <c r="R74" s="1065" t="s">
        <v>951</v>
      </c>
      <c r="S74" s="853">
        <f t="shared" si="27"/>
        <v>11</v>
      </c>
      <c r="T74" s="854">
        <f t="shared" si="28"/>
        <v>2</v>
      </c>
      <c r="U74" s="626">
        <v>280.20999999999998</v>
      </c>
      <c r="V74" s="626">
        <v>0</v>
      </c>
      <c r="W74" s="627">
        <f t="shared" si="29"/>
        <v>8360</v>
      </c>
      <c r="X74" s="628">
        <f t="shared" si="30"/>
        <v>0</v>
      </c>
      <c r="Y74" s="629">
        <f t="shared" si="31"/>
        <v>0</v>
      </c>
      <c r="Z74" s="629">
        <f t="shared" si="32"/>
        <v>0</v>
      </c>
      <c r="AA74" s="630">
        <f t="shared" si="33"/>
        <v>1892.6951010039909</v>
      </c>
      <c r="AB74" s="631">
        <f t="shared" si="34"/>
        <v>1</v>
      </c>
      <c r="AC74" s="632">
        <f t="shared" si="35"/>
        <v>0</v>
      </c>
      <c r="AM74" s="1703">
        <f t="shared" si="6"/>
        <v>0</v>
      </c>
      <c r="AN74" s="1713"/>
    </row>
    <row r="75" spans="1:41" ht="150" customHeight="1" x14ac:dyDescent="0.7">
      <c r="A75" s="633">
        <v>61</v>
      </c>
      <c r="B75" s="608" t="s">
        <v>701</v>
      </c>
      <c r="C75" s="634" t="s">
        <v>175</v>
      </c>
      <c r="D75" s="633" t="s">
        <v>182</v>
      </c>
      <c r="E75" s="633" t="s">
        <v>179</v>
      </c>
      <c r="F75" s="845" t="s">
        <v>672</v>
      </c>
      <c r="G75" s="846" t="s">
        <v>1389</v>
      </c>
      <c r="H75" s="1076">
        <v>600</v>
      </c>
      <c r="I75" s="1076">
        <v>1</v>
      </c>
      <c r="J75" s="1077">
        <v>23.6</v>
      </c>
      <c r="K75" s="621">
        <f t="shared" si="23"/>
        <v>14160</v>
      </c>
      <c r="L75" s="621">
        <f t="shared" ref="L75:L86" si="36">IF(K75&lt;&gt;"",IF(D75="INTERNO",0,K75*$L$14),"")</f>
        <v>1132.8</v>
      </c>
      <c r="M75" s="621">
        <f t="shared" ref="M75:M86" si="37">IF(K75&lt;&gt;"",IF(E75="FAT.OGGI",SUM(K75:L75)*(1/(1-$M$14)-1),L75*(1/(1-$M$14)-1)),0)</f>
        <v>3205.8089270593914</v>
      </c>
      <c r="N75" s="622">
        <f t="shared" ref="N75:N86" si="38">SUM(K75:M75)</f>
        <v>18498.608927059391</v>
      </c>
      <c r="O75" s="623"/>
      <c r="P75" s="778" t="s">
        <v>623</v>
      </c>
      <c r="Q75" s="778" t="s">
        <v>1002</v>
      </c>
      <c r="R75" s="1065" t="s">
        <v>951</v>
      </c>
      <c r="S75" s="624">
        <f t="shared" si="27"/>
        <v>600</v>
      </c>
      <c r="T75" s="625">
        <f t="shared" si="28"/>
        <v>1</v>
      </c>
      <c r="U75" s="626">
        <v>21.5</v>
      </c>
      <c r="V75" s="626">
        <v>25573.67</v>
      </c>
      <c r="W75" s="627">
        <f t="shared" si="29"/>
        <v>-11413.669999999998</v>
      </c>
      <c r="X75" s="628">
        <f t="shared" ref="X75:X86" si="39">IF(S75&lt;&gt;"",0%,"")</f>
        <v>0</v>
      </c>
      <c r="Y75" s="629">
        <f t="shared" ref="Y75:Y86" si="40">IF(S75&lt;&gt;"",X75*W75,"")</f>
        <v>0</v>
      </c>
      <c r="Z75" s="629">
        <v>25573.67</v>
      </c>
      <c r="AA75" s="630">
        <f t="shared" si="33"/>
        <v>28779.47892705939</v>
      </c>
      <c r="AB75" s="631">
        <f t="shared" si="34"/>
        <v>-0.80605014124293772</v>
      </c>
      <c r="AC75" s="632">
        <f t="shared" si="35"/>
        <v>0.122885349094229</v>
      </c>
      <c r="AM75" s="1703">
        <f t="shared" si="6"/>
        <v>0</v>
      </c>
      <c r="AN75" s="1713">
        <f>12673.67+12900</f>
        <v>25573.67</v>
      </c>
      <c r="AO75" s="1695" t="s">
        <v>1604</v>
      </c>
    </row>
    <row r="76" spans="1:41" ht="150" customHeight="1" x14ac:dyDescent="0.7">
      <c r="A76" s="646">
        <v>62</v>
      </c>
      <c r="B76" s="608" t="s">
        <v>702</v>
      </c>
      <c r="C76" s="647" t="s">
        <v>175</v>
      </c>
      <c r="D76" s="633" t="s">
        <v>182</v>
      </c>
      <c r="E76" s="633" t="s">
        <v>179</v>
      </c>
      <c r="F76" s="845" t="s">
        <v>806</v>
      </c>
      <c r="G76" s="846" t="s">
        <v>1390</v>
      </c>
      <c r="H76" s="1076">
        <v>50</v>
      </c>
      <c r="I76" s="1076">
        <v>1</v>
      </c>
      <c r="J76" s="1077">
        <v>13.68</v>
      </c>
      <c r="K76" s="833">
        <f t="shared" si="23"/>
        <v>684</v>
      </c>
      <c r="L76" s="833">
        <f>IF(K76&lt;&gt;"",IF(D76="INTERNO",0,K76*$L$14),"")</f>
        <v>54.72</v>
      </c>
      <c r="M76" s="833">
        <f>IF(K76&lt;&gt;"",IF(E76="FAT.OGGI",SUM(K76:L76)*(1/(1-$M$14)-1),L76*(1/(1-$M$14)-1)),0)</f>
        <v>154.85687190032655</v>
      </c>
      <c r="N76" s="849">
        <f>SUM(K76:M76)</f>
        <v>893.57687190032652</v>
      </c>
      <c r="O76" s="850"/>
      <c r="P76" s="778" t="s">
        <v>623</v>
      </c>
      <c r="Q76" s="1064" t="s">
        <v>1001</v>
      </c>
      <c r="R76" s="1065" t="s">
        <v>991</v>
      </c>
      <c r="S76" s="624">
        <f t="shared" si="27"/>
        <v>50</v>
      </c>
      <c r="T76" s="625">
        <f t="shared" si="28"/>
        <v>1</v>
      </c>
      <c r="U76" s="626">
        <v>8.8607999999999993</v>
      </c>
      <c r="V76" s="626">
        <v>0</v>
      </c>
      <c r="W76" s="627">
        <f t="shared" si="29"/>
        <v>684</v>
      </c>
      <c r="X76" s="628">
        <f>IF(S76&lt;&gt;"",0%,"")</f>
        <v>0</v>
      </c>
      <c r="Y76" s="629">
        <f>IF(S76&lt;&gt;"",X76*W76,"")</f>
        <v>0</v>
      </c>
      <c r="Z76" s="629">
        <f>IF(S76&lt;&gt;"",Y76+V76,"")</f>
        <v>0</v>
      </c>
      <c r="AA76" s="630">
        <f t="shared" si="33"/>
        <v>154.85687190032655</v>
      </c>
      <c r="AB76" s="631">
        <f t="shared" si="34"/>
        <v>1</v>
      </c>
      <c r="AC76" s="632">
        <f t="shared" si="35"/>
        <v>0</v>
      </c>
      <c r="AM76" s="1703">
        <f t="shared" si="6"/>
        <v>0</v>
      </c>
      <c r="AN76" s="1713"/>
    </row>
    <row r="77" spans="1:41" ht="150" customHeight="1" x14ac:dyDescent="0.7">
      <c r="A77" s="633">
        <v>63</v>
      </c>
      <c r="B77" s="608" t="s">
        <v>703</v>
      </c>
      <c r="C77" s="634" t="s">
        <v>175</v>
      </c>
      <c r="D77" s="633" t="s">
        <v>182</v>
      </c>
      <c r="E77" s="633" t="s">
        <v>179</v>
      </c>
      <c r="F77" s="845" t="s">
        <v>673</v>
      </c>
      <c r="G77" s="846" t="s">
        <v>1391</v>
      </c>
      <c r="H77" s="1076">
        <v>50</v>
      </c>
      <c r="I77" s="1076">
        <v>1</v>
      </c>
      <c r="J77" s="1077">
        <v>25</v>
      </c>
      <c r="K77" s="833">
        <f t="shared" si="23"/>
        <v>1250</v>
      </c>
      <c r="L77" s="833">
        <f t="shared" si="36"/>
        <v>100</v>
      </c>
      <c r="M77" s="833">
        <f t="shared" si="37"/>
        <v>282.99866940849148</v>
      </c>
      <c r="N77" s="849">
        <f t="shared" si="38"/>
        <v>1632.9986694084914</v>
      </c>
      <c r="O77" s="850"/>
      <c r="P77" s="778" t="s">
        <v>623</v>
      </c>
      <c r="Q77" s="1064" t="s">
        <v>1001</v>
      </c>
      <c r="R77" s="1065" t="s">
        <v>991</v>
      </c>
      <c r="S77" s="624">
        <f t="shared" si="27"/>
        <v>50</v>
      </c>
      <c r="T77" s="625">
        <f t="shared" si="28"/>
        <v>1</v>
      </c>
      <c r="U77" s="626">
        <v>21.037890000000001</v>
      </c>
      <c r="V77" s="626">
        <v>0</v>
      </c>
      <c r="W77" s="627">
        <f t="shared" si="29"/>
        <v>1250</v>
      </c>
      <c r="X77" s="628">
        <f t="shared" si="39"/>
        <v>0</v>
      </c>
      <c r="Y77" s="629">
        <f t="shared" si="40"/>
        <v>0</v>
      </c>
      <c r="Z77" s="629">
        <f t="shared" ref="Z77:Z86" si="41">IF(S77&lt;&gt;"",Y77+V77,"")</f>
        <v>0</v>
      </c>
      <c r="AA77" s="630">
        <f t="shared" si="33"/>
        <v>282.99866940849148</v>
      </c>
      <c r="AB77" s="631">
        <f t="shared" si="34"/>
        <v>1</v>
      </c>
      <c r="AC77" s="632">
        <f t="shared" ref="AC77:AC82" si="42">V77/$V$87</f>
        <v>0</v>
      </c>
      <c r="AM77" s="1703">
        <f t="shared" si="6"/>
        <v>0</v>
      </c>
      <c r="AN77" s="1713"/>
    </row>
    <row r="78" spans="1:41" ht="150" customHeight="1" x14ac:dyDescent="0.7">
      <c r="A78" s="584">
        <v>64</v>
      </c>
      <c r="B78" s="608" t="s">
        <v>704</v>
      </c>
      <c r="C78" s="609" t="s">
        <v>175</v>
      </c>
      <c r="D78" s="633" t="s">
        <v>182</v>
      </c>
      <c r="E78" s="633" t="s">
        <v>179</v>
      </c>
      <c r="F78" s="839" t="s">
        <v>843</v>
      </c>
      <c r="G78" s="963" t="s">
        <v>852</v>
      </c>
      <c r="H78" s="961">
        <v>1</v>
      </c>
      <c r="I78" s="961">
        <v>1</v>
      </c>
      <c r="J78" s="843">
        <v>1071.2249999999999</v>
      </c>
      <c r="K78" s="621">
        <f t="shared" si="23"/>
        <v>1071.2249999999999</v>
      </c>
      <c r="L78" s="621">
        <f>IF(K78&lt;&gt;"",IF(D78="INTERNO",0,K78*$L$14),"")</f>
        <v>85.697999999999993</v>
      </c>
      <c r="M78" s="621">
        <f>IF(K78&lt;&gt;"",IF(E78="FAT.OGGI",SUM(K78:L78)*(1/(1-$M$14)-1),L78*(1/(1-$M$14)-1)),0)</f>
        <v>242.52419970968904</v>
      </c>
      <c r="N78" s="622">
        <f>SUM(K78:M78)</f>
        <v>1399.4471997096891</v>
      </c>
      <c r="O78" s="623"/>
      <c r="P78" s="778" t="s">
        <v>623</v>
      </c>
      <c r="Q78" s="779" t="s">
        <v>1135</v>
      </c>
      <c r="R78" s="844" t="s">
        <v>1134</v>
      </c>
      <c r="S78" s="624">
        <f t="shared" si="27"/>
        <v>1</v>
      </c>
      <c r="T78" s="625">
        <f t="shared" si="28"/>
        <v>1</v>
      </c>
      <c r="U78" s="626">
        <v>793.5</v>
      </c>
      <c r="V78" s="626">
        <v>0</v>
      </c>
      <c r="W78" s="627">
        <f t="shared" si="29"/>
        <v>1071.2249999999999</v>
      </c>
      <c r="X78" s="628">
        <f>IF(S78&lt;&gt;"",0%,"")</f>
        <v>0</v>
      </c>
      <c r="Y78" s="629">
        <f>IF(S78&lt;&gt;"",X78*W78,"")</f>
        <v>0</v>
      </c>
      <c r="Z78" s="629">
        <f>IF(S78&lt;&gt;"",Y78+V78,"")</f>
        <v>0</v>
      </c>
      <c r="AA78" s="630">
        <f t="shared" si="33"/>
        <v>242.52419970968904</v>
      </c>
      <c r="AB78" s="631">
        <f t="shared" si="34"/>
        <v>1</v>
      </c>
      <c r="AC78" s="632">
        <f t="shared" si="42"/>
        <v>0</v>
      </c>
      <c r="AM78" s="1703">
        <f t="shared" si="6"/>
        <v>0</v>
      </c>
      <c r="AN78" s="1713"/>
    </row>
    <row r="79" spans="1:41" ht="150" customHeight="1" x14ac:dyDescent="0.7">
      <c r="A79" s="584">
        <v>65</v>
      </c>
      <c r="B79" s="608" t="s">
        <v>786</v>
      </c>
      <c r="C79" s="609" t="s">
        <v>175</v>
      </c>
      <c r="D79" s="633" t="s">
        <v>182</v>
      </c>
      <c r="E79" s="633" t="s">
        <v>179</v>
      </c>
      <c r="F79" s="839" t="s">
        <v>853</v>
      </c>
      <c r="G79" s="963" t="s">
        <v>1368</v>
      </c>
      <c r="H79" s="961">
        <v>72</v>
      </c>
      <c r="I79" s="961">
        <v>1</v>
      </c>
      <c r="J79" s="843">
        <v>114.75</v>
      </c>
      <c r="K79" s="621">
        <f t="shared" si="23"/>
        <v>8262</v>
      </c>
      <c r="L79" s="621">
        <f>IF(K79&lt;&gt;"",IF(D79="INTERNO",0,K79*$L$14),"")</f>
        <v>660.96</v>
      </c>
      <c r="M79" s="621">
        <f>IF(K79&lt;&gt;"",IF(E79="FAT.OGGI",SUM(K79:L79)*(1/(1-$M$14)-1),L79*(1/(1-$M$14)-1)),0)</f>
        <v>1870.5080053223653</v>
      </c>
      <c r="N79" s="622">
        <f>SUM(K79:M79)</f>
        <v>10793.468005322364</v>
      </c>
      <c r="O79" s="623"/>
      <c r="P79" s="778" t="s">
        <v>623</v>
      </c>
      <c r="Q79" s="964" t="s">
        <v>1003</v>
      </c>
      <c r="R79" s="844" t="s">
        <v>1134</v>
      </c>
      <c r="S79" s="624">
        <v>1</v>
      </c>
      <c r="T79" s="625">
        <v>1</v>
      </c>
      <c r="U79" s="626">
        <v>11460</v>
      </c>
      <c r="V79" s="626">
        <v>0</v>
      </c>
      <c r="W79" s="627">
        <f t="shared" si="29"/>
        <v>8262</v>
      </c>
      <c r="X79" s="628">
        <f>IF(S79&lt;&gt;"",0%,"")</f>
        <v>0</v>
      </c>
      <c r="Y79" s="629">
        <f>IF(S79&lt;&gt;"",X79*W79,"")</f>
        <v>0</v>
      </c>
      <c r="Z79" s="629">
        <f>IF(S79&lt;&gt;"",Y79+V79,"")</f>
        <v>0</v>
      </c>
      <c r="AA79" s="630">
        <f t="shared" si="33"/>
        <v>1870.5080053223653</v>
      </c>
      <c r="AB79" s="631">
        <f t="shared" si="34"/>
        <v>1</v>
      </c>
      <c r="AC79" s="632">
        <f t="shared" si="42"/>
        <v>0</v>
      </c>
      <c r="AM79" s="1703">
        <f t="shared" si="6"/>
        <v>0</v>
      </c>
      <c r="AN79" s="1713"/>
    </row>
    <row r="80" spans="1:41" ht="150" customHeight="1" x14ac:dyDescent="0.7">
      <c r="A80" s="584">
        <v>66</v>
      </c>
      <c r="B80" s="608" t="s">
        <v>787</v>
      </c>
      <c r="C80" s="609" t="s">
        <v>175</v>
      </c>
      <c r="D80" s="633" t="s">
        <v>182</v>
      </c>
      <c r="E80" s="633" t="s">
        <v>179</v>
      </c>
      <c r="F80" s="839" t="s">
        <v>854</v>
      </c>
      <c r="G80" s="963" t="s">
        <v>1369</v>
      </c>
      <c r="H80" s="961">
        <v>20</v>
      </c>
      <c r="I80" s="961">
        <v>1</v>
      </c>
      <c r="J80" s="843">
        <v>222.89</v>
      </c>
      <c r="K80" s="621">
        <f t="shared" si="23"/>
        <v>4457.7999999999993</v>
      </c>
      <c r="L80" s="621">
        <f>IF(K80&lt;&gt;"",IF(D80="INTERNO",0,K80*$L$14),"")</f>
        <v>356.62399999999997</v>
      </c>
      <c r="M80" s="621">
        <f>IF(K80&lt;&gt;"",IF(E80="FAT.OGGI",SUM(K80:L80)*(1/(1-$M$14)-1),L80*(1/(1-$M$14)-1)),0)</f>
        <v>1009.2411747913385</v>
      </c>
      <c r="N80" s="622">
        <f>SUM(K80:M80)</f>
        <v>5823.6651747913374</v>
      </c>
      <c r="O80" s="623"/>
      <c r="P80" s="778" t="s">
        <v>623</v>
      </c>
      <c r="Q80" s="964" t="s">
        <v>1004</v>
      </c>
      <c r="R80" s="844" t="s">
        <v>1134</v>
      </c>
      <c r="S80" s="624">
        <f t="shared" si="27"/>
        <v>20</v>
      </c>
      <c r="T80" s="625">
        <v>0</v>
      </c>
      <c r="U80" s="626">
        <v>165</v>
      </c>
      <c r="V80" s="626">
        <v>0</v>
      </c>
      <c r="W80" s="627">
        <f t="shared" si="29"/>
        <v>4457.7999999999993</v>
      </c>
      <c r="X80" s="628">
        <f>IF(S80&lt;&gt;"",0%,"")</f>
        <v>0</v>
      </c>
      <c r="Y80" s="629">
        <f>IF(S80&lt;&gt;"",X80*W80,"")</f>
        <v>0</v>
      </c>
      <c r="Z80" s="629">
        <f>IF(S80&lt;&gt;"",Y80+V80,"")</f>
        <v>0</v>
      </c>
      <c r="AA80" s="630">
        <f t="shared" si="33"/>
        <v>1009.2411747913385</v>
      </c>
      <c r="AB80" s="631">
        <f t="shared" si="34"/>
        <v>1</v>
      </c>
      <c r="AC80" s="632">
        <f t="shared" si="42"/>
        <v>0</v>
      </c>
      <c r="AM80" s="1703">
        <f t="shared" si="6"/>
        <v>0</v>
      </c>
      <c r="AN80" s="1713"/>
    </row>
    <row r="81" spans="1:41" ht="150" customHeight="1" x14ac:dyDescent="0.7">
      <c r="A81" s="584">
        <v>67</v>
      </c>
      <c r="B81" s="608" t="s">
        <v>801</v>
      </c>
      <c r="C81" s="609" t="s">
        <v>175</v>
      </c>
      <c r="D81" s="633" t="s">
        <v>182</v>
      </c>
      <c r="E81" s="633" t="s">
        <v>179</v>
      </c>
      <c r="F81" s="839" t="s">
        <v>851</v>
      </c>
      <c r="G81" s="963" t="s">
        <v>1370</v>
      </c>
      <c r="H81" s="961">
        <v>200</v>
      </c>
      <c r="I81" s="961">
        <v>1</v>
      </c>
      <c r="J81" s="843">
        <v>1.9870000000000001</v>
      </c>
      <c r="K81" s="621">
        <f t="shared" si="23"/>
        <v>397.40000000000003</v>
      </c>
      <c r="L81" s="621">
        <f>IF(K81&lt;&gt;"",IF(D81="INTERNO",0,K81*$L$14),"")</f>
        <v>31.792000000000005</v>
      </c>
      <c r="M81" s="621">
        <f>IF(K81&lt;&gt;"",IF(E81="FAT.OGGI",SUM(K81:L81)*(1/(1-$M$14)-1),L81*(1/(1-$M$14)-1)),0)</f>
        <v>89.970936978347638</v>
      </c>
      <c r="N81" s="622">
        <f>SUM(K81:M81)</f>
        <v>519.16293697834772</v>
      </c>
      <c r="O81" s="623"/>
      <c r="P81" s="778" t="s">
        <v>623</v>
      </c>
      <c r="Q81" s="779" t="s">
        <v>1137</v>
      </c>
      <c r="R81" s="844" t="s">
        <v>1134</v>
      </c>
      <c r="S81" s="624">
        <v>1</v>
      </c>
      <c r="T81" s="625">
        <f t="shared" ref="T81:T86" si="43">IF(I81&lt;&gt;"",I81,"")</f>
        <v>1</v>
      </c>
      <c r="U81" s="626">
        <v>235.2</v>
      </c>
      <c r="V81" s="626">
        <v>0</v>
      </c>
      <c r="W81" s="627">
        <f t="shared" si="29"/>
        <v>397.40000000000003</v>
      </c>
      <c r="X81" s="628">
        <f>IF(S81&lt;&gt;"",0%,"")</f>
        <v>0</v>
      </c>
      <c r="Y81" s="629">
        <f>IF(S81&lt;&gt;"",X81*W81,"")</f>
        <v>0</v>
      </c>
      <c r="Z81" s="629">
        <f>IF(S81&lt;&gt;"",Y81+V81,"")</f>
        <v>0</v>
      </c>
      <c r="AA81" s="630">
        <f t="shared" si="33"/>
        <v>89.970936978347638</v>
      </c>
      <c r="AB81" s="640">
        <f t="shared" si="34"/>
        <v>1</v>
      </c>
      <c r="AC81" s="632">
        <f t="shared" si="42"/>
        <v>0</v>
      </c>
      <c r="AM81" s="1703">
        <f t="shared" si="6"/>
        <v>0</v>
      </c>
      <c r="AN81" s="1713"/>
    </row>
    <row r="82" spans="1:41" ht="150" customHeight="1" x14ac:dyDescent="0.7">
      <c r="A82" s="646">
        <v>68</v>
      </c>
      <c r="B82" s="608" t="s">
        <v>842</v>
      </c>
      <c r="C82" s="647" t="s">
        <v>175</v>
      </c>
      <c r="D82" s="633" t="s">
        <v>182</v>
      </c>
      <c r="E82" s="633" t="s">
        <v>179</v>
      </c>
      <c r="F82" s="839" t="s">
        <v>891</v>
      </c>
      <c r="G82" s="963" t="s">
        <v>1371</v>
      </c>
      <c r="H82" s="965">
        <v>1</v>
      </c>
      <c r="I82" s="965">
        <v>1</v>
      </c>
      <c r="J82" s="966">
        <v>5572.8</v>
      </c>
      <c r="K82" s="967">
        <f t="shared" si="23"/>
        <v>5572.8</v>
      </c>
      <c r="L82" s="870">
        <f>IF(K82&lt;&gt;"",IF(D82="INTERNO",0,K82*$L$14),"")</f>
        <v>445.82400000000001</v>
      </c>
      <c r="M82" s="870">
        <f>IF(K82&lt;&gt;"",IF(E82="FAT.OGGI",SUM(K82:L82)*(1/(1-$M$14)-1),L82*(1/(1-$M$14)-1)),0)</f>
        <v>1261.6759879037131</v>
      </c>
      <c r="N82" s="944">
        <f>SUM(K82:M82)</f>
        <v>7280.2999879037125</v>
      </c>
      <c r="O82" s="945"/>
      <c r="P82" s="778" t="s">
        <v>623</v>
      </c>
      <c r="Q82" s="779" t="s">
        <v>1136</v>
      </c>
      <c r="R82" s="844" t="s">
        <v>1134</v>
      </c>
      <c r="S82" s="968">
        <f>IF(H82&lt;&gt;"",H82,"")</f>
        <v>1</v>
      </c>
      <c r="T82" s="969">
        <f t="shared" si="43"/>
        <v>1</v>
      </c>
      <c r="U82" s="875">
        <v>4128</v>
      </c>
      <c r="V82" s="875">
        <f>IF(S82&lt;&gt;"",S82*T82*U82,"")</f>
        <v>4128</v>
      </c>
      <c r="W82" s="876">
        <f t="shared" si="29"/>
        <v>1444.8000000000002</v>
      </c>
      <c r="X82" s="877">
        <f>IF(S82&lt;&gt;"",0%,"")</f>
        <v>0</v>
      </c>
      <c r="Y82" s="878">
        <f>IF(S82&lt;&gt;"",X82*W82,"")</f>
        <v>0</v>
      </c>
      <c r="Z82" s="878">
        <f>IF(S82&lt;&gt;"",Y82+V82,"")</f>
        <v>4128</v>
      </c>
      <c r="AA82" s="879">
        <f t="shared" si="33"/>
        <v>5389.6759879037127</v>
      </c>
      <c r="AB82" s="631">
        <f t="shared" si="34"/>
        <v>0.2592592592592593</v>
      </c>
      <c r="AC82" s="632">
        <f t="shared" si="42"/>
        <v>2.8147273243132504E-2</v>
      </c>
      <c r="AM82" s="1703">
        <f t="shared" ref="AM82:AM102" si="44">Z82-AN82</f>
        <v>0</v>
      </c>
      <c r="AN82" s="1713">
        <v>4128</v>
      </c>
      <c r="AO82" s="1695" t="s">
        <v>1601</v>
      </c>
    </row>
    <row r="83" spans="1:41" ht="150" customHeight="1" x14ac:dyDescent="0.7">
      <c r="A83" s="633">
        <v>69</v>
      </c>
      <c r="B83" s="608" t="s">
        <v>844</v>
      </c>
      <c r="C83" s="634" t="s">
        <v>175</v>
      </c>
      <c r="D83" s="633" t="s">
        <v>182</v>
      </c>
      <c r="E83" s="633" t="s">
        <v>179</v>
      </c>
      <c r="F83" s="838" t="s">
        <v>674</v>
      </c>
      <c r="G83" s="940" t="s">
        <v>1343</v>
      </c>
      <c r="H83" s="951">
        <v>50</v>
      </c>
      <c r="I83" s="951">
        <v>1</v>
      </c>
      <c r="J83" s="1078">
        <v>16</v>
      </c>
      <c r="K83" s="967">
        <f t="shared" si="23"/>
        <v>800</v>
      </c>
      <c r="L83" s="967">
        <f t="shared" si="36"/>
        <v>64</v>
      </c>
      <c r="M83" s="967">
        <f t="shared" si="37"/>
        <v>181.11914842143455</v>
      </c>
      <c r="N83" s="1079">
        <f t="shared" si="38"/>
        <v>1045.1191484214346</v>
      </c>
      <c r="O83" s="623"/>
      <c r="P83" s="778" t="s">
        <v>623</v>
      </c>
      <c r="Q83" s="1064" t="s">
        <v>1001</v>
      </c>
      <c r="R83" s="1065" t="s">
        <v>991</v>
      </c>
      <c r="S83" s="624">
        <f>IF(H83&lt;&gt;"",H83,"")</f>
        <v>50</v>
      </c>
      <c r="T83" s="625">
        <f t="shared" si="43"/>
        <v>1</v>
      </c>
      <c r="U83" s="626">
        <v>12.56</v>
      </c>
      <c r="V83" s="626">
        <v>0</v>
      </c>
      <c r="W83" s="627">
        <f t="shared" si="29"/>
        <v>800</v>
      </c>
      <c r="X83" s="628">
        <f t="shared" si="39"/>
        <v>0</v>
      </c>
      <c r="Y83" s="629">
        <f t="shared" si="40"/>
        <v>0</v>
      </c>
      <c r="Z83" s="629">
        <f t="shared" si="41"/>
        <v>0</v>
      </c>
      <c r="AA83" s="630">
        <f t="shared" si="33"/>
        <v>181.11914842143455</v>
      </c>
      <c r="AB83" s="645">
        <f t="shared" si="34"/>
        <v>1</v>
      </c>
      <c r="AC83" s="632">
        <f t="shared" ref="AC83:AC86" si="45">V83/$V$87</f>
        <v>0</v>
      </c>
      <c r="AM83" s="1703">
        <f t="shared" si="44"/>
        <v>0</v>
      </c>
      <c r="AN83" s="1713"/>
    </row>
    <row r="84" spans="1:41" ht="150" customHeight="1" x14ac:dyDescent="0.7">
      <c r="A84" s="584">
        <v>70</v>
      </c>
      <c r="B84" s="608" t="s">
        <v>845</v>
      </c>
      <c r="C84" s="609" t="s">
        <v>175</v>
      </c>
      <c r="D84" s="584" t="s">
        <v>182</v>
      </c>
      <c r="E84" s="584" t="s">
        <v>179</v>
      </c>
      <c r="F84" s="838" t="s">
        <v>675</v>
      </c>
      <c r="G84" s="940" t="s">
        <v>1344</v>
      </c>
      <c r="H84" s="951">
        <v>50</v>
      </c>
      <c r="I84" s="951">
        <v>1</v>
      </c>
      <c r="J84" s="1080">
        <v>13.5</v>
      </c>
      <c r="K84" s="621">
        <f t="shared" si="23"/>
        <v>675</v>
      </c>
      <c r="L84" s="621">
        <f t="shared" si="36"/>
        <v>54</v>
      </c>
      <c r="M84" s="621">
        <f t="shared" si="37"/>
        <v>152.8192814805854</v>
      </c>
      <c r="N84" s="622">
        <f t="shared" si="38"/>
        <v>881.81928148058546</v>
      </c>
      <c r="O84" s="623"/>
      <c r="P84" s="778" t="s">
        <v>623</v>
      </c>
      <c r="Q84" s="778" t="s">
        <v>999</v>
      </c>
      <c r="R84" s="1065" t="s">
        <v>951</v>
      </c>
      <c r="S84" s="624">
        <v>50</v>
      </c>
      <c r="T84" s="625">
        <f t="shared" si="43"/>
        <v>1</v>
      </c>
      <c r="U84" s="626">
        <v>12.4</v>
      </c>
      <c r="V84" s="626">
        <v>0</v>
      </c>
      <c r="W84" s="627">
        <f t="shared" si="29"/>
        <v>675</v>
      </c>
      <c r="X84" s="628">
        <f t="shared" si="39"/>
        <v>0</v>
      </c>
      <c r="Y84" s="629">
        <f t="shared" si="40"/>
        <v>0</v>
      </c>
      <c r="Z84" s="629">
        <f t="shared" si="41"/>
        <v>0</v>
      </c>
      <c r="AA84" s="630">
        <f t="shared" si="33"/>
        <v>152.8192814805854</v>
      </c>
      <c r="AB84" s="631">
        <f t="shared" si="34"/>
        <v>1</v>
      </c>
      <c r="AC84" s="632">
        <f t="shared" si="45"/>
        <v>0</v>
      </c>
      <c r="AM84" s="1703">
        <f t="shared" si="44"/>
        <v>0</v>
      </c>
      <c r="AN84" s="1713"/>
    </row>
    <row r="85" spans="1:41" ht="150" customHeight="1" x14ac:dyDescent="0.7">
      <c r="A85" s="646">
        <v>71</v>
      </c>
      <c r="B85" s="608" t="s">
        <v>846</v>
      </c>
      <c r="C85" s="647" t="s">
        <v>175</v>
      </c>
      <c r="D85" s="584" t="s">
        <v>182</v>
      </c>
      <c r="E85" s="584" t="s">
        <v>179</v>
      </c>
      <c r="F85" s="845" t="s">
        <v>806</v>
      </c>
      <c r="G85" s="846" t="s">
        <v>1346</v>
      </c>
      <c r="H85" s="1076">
        <v>75</v>
      </c>
      <c r="I85" s="1076">
        <v>1</v>
      </c>
      <c r="J85" s="1077">
        <v>13.68</v>
      </c>
      <c r="K85" s="833">
        <f t="shared" si="23"/>
        <v>1026</v>
      </c>
      <c r="L85" s="621">
        <f>IF(K85&lt;&gt;"",IF(D85="INTERNO",0,K85*$L$14),"")</f>
        <v>82.08</v>
      </c>
      <c r="M85" s="621">
        <f>IF(K85&lt;&gt;"",IF(E85="FAT.OGGI",SUM(K85:L85)*(1/(1-$M$14)-1),L85*(1/(1-$M$14)-1)),0)</f>
        <v>232.2853078504898</v>
      </c>
      <c r="N85" s="622">
        <f>SUM(K85:M85)</f>
        <v>1340.3653078504897</v>
      </c>
      <c r="O85" s="623"/>
      <c r="P85" s="778" t="s">
        <v>623</v>
      </c>
      <c r="Q85" s="1064" t="s">
        <v>1001</v>
      </c>
      <c r="R85" s="1065" t="s">
        <v>991</v>
      </c>
      <c r="S85" s="624">
        <f>IF(H85&lt;&gt;"",H85,"")</f>
        <v>75</v>
      </c>
      <c r="T85" s="625">
        <f t="shared" si="43"/>
        <v>1</v>
      </c>
      <c r="U85" s="626">
        <v>8.86</v>
      </c>
      <c r="V85" s="626">
        <v>0</v>
      </c>
      <c r="W85" s="627">
        <f t="shared" si="29"/>
        <v>1026</v>
      </c>
      <c r="X85" s="628">
        <f>IF(S85&lt;&gt;"",0%,"")</f>
        <v>0</v>
      </c>
      <c r="Y85" s="629">
        <f>IF(S85&lt;&gt;"",X85*W85,"")</f>
        <v>0</v>
      </c>
      <c r="Z85" s="629">
        <f>IF(S85&lt;&gt;"",Y85+V85,"")</f>
        <v>0</v>
      </c>
      <c r="AA85" s="630">
        <f t="shared" si="33"/>
        <v>232.2853078504898</v>
      </c>
      <c r="AB85" s="631">
        <f t="shared" si="34"/>
        <v>1</v>
      </c>
      <c r="AC85" s="632">
        <f t="shared" si="45"/>
        <v>0</v>
      </c>
      <c r="AM85" s="1703">
        <f t="shared" si="44"/>
        <v>0</v>
      </c>
      <c r="AN85" s="1713"/>
    </row>
    <row r="86" spans="1:41" ht="150" customHeight="1" x14ac:dyDescent="0.7">
      <c r="A86" s="633">
        <v>72</v>
      </c>
      <c r="B86" s="608" t="s">
        <v>890</v>
      </c>
      <c r="C86" s="634" t="s">
        <v>175</v>
      </c>
      <c r="D86" s="633" t="s">
        <v>182</v>
      </c>
      <c r="E86" s="633" t="s">
        <v>179</v>
      </c>
      <c r="F86" s="845" t="s">
        <v>676</v>
      </c>
      <c r="G86" s="846" t="s">
        <v>1392</v>
      </c>
      <c r="H86" s="1076">
        <v>75</v>
      </c>
      <c r="I86" s="1076">
        <v>0</v>
      </c>
      <c r="J86" s="1077">
        <v>16</v>
      </c>
      <c r="K86" s="621">
        <f t="shared" si="23"/>
        <v>0</v>
      </c>
      <c r="L86" s="621">
        <f t="shared" si="36"/>
        <v>0</v>
      </c>
      <c r="M86" s="621">
        <f t="shared" si="37"/>
        <v>0</v>
      </c>
      <c r="N86" s="622">
        <f t="shared" si="38"/>
        <v>0</v>
      </c>
      <c r="O86" s="623"/>
      <c r="P86" s="778" t="s">
        <v>623</v>
      </c>
      <c r="Q86" s="1064" t="s">
        <v>1001</v>
      </c>
      <c r="R86" s="780" t="s">
        <v>1177</v>
      </c>
      <c r="S86" s="624">
        <f>IF(H86&lt;&gt;"",H86,"")</f>
        <v>75</v>
      </c>
      <c r="T86" s="625">
        <f t="shared" si="43"/>
        <v>0</v>
      </c>
      <c r="U86" s="626">
        <v>11.840999999999999</v>
      </c>
      <c r="V86" s="626">
        <f t="shared" ref="V86" si="46">IF(S86&lt;&gt;"",S86*T86*U86,"")</f>
        <v>0</v>
      </c>
      <c r="W86" s="627">
        <f t="shared" si="29"/>
        <v>0</v>
      </c>
      <c r="X86" s="628">
        <f t="shared" si="39"/>
        <v>0</v>
      </c>
      <c r="Y86" s="629">
        <f t="shared" si="40"/>
        <v>0</v>
      </c>
      <c r="Z86" s="629">
        <f t="shared" si="41"/>
        <v>0</v>
      </c>
      <c r="AA86" s="630">
        <f>IF(S86&lt;&gt;"",Z86+M86,"")</f>
        <v>0</v>
      </c>
      <c r="AB86" s="631">
        <f t="shared" si="34"/>
        <v>0</v>
      </c>
      <c r="AC86" s="632">
        <f t="shared" si="45"/>
        <v>0</v>
      </c>
      <c r="AM86" s="1703">
        <f t="shared" si="44"/>
        <v>0</v>
      </c>
      <c r="AN86" s="1713"/>
    </row>
    <row r="87" spans="1:41" ht="50.1" customHeight="1" thickBot="1" x14ac:dyDescent="0.75">
      <c r="A87" s="633">
        <v>73</v>
      </c>
      <c r="B87" s="608" t="s">
        <v>705</v>
      </c>
      <c r="C87" s="634" t="s">
        <v>169</v>
      </c>
      <c r="D87" s="633"/>
      <c r="E87" s="633"/>
      <c r="F87" s="1553" t="s">
        <v>524</v>
      </c>
      <c r="G87" s="1554"/>
      <c r="H87" s="1554"/>
      <c r="I87" s="1554"/>
      <c r="J87" s="1554"/>
      <c r="K87" s="722">
        <f>SUM(K66:K86)</f>
        <v>171191.75299999997</v>
      </c>
      <c r="L87" s="722">
        <f>SUM(L66:L86)</f>
        <v>13695.340239999998</v>
      </c>
      <c r="M87" s="722">
        <f>SUM(M66:M86)</f>
        <v>33412.100228005322</v>
      </c>
      <c r="N87" s="729">
        <f>SUM(N66:N86)</f>
        <v>218299.19346800528</v>
      </c>
      <c r="O87" s="723"/>
      <c r="P87" s="723"/>
      <c r="Q87" s="723"/>
      <c r="S87" s="1553" t="s">
        <v>503</v>
      </c>
      <c r="T87" s="1554"/>
      <c r="U87" s="1554"/>
      <c r="V87" s="970">
        <f>SUM(V66:V86)</f>
        <v>146657.19</v>
      </c>
      <c r="W87" s="724">
        <f>SUM(W66:W86)</f>
        <v>24534.563000000013</v>
      </c>
      <c r="X87" s="725"/>
      <c r="Y87" s="725"/>
      <c r="Z87" s="726">
        <f>SUM(Z66:Z86)</f>
        <v>146657.19</v>
      </c>
      <c r="AA87" s="727">
        <f>IF(S87&lt;&gt;"",Z87+M87,"")</f>
        <v>180069.29022800532</v>
      </c>
      <c r="AM87" s="1703"/>
      <c r="AN87" s="1713"/>
    </row>
    <row r="88" spans="1:41" ht="50.1" customHeight="1" thickBot="1" x14ac:dyDescent="0.75">
      <c r="A88" s="584">
        <v>74</v>
      </c>
      <c r="B88" s="608" t="s">
        <v>477</v>
      </c>
      <c r="C88" s="609"/>
      <c r="D88" s="584"/>
      <c r="E88" s="584"/>
      <c r="F88" s="1557" t="s">
        <v>524</v>
      </c>
      <c r="G88" s="1558"/>
      <c r="H88" s="1558"/>
      <c r="I88" s="1558"/>
      <c r="J88" s="1558"/>
      <c r="K88" s="711">
        <f>SUM(K66:K86)</f>
        <v>171191.75299999997</v>
      </c>
      <c r="L88" s="711">
        <f>SUM(L66:L86)</f>
        <v>13695.340239999998</v>
      </c>
      <c r="M88" s="711">
        <f>SUM(M66:M86)</f>
        <v>33412.100228005322</v>
      </c>
      <c r="N88" s="711">
        <f>SUM(N66:N86)</f>
        <v>218299.19346800528</v>
      </c>
      <c r="O88" s="711"/>
      <c r="P88" s="711"/>
      <c r="Q88" s="711"/>
      <c r="S88" s="1580" t="s">
        <v>524</v>
      </c>
      <c r="T88" s="1581"/>
      <c r="U88" s="1581"/>
      <c r="V88" s="711">
        <f>SUM(V66:V86)</f>
        <v>146657.19</v>
      </c>
      <c r="W88" s="755">
        <f>SUM(W66:W86)</f>
        <v>24534.563000000013</v>
      </c>
      <c r="X88" s="756"/>
      <c r="Y88" s="756"/>
      <c r="Z88" s="757">
        <f>SUM(Z66:Z86)</f>
        <v>146657.19</v>
      </c>
      <c r="AA88" s="758">
        <f>IF(S88&lt;&gt;"",Z88+M88,"")</f>
        <v>180069.29022800532</v>
      </c>
      <c r="AM88" s="1703"/>
      <c r="AN88" s="1713"/>
    </row>
    <row r="89" spans="1:41" ht="50.1" customHeight="1" thickBot="1" x14ac:dyDescent="0.75">
      <c r="A89" s="584">
        <v>75</v>
      </c>
      <c r="B89" s="608">
        <v>8</v>
      </c>
      <c r="C89" s="609" t="s">
        <v>167</v>
      </c>
      <c r="D89" s="584"/>
      <c r="E89" s="584"/>
      <c r="F89" s="1534" t="s">
        <v>686</v>
      </c>
      <c r="G89" s="1535"/>
      <c r="H89" s="1535"/>
      <c r="I89" s="1535"/>
      <c r="J89" s="1535"/>
      <c r="K89" s="1535"/>
      <c r="L89" s="1535"/>
      <c r="M89" s="1535"/>
      <c r="N89" s="1610"/>
      <c r="O89" s="611"/>
      <c r="P89" s="611"/>
      <c r="Q89" s="611"/>
      <c r="S89" s="1395" t="str">
        <f>IF(F89&lt;&gt;"",F89,"")</f>
        <v xml:space="preserve">PLANEJAMENTO </v>
      </c>
      <c r="T89" s="1396"/>
      <c r="U89" s="1396"/>
      <c r="V89" s="1396"/>
      <c r="W89" s="1396"/>
      <c r="X89" s="1396"/>
      <c r="Y89" s="1396"/>
      <c r="Z89" s="1396"/>
      <c r="AA89" s="1563"/>
      <c r="AM89" s="1703"/>
      <c r="AN89" s="1713"/>
    </row>
    <row r="90" spans="1:41" ht="50.1" customHeight="1" thickBot="1" x14ac:dyDescent="0.75">
      <c r="A90" s="584">
        <v>76</v>
      </c>
      <c r="B90" s="608" t="s">
        <v>451</v>
      </c>
      <c r="C90" s="609" t="s">
        <v>169</v>
      </c>
      <c r="D90" s="584"/>
      <c r="E90" s="584"/>
      <c r="F90" s="1539" t="s">
        <v>686</v>
      </c>
      <c r="G90" s="1540"/>
      <c r="H90" s="1540"/>
      <c r="I90" s="1540"/>
      <c r="J90" s="1540"/>
      <c r="K90" s="1541"/>
      <c r="L90" s="612" t="s">
        <v>171</v>
      </c>
      <c r="M90" s="613" t="s">
        <v>172</v>
      </c>
      <c r="N90" s="971" t="s">
        <v>129</v>
      </c>
      <c r="O90" s="615"/>
      <c r="P90" s="615"/>
      <c r="Q90" s="615"/>
      <c r="S90" s="1547" t="str">
        <f>IF(F90&lt;&gt;"",F90,"")</f>
        <v xml:space="preserve">PLANEJAMENTO </v>
      </c>
      <c r="T90" s="1548"/>
      <c r="U90" s="1548"/>
      <c r="V90" s="1548"/>
      <c r="W90" s="1548"/>
      <c r="X90" s="1548"/>
      <c r="Y90" s="1548"/>
      <c r="Z90" s="1548"/>
      <c r="AA90" s="1579"/>
      <c r="AB90" s="616" t="s">
        <v>173</v>
      </c>
      <c r="AC90" s="617" t="s">
        <v>130</v>
      </c>
      <c r="AM90" s="1703"/>
      <c r="AN90" s="1713"/>
    </row>
    <row r="91" spans="1:41" ht="150" customHeight="1" x14ac:dyDescent="0.7">
      <c r="A91" s="584">
        <v>77</v>
      </c>
      <c r="B91" s="608" t="s">
        <v>453</v>
      </c>
      <c r="C91" s="609" t="s">
        <v>175</v>
      </c>
      <c r="D91" s="584" t="s">
        <v>182</v>
      </c>
      <c r="E91" s="584" t="s">
        <v>179</v>
      </c>
      <c r="F91" s="972" t="s">
        <v>684</v>
      </c>
      <c r="G91" s="973" t="s">
        <v>1372</v>
      </c>
      <c r="H91" s="974">
        <v>1</v>
      </c>
      <c r="I91" s="974">
        <v>1</v>
      </c>
      <c r="J91" s="975">
        <v>16000</v>
      </c>
      <c r="K91" s="976">
        <f>IF(F91&lt;&gt;"",H91*I91*J91,"")</f>
        <v>16000</v>
      </c>
      <c r="L91" s="747">
        <f>IF(K91&lt;&gt;"",IF(D91="INTERNO",0,K91*$L$14),"")</f>
        <v>1280</v>
      </c>
      <c r="M91" s="747">
        <f>IF(K91&lt;&gt;"",IF(E91="FAT.OGGI",SUM(K91:L91)*(1/(1-$M$14)-1),L91*(1/(1-$M$14)-1)),0)</f>
        <v>3622.3829684286911</v>
      </c>
      <c r="N91" s="748">
        <f>SUM(K91:M91)</f>
        <v>20902.38296842869</v>
      </c>
      <c r="O91" s="623"/>
      <c r="P91" s="623"/>
      <c r="Q91" s="623"/>
      <c r="S91" s="853">
        <f>IF(H91&lt;&gt;"",H91,"")</f>
        <v>1</v>
      </c>
      <c r="T91" s="854">
        <v>0</v>
      </c>
      <c r="U91" s="626">
        <v>16000</v>
      </c>
      <c r="V91" s="626">
        <f t="shared" ref="V91" si="47">IF(S91&lt;&gt;"",S91*T91*U91,"")</f>
        <v>0</v>
      </c>
      <c r="W91" s="627">
        <f t="shared" ref="W91:W94" si="48">IF(S91&lt;&gt;"",K91-V91,"")</f>
        <v>16000</v>
      </c>
      <c r="X91" s="628">
        <f t="shared" ref="X91:X94" si="49">IF(S91&lt;&gt;"",0%,"")</f>
        <v>0</v>
      </c>
      <c r="Y91" s="629">
        <f t="shared" ref="Y91:Y94" si="50">IF(S91&lt;&gt;"",X91*W91,"")</f>
        <v>0</v>
      </c>
      <c r="Z91" s="629">
        <f t="shared" ref="Z91:Z94" si="51">IF(S91&lt;&gt;"",Y91+V91,"")</f>
        <v>0</v>
      </c>
      <c r="AA91" s="630">
        <f>IF(S91&lt;&gt;"",Z91+M91,"")</f>
        <v>3622.3829684286911</v>
      </c>
      <c r="AB91" s="631">
        <f t="shared" ref="AB91:AB94" si="52">IF(S91&lt;&gt;"", IFERROR(W91/K91, 0), 0)</f>
        <v>1</v>
      </c>
      <c r="AC91" s="632">
        <f>V91/$V$87</f>
        <v>0</v>
      </c>
      <c r="AM91" s="1703">
        <f t="shared" si="44"/>
        <v>0</v>
      </c>
      <c r="AN91" s="1713"/>
    </row>
    <row r="92" spans="1:41" ht="150" customHeight="1" x14ac:dyDescent="0.7">
      <c r="A92" s="584">
        <v>78</v>
      </c>
      <c r="B92" s="608" t="s">
        <v>454</v>
      </c>
      <c r="C92" s="609" t="s">
        <v>175</v>
      </c>
      <c r="D92" s="584" t="s">
        <v>182</v>
      </c>
      <c r="E92" s="584" t="s">
        <v>179</v>
      </c>
      <c r="F92" s="845" t="s">
        <v>706</v>
      </c>
      <c r="G92" s="846" t="s">
        <v>1373</v>
      </c>
      <c r="H92" s="977">
        <v>1</v>
      </c>
      <c r="I92" s="977">
        <v>1</v>
      </c>
      <c r="J92" s="978">
        <v>24000</v>
      </c>
      <c r="K92" s="979">
        <f>IF(F92&lt;&gt;"",H92*I92*J92,"")</f>
        <v>24000</v>
      </c>
      <c r="L92" s="870">
        <f>IF(K92&lt;&gt;"",IF(D92="INTERNO",0,K92*$L$14),"")</f>
        <v>1920</v>
      </c>
      <c r="M92" s="870">
        <f>IF(K92&lt;&gt;"",IF(E92="FAT.OGGI",SUM(K92:L92)*(1/(1-$M$14)-1),L92*(1/(1-$M$14)-1)),0)</f>
        <v>5433.5744526430371</v>
      </c>
      <c r="N92" s="944">
        <f>SUM(K92:M92)</f>
        <v>31353.574452643035</v>
      </c>
      <c r="O92" s="980"/>
      <c r="P92" s="980"/>
      <c r="Q92" s="980"/>
      <c r="S92" s="853">
        <f>IF(H92&lt;&gt;"",H92,"")</f>
        <v>1</v>
      </c>
      <c r="T92" s="854">
        <f>IF(I92&lt;&gt;"",I92,"")</f>
        <v>1</v>
      </c>
      <c r="U92" s="981">
        <v>35000</v>
      </c>
      <c r="V92" s="626">
        <v>130308.85</v>
      </c>
      <c r="W92" s="627">
        <f t="shared" si="48"/>
        <v>-106308.85</v>
      </c>
      <c r="X92" s="628">
        <f t="shared" si="49"/>
        <v>0</v>
      </c>
      <c r="Y92" s="629">
        <f t="shared" si="50"/>
        <v>0</v>
      </c>
      <c r="Z92" s="629">
        <f t="shared" si="51"/>
        <v>130308.85</v>
      </c>
      <c r="AA92" s="630">
        <f>IF(S92&lt;&gt;"",Z92+M92,"")</f>
        <v>135742.42445264306</v>
      </c>
      <c r="AB92" s="631">
        <f t="shared" si="52"/>
        <v>-4.4295354166666669</v>
      </c>
      <c r="AC92" s="632">
        <f>V92/$V$87</f>
        <v>0.8885268427684998</v>
      </c>
      <c r="AM92" s="1703">
        <f t="shared" si="44"/>
        <v>0</v>
      </c>
      <c r="AN92" s="1713">
        <f>'CUSTOS OP.'!E63</f>
        <v>130308.85000000002</v>
      </c>
      <c r="AO92" s="1695" t="s">
        <v>1643</v>
      </c>
    </row>
    <row r="93" spans="1:41" ht="150" customHeight="1" x14ac:dyDescent="0.7">
      <c r="A93" s="646">
        <v>79</v>
      </c>
      <c r="B93" s="608" t="s">
        <v>455</v>
      </c>
      <c r="C93" s="647" t="s">
        <v>175</v>
      </c>
      <c r="D93" s="584" t="s">
        <v>182</v>
      </c>
      <c r="E93" s="584" t="s">
        <v>179</v>
      </c>
      <c r="F93" s="838" t="s">
        <v>836</v>
      </c>
      <c r="G93" s="940" t="s">
        <v>1393</v>
      </c>
      <c r="H93" s="977">
        <v>1</v>
      </c>
      <c r="I93" s="977">
        <v>1</v>
      </c>
      <c r="J93" s="620">
        <v>9000</v>
      </c>
      <c r="K93" s="621">
        <f>IF(F93&lt;&gt;"",H93*I93*J93,"")</f>
        <v>9000</v>
      </c>
      <c r="L93" s="621">
        <f>IF(K93&lt;&gt;"",IF(D93="INTERNO",0,K93*$L$14),"")</f>
        <v>720</v>
      </c>
      <c r="M93" s="621">
        <f>IF(K93&lt;&gt;"",IF(E93="FAT.OGGI",SUM(K93:L93)*(1/(1-$M$14)-1),L93*(1/(1-$M$14)-1)),0)</f>
        <v>2037.5904197411387</v>
      </c>
      <c r="N93" s="622">
        <f>SUM(K93:M93)</f>
        <v>11757.590419741138</v>
      </c>
      <c r="O93" s="623"/>
      <c r="P93" s="623"/>
      <c r="Q93" s="623"/>
      <c r="S93" s="853">
        <f>IF(H93&lt;&gt;"",H93,"")</f>
        <v>1</v>
      </c>
      <c r="T93" s="854">
        <f>IF(I93&lt;&gt;"",I93,"")</f>
        <v>1</v>
      </c>
      <c r="U93" s="626">
        <v>9000</v>
      </c>
      <c r="V93" s="626">
        <v>0</v>
      </c>
      <c r="W93" s="627">
        <f t="shared" si="48"/>
        <v>9000</v>
      </c>
      <c r="X93" s="628">
        <f t="shared" si="49"/>
        <v>0</v>
      </c>
      <c r="Y93" s="629">
        <f t="shared" si="50"/>
        <v>0</v>
      </c>
      <c r="Z93" s="629">
        <f t="shared" si="51"/>
        <v>0</v>
      </c>
      <c r="AA93" s="630">
        <f>IF(S93&lt;&gt;"",Z93+M93,"")</f>
        <v>2037.5904197411387</v>
      </c>
      <c r="AB93" s="631">
        <f t="shared" si="52"/>
        <v>1</v>
      </c>
      <c r="AC93" s="632">
        <f>V93/$V$87</f>
        <v>0</v>
      </c>
      <c r="AM93" s="1703">
        <f t="shared" si="44"/>
        <v>0</v>
      </c>
      <c r="AN93" s="1713"/>
    </row>
    <row r="94" spans="1:41" ht="150" customHeight="1" thickBot="1" x14ac:dyDescent="0.75">
      <c r="A94" s="633">
        <v>80</v>
      </c>
      <c r="B94" s="608" t="s">
        <v>456</v>
      </c>
      <c r="C94" s="634" t="s">
        <v>175</v>
      </c>
      <c r="D94" s="633" t="s">
        <v>182</v>
      </c>
      <c r="E94" s="633" t="s">
        <v>179</v>
      </c>
      <c r="F94" s="1081" t="s">
        <v>685</v>
      </c>
      <c r="G94" s="1082" t="s">
        <v>1394</v>
      </c>
      <c r="H94" s="1083">
        <v>1</v>
      </c>
      <c r="I94" s="1083">
        <v>1</v>
      </c>
      <c r="J94" s="1084">
        <v>25000</v>
      </c>
      <c r="K94" s="1085">
        <f>IF(F94&lt;&gt;"",H94*I94*J94,"")</f>
        <v>25000</v>
      </c>
      <c r="L94" s="776">
        <f>IF(K94&lt;&gt;"",IF(D94="INTERNO",0,K94*$L$14),"")</f>
        <v>2000</v>
      </c>
      <c r="M94" s="776">
        <f>IF(K94&lt;&gt;"",IF(E94="FAT.OGGI",SUM(K94:L94)*(1/(1-$M$14)-1),L94*(1/(1-$M$14)-1)),0)</f>
        <v>5659.9733881698303</v>
      </c>
      <c r="N94" s="777">
        <f>SUM(K94:M94)</f>
        <v>32659.97338816983</v>
      </c>
      <c r="O94" s="623"/>
      <c r="P94" s="623"/>
      <c r="Q94" s="623"/>
      <c r="S94" s="853">
        <f>IF(H94&lt;&gt;"",H94,"")</f>
        <v>1</v>
      </c>
      <c r="T94" s="854">
        <f>IF(I94&lt;&gt;"",I94,"")</f>
        <v>1</v>
      </c>
      <c r="U94" s="626">
        <v>25000</v>
      </c>
      <c r="V94" s="626">
        <v>0</v>
      </c>
      <c r="W94" s="627">
        <f t="shared" si="48"/>
        <v>25000</v>
      </c>
      <c r="X94" s="628">
        <f t="shared" si="49"/>
        <v>0</v>
      </c>
      <c r="Y94" s="629">
        <f t="shared" si="50"/>
        <v>0</v>
      </c>
      <c r="Z94" s="629">
        <f t="shared" si="51"/>
        <v>0</v>
      </c>
      <c r="AA94" s="630">
        <f>IF(S94&lt;&gt;"",Z94+M94,"")</f>
        <v>5659.9733881698303</v>
      </c>
      <c r="AB94" s="631">
        <f t="shared" si="52"/>
        <v>1</v>
      </c>
      <c r="AC94" s="632">
        <f>V94/$V$87</f>
        <v>0</v>
      </c>
      <c r="AM94" s="1703">
        <f t="shared" si="44"/>
        <v>0</v>
      </c>
      <c r="AN94" s="1713"/>
    </row>
    <row r="95" spans="1:41" ht="50.1" customHeight="1" thickBot="1" x14ac:dyDescent="0.75">
      <c r="A95" s="584">
        <v>81</v>
      </c>
      <c r="B95" s="608"/>
      <c r="C95" s="609" t="s">
        <v>184</v>
      </c>
      <c r="D95" s="584"/>
      <c r="E95" s="584"/>
      <c r="F95" s="1598" t="s">
        <v>687</v>
      </c>
      <c r="G95" s="1599"/>
      <c r="H95" s="1599"/>
      <c r="I95" s="1599"/>
      <c r="J95" s="1599"/>
      <c r="K95" s="982">
        <f>SUM(K91:K94)</f>
        <v>74000</v>
      </c>
      <c r="L95" s="740">
        <f>SUM(L91:L94)</f>
        <v>5920</v>
      </c>
      <c r="M95" s="740">
        <f>SUM(M91:M94)</f>
        <v>16753.521228982696</v>
      </c>
      <c r="N95" s="983">
        <f>SUM(N91:N94)</f>
        <v>96673.521228982689</v>
      </c>
      <c r="O95" s="723"/>
      <c r="P95" s="723"/>
      <c r="Q95" s="723"/>
      <c r="S95" s="1600">
        <f>SUM(S91:S94)</f>
        <v>4</v>
      </c>
      <c r="T95" s="1601"/>
      <c r="U95" s="1601"/>
      <c r="V95" s="984">
        <f>SUM(V91:V94)</f>
        <v>130308.85</v>
      </c>
      <c r="W95" s="985">
        <f>SUM(W91:W94)</f>
        <v>-56308.850000000006</v>
      </c>
      <c r="X95" s="885">
        <f>SUM(X91:X94)</f>
        <v>0</v>
      </c>
      <c r="Y95" s="885"/>
      <c r="Z95" s="986">
        <f>SUM(Z91:Z94)</f>
        <v>130308.85</v>
      </c>
      <c r="AA95" s="987">
        <f>IF(S95&lt;&gt;"",Z95+M95,"")</f>
        <v>147062.37122898269</v>
      </c>
      <c r="AM95" s="1703"/>
      <c r="AN95" s="1713"/>
    </row>
    <row r="96" spans="1:41" ht="50.1" customHeight="1" thickBot="1" x14ac:dyDescent="0.75">
      <c r="A96" s="584">
        <v>82</v>
      </c>
      <c r="B96" s="608"/>
      <c r="C96" s="609" t="s">
        <v>183</v>
      </c>
      <c r="D96" s="584"/>
      <c r="E96" s="584"/>
      <c r="F96" s="1529" t="s">
        <v>687</v>
      </c>
      <c r="G96" s="1530"/>
      <c r="H96" s="1530"/>
      <c r="I96" s="1530"/>
      <c r="J96" s="1530"/>
      <c r="K96" s="711">
        <f>SUM(K91:K94)</f>
        <v>74000</v>
      </c>
      <c r="L96" s="711">
        <f>SUM(L91:L94)</f>
        <v>5920</v>
      </c>
      <c r="M96" s="711">
        <f>SUM(M91:M94)</f>
        <v>16753.521228982696</v>
      </c>
      <c r="N96" s="802">
        <f>SUM(N91:N94)</f>
        <v>96673.521228982689</v>
      </c>
      <c r="O96" s="711"/>
      <c r="P96" s="711"/>
      <c r="Q96" s="711"/>
      <c r="S96" s="1585">
        <f>SUM(S91:S94)</f>
        <v>4</v>
      </c>
      <c r="T96" s="1581"/>
      <c r="U96" s="1581"/>
      <c r="V96" s="988">
        <f>SUM(V91:V94)</f>
        <v>130308.85</v>
      </c>
      <c r="W96" s="755">
        <f>SUM(W91:W94)</f>
        <v>-56308.850000000006</v>
      </c>
      <c r="X96" s="989">
        <f>SUM(X91:X94)</f>
        <v>0</v>
      </c>
      <c r="Y96" s="756"/>
      <c r="Z96" s="757">
        <f>SUM(Z91:Z94)</f>
        <v>130308.85</v>
      </c>
      <c r="AA96" s="990">
        <f t="shared" ref="AA96" si="53">IF(S96&lt;&gt;"",Z96+M96,"")</f>
        <v>147062.37122898269</v>
      </c>
      <c r="AB96" s="991" t="s">
        <v>235</v>
      </c>
      <c r="AC96" s="992" t="s">
        <v>549</v>
      </c>
      <c r="AM96" s="1703"/>
      <c r="AN96" s="1713"/>
    </row>
    <row r="97" spans="1:41" ht="50.1" customHeight="1" thickBot="1" x14ac:dyDescent="0.75">
      <c r="A97" s="584">
        <v>83</v>
      </c>
      <c r="B97" s="608">
        <v>9</v>
      </c>
      <c r="C97" s="609" t="s">
        <v>167</v>
      </c>
      <c r="D97" s="584"/>
      <c r="E97" s="584"/>
      <c r="F97" s="1534" t="s">
        <v>937</v>
      </c>
      <c r="G97" s="1535"/>
      <c r="H97" s="1535"/>
      <c r="I97" s="1535"/>
      <c r="J97" s="1535"/>
      <c r="K97" s="1535"/>
      <c r="L97" s="1535"/>
      <c r="M97" s="1535"/>
      <c r="N97" s="1613"/>
      <c r="O97" s="611"/>
      <c r="P97" s="611"/>
      <c r="Q97" s="611"/>
      <c r="S97" s="993" t="str">
        <f>IF(F97&lt;&gt;"",F97,"")</f>
        <v xml:space="preserve">EQUIPE </v>
      </c>
      <c r="T97" s="751"/>
      <c r="U97" s="752"/>
      <c r="V97" s="752"/>
      <c r="W97" s="752"/>
      <c r="X97" s="752"/>
      <c r="Y97" s="752"/>
      <c r="Z97" s="752"/>
      <c r="AA97" s="752"/>
      <c r="AB97" s="994"/>
      <c r="AC97" s="995"/>
      <c r="AM97" s="1703"/>
      <c r="AN97" s="1713"/>
    </row>
    <row r="98" spans="1:41" ht="50.1" customHeight="1" x14ac:dyDescent="0.7">
      <c r="A98" s="584">
        <v>84</v>
      </c>
      <c r="B98" s="608" t="s">
        <v>475</v>
      </c>
      <c r="C98" s="609" t="s">
        <v>169</v>
      </c>
      <c r="D98" s="584"/>
      <c r="E98" s="584"/>
      <c r="F98" s="1539" t="s">
        <v>938</v>
      </c>
      <c r="G98" s="1540"/>
      <c r="H98" s="1540"/>
      <c r="I98" s="1540"/>
      <c r="J98" s="1540"/>
      <c r="K98" s="1541"/>
      <c r="L98" s="996" t="s">
        <v>171</v>
      </c>
      <c r="M98" s="910" t="s">
        <v>172</v>
      </c>
      <c r="N98" s="997" t="s">
        <v>129</v>
      </c>
      <c r="O98" s="912"/>
      <c r="P98" s="912"/>
      <c r="Q98" s="912"/>
      <c r="S98" s="998" t="str">
        <f>IF(F98&lt;&gt;"",F98,"")</f>
        <v>EQUIIPES E SERVIÇOS</v>
      </c>
      <c r="T98" s="753"/>
      <c r="U98" s="754"/>
      <c r="V98" s="754"/>
      <c r="W98" s="754"/>
      <c r="X98" s="754"/>
      <c r="Y98" s="754"/>
      <c r="Z98" s="754"/>
      <c r="AA98" s="754"/>
      <c r="AB98" s="999" t="s">
        <v>173</v>
      </c>
      <c r="AC98" s="617" t="s">
        <v>130</v>
      </c>
      <c r="AM98" s="1703"/>
      <c r="AN98" s="1713"/>
    </row>
    <row r="99" spans="1:41" ht="150" customHeight="1" x14ac:dyDescent="0.7">
      <c r="A99" s="584">
        <v>85</v>
      </c>
      <c r="B99" s="608" t="s">
        <v>477</v>
      </c>
      <c r="C99" s="609" t="s">
        <v>175</v>
      </c>
      <c r="D99" s="633" t="s">
        <v>182</v>
      </c>
      <c r="E99" s="633" t="s">
        <v>179</v>
      </c>
      <c r="F99" s="1000" t="s">
        <v>288</v>
      </c>
      <c r="G99" s="703" t="s">
        <v>1374</v>
      </c>
      <c r="H99" s="1001">
        <v>7</v>
      </c>
      <c r="I99" s="1001">
        <v>5</v>
      </c>
      <c r="J99" s="694">
        <v>350</v>
      </c>
      <c r="K99" s="694">
        <f>IF(F99&lt;&gt;"",H99*I99*J99,"")</f>
        <v>12250</v>
      </c>
      <c r="L99" s="694">
        <f>IF(K99&lt;&gt;"",IF(D99="INTERNO",0,K99*$L$14),"")</f>
        <v>980</v>
      </c>
      <c r="M99" s="694">
        <f>IF(K99&lt;&gt;"",IF(E99="FAT.OGGI",SUM(K99:L99)*(1/(1-$M$14)-1),L99*(1/(1-$M$14)-1)),0)</f>
        <v>2773.3869602032169</v>
      </c>
      <c r="N99" s="704">
        <f>SUM(K99:M99)</f>
        <v>16003.386960203217</v>
      </c>
      <c r="O99" s="705"/>
      <c r="P99" s="705"/>
      <c r="Q99" s="705"/>
      <c r="R99" s="844" t="s">
        <v>1134</v>
      </c>
      <c r="S99" s="1002">
        <v>7</v>
      </c>
      <c r="T99" s="1003">
        <v>5</v>
      </c>
      <c r="U99" s="643">
        <v>291.43</v>
      </c>
      <c r="V99" s="626">
        <v>0</v>
      </c>
      <c r="W99" s="667">
        <f>IF(S99&lt;&gt;"",K99-V99,"")</f>
        <v>12250</v>
      </c>
      <c r="X99" s="668">
        <f>IF(S99&lt;&gt;"",0%,"")</f>
        <v>0</v>
      </c>
      <c r="Y99" s="669">
        <f>IF(S99&lt;&gt;"",X99*W99,"")</f>
        <v>0</v>
      </c>
      <c r="Z99" s="629">
        <f t="shared" ref="Z99:Z102" si="54">IF(S99&lt;&gt;"",Y99+V99,"")</f>
        <v>0</v>
      </c>
      <c r="AA99" s="653">
        <f>IF(S99&lt;&gt;"",Z99+M99,"")</f>
        <v>2773.3869602032169</v>
      </c>
      <c r="AB99" s="632">
        <f t="shared" ref="AB99:AB102" si="55">IF(S99&lt;&gt;"", IFERROR(W99/K99, 0), 0)</f>
        <v>1</v>
      </c>
      <c r="AC99" s="632">
        <f>V99/$V$87</f>
        <v>0</v>
      </c>
      <c r="AD99" s="883"/>
      <c r="AM99" s="1703">
        <f t="shared" si="44"/>
        <v>0</v>
      </c>
      <c r="AN99" s="1713"/>
    </row>
    <row r="100" spans="1:41" ht="150" customHeight="1" x14ac:dyDescent="0.7">
      <c r="A100" s="584">
        <v>86</v>
      </c>
      <c r="B100" s="608" t="s">
        <v>478</v>
      </c>
      <c r="C100" s="609" t="s">
        <v>175</v>
      </c>
      <c r="D100" s="633" t="s">
        <v>182</v>
      </c>
      <c r="E100" s="633" t="s">
        <v>179</v>
      </c>
      <c r="F100" s="1004" t="s">
        <v>289</v>
      </c>
      <c r="G100" s="1005" t="s">
        <v>1375</v>
      </c>
      <c r="H100" s="1006">
        <v>4</v>
      </c>
      <c r="I100" s="1006">
        <v>6</v>
      </c>
      <c r="J100" s="1007">
        <v>280</v>
      </c>
      <c r="K100" s="1007">
        <f>IF(F100&lt;&gt;"",H100*I100*J100,"")</f>
        <v>6720</v>
      </c>
      <c r="L100" s="1007">
        <f>IF(K100&lt;&gt;"",IF(D100="INTERNO",0,K100*$L$14),"")</f>
        <v>537.6</v>
      </c>
      <c r="M100" s="1007">
        <f>IF(K100&lt;&gt;"",IF(E100="FAT.OGGI",SUM(K100:L100)*(1/(1-$M$14)-1),L100*(1/(1-$M$14)-1)),0)</f>
        <v>1521.4008467400504</v>
      </c>
      <c r="N100" s="1008">
        <f>SUM(K100:M100)</f>
        <v>8779.0008467400512</v>
      </c>
      <c r="O100" s="1009"/>
      <c r="P100" s="1009"/>
      <c r="Q100" s="1009" t="s">
        <v>1005</v>
      </c>
      <c r="R100" s="844" t="s">
        <v>1134</v>
      </c>
      <c r="S100" s="1002">
        <f t="shared" ref="S100:T101" si="56">IF(H100&lt;&gt;"",H100,"")</f>
        <v>4</v>
      </c>
      <c r="T100" s="1003">
        <f t="shared" si="56"/>
        <v>6</v>
      </c>
      <c r="U100" s="643">
        <v>280</v>
      </c>
      <c r="V100" s="626">
        <v>0</v>
      </c>
      <c r="W100" s="667">
        <f>IF(S100&lt;&gt;"",K100-V100,"")</f>
        <v>6720</v>
      </c>
      <c r="X100" s="668">
        <f>IF(S100&lt;&gt;"",0%,"")</f>
        <v>0</v>
      </c>
      <c r="Y100" s="669">
        <f>IF(S100&lt;&gt;"",X100*W100,"")</f>
        <v>0</v>
      </c>
      <c r="Z100" s="629">
        <f t="shared" si="54"/>
        <v>0</v>
      </c>
      <c r="AA100" s="653">
        <f>IF(S100&lt;&gt;"",Z100+M100,"")</f>
        <v>1521.4008467400504</v>
      </c>
      <c r="AB100" s="632">
        <f t="shared" si="55"/>
        <v>1</v>
      </c>
      <c r="AC100" s="632">
        <f>V100/$V$87</f>
        <v>0</v>
      </c>
      <c r="AD100" s="883"/>
      <c r="AM100" s="1703">
        <f t="shared" si="44"/>
        <v>0</v>
      </c>
      <c r="AN100" s="1713"/>
    </row>
    <row r="101" spans="1:41" ht="150" customHeight="1" x14ac:dyDescent="0.7">
      <c r="A101" s="584">
        <v>87</v>
      </c>
      <c r="B101" s="608" t="s">
        <v>479</v>
      </c>
      <c r="C101" s="609" t="s">
        <v>175</v>
      </c>
      <c r="D101" s="633" t="s">
        <v>182</v>
      </c>
      <c r="E101" s="633" t="s">
        <v>179</v>
      </c>
      <c r="F101" s="1004" t="s">
        <v>290</v>
      </c>
      <c r="G101" s="1010" t="s">
        <v>1376</v>
      </c>
      <c r="H101" s="1006">
        <v>5</v>
      </c>
      <c r="I101" s="1006">
        <v>1</v>
      </c>
      <c r="J101" s="1007">
        <v>450</v>
      </c>
      <c r="K101" s="1007">
        <f>IF(F101&lt;&gt;"",H101*I101*J101,"")</f>
        <v>2250</v>
      </c>
      <c r="L101" s="1007">
        <f>IF(K101&lt;&gt;"",IF(D101="INTERNO",0,K101*$L$14),"")</f>
        <v>180</v>
      </c>
      <c r="M101" s="1007">
        <f>IF(K101&lt;&gt;"",IF(E101="FAT.OGGI",SUM(K101:L101)*(1/(1-$M$14)-1),L101*(1/(1-$M$14)-1)),0)</f>
        <v>509.39760493528468</v>
      </c>
      <c r="N101" s="1008">
        <f>SUM(K101:M101)</f>
        <v>2939.3976049352846</v>
      </c>
      <c r="O101" s="705"/>
      <c r="P101" s="705"/>
      <c r="Q101" s="1009" t="s">
        <v>1005</v>
      </c>
      <c r="R101" s="844" t="s">
        <v>1134</v>
      </c>
      <c r="S101" s="1002">
        <f t="shared" si="56"/>
        <v>5</v>
      </c>
      <c r="T101" s="1003">
        <f t="shared" si="56"/>
        <v>1</v>
      </c>
      <c r="U101" s="643">
        <v>420</v>
      </c>
      <c r="V101" s="626">
        <v>0</v>
      </c>
      <c r="W101" s="667">
        <f>IF(S101&lt;&gt;"",K101-V101,"")</f>
        <v>2250</v>
      </c>
      <c r="X101" s="668">
        <f>IF(S101&lt;&gt;"",0%,"")</f>
        <v>0</v>
      </c>
      <c r="Y101" s="669">
        <f>IF(S101&lt;&gt;"",X101*W101,"")</f>
        <v>0</v>
      </c>
      <c r="Z101" s="629">
        <f t="shared" si="54"/>
        <v>0</v>
      </c>
      <c r="AA101" s="653">
        <f>IF(S101&lt;&gt;"",Z101+M101,"")</f>
        <v>509.39760493528468</v>
      </c>
      <c r="AB101" s="632">
        <f t="shared" si="55"/>
        <v>1</v>
      </c>
      <c r="AC101" s="632">
        <f>V101/$V$87</f>
        <v>0</v>
      </c>
      <c r="AD101" s="883"/>
      <c r="AM101" s="1703">
        <f t="shared" si="44"/>
        <v>0</v>
      </c>
      <c r="AN101" s="1713"/>
    </row>
    <row r="102" spans="1:41" ht="150" customHeight="1" x14ac:dyDescent="0.7">
      <c r="A102" s="584">
        <v>88</v>
      </c>
      <c r="B102" s="608" t="s">
        <v>480</v>
      </c>
      <c r="C102" s="609" t="s">
        <v>175</v>
      </c>
      <c r="D102" s="633" t="s">
        <v>182</v>
      </c>
      <c r="E102" s="633" t="s">
        <v>179</v>
      </c>
      <c r="F102" s="1011" t="s">
        <v>537</v>
      </c>
      <c r="G102" s="840" t="s">
        <v>1377</v>
      </c>
      <c r="H102" s="1012">
        <v>4</v>
      </c>
      <c r="I102" s="1012">
        <v>1</v>
      </c>
      <c r="J102" s="843">
        <v>3500</v>
      </c>
      <c r="K102" s="843">
        <f>IF(F102&lt;&gt;"",H102*I102*J102,"")</f>
        <v>14000</v>
      </c>
      <c r="L102" s="843">
        <f>IF(K102&lt;&gt;"",IF(D102="INTERNO",0,K102*$L$14),"")</f>
        <v>1120</v>
      </c>
      <c r="M102" s="843">
        <f>IF(K102&lt;&gt;"",IF(E102="FAT.OGGI",SUM(K102:L102)*(1/(1-$M$14)-1),L102*(1/(1-$M$14)-1)),0)</f>
        <v>3169.5850973751049</v>
      </c>
      <c r="N102" s="1013">
        <f>SUM(K102:M102)</f>
        <v>18289.585097375104</v>
      </c>
      <c r="O102" s="705"/>
      <c r="P102" s="705"/>
      <c r="Q102" s="705"/>
      <c r="R102" s="844" t="s">
        <v>1134</v>
      </c>
      <c r="S102" s="1002">
        <v>1</v>
      </c>
      <c r="T102" s="1003">
        <f>IF(I102&lt;&gt;"",I102,"")</f>
        <v>1</v>
      </c>
      <c r="U102" s="643">
        <v>7200</v>
      </c>
      <c r="V102" s="626">
        <v>0</v>
      </c>
      <c r="W102" s="667">
        <f>IF(S102&lt;&gt;"",K102-V102,"")</f>
        <v>14000</v>
      </c>
      <c r="X102" s="668">
        <f>IF(S102&lt;&gt;"",0%,"")</f>
        <v>0</v>
      </c>
      <c r="Y102" s="669">
        <f>IF(S102&lt;&gt;"",X102*W102,"")</f>
        <v>0</v>
      </c>
      <c r="Z102" s="629">
        <f t="shared" si="54"/>
        <v>0</v>
      </c>
      <c r="AA102" s="653">
        <f>IF(S102&lt;&gt;"",Z102+M102,"")</f>
        <v>3169.5850973751049</v>
      </c>
      <c r="AB102" s="632">
        <f t="shared" si="55"/>
        <v>1</v>
      </c>
      <c r="AC102" s="632">
        <f>V102/$V$87</f>
        <v>0</v>
      </c>
      <c r="AD102" s="883"/>
      <c r="AM102" s="1703">
        <f t="shared" si="44"/>
        <v>0</v>
      </c>
      <c r="AN102" s="1713">
        <v>0</v>
      </c>
    </row>
    <row r="103" spans="1:41" ht="50.1" customHeight="1" thickBot="1" x14ac:dyDescent="0.75">
      <c r="A103" s="584">
        <v>89</v>
      </c>
      <c r="B103" s="608"/>
      <c r="C103" s="609" t="s">
        <v>184</v>
      </c>
      <c r="D103" s="584"/>
      <c r="E103" s="584"/>
      <c r="F103" s="1559" t="s">
        <v>191</v>
      </c>
      <c r="G103" s="1560"/>
      <c r="H103" s="1560"/>
      <c r="I103" s="1560"/>
      <c r="J103" s="1560"/>
      <c r="K103" s="740">
        <f>SUM(K99:K102)</f>
        <v>35220</v>
      </c>
      <c r="L103" s="740">
        <f>SUM(L99:L102)</f>
        <v>2817.6</v>
      </c>
      <c r="M103" s="740">
        <f>SUM(M99:M102)</f>
        <v>7973.7705092536571</v>
      </c>
      <c r="N103" s="1015">
        <f>SUM(N99:N102)</f>
        <v>46011.370509253655</v>
      </c>
      <c r="O103" s="723"/>
      <c r="P103" s="723"/>
      <c r="Q103" s="723"/>
      <c r="S103" s="1565">
        <f>SUM(S99:S102)</f>
        <v>17</v>
      </c>
      <c r="T103" s="1554"/>
      <c r="U103" s="1554"/>
      <c r="V103" s="970">
        <f>SUM(V100:V102)</f>
        <v>0</v>
      </c>
      <c r="W103" s="724">
        <f>SUM(W100:W102)</f>
        <v>22970</v>
      </c>
      <c r="X103" s="1016">
        <f>SUM(X99:X102)</f>
        <v>0</v>
      </c>
      <c r="Y103" s="725"/>
      <c r="Z103" s="726">
        <f>SUM(Z100:Z102)</f>
        <v>0</v>
      </c>
      <c r="AA103" s="727">
        <f t="shared" ref="AA103:AA104" si="57">IF(S103&lt;&gt;"",Z103+M103,"")</f>
        <v>7973.7705092536571</v>
      </c>
      <c r="AB103" s="1017" t="str">
        <f t="shared" ref="AB103" si="58">IF(T103&lt;&gt;"",AA103+M103,"")</f>
        <v/>
      </c>
      <c r="AC103" s="995"/>
      <c r="AM103" s="1703"/>
      <c r="AN103" s="1713"/>
    </row>
    <row r="104" spans="1:41" ht="50.1" customHeight="1" thickBot="1" x14ac:dyDescent="0.75">
      <c r="A104" s="584">
        <v>90</v>
      </c>
      <c r="B104" s="608"/>
      <c r="C104" s="609" t="s">
        <v>183</v>
      </c>
      <c r="D104" s="584"/>
      <c r="E104" s="584"/>
      <c r="F104" s="1529" t="s">
        <v>191</v>
      </c>
      <c r="G104" s="1530"/>
      <c r="H104" s="1530"/>
      <c r="I104" s="1530"/>
      <c r="J104" s="1530"/>
      <c r="K104" s="711">
        <f>SUM(K99:K102)</f>
        <v>35220</v>
      </c>
      <c r="L104" s="711">
        <f>SUM(L99:L102)</f>
        <v>2817.6</v>
      </c>
      <c r="M104" s="711">
        <f>SUM(M99:M102)</f>
        <v>7973.7705092536571</v>
      </c>
      <c r="N104" s="802">
        <f>SUM(N99:N102)</f>
        <v>46011.370509253655</v>
      </c>
      <c r="O104" s="711"/>
      <c r="P104" s="711"/>
      <c r="Q104" s="711"/>
      <c r="S104" s="1585">
        <f>SUM(S99:S102)</f>
        <v>17</v>
      </c>
      <c r="T104" s="1581"/>
      <c r="U104" s="1581"/>
      <c r="V104" s="988">
        <f>SUM(V100:V102)</f>
        <v>0</v>
      </c>
      <c r="W104" s="755">
        <f>SUM(W100:W102)</f>
        <v>22970</v>
      </c>
      <c r="X104" s="989">
        <f>SUM(X99:X102)</f>
        <v>0</v>
      </c>
      <c r="Y104" s="756"/>
      <c r="Z104" s="757">
        <f>SUM(Z100:Z102)</f>
        <v>0</v>
      </c>
      <c r="AA104" s="990">
        <f t="shared" si="57"/>
        <v>7973.7705092536571</v>
      </c>
      <c r="AB104" s="991" t="s">
        <v>235</v>
      </c>
      <c r="AC104" s="1020" t="s">
        <v>549</v>
      </c>
      <c r="AM104" s="1703"/>
      <c r="AN104" s="1713"/>
    </row>
    <row r="105" spans="1:41" ht="50.1" customHeight="1" thickBot="1" x14ac:dyDescent="0.75">
      <c r="A105" s="646">
        <v>91</v>
      </c>
      <c r="B105" s="815"/>
      <c r="C105" s="647" t="s">
        <v>186</v>
      </c>
      <c r="D105" s="646"/>
      <c r="E105" s="646"/>
      <c r="F105" s="1023" t="s">
        <v>187</v>
      </c>
      <c r="G105" s="1024"/>
      <c r="H105" s="1024"/>
      <c r="I105" s="1024"/>
      <c r="J105" s="1024"/>
      <c r="K105" s="1025">
        <f>SUM(K17:K18)+SUM(K21:K21)+SUM(K26:K32)+SUM(K37:K39)+SUM(K43:K44)+SUM(K49:K52)+SUM(K57:K61)+SUM(K64:K64)+SUM(K66:K86)+SUM(K91:K94)+SUM(K99:K102)</f>
        <v>817873.69299999997</v>
      </c>
      <c r="L105" s="1025">
        <f>SUM(L17:L18)+SUM(L21:L21)+SUM(L26:L32)+SUM(L37:L39)+SUM(L43:L44)+SUM(L49:L52)+SUM(L57:L61)+SUM(L64:L64)+SUM(L66:L86)+SUM(L91:L94)+SUM(L99:L102)</f>
        <v>62322.527439999991</v>
      </c>
      <c r="M105" s="1025">
        <f>SUM(M17:M18)+SUM(M21:M21)+SUM(M26:M32)+SUM(M37:M39)+SUM(M43:M44)+SUM(M49:M52)+SUM(M57:M61)+SUM(M64:M64)+SUM(M66:M86)+SUM(M91:M94)+SUM(M99:M102)</f>
        <v>80074.846740355628</v>
      </c>
      <c r="N105" s="1025">
        <f>SUM(N17:N18)+SUM(N21:N21)+SUM(N26:N32)+SUM(N37:N39)+SUM(N43:N44)+SUM(N49:N52)+SUM(N57:N61)+SUM(N64:N64)+SUM(N66:N86)+SUM(N91:N94)+SUM(N99:N102)</f>
        <v>960271.06718035566</v>
      </c>
      <c r="O105" s="1026"/>
      <c r="P105" s="1026"/>
      <c r="Q105" s="1026">
        <v>824577.11</v>
      </c>
      <c r="S105" s="1023" t="s">
        <v>43</v>
      </c>
      <c r="T105" s="1027">
        <f>SUM(T17:T18)+SUM(T21:T21)+SUM(T26:T32)+SUM(T37:T39)+SUM(T43:T44)+SUM(T49:T52)+SUM(T57:T61)+SUM(T64:T64)+SUM(T66:T86)+SUM(T91:T94)+SUM(T99:T102)</f>
        <v>67</v>
      </c>
      <c r="U105" s="1028">
        <f>SUM(U17:U18)+SUM(U21:U21)+SUM(U26:U32)+SUM(U37:U39)+SUM(U43:U44)+SUM(U49:U52)+SUM(U57:U61)+SUM(U64:U64)+SUM(U66:U86)+SUM(U91:U94)+SUM(U99:U102)</f>
        <v>680054.89369000006</v>
      </c>
      <c r="V105" s="1029">
        <f>SUM(V17:V18)+SUM(V21:V21)+SUM(V26:V32)+SUM(V37:V39)+SUM(V43:V44)+SUM(V49:V52)+SUM(V57:V61)+SUM(V66:V86)+SUM(V91:V94)+SUM(V99:V102)</f>
        <v>544400.04</v>
      </c>
      <c r="W105" s="1029">
        <f>SUM(W17:W18)+SUM(W21:W21)+SUM(W26:W32)+SUM(W37:W39)+SUM(W43:W44)+SUM(W49:W52)+SUM(W57:W61)+SUM(W66:W86)+SUM(W91:W94)+SUM(W99:W102)</f>
        <v>273473.65300000005</v>
      </c>
      <c r="X105" s="1086">
        <f>SUM(X17:X18)+SUM(X21:X21)+SUM(X26:X32)+SUM(X37:X39)+SUM(X43:X44)+SUM(X49:X52)+SUM(X57:X61)+SUM(X64:X64)+SUM(X66:X86)+SUM(X91:X94)+SUM(X99:X102)</f>
        <v>0</v>
      </c>
      <c r="Y105" s="1029">
        <f>SUM(Y17:Y18)+SUM(Y21:Y21)+SUM(Y26:Y32)+SUM(Y37:Y39)+SUM(Y43:Y44)+SUM(Y49:Y52)+SUM(Y57:Y61)+SUM(Y64:Y64)+SUM(Y66:Y86)+SUM(Y91:Y94)+SUM(Y99:Y102)</f>
        <v>0</v>
      </c>
      <c r="Z105" s="1029">
        <f>SUM(Z17:Z18)+SUM(Z21:Z21)+SUM(Z26:Z32)+SUM(Z37:Z39)+SUM(Z43:Z44)+SUM(Z49:Z52)+SUM(Z57:Z61)+SUM(Z66:Z86)+SUM(Z91:Z94)+SUM(Z99:Z102)</f>
        <v>544400.04</v>
      </c>
      <c r="AA105" s="1029">
        <f>SUM(AA17:AA18)+SUM(AA21:AA21)+SUM(AA26:AA32)+SUM(AA37:AA39)+SUM(AA43:AA44)+SUM(AA49:AA52)+SUM(AA57:AA61)+SUM(AA66:AA86)+SUM(AA91:AA94)+SUM(AA99:AA102)</f>
        <v>624474.88674035552</v>
      </c>
      <c r="AB105" s="1030">
        <f>IF(S105&lt;&gt;"",(N105-AA105)/N105,"")</f>
        <v>0.34968894921097499</v>
      </c>
      <c r="AC105" s="1031">
        <f>IF(AB105&lt;&gt;"",(N105-AA105),"")</f>
        <v>335796.18044000014</v>
      </c>
      <c r="AM105" s="1703">
        <f>SUM(AM17:AM102)</f>
        <v>0</v>
      </c>
      <c r="AN105" s="1713">
        <f>SUM(AN17:AN102)</f>
        <v>544400.04</v>
      </c>
    </row>
    <row r="106" spans="1:41" ht="50.1" customHeight="1" x14ac:dyDescent="0.7">
      <c r="A106" s="633"/>
      <c r="B106" s="1116"/>
      <c r="C106" s="634"/>
      <c r="D106" s="633"/>
      <c r="E106" s="633"/>
      <c r="S106" s="559"/>
      <c r="T106" s="559"/>
    </row>
    <row r="107" spans="1:41" ht="41.25" customHeight="1" x14ac:dyDescent="0.7">
      <c r="A107" s="633"/>
      <c r="B107" s="1116"/>
      <c r="C107" s="634"/>
      <c r="D107" s="633"/>
      <c r="E107" s="633"/>
      <c r="S107" s="559"/>
      <c r="T107" s="559"/>
    </row>
    <row r="108" spans="1:41" ht="41.25" customHeight="1" x14ac:dyDescent="0.7">
      <c r="A108" s="633"/>
      <c r="B108" s="1116"/>
      <c r="C108" s="634"/>
      <c r="D108" s="633"/>
      <c r="E108" s="633"/>
      <c r="S108" s="559"/>
      <c r="T108" s="559"/>
      <c r="AN108" s="1706">
        <f>Z105</f>
        <v>544400.04</v>
      </c>
      <c r="AO108" s="1707" t="s">
        <v>1615</v>
      </c>
    </row>
    <row r="109" spans="1:41" ht="41.25" customHeight="1" x14ac:dyDescent="0.7">
      <c r="A109" s="633"/>
      <c r="B109" s="1116"/>
      <c r="C109" s="634"/>
      <c r="D109" s="633"/>
      <c r="E109" s="633"/>
      <c r="S109" s="559"/>
      <c r="T109" s="559"/>
      <c r="AN109" s="1708">
        <f>N105-Z105</f>
        <v>415871.02718035562</v>
      </c>
      <c r="AO109" s="1709" t="s">
        <v>799</v>
      </c>
    </row>
    <row r="110" spans="1:41" ht="41.25" customHeight="1" x14ac:dyDescent="0.7">
      <c r="A110" s="633"/>
      <c r="B110" s="1116"/>
      <c r="C110" s="634"/>
      <c r="D110" s="633"/>
      <c r="E110" s="633"/>
      <c r="S110" s="559"/>
      <c r="T110" s="559"/>
      <c r="AN110" s="1714">
        <f>AN109*100%/N105</f>
        <v>0.43307670239558282</v>
      </c>
      <c r="AO110" s="1709"/>
    </row>
    <row r="111" spans="1:41" ht="50.1" customHeight="1" x14ac:dyDescent="0.7">
      <c r="A111" s="633"/>
      <c r="B111" s="1116"/>
      <c r="C111" s="634"/>
      <c r="D111" s="633"/>
      <c r="E111" s="633"/>
      <c r="S111" s="559"/>
      <c r="T111" s="559"/>
    </row>
    <row r="112" spans="1:41" ht="50.1" customHeight="1" x14ac:dyDescent="0.7">
      <c r="A112" s="633"/>
      <c r="B112" s="1116"/>
      <c r="C112" s="634"/>
      <c r="D112" s="633"/>
      <c r="E112" s="633"/>
      <c r="S112" s="559"/>
      <c r="T112" s="559"/>
    </row>
    <row r="113" spans="1:42" ht="50.1" customHeight="1" x14ac:dyDescent="0.7">
      <c r="A113" s="633"/>
      <c r="B113" s="1116"/>
      <c r="C113" s="634"/>
      <c r="D113" s="633"/>
      <c r="E113" s="633"/>
      <c r="S113" s="559"/>
      <c r="T113" s="559"/>
    </row>
    <row r="114" spans="1:42" ht="50.1" customHeight="1" x14ac:dyDescent="0.7">
      <c r="A114" s="633"/>
      <c r="B114" s="1116"/>
      <c r="C114" s="634"/>
      <c r="D114" s="633"/>
      <c r="E114" s="633"/>
      <c r="S114" s="559"/>
      <c r="T114" s="559"/>
    </row>
    <row r="115" spans="1:42" ht="50.1" customHeight="1" x14ac:dyDescent="0.7">
      <c r="A115" s="633"/>
      <c r="B115" s="1116"/>
      <c r="C115" s="634"/>
      <c r="D115" s="633"/>
      <c r="E115" s="633"/>
      <c r="S115" s="559"/>
      <c r="T115" s="559"/>
    </row>
    <row r="116" spans="1:42" s="1037" customFormat="1" x14ac:dyDescent="0.7">
      <c r="A116" s="1032"/>
      <c r="B116" s="1087"/>
      <c r="C116" s="1034"/>
      <c r="D116" s="1032"/>
      <c r="E116" s="1032"/>
      <c r="F116" s="559"/>
      <c r="G116" s="559"/>
      <c r="H116" s="559"/>
      <c r="I116" s="559"/>
      <c r="J116" s="559"/>
      <c r="K116" s="559"/>
      <c r="L116" s="559"/>
      <c r="M116" s="559"/>
      <c r="N116" s="559"/>
      <c r="O116" s="559"/>
      <c r="P116" s="559"/>
      <c r="Q116" s="559"/>
      <c r="R116" s="559"/>
      <c r="S116" s="559"/>
      <c r="T116" s="559"/>
      <c r="U116" s="559"/>
      <c r="V116" s="559"/>
      <c r="W116" s="559"/>
      <c r="X116" s="559"/>
      <c r="Y116" s="559"/>
      <c r="Z116" s="559"/>
      <c r="AA116" s="559"/>
      <c r="AB116" s="559"/>
      <c r="AC116" s="559"/>
      <c r="AD116" s="559"/>
      <c r="AE116" s="559"/>
      <c r="AF116" s="559"/>
      <c r="AG116" s="559"/>
      <c r="AH116" s="559"/>
      <c r="AI116" s="559"/>
      <c r="AJ116" s="559"/>
      <c r="AK116" s="559"/>
      <c r="AL116" s="559"/>
      <c r="AM116" s="1711"/>
      <c r="AN116" s="1711"/>
      <c r="AO116" s="1715"/>
      <c r="AP116" s="1716"/>
    </row>
    <row r="117" spans="1:42" s="1037" customFormat="1" x14ac:dyDescent="0.7">
      <c r="A117" s="1032"/>
      <c r="B117" s="1033"/>
      <c r="C117" s="1034"/>
      <c r="D117" s="1032"/>
      <c r="E117" s="1032"/>
      <c r="F117" s="1035"/>
      <c r="G117" s="1035"/>
      <c r="H117" s="1035"/>
      <c r="I117" s="1035"/>
      <c r="J117" s="1035"/>
      <c r="K117" s="1036"/>
      <c r="L117" s="1036"/>
      <c r="M117" s="1036"/>
      <c r="N117" s="1036"/>
      <c r="O117" s="1036"/>
      <c r="P117" s="1036"/>
      <c r="Q117" s="1036"/>
      <c r="S117" s="1035"/>
      <c r="T117" s="1038"/>
      <c r="U117" s="1038"/>
      <c r="V117" s="1039"/>
      <c r="W117" s="1040"/>
      <c r="X117" s="1041"/>
      <c r="Y117" s="1041"/>
      <c r="Z117" s="1040"/>
      <c r="AA117" s="1042"/>
      <c r="AB117" s="1043"/>
      <c r="AC117" s="1043"/>
      <c r="AM117" s="1716"/>
      <c r="AN117" s="1716"/>
      <c r="AO117" s="1715"/>
      <c r="AP117" s="1716"/>
    </row>
    <row r="118" spans="1:42" s="1103" customFormat="1" x14ac:dyDescent="0.7">
      <c r="A118" s="1088"/>
      <c r="B118" s="815"/>
      <c r="C118" s="1089"/>
      <c r="D118" s="1088"/>
      <c r="E118" s="1088"/>
      <c r="F118" s="1090"/>
      <c r="G118" s="1090"/>
      <c r="H118" s="1091"/>
      <c r="I118" s="1091"/>
      <c r="J118" s="1092"/>
      <c r="K118" s="1092" t="str">
        <f t="shared" ref="K118:K119" si="59">IF(F118&lt;&gt;"",H118*I118*J118,"")</f>
        <v/>
      </c>
      <c r="L118" s="1092" t="str">
        <f t="shared" ref="L118:L119" si="60">IF(K118&lt;&gt;"",IF(D118="INTERNO",0,K118*$L$14),"")</f>
        <v/>
      </c>
      <c r="M118" s="1092">
        <f t="shared" ref="M118:M119" si="61">IF(K118&lt;&gt;"",IF(E118="FAT.OGGI",SUM(K118:L118)*(1/(1-$M$14)-1),L118*(1/(1-$M$14)-1)),0)</f>
        <v>0</v>
      </c>
      <c r="N118" s="1092">
        <f t="shared" ref="N118:N119" si="62">SUM(K118:M118)</f>
        <v>0</v>
      </c>
      <c r="O118" s="1093"/>
      <c r="P118" s="1093"/>
      <c r="Q118" s="1093"/>
      <c r="R118" s="1037"/>
      <c r="S118" s="1094" t="str">
        <f t="shared" ref="S118:T120" si="63">IF(H118&lt;&gt;"",H118,"")</f>
        <v/>
      </c>
      <c r="T118" s="1095" t="str">
        <f t="shared" si="63"/>
        <v/>
      </c>
      <c r="U118" s="1096"/>
      <c r="V118" s="1096" t="str">
        <f t="shared" ref="V118:V119" si="64">IF(S118&lt;&gt;"",S118*T118*U118,"")</f>
        <v/>
      </c>
      <c r="W118" s="1097" t="str">
        <f>IF(S118&lt;&gt;"",K118-V118,"")</f>
        <v/>
      </c>
      <c r="X118" s="1098" t="str">
        <f t="shared" ref="X118:X119" si="65">IF(S118&lt;&gt;"",0%,"")</f>
        <v/>
      </c>
      <c r="Y118" s="1099" t="str">
        <f t="shared" ref="Y118:Y119" si="66">IF(S118&lt;&gt;"",X118*W118,"")</f>
        <v/>
      </c>
      <c r="Z118" s="1099" t="str">
        <f t="shared" ref="Z118:Z119" si="67">IF(S118&lt;&gt;"",Y118+V118,"")</f>
        <v/>
      </c>
      <c r="AA118" s="1100" t="str">
        <f>IF(S118&lt;&gt;"",Z118+M118,"")</f>
        <v/>
      </c>
      <c r="AB118" s="1101">
        <f>IF(S118&lt;&gt;"", IFERROR(W118/K118, 0), 0)</f>
        <v>0</v>
      </c>
      <c r="AC118" s="1102"/>
      <c r="AF118" s="1104"/>
      <c r="AM118" s="1717"/>
      <c r="AN118" s="1717"/>
      <c r="AO118" s="1718"/>
      <c r="AP118" s="1717"/>
    </row>
    <row r="119" spans="1:42" ht="115.2" x14ac:dyDescent="0.7">
      <c r="A119" s="646"/>
      <c r="B119" s="815"/>
      <c r="C119" s="647"/>
      <c r="D119" s="646"/>
      <c r="E119" s="646"/>
      <c r="F119" s="1105" t="s">
        <v>883</v>
      </c>
      <c r="G119" s="1105" t="s">
        <v>1395</v>
      </c>
      <c r="H119" s="1106">
        <v>600</v>
      </c>
      <c r="I119" s="1106">
        <v>0</v>
      </c>
      <c r="J119" s="1107">
        <v>21</v>
      </c>
      <c r="K119" s="1108">
        <f t="shared" si="59"/>
        <v>0</v>
      </c>
      <c r="L119" s="1108">
        <f t="shared" si="60"/>
        <v>0</v>
      </c>
      <c r="M119" s="1108">
        <f t="shared" si="61"/>
        <v>0</v>
      </c>
      <c r="N119" s="1108">
        <f t="shared" si="62"/>
        <v>0</v>
      </c>
      <c r="O119" s="1109"/>
      <c r="P119" s="1109"/>
      <c r="Q119" s="1109"/>
      <c r="R119" s="1037"/>
      <c r="S119" s="1110">
        <f t="shared" si="63"/>
        <v>600</v>
      </c>
      <c r="T119" s="739">
        <f t="shared" si="63"/>
        <v>0</v>
      </c>
      <c r="U119" s="650">
        <v>15</v>
      </c>
      <c r="V119" s="650">
        <f t="shared" si="64"/>
        <v>0</v>
      </c>
      <c r="W119" s="651">
        <f>IF(S119&lt;&gt;"",K119-V119,"")</f>
        <v>0</v>
      </c>
      <c r="X119" s="652">
        <f t="shared" si="65"/>
        <v>0</v>
      </c>
      <c r="Y119" s="653">
        <f t="shared" si="66"/>
        <v>0</v>
      </c>
      <c r="Z119" s="653">
        <f t="shared" si="67"/>
        <v>0</v>
      </c>
      <c r="AA119" s="629">
        <f>IF(S119&lt;&gt;"",Z119+M119,"")</f>
        <v>0</v>
      </c>
      <c r="AB119" s="632">
        <f>IF(S119&lt;&gt;"", IFERROR(W119/K119, 0), 0)</f>
        <v>0</v>
      </c>
    </row>
    <row r="120" spans="1:42" ht="115.2" x14ac:dyDescent="0.7">
      <c r="F120" s="1111" t="s">
        <v>691</v>
      </c>
      <c r="G120" s="1111" t="s">
        <v>1396</v>
      </c>
      <c r="H120" s="1112">
        <v>600</v>
      </c>
      <c r="I120" s="1112">
        <v>1</v>
      </c>
      <c r="J120" s="1113">
        <v>20</v>
      </c>
      <c r="K120" s="1113">
        <f t="shared" ref="K120" si="68">IF(F120&lt;&gt;"",H120*I120*J120,"")</f>
        <v>12000</v>
      </c>
      <c r="L120" s="1113">
        <f t="shared" ref="L120" si="69">IF(K120&lt;&gt;"",IF(D120="INTERNO",0,K120*$L$14),"")</f>
        <v>960</v>
      </c>
      <c r="M120" s="1113">
        <f t="shared" ref="M120" si="70">IF(K120&lt;&gt;"",IF(E120="FAT.OGGI",SUM(K120:L120)*(1/(1-$M$14)-1),L120*(1/(1-$M$14)-1)),0)</f>
        <v>201.2434982460384</v>
      </c>
      <c r="N120" s="1113">
        <f t="shared" ref="N120" si="71">SUM(K120:M120)</f>
        <v>13161.243498246038</v>
      </c>
      <c r="O120" s="1114"/>
      <c r="P120" s="1114"/>
      <c r="Q120" s="1114"/>
      <c r="R120" s="1037"/>
      <c r="S120" s="1115">
        <f t="shared" si="63"/>
        <v>600</v>
      </c>
      <c r="T120" s="666">
        <f t="shared" si="63"/>
        <v>1</v>
      </c>
      <c r="U120" s="643">
        <v>20</v>
      </c>
      <c r="V120" s="643">
        <f t="shared" ref="V120" si="72">IF(S120&lt;&gt;"",S120*T120*U120,"")</f>
        <v>12000</v>
      </c>
      <c r="W120" s="667">
        <f>IF(S120&lt;&gt;"",K120-V120,"")</f>
        <v>0</v>
      </c>
    </row>
  </sheetData>
  <autoFilter ref="A1:AN105" xr:uid="{107B9E09-8154-459A-AE62-6A4242823A27}">
    <filterColumn colId="5" showButton="0"/>
  </autoFilter>
  <mergeCells count="81">
    <mergeCell ref="F104:J104"/>
    <mergeCell ref="S103:U103"/>
    <mergeCell ref="S104:U104"/>
    <mergeCell ref="F98:K98"/>
    <mergeCell ref="F103:J103"/>
    <mergeCell ref="F97:N97"/>
    <mergeCell ref="F1:G1"/>
    <mergeCell ref="F2:G2"/>
    <mergeCell ref="S12:V12"/>
    <mergeCell ref="W12:Z12"/>
    <mergeCell ref="F19:J19"/>
    <mergeCell ref="S19:U19"/>
    <mergeCell ref="F20:K20"/>
    <mergeCell ref="S20:AA20"/>
    <mergeCell ref="F22:J22"/>
    <mergeCell ref="S22:U22"/>
    <mergeCell ref="F23:J23"/>
    <mergeCell ref="S23:U23"/>
    <mergeCell ref="F24:N24"/>
    <mergeCell ref="S24:AA24"/>
    <mergeCell ref="F33:J33"/>
    <mergeCell ref="AE12:AG12"/>
    <mergeCell ref="AI12:AJ12"/>
    <mergeCell ref="AM12:AN12"/>
    <mergeCell ref="F16:K16"/>
    <mergeCell ref="S16:AA16"/>
    <mergeCell ref="F15:N15"/>
    <mergeCell ref="S15:AA15"/>
    <mergeCell ref="AM15:AN15"/>
    <mergeCell ref="AM16:AN16"/>
    <mergeCell ref="S33:U33"/>
    <mergeCell ref="F25:K25"/>
    <mergeCell ref="S25:AA25"/>
    <mergeCell ref="F35:N35"/>
    <mergeCell ref="S35:AA35"/>
    <mergeCell ref="F36:K36"/>
    <mergeCell ref="S36:AA36"/>
    <mergeCell ref="F40:J40"/>
    <mergeCell ref="S40:U40"/>
    <mergeCell ref="F41:J41"/>
    <mergeCell ref="S41:U41"/>
    <mergeCell ref="F42:N42"/>
    <mergeCell ref="F46:J46"/>
    <mergeCell ref="S46:U46"/>
    <mergeCell ref="F95:J95"/>
    <mergeCell ref="S95:U95"/>
    <mergeCell ref="F47:N47"/>
    <mergeCell ref="S47:AA47"/>
    <mergeCell ref="F48:K48"/>
    <mergeCell ref="S48:AA48"/>
    <mergeCell ref="F53:J53"/>
    <mergeCell ref="S53:U53"/>
    <mergeCell ref="F55:N55"/>
    <mergeCell ref="S55:AA55"/>
    <mergeCell ref="F89:N89"/>
    <mergeCell ref="S89:AA89"/>
    <mergeCell ref="F90:K90"/>
    <mergeCell ref="F96:J96"/>
    <mergeCell ref="S96:U96"/>
    <mergeCell ref="F34:J34"/>
    <mergeCell ref="S34:U34"/>
    <mergeCell ref="S42:AA42"/>
    <mergeCell ref="F45:J45"/>
    <mergeCell ref="S45:U45"/>
    <mergeCell ref="F65:K65"/>
    <mergeCell ref="S65:AA65"/>
    <mergeCell ref="F64:N64"/>
    <mergeCell ref="S64:AA64"/>
    <mergeCell ref="F88:J88"/>
    <mergeCell ref="S88:U88"/>
    <mergeCell ref="F87:J87"/>
    <mergeCell ref="F54:J54"/>
    <mergeCell ref="S54:U54"/>
    <mergeCell ref="S90:AA90"/>
    <mergeCell ref="S87:U87"/>
    <mergeCell ref="F63:J63"/>
    <mergeCell ref="S63:U63"/>
    <mergeCell ref="F56:K56"/>
    <mergeCell ref="S56:AA56"/>
    <mergeCell ref="F62:J62"/>
    <mergeCell ref="S62:U62"/>
  </mergeCells>
  <dataValidations count="3">
    <dataValidation type="list" allowBlank="1" showInputMessage="1" showErrorMessage="1" sqref="E17:E18 E21 E64 E88 E57:E61 E91:E94 E66:E86 E118:E119 E26:E55 E99:E102" xr:uid="{553A9FCC-26C3-4C24-ACCD-2841B00D3EA8}">
      <formula1>"FAT.OGGI,FAT.CLIENTE"</formula1>
    </dataValidation>
    <dataValidation type="list" allowBlank="1" showInputMessage="1" showErrorMessage="1" sqref="D17:D18 D21 D64 D88 D57:D61 D91:D94 D66:D86 D118:D119 D105:D115 D26:D55 D99:D102" xr:uid="{F14B1F87-959C-4F53-A5DB-5A7F96357F36}">
      <formula1>"INTERNO,OPERACIONAL"</formula1>
    </dataValidation>
    <dataValidation type="list" allowBlank="1" showInputMessage="1" showErrorMessage="1" sqref="E105:E115" xr:uid="{FC2A0066-07A4-4C51-9290-EB3ECE7AAFBA}">
      <formula1>"FAT.OGGI,FAT.CLIENTE "</formula1>
    </dataValidation>
  </dataValidations>
  <pageMargins left="0" right="0" top="0.19685039370078741" bottom="0" header="0" footer="0"/>
  <pageSetup paperSize="9" scale="25" fitToHeight="0" orientation="landscape" horizontalDpi="360" verticalDpi="36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0E1B6-F83D-4225-B7D6-A4A67AA70D60}">
  <sheetPr codeName="Planilha17">
    <tabColor theme="2" tint="-0.749992370372631"/>
    <pageSetUpPr autoPageBreaks="0"/>
  </sheetPr>
  <dimension ref="A1:AP89"/>
  <sheetViews>
    <sheetView showGridLines="0" topLeftCell="B1" zoomScale="35" zoomScaleNormal="35" workbookViewId="0">
      <pane ySplit="1" topLeftCell="A56" activePane="bottomLeft" state="frozen"/>
      <selection pane="bottomLeft" activeCell="AM1" sqref="AM1:AP1048576"/>
    </sheetView>
  </sheetViews>
  <sheetFormatPr defaultColWidth="8.88671875" defaultRowHeight="36.6" x14ac:dyDescent="0.7"/>
  <cols>
    <col min="1" max="1" width="8.109375" style="559" hidden="1" customWidth="1"/>
    <col min="2" max="2" width="20.88671875" style="559" customWidth="1"/>
    <col min="3" max="3" width="15.44140625" style="559" hidden="1" customWidth="1"/>
    <col min="4" max="4" width="23.109375" style="559" hidden="1" customWidth="1"/>
    <col min="5" max="5" width="19.88671875" style="559" hidden="1" customWidth="1"/>
    <col min="6" max="6" width="37.5546875" style="559" customWidth="1"/>
    <col min="7" max="7" width="76.44140625" style="559" customWidth="1"/>
    <col min="8" max="8" width="8.5546875" style="559" hidden="1" customWidth="1"/>
    <col min="9" max="9" width="7.6640625" style="559" hidden="1" customWidth="1"/>
    <col min="10" max="10" width="18.88671875" style="559" hidden="1" customWidth="1"/>
    <col min="11" max="11" width="43" style="559" bestFit="1" customWidth="1"/>
    <col min="12" max="12" width="37" style="559" bestFit="1" customWidth="1"/>
    <col min="13" max="13" width="39" style="559" bestFit="1" customWidth="1"/>
    <col min="14" max="14" width="43.88671875" style="559" bestFit="1" customWidth="1"/>
    <col min="15" max="16" width="29" style="559" hidden="1" customWidth="1"/>
    <col min="17" max="17" width="37.5546875" style="559" hidden="1" customWidth="1"/>
    <col min="18" max="18" width="17.44140625" style="559" hidden="1" customWidth="1"/>
    <col min="19" max="19" width="11.109375" style="562" customWidth="1"/>
    <col min="20" max="20" width="8.44140625" style="562" hidden="1" customWidth="1"/>
    <col min="21" max="21" width="33.109375" style="559" hidden="1" customWidth="1"/>
    <col min="22" max="22" width="43" style="559" bestFit="1" customWidth="1"/>
    <col min="23" max="23" width="27.5546875" style="559" hidden="1" customWidth="1"/>
    <col min="24" max="24" width="15.88671875" style="559" hidden="1" customWidth="1"/>
    <col min="25" max="25" width="16.109375" style="559" hidden="1" customWidth="1"/>
    <col min="26" max="26" width="49.6640625" style="559" customWidth="1"/>
    <col min="27" max="27" width="25.5546875" style="559" hidden="1" customWidth="1"/>
    <col min="28" max="28" width="41" style="559" hidden="1" customWidth="1"/>
    <col min="29" max="29" width="39.88671875" style="559" hidden="1" customWidth="1"/>
    <col min="30" max="30" width="25.5546875" style="559" hidden="1" customWidth="1"/>
    <col min="31" max="31" width="14.109375" style="559" hidden="1" customWidth="1"/>
    <col min="32" max="32" width="34.5546875" style="559" hidden="1" customWidth="1"/>
    <col min="33" max="33" width="6.88671875" style="559" hidden="1" customWidth="1"/>
    <col min="34" max="34" width="1.44140625" style="559" hidden="1" customWidth="1"/>
    <col min="35" max="35" width="14" style="559" hidden="1" customWidth="1"/>
    <col min="36" max="36" width="11.5546875" style="559" hidden="1" customWidth="1"/>
    <col min="37" max="37" width="6.44140625" style="559" hidden="1" customWidth="1"/>
    <col min="38" max="38" width="12.5546875" style="559" hidden="1" customWidth="1"/>
    <col min="39" max="39" width="44.88671875" style="1711" customWidth="1"/>
    <col min="40" max="40" width="43.88671875" style="1711" customWidth="1"/>
    <col min="41" max="41" width="45.6640625" style="1695" bestFit="1" customWidth="1"/>
    <col min="42" max="42" width="21.44140625" style="1711" customWidth="1"/>
    <col min="43" max="16384" width="8.88671875" style="559"/>
  </cols>
  <sheetData>
    <row r="1" spans="1:40" ht="49.5" customHeight="1" x14ac:dyDescent="0.7">
      <c r="B1" s="560"/>
      <c r="C1" s="561"/>
      <c r="D1" s="561"/>
      <c r="F1" s="1399" t="s">
        <v>128</v>
      </c>
      <c r="G1" s="1399"/>
    </row>
    <row r="2" spans="1:40" ht="24.75" customHeight="1" x14ac:dyDescent="0.7">
      <c r="B2" s="562"/>
      <c r="D2" s="561"/>
      <c r="F2" s="1577" t="s">
        <v>0</v>
      </c>
      <c r="G2" s="1577"/>
    </row>
    <row r="3" spans="1:40" x14ac:dyDescent="0.7">
      <c r="B3" s="563"/>
      <c r="F3" s="564"/>
      <c r="G3" s="564"/>
    </row>
    <row r="4" spans="1:40" x14ac:dyDescent="0.7">
      <c r="F4" s="565" t="s">
        <v>245</v>
      </c>
      <c r="G4" s="566"/>
    </row>
    <row r="5" spans="1:40" x14ac:dyDescent="0.7">
      <c r="F5" s="567" t="s">
        <v>224</v>
      </c>
      <c r="G5" s="568"/>
    </row>
    <row r="6" spans="1:40" x14ac:dyDescent="0.7">
      <c r="D6" s="559" t="s">
        <v>155</v>
      </c>
      <c r="F6" s="567" t="s">
        <v>246</v>
      </c>
      <c r="G6" s="569"/>
    </row>
    <row r="7" spans="1:40" x14ac:dyDescent="0.7">
      <c r="F7" s="567" t="s">
        <v>247</v>
      </c>
      <c r="G7" s="569"/>
      <c r="J7" s="559" t="s">
        <v>225</v>
      </c>
    </row>
    <row r="8" spans="1:40" x14ac:dyDescent="0.7">
      <c r="F8" s="567" t="s">
        <v>248</v>
      </c>
      <c r="G8" s="570"/>
    </row>
    <row r="9" spans="1:40" x14ac:dyDescent="0.7">
      <c r="F9" s="567" t="s">
        <v>249</v>
      </c>
      <c r="G9" s="569"/>
      <c r="J9" s="559" t="s">
        <v>155</v>
      </c>
      <c r="M9" s="559">
        <v>0.80469999999999997</v>
      </c>
    </row>
    <row r="10" spans="1:40" x14ac:dyDescent="0.7">
      <c r="F10" s="567" t="s">
        <v>177</v>
      </c>
      <c r="G10" s="569"/>
      <c r="M10" s="559">
        <f>1-M9</f>
        <v>0.19530000000000003</v>
      </c>
    </row>
    <row r="11" spans="1:40" x14ac:dyDescent="0.7">
      <c r="F11" s="571" t="s">
        <v>250</v>
      </c>
      <c r="G11" s="572"/>
    </row>
    <row r="12" spans="1:40" ht="87" hidden="1" thickBot="1" x14ac:dyDescent="0.75">
      <c r="B12" s="573"/>
      <c r="L12" s="574">
        <v>0</v>
      </c>
      <c r="M12" s="575">
        <v>0</v>
      </c>
      <c r="S12" s="1409" t="s">
        <v>1</v>
      </c>
      <c r="T12" s="1410"/>
      <c r="U12" s="1410"/>
      <c r="V12" s="1411"/>
      <c r="W12" s="1412" t="s">
        <v>2</v>
      </c>
      <c r="X12" s="1413"/>
      <c r="Y12" s="1413"/>
      <c r="Z12" s="1414"/>
      <c r="AA12" s="576" t="s">
        <v>56</v>
      </c>
      <c r="AB12" s="826">
        <f>(1/(1-M14))-1</f>
        <v>0.20962864400629</v>
      </c>
      <c r="AE12" s="1392" t="s">
        <v>3</v>
      </c>
      <c r="AF12" s="1393"/>
      <c r="AG12" s="1394"/>
      <c r="AI12" s="1390" t="s">
        <v>58</v>
      </c>
      <c r="AJ12" s="1573"/>
      <c r="AL12" s="578" t="s">
        <v>71</v>
      </c>
      <c r="AM12" s="1696" t="s">
        <v>70</v>
      </c>
      <c r="AN12" s="1697"/>
    </row>
    <row r="13" spans="1:40" ht="37.200000000000003" thickBot="1" x14ac:dyDescent="0.75">
      <c r="A13" s="579" t="s">
        <v>4</v>
      </c>
      <c r="B13" s="580" t="s">
        <v>5</v>
      </c>
      <c r="C13" s="579" t="s">
        <v>6</v>
      </c>
      <c r="D13" s="579" t="s">
        <v>7</v>
      </c>
      <c r="E13" s="579" t="s">
        <v>8</v>
      </c>
      <c r="L13" s="574">
        <v>0.05</v>
      </c>
      <c r="M13" s="575">
        <v>0.82669999999999999</v>
      </c>
    </row>
    <row r="14" spans="1:40" ht="50.1" customHeight="1" thickBot="1" x14ac:dyDescent="0.75">
      <c r="A14" s="581">
        <v>0</v>
      </c>
      <c r="B14" s="582"/>
      <c r="C14" s="583"/>
      <c r="D14" s="584"/>
      <c r="E14" s="584"/>
      <c r="F14" s="585" t="s">
        <v>131</v>
      </c>
      <c r="G14" s="586" t="s">
        <v>132</v>
      </c>
      <c r="H14" s="587" t="s">
        <v>133</v>
      </c>
      <c r="I14" s="587" t="s">
        <v>134</v>
      </c>
      <c r="J14" s="588" t="s">
        <v>135</v>
      </c>
      <c r="K14" s="589" t="s">
        <v>9</v>
      </c>
      <c r="L14" s="590">
        <v>0.08</v>
      </c>
      <c r="M14" s="591">
        <f>1-M13</f>
        <v>0.17330000000000001</v>
      </c>
      <c r="N14" s="592" t="s">
        <v>129</v>
      </c>
      <c r="O14" s="593"/>
      <c r="P14" s="593"/>
      <c r="Q14" s="593"/>
      <c r="S14" s="594" t="s">
        <v>136</v>
      </c>
      <c r="T14" s="595" t="s">
        <v>137</v>
      </c>
      <c r="U14" s="596" t="s">
        <v>138</v>
      </c>
      <c r="V14" s="597" t="s">
        <v>139</v>
      </c>
      <c r="W14" s="598" t="s">
        <v>140</v>
      </c>
      <c r="X14" s="599" t="s">
        <v>141</v>
      </c>
      <c r="Y14" s="600" t="s">
        <v>142</v>
      </c>
      <c r="Z14" s="600" t="s">
        <v>143</v>
      </c>
      <c r="AA14" s="601" t="s">
        <v>144</v>
      </c>
      <c r="AB14" s="602" t="s">
        <v>145</v>
      </c>
      <c r="AC14" s="603" t="s">
        <v>130</v>
      </c>
      <c r="AE14" s="604" t="s">
        <v>146</v>
      </c>
      <c r="AF14" s="605" t="s">
        <v>147</v>
      </c>
      <c r="AG14" s="605" t="s">
        <v>33</v>
      </c>
      <c r="AI14" s="606" t="s">
        <v>148</v>
      </c>
      <c r="AJ14" s="607" t="s">
        <v>149</v>
      </c>
      <c r="AK14" s="559" t="s">
        <v>150</v>
      </c>
      <c r="AL14" s="559" t="s">
        <v>150</v>
      </c>
      <c r="AM14" s="1698" t="s">
        <v>151</v>
      </c>
      <c r="AN14" s="1712" t="s">
        <v>152</v>
      </c>
    </row>
    <row r="15" spans="1:40" ht="50.1" customHeight="1" thickBot="1" x14ac:dyDescent="0.75">
      <c r="A15" s="584">
        <v>1</v>
      </c>
      <c r="B15" s="608">
        <v>1</v>
      </c>
      <c r="C15" s="609" t="s">
        <v>167</v>
      </c>
      <c r="D15" s="584"/>
      <c r="E15" s="584"/>
      <c r="F15" s="1534" t="s">
        <v>257</v>
      </c>
      <c r="G15" s="1535"/>
      <c r="H15" s="1535"/>
      <c r="I15" s="1535"/>
      <c r="J15" s="1535"/>
      <c r="K15" s="1535"/>
      <c r="L15" s="1535"/>
      <c r="M15" s="1535"/>
      <c r="N15" s="1612"/>
      <c r="O15" s="611"/>
      <c r="P15" s="611"/>
      <c r="Q15" s="611"/>
      <c r="S15" s="1395" t="str">
        <f>IF(F15&lt;&gt;"",F15,"")</f>
        <v>LOGÍSTICA</v>
      </c>
      <c r="T15" s="1396"/>
      <c r="U15" s="1396"/>
      <c r="V15" s="1396"/>
      <c r="W15" s="1396"/>
      <c r="X15" s="1396"/>
      <c r="Y15" s="1396"/>
      <c r="Z15" s="1396"/>
      <c r="AA15" s="1563"/>
      <c r="AM15" s="1699"/>
      <c r="AN15" s="1700"/>
    </row>
    <row r="16" spans="1:40" ht="50.1" customHeight="1" x14ac:dyDescent="0.7">
      <c r="A16" s="584">
        <v>2</v>
      </c>
      <c r="B16" s="608" t="s">
        <v>170</v>
      </c>
      <c r="C16" s="609" t="s">
        <v>169</v>
      </c>
      <c r="D16" s="584"/>
      <c r="E16" s="584"/>
      <c r="F16" s="1539" t="s">
        <v>296</v>
      </c>
      <c r="G16" s="1540"/>
      <c r="H16" s="1540"/>
      <c r="I16" s="1540"/>
      <c r="J16" s="1540"/>
      <c r="K16" s="1541"/>
      <c r="L16" s="612" t="s">
        <v>171</v>
      </c>
      <c r="M16" s="613" t="s">
        <v>172</v>
      </c>
      <c r="N16" s="827" t="s">
        <v>129</v>
      </c>
      <c r="O16" s="615"/>
      <c r="P16" s="615"/>
      <c r="Q16" s="615"/>
      <c r="S16" s="1397" t="str">
        <f>IF(F16&lt;&gt;"",F16,"")</f>
        <v xml:space="preserve">LOGÍSTICA AÉREA </v>
      </c>
      <c r="T16" s="1398"/>
      <c r="U16" s="1398"/>
      <c r="V16" s="1398"/>
      <c r="W16" s="1398"/>
      <c r="X16" s="1398"/>
      <c r="Y16" s="1398"/>
      <c r="Z16" s="1398"/>
      <c r="AA16" s="1561"/>
      <c r="AB16" s="616" t="s">
        <v>173</v>
      </c>
      <c r="AC16" s="617" t="s">
        <v>130</v>
      </c>
      <c r="AM16" s="1701"/>
      <c r="AN16" s="1702"/>
    </row>
    <row r="17" spans="1:40" ht="150" customHeight="1" x14ac:dyDescent="0.7">
      <c r="A17" s="584">
        <v>3</v>
      </c>
      <c r="B17" s="608" t="s">
        <v>176</v>
      </c>
      <c r="C17" s="609" t="s">
        <v>175</v>
      </c>
      <c r="D17" s="584" t="s">
        <v>182</v>
      </c>
      <c r="E17" s="584" t="s">
        <v>331</v>
      </c>
      <c r="F17" s="828" t="s">
        <v>677</v>
      </c>
      <c r="G17" s="829" t="s">
        <v>1352</v>
      </c>
      <c r="H17" s="830">
        <v>1</v>
      </c>
      <c r="I17" s="830">
        <v>0</v>
      </c>
      <c r="J17" s="831">
        <v>9942.23</v>
      </c>
      <c r="K17" s="832">
        <f t="shared" ref="K17" si="0">IF(F17&lt;&gt;"",H17*I17*J17,"")</f>
        <v>0</v>
      </c>
      <c r="L17" s="832">
        <f t="shared" ref="L17" si="1">IF(K17&lt;&gt;"",IF(D17="INTERNO",0,K17*$L$12),"")</f>
        <v>0</v>
      </c>
      <c r="M17" s="832">
        <v>0</v>
      </c>
      <c r="N17" s="635">
        <f t="shared" ref="N17" si="2">SUM(K17:M17)</f>
        <v>0</v>
      </c>
      <c r="O17" s="623"/>
      <c r="P17" s="623"/>
      <c r="Q17" s="623"/>
      <c r="S17" s="636">
        <f>IF(H17&lt;&gt;"",H17,"")</f>
        <v>1</v>
      </c>
      <c r="T17" s="637">
        <f>IF(I17&lt;&gt;"",I17,"")</f>
        <v>0</v>
      </c>
      <c r="U17" s="638">
        <v>9942.23</v>
      </c>
      <c r="V17" s="638">
        <f t="shared" ref="V17" si="3">IF(S17&lt;&gt;"",S17*T17*U17,"")</f>
        <v>0</v>
      </c>
      <c r="W17" s="720">
        <f>IF(S17&lt;&gt;"",K17-V17,"")</f>
        <v>0</v>
      </c>
      <c r="X17" s="721">
        <f t="shared" ref="X17" si="4">IF(S17&lt;&gt;"",0%,"")</f>
        <v>0</v>
      </c>
      <c r="Y17" s="701">
        <f t="shared" ref="Y17" si="5">IF(S17&lt;&gt;"",X17*W17,"")</f>
        <v>0</v>
      </c>
      <c r="Z17" s="701">
        <f t="shared" ref="Z17" si="6">IF(S17&lt;&gt;"",Y17+V17,"")</f>
        <v>0</v>
      </c>
      <c r="AA17" s="639">
        <f>IF(S17&lt;&gt;"",Z17+M17,"")</f>
        <v>0</v>
      </c>
      <c r="AB17" s="631">
        <f>IFERROR(IF(S17&lt;&gt;"",W17/K17,""),0)</f>
        <v>0</v>
      </c>
      <c r="AC17" s="632" t="e">
        <f>V17/$V$19</f>
        <v>#DIV/0!</v>
      </c>
      <c r="AM17" s="1703">
        <f>Z17-AN17</f>
        <v>0</v>
      </c>
      <c r="AN17" s="1713"/>
    </row>
    <row r="18" spans="1:40" ht="150" customHeight="1" x14ac:dyDescent="0.7">
      <c r="A18" s="646">
        <v>4</v>
      </c>
      <c r="B18" s="608" t="s">
        <v>153</v>
      </c>
      <c r="C18" s="647" t="s">
        <v>175</v>
      </c>
      <c r="D18" s="584" t="s">
        <v>182</v>
      </c>
      <c r="E18" s="584" t="s">
        <v>331</v>
      </c>
      <c r="F18" s="828" t="s">
        <v>678</v>
      </c>
      <c r="G18" s="829" t="s">
        <v>1353</v>
      </c>
      <c r="H18" s="830">
        <v>1</v>
      </c>
      <c r="I18" s="830">
        <v>0</v>
      </c>
      <c r="J18" s="831">
        <v>2132.37</v>
      </c>
      <c r="K18" s="833">
        <f>IF(F18&lt;&gt;"",H18*I18*J18,"")</f>
        <v>0</v>
      </c>
      <c r="L18" s="833">
        <v>0</v>
      </c>
      <c r="M18" s="833">
        <f>IF(K18&lt;&gt;"",IF(E18="FAT.OGGI",SUM(K18:L18)*(1/(1-$M$14)-1),L18*(1/(1-$M$14)-1)),0)</f>
        <v>0</v>
      </c>
      <c r="N18" s="622">
        <f>SUM(K18:M18)</f>
        <v>0</v>
      </c>
      <c r="O18" s="623"/>
      <c r="P18" s="623"/>
      <c r="Q18" s="623"/>
      <c r="S18" s="834">
        <f>IF(H18&lt;&gt;"",H18,"")</f>
        <v>1</v>
      </c>
      <c r="T18" s="739">
        <f>IF(I18&lt;&gt;"",I18,"")</f>
        <v>0</v>
      </c>
      <c r="U18" s="650">
        <v>2132.37</v>
      </c>
      <c r="V18" s="650">
        <f>IF(S18&lt;&gt;"",S18*T18*U18,"")</f>
        <v>0</v>
      </c>
      <c r="W18" s="651">
        <f>IF(S18&lt;&gt;"",K18-V18,"")</f>
        <v>0</v>
      </c>
      <c r="X18" s="652">
        <f>IF(S18&lt;&gt;"",0%,"")</f>
        <v>0</v>
      </c>
      <c r="Y18" s="653">
        <f>IF(S18&lt;&gt;"",X18*W18,"")</f>
        <v>0</v>
      </c>
      <c r="Z18" s="653">
        <f>IF(S18&lt;&gt;"",Y18+V18,"")</f>
        <v>0</v>
      </c>
      <c r="AA18" s="630">
        <f>IF(S18&lt;&gt;"",Z18+M18,"")</f>
        <v>0</v>
      </c>
      <c r="AB18" s="631">
        <f>IF(S18&lt;&gt;"", IFERROR(W18/K18, 0), 0)</f>
        <v>0</v>
      </c>
      <c r="AC18" s="632" t="e">
        <f>V18/$V$19</f>
        <v>#DIV/0!</v>
      </c>
      <c r="AM18" s="1703">
        <f t="shared" ref="AM18:AM81" si="7">Z18-AN18</f>
        <v>0</v>
      </c>
      <c r="AN18" s="1713"/>
    </row>
    <row r="19" spans="1:40" ht="50.1" customHeight="1" thickBot="1" x14ac:dyDescent="0.75">
      <c r="A19" s="633">
        <v>5</v>
      </c>
      <c r="B19" s="608"/>
      <c r="C19" s="634" t="s">
        <v>184</v>
      </c>
      <c r="D19" s="633"/>
      <c r="E19" s="633"/>
      <c r="F19" s="1526" t="s">
        <v>367</v>
      </c>
      <c r="G19" s="1527"/>
      <c r="H19" s="1527"/>
      <c r="I19" s="1527"/>
      <c r="J19" s="1527"/>
      <c r="K19" s="740">
        <f>SUM(K17:K18)</f>
        <v>0</v>
      </c>
      <c r="L19" s="740">
        <f>SUM(L17:L18)</f>
        <v>0</v>
      </c>
      <c r="M19" s="740">
        <f>SUM(M17:M18)</f>
        <v>0</v>
      </c>
      <c r="N19" s="835">
        <f>SUM(N17:N18)</f>
        <v>0</v>
      </c>
      <c r="O19" s="723"/>
      <c r="P19" s="723"/>
      <c r="Q19" s="723"/>
      <c r="S19" s="1614">
        <f>SUM(S17:S18)</f>
        <v>2</v>
      </c>
      <c r="T19" s="1550"/>
      <c r="U19" s="1550"/>
      <c r="V19" s="740">
        <f>SUM(V17:V18)</f>
        <v>0</v>
      </c>
      <c r="W19" s="731">
        <f>SUM(W17:W18)</f>
        <v>0</v>
      </c>
      <c r="X19" s="836">
        <f>SUM(X17:X18)</f>
        <v>0</v>
      </c>
      <c r="Y19" s="732"/>
      <c r="Z19" s="733">
        <f>SUM(Z17:Z18)</f>
        <v>0</v>
      </c>
      <c r="AA19" s="734">
        <f>IF(S19&lt;&gt;"",Z19+M19,"")</f>
        <v>0</v>
      </c>
      <c r="AC19" s="632"/>
      <c r="AM19" s="1703"/>
      <c r="AN19" s="1713"/>
    </row>
    <row r="20" spans="1:40" ht="50.1" customHeight="1" thickBot="1" x14ac:dyDescent="0.75">
      <c r="A20" s="584">
        <v>9</v>
      </c>
      <c r="B20" s="608"/>
      <c r="C20" s="609" t="s">
        <v>183</v>
      </c>
      <c r="D20" s="584"/>
      <c r="E20" s="584"/>
      <c r="F20" s="1557" t="s">
        <v>376</v>
      </c>
      <c r="G20" s="1558"/>
      <c r="H20" s="1558"/>
      <c r="I20" s="1558"/>
      <c r="J20" s="1558"/>
      <c r="K20" s="711">
        <f>SUM(K17:K18)</f>
        <v>0</v>
      </c>
      <c r="L20" s="711">
        <f>SUM(L17:L18)</f>
        <v>0</v>
      </c>
      <c r="M20" s="711">
        <f>SUM(M17:M18)</f>
        <v>0</v>
      </c>
      <c r="N20" s="711">
        <f>SUM(N17:N18)</f>
        <v>0</v>
      </c>
      <c r="O20" s="711"/>
      <c r="P20" s="711"/>
      <c r="Q20" s="711"/>
      <c r="S20" s="1586"/>
      <c r="T20" s="1533"/>
      <c r="U20" s="1533"/>
      <c r="V20" s="711">
        <f>SUM(V17:V18)</f>
        <v>0</v>
      </c>
      <c r="W20" s="712">
        <f>SUM(W17:W18)</f>
        <v>0</v>
      </c>
      <c r="X20" s="837">
        <f>SUM(X17:X18)</f>
        <v>0</v>
      </c>
      <c r="Y20" s="713"/>
      <c r="Z20" s="714">
        <f>SUM(Z17:Z18)</f>
        <v>0</v>
      </c>
      <c r="AA20" s="715" t="str">
        <f>IF(S20&lt;&gt;"",Z20+M20,"")</f>
        <v/>
      </c>
      <c r="AM20" s="1703"/>
      <c r="AN20" s="1713"/>
    </row>
    <row r="21" spans="1:40" ht="50.1" customHeight="1" thickBot="1" x14ac:dyDescent="0.75">
      <c r="A21" s="584">
        <v>10</v>
      </c>
      <c r="B21" s="608">
        <v>2</v>
      </c>
      <c r="C21" s="609" t="s">
        <v>167</v>
      </c>
      <c r="D21" s="584"/>
      <c r="E21" s="584"/>
      <c r="F21" s="1534" t="s">
        <v>377</v>
      </c>
      <c r="G21" s="1535"/>
      <c r="H21" s="1535"/>
      <c r="I21" s="1535"/>
      <c r="J21" s="1535"/>
      <c r="K21" s="1535"/>
      <c r="L21" s="1535"/>
      <c r="M21" s="1535"/>
      <c r="N21" s="1610"/>
      <c r="O21" s="611"/>
      <c r="P21" s="611"/>
      <c r="Q21" s="611"/>
      <c r="S21" s="1543" t="str">
        <f>IF(F21&lt;&gt;"",F21,"")</f>
        <v>HOTEL</v>
      </c>
      <c r="T21" s="1537"/>
      <c r="U21" s="1537"/>
      <c r="V21" s="1537"/>
      <c r="W21" s="1537"/>
      <c r="X21" s="1537"/>
      <c r="Y21" s="1537"/>
      <c r="Z21" s="1537"/>
      <c r="AA21" s="1538"/>
      <c r="AM21" s="1703"/>
      <c r="AN21" s="1713"/>
    </row>
    <row r="22" spans="1:40" ht="50.1" customHeight="1" x14ac:dyDescent="0.7">
      <c r="A22" s="584">
        <v>11</v>
      </c>
      <c r="B22" s="608" t="s">
        <v>180</v>
      </c>
      <c r="C22" s="609" t="s">
        <v>169</v>
      </c>
      <c r="D22" s="584"/>
      <c r="E22" s="584"/>
      <c r="F22" s="1397" t="s">
        <v>395</v>
      </c>
      <c r="G22" s="1398"/>
      <c r="H22" s="1398"/>
      <c r="I22" s="1398"/>
      <c r="J22" s="1398"/>
      <c r="K22" s="1398"/>
      <c r="L22" s="716" t="s">
        <v>171</v>
      </c>
      <c r="M22" s="716" t="s">
        <v>172</v>
      </c>
      <c r="N22" s="717" t="s">
        <v>129</v>
      </c>
      <c r="O22" s="615"/>
      <c r="P22" s="615"/>
      <c r="Q22" s="615"/>
      <c r="S22" s="1544" t="str">
        <f>IF(F22&lt;&gt;"",F22,"")</f>
        <v>SERVIÇOS E TAXAS DIVERSAS</v>
      </c>
      <c r="T22" s="1528"/>
      <c r="U22" s="1528"/>
      <c r="V22" s="1528"/>
      <c r="W22" s="1528"/>
      <c r="X22" s="1528"/>
      <c r="Y22" s="1528"/>
      <c r="Z22" s="1528"/>
      <c r="AA22" s="1542"/>
      <c r="AB22" s="616" t="s">
        <v>173</v>
      </c>
      <c r="AC22" s="617" t="s">
        <v>130</v>
      </c>
      <c r="AM22" s="1703"/>
      <c r="AN22" s="1713"/>
    </row>
    <row r="23" spans="1:40" ht="150" customHeight="1" x14ac:dyDescent="0.7">
      <c r="A23" s="584">
        <v>12</v>
      </c>
      <c r="B23" s="608" t="s">
        <v>181</v>
      </c>
      <c r="C23" s="609" t="s">
        <v>175</v>
      </c>
      <c r="D23" s="584" t="s">
        <v>182</v>
      </c>
      <c r="E23" s="584" t="s">
        <v>331</v>
      </c>
      <c r="F23" s="838" t="s">
        <v>396</v>
      </c>
      <c r="G23" s="736" t="s">
        <v>1354</v>
      </c>
      <c r="H23" s="702">
        <v>1</v>
      </c>
      <c r="I23" s="702">
        <v>0</v>
      </c>
      <c r="J23" s="738">
        <v>14180</v>
      </c>
      <c r="K23" s="621">
        <f t="shared" ref="K23:K30" si="8">IF(F23&lt;&gt;"",H23*I23*J23,"")</f>
        <v>0</v>
      </c>
      <c r="L23" s="621">
        <f t="shared" ref="L23:L30" si="9">IF(K23&lt;&gt;"",IF(D23="INTERNO",0,K23*$L$13),"")</f>
        <v>0</v>
      </c>
      <c r="M23" s="621">
        <f>IF(K23&lt;&gt;"",IF(E23="FAT.OGGI",SUM(K23:L23)*(1/(1-$M$14)-1),L23*(1/(1-$M$14)-1)),"")</f>
        <v>0</v>
      </c>
      <c r="N23" s="622">
        <f t="shared" ref="N23:N30" si="10">SUM(K23:M23)</f>
        <v>0</v>
      </c>
      <c r="O23" s="623"/>
      <c r="P23" s="623"/>
      <c r="Q23" s="623"/>
      <c r="S23" s="636">
        <f t="shared" ref="S23:T30" si="11">IF(H23&lt;&gt;"",H23,"")</f>
        <v>1</v>
      </c>
      <c r="T23" s="637">
        <f t="shared" si="11"/>
        <v>0</v>
      </c>
      <c r="U23" s="638">
        <v>14180</v>
      </c>
      <c r="V23" s="638">
        <f t="shared" ref="V23:V30" si="12">IF(S23&lt;&gt;"",S23*T23*U23,"")</f>
        <v>0</v>
      </c>
      <c r="W23" s="720">
        <f t="shared" ref="W23:W30" si="13">IF(S23&lt;&gt;"",K23-V23,"")</f>
        <v>0</v>
      </c>
      <c r="X23" s="721">
        <f t="shared" ref="X23:X30" si="14">IF(S23&lt;&gt;"",0%,"")</f>
        <v>0</v>
      </c>
      <c r="Y23" s="701">
        <f t="shared" ref="Y23:Y30" si="15">IF(S23&lt;&gt;"",X23*W23,"")</f>
        <v>0</v>
      </c>
      <c r="Z23" s="701">
        <f t="shared" ref="Z23:Z30" si="16">IF(S23&lt;&gt;"",Y23+V23,"")</f>
        <v>0</v>
      </c>
      <c r="AA23" s="639">
        <f t="shared" ref="AA23:AA32" si="17">IF(S23&lt;&gt;"",Z23+M23,"")</f>
        <v>0</v>
      </c>
      <c r="AB23" s="631">
        <f>IFERROR(IF(S23&lt;&gt;"",W23/K23,""),0)</f>
        <v>0</v>
      </c>
      <c r="AC23" s="632" t="e">
        <f t="shared" ref="AC23:AC30" si="18">V23/$V$31</f>
        <v>#DIV/0!</v>
      </c>
      <c r="AM23" s="1703">
        <f t="shared" si="7"/>
        <v>0</v>
      </c>
      <c r="AN23" s="1713"/>
    </row>
    <row r="24" spans="1:40" ht="150" customHeight="1" x14ac:dyDescent="0.7">
      <c r="A24" s="646">
        <v>13</v>
      </c>
      <c r="B24" s="608" t="s">
        <v>261</v>
      </c>
      <c r="C24" s="647" t="s">
        <v>175</v>
      </c>
      <c r="D24" s="584" t="s">
        <v>182</v>
      </c>
      <c r="E24" s="584" t="s">
        <v>331</v>
      </c>
      <c r="F24" s="839" t="s">
        <v>855</v>
      </c>
      <c r="G24" s="840" t="s">
        <v>1354</v>
      </c>
      <c r="H24" s="841">
        <v>1</v>
      </c>
      <c r="I24" s="841">
        <v>1</v>
      </c>
      <c r="J24" s="842">
        <v>9795</v>
      </c>
      <c r="K24" s="843">
        <f>IF(F24&lt;&gt;"",H24*I24*J24,"")</f>
        <v>9795</v>
      </c>
      <c r="L24" s="621">
        <f>IF(K24&lt;&gt;"",IF(D24="INTERNO",0,K24*$L$14),"")</f>
        <v>783.6</v>
      </c>
      <c r="M24" s="621">
        <f>IF(K24&lt;&gt;"",IF(E24="FAT.OGGI",SUM(K24:L24)*(1/(1-$M$14)-1),L24*(1/(1-$M$14)-1)),0)</f>
        <v>164.26500544332885</v>
      </c>
      <c r="N24" s="622">
        <f>SUM(K24:M24)</f>
        <v>10742.865005443329</v>
      </c>
      <c r="O24" s="623"/>
      <c r="P24" s="623"/>
      <c r="Q24" s="623"/>
      <c r="R24" s="844" t="s">
        <v>1131</v>
      </c>
      <c r="S24" s="739">
        <f t="shared" si="11"/>
        <v>1</v>
      </c>
      <c r="T24" s="739">
        <f t="shared" si="11"/>
        <v>1</v>
      </c>
      <c r="U24" s="650"/>
      <c r="V24" s="650">
        <f>IF(S24&lt;&gt;"",S24*T24*U24,"")</f>
        <v>0</v>
      </c>
      <c r="W24" s="651">
        <f t="shared" si="13"/>
        <v>9795</v>
      </c>
      <c r="X24" s="652">
        <f>IF(S24&lt;&gt;"",0%,"")</f>
        <v>0</v>
      </c>
      <c r="Y24" s="653">
        <f>IF(S24&lt;&gt;"",X24*W24,"")</f>
        <v>0</v>
      </c>
      <c r="Z24" s="653">
        <f>IF(S24&lt;&gt;"",Y24+V24,"")</f>
        <v>0</v>
      </c>
      <c r="AA24" s="629">
        <f t="shared" si="17"/>
        <v>164.26500544332885</v>
      </c>
      <c r="AB24" s="632">
        <f t="shared" ref="AB24:AB30" si="19">IF(S24&lt;&gt;"", IFERROR(W24/K24, 0), 0)</f>
        <v>1</v>
      </c>
      <c r="AC24" s="632"/>
      <c r="AM24" s="1703">
        <f t="shared" si="7"/>
        <v>0</v>
      </c>
      <c r="AN24" s="1713"/>
    </row>
    <row r="25" spans="1:40" ht="150" customHeight="1" x14ac:dyDescent="0.7">
      <c r="A25" s="633">
        <v>14</v>
      </c>
      <c r="B25" s="608" t="s">
        <v>262</v>
      </c>
      <c r="C25" s="634" t="s">
        <v>175</v>
      </c>
      <c r="D25" s="633" t="s">
        <v>182</v>
      </c>
      <c r="E25" s="633" t="s">
        <v>331</v>
      </c>
      <c r="F25" s="845" t="s">
        <v>679</v>
      </c>
      <c r="G25" s="846" t="s">
        <v>1355</v>
      </c>
      <c r="H25" s="847">
        <v>4</v>
      </c>
      <c r="I25" s="847">
        <v>1</v>
      </c>
      <c r="J25" s="848">
        <v>900</v>
      </c>
      <c r="K25" s="833">
        <f t="shared" si="8"/>
        <v>3600</v>
      </c>
      <c r="L25" s="833">
        <f t="shared" si="9"/>
        <v>180</v>
      </c>
      <c r="M25" s="833">
        <f t="shared" ref="M25:M30" si="20">IF(K25&lt;&gt;"",IF(E25="FAT.OGGI",SUM(K25:L25)*(1/(1-$M$14)-1),L25*(1/(1-$M$14)-1)),0)</f>
        <v>37.733155921132202</v>
      </c>
      <c r="N25" s="849">
        <f t="shared" si="10"/>
        <v>3817.733155921132</v>
      </c>
      <c r="O25" s="850"/>
      <c r="P25" s="850"/>
      <c r="Q25" s="850"/>
      <c r="R25" s="844" t="s">
        <v>1132</v>
      </c>
      <c r="S25" s="665">
        <f t="shared" si="11"/>
        <v>4</v>
      </c>
      <c r="T25" s="666">
        <f t="shared" si="11"/>
        <v>1</v>
      </c>
      <c r="U25" s="643">
        <v>900</v>
      </c>
      <c r="V25" s="643">
        <v>0</v>
      </c>
      <c r="W25" s="667">
        <f t="shared" si="13"/>
        <v>3600</v>
      </c>
      <c r="X25" s="668">
        <f t="shared" si="14"/>
        <v>0</v>
      </c>
      <c r="Y25" s="669">
        <f t="shared" si="15"/>
        <v>0</v>
      </c>
      <c r="Z25" s="669">
        <f t="shared" si="16"/>
        <v>0</v>
      </c>
      <c r="AA25" s="664">
        <f t="shared" si="17"/>
        <v>37.733155921132202</v>
      </c>
      <c r="AB25" s="631">
        <f t="shared" si="19"/>
        <v>1</v>
      </c>
      <c r="AC25" s="632" t="e">
        <f t="shared" si="18"/>
        <v>#DIV/0!</v>
      </c>
      <c r="AM25" s="1703">
        <f t="shared" si="7"/>
        <v>0</v>
      </c>
      <c r="AN25" s="1713"/>
    </row>
    <row r="26" spans="1:40" ht="150" customHeight="1" x14ac:dyDescent="0.7">
      <c r="A26" s="584">
        <v>15</v>
      </c>
      <c r="B26" s="608" t="s">
        <v>263</v>
      </c>
      <c r="C26" s="609" t="s">
        <v>175</v>
      </c>
      <c r="D26" s="584" t="s">
        <v>182</v>
      </c>
      <c r="E26" s="584" t="s">
        <v>331</v>
      </c>
      <c r="F26" s="768" t="s">
        <v>398</v>
      </c>
      <c r="G26" s="846" t="s">
        <v>399</v>
      </c>
      <c r="H26" s="847">
        <v>20</v>
      </c>
      <c r="I26" s="847">
        <v>0</v>
      </c>
      <c r="J26" s="851">
        <v>194</v>
      </c>
      <c r="K26" s="833">
        <f t="shared" si="8"/>
        <v>0</v>
      </c>
      <c r="L26" s="833">
        <f t="shared" si="9"/>
        <v>0</v>
      </c>
      <c r="M26" s="833">
        <f t="shared" si="20"/>
        <v>0</v>
      </c>
      <c r="N26" s="849">
        <f t="shared" si="10"/>
        <v>0</v>
      </c>
      <c r="O26" s="850"/>
      <c r="P26" s="850"/>
      <c r="Q26" s="850"/>
      <c r="R26" s="852"/>
      <c r="S26" s="853">
        <f t="shared" si="11"/>
        <v>20</v>
      </c>
      <c r="T26" s="854">
        <v>0</v>
      </c>
      <c r="U26" s="626">
        <v>192</v>
      </c>
      <c r="V26" s="626">
        <f t="shared" si="12"/>
        <v>0</v>
      </c>
      <c r="W26" s="627">
        <f t="shared" si="13"/>
        <v>0</v>
      </c>
      <c r="X26" s="628">
        <f t="shared" si="14"/>
        <v>0</v>
      </c>
      <c r="Y26" s="629">
        <f t="shared" si="15"/>
        <v>0</v>
      </c>
      <c r="Z26" s="629">
        <f t="shared" si="16"/>
        <v>0</v>
      </c>
      <c r="AA26" s="630">
        <f t="shared" si="17"/>
        <v>0</v>
      </c>
      <c r="AB26" s="631">
        <f t="shared" si="19"/>
        <v>0</v>
      </c>
      <c r="AC26" s="632" t="e">
        <f t="shared" si="18"/>
        <v>#DIV/0!</v>
      </c>
      <c r="AM26" s="1703">
        <f t="shared" si="7"/>
        <v>0</v>
      </c>
      <c r="AN26" s="1713"/>
    </row>
    <row r="27" spans="1:40" ht="150" customHeight="1" x14ac:dyDescent="0.7">
      <c r="A27" s="584">
        <v>16</v>
      </c>
      <c r="B27" s="608" t="s">
        <v>264</v>
      </c>
      <c r="C27" s="609" t="s">
        <v>175</v>
      </c>
      <c r="D27" s="584" t="s">
        <v>182</v>
      </c>
      <c r="E27" s="584" t="s">
        <v>331</v>
      </c>
      <c r="F27" s="768" t="s">
        <v>400</v>
      </c>
      <c r="G27" s="846" t="s">
        <v>399</v>
      </c>
      <c r="H27" s="847">
        <v>20</v>
      </c>
      <c r="I27" s="847">
        <v>0</v>
      </c>
      <c r="J27" s="851">
        <v>194</v>
      </c>
      <c r="K27" s="833">
        <f t="shared" si="8"/>
        <v>0</v>
      </c>
      <c r="L27" s="833">
        <f t="shared" si="9"/>
        <v>0</v>
      </c>
      <c r="M27" s="833">
        <f t="shared" si="20"/>
        <v>0</v>
      </c>
      <c r="N27" s="849">
        <f t="shared" si="10"/>
        <v>0</v>
      </c>
      <c r="O27" s="850"/>
      <c r="P27" s="850"/>
      <c r="Q27" s="850"/>
      <c r="S27" s="853">
        <f t="shared" si="11"/>
        <v>20</v>
      </c>
      <c r="T27" s="854">
        <v>0</v>
      </c>
      <c r="U27" s="626">
        <v>192</v>
      </c>
      <c r="V27" s="626">
        <f t="shared" si="12"/>
        <v>0</v>
      </c>
      <c r="W27" s="627">
        <f t="shared" si="13"/>
        <v>0</v>
      </c>
      <c r="X27" s="628">
        <f t="shared" si="14"/>
        <v>0</v>
      </c>
      <c r="Y27" s="629">
        <f t="shared" si="15"/>
        <v>0</v>
      </c>
      <c r="Z27" s="629">
        <f t="shared" si="16"/>
        <v>0</v>
      </c>
      <c r="AA27" s="630">
        <f t="shared" si="17"/>
        <v>0</v>
      </c>
      <c r="AB27" s="631">
        <f t="shared" si="19"/>
        <v>0</v>
      </c>
      <c r="AC27" s="632" t="e">
        <f t="shared" si="18"/>
        <v>#DIV/0!</v>
      </c>
      <c r="AM27" s="1703">
        <f t="shared" si="7"/>
        <v>0</v>
      </c>
      <c r="AN27" s="1713"/>
    </row>
    <row r="28" spans="1:40" ht="150" customHeight="1" x14ac:dyDescent="0.7">
      <c r="A28" s="584">
        <v>17</v>
      </c>
      <c r="B28" s="608" t="s">
        <v>265</v>
      </c>
      <c r="C28" s="609" t="s">
        <v>175</v>
      </c>
      <c r="D28" s="584" t="s">
        <v>182</v>
      </c>
      <c r="E28" s="584" t="s">
        <v>331</v>
      </c>
      <c r="F28" s="768" t="s">
        <v>401</v>
      </c>
      <c r="G28" s="846" t="s">
        <v>680</v>
      </c>
      <c r="H28" s="847">
        <v>20</v>
      </c>
      <c r="I28" s="847">
        <v>0</v>
      </c>
      <c r="J28" s="851">
        <v>365</v>
      </c>
      <c r="K28" s="833">
        <f t="shared" si="8"/>
        <v>0</v>
      </c>
      <c r="L28" s="833">
        <f t="shared" si="9"/>
        <v>0</v>
      </c>
      <c r="M28" s="833">
        <f t="shared" si="20"/>
        <v>0</v>
      </c>
      <c r="N28" s="849">
        <f t="shared" si="10"/>
        <v>0</v>
      </c>
      <c r="O28" s="850"/>
      <c r="P28" s="850"/>
      <c r="Q28" s="850"/>
      <c r="S28" s="853">
        <f t="shared" si="11"/>
        <v>20</v>
      </c>
      <c r="T28" s="854">
        <v>0</v>
      </c>
      <c r="U28" s="626">
        <v>365</v>
      </c>
      <c r="V28" s="626">
        <f t="shared" si="12"/>
        <v>0</v>
      </c>
      <c r="W28" s="627">
        <f t="shared" si="13"/>
        <v>0</v>
      </c>
      <c r="X28" s="628">
        <f t="shared" si="14"/>
        <v>0</v>
      </c>
      <c r="Y28" s="629">
        <f t="shared" si="15"/>
        <v>0</v>
      </c>
      <c r="Z28" s="629">
        <f t="shared" si="16"/>
        <v>0</v>
      </c>
      <c r="AA28" s="630">
        <f t="shared" si="17"/>
        <v>0</v>
      </c>
      <c r="AB28" s="631">
        <f t="shared" si="19"/>
        <v>0</v>
      </c>
      <c r="AC28" s="632" t="e">
        <f t="shared" si="18"/>
        <v>#DIV/0!</v>
      </c>
      <c r="AM28" s="1703">
        <f t="shared" si="7"/>
        <v>0</v>
      </c>
      <c r="AN28" s="1713"/>
    </row>
    <row r="29" spans="1:40" ht="150" customHeight="1" x14ac:dyDescent="0.7">
      <c r="A29" s="584">
        <v>18</v>
      </c>
      <c r="B29" s="608" t="s">
        <v>266</v>
      </c>
      <c r="C29" s="609" t="s">
        <v>175</v>
      </c>
      <c r="D29" s="584" t="s">
        <v>182</v>
      </c>
      <c r="E29" s="584" t="s">
        <v>331</v>
      </c>
      <c r="F29" s="768" t="s">
        <v>403</v>
      </c>
      <c r="G29" s="846" t="s">
        <v>681</v>
      </c>
      <c r="H29" s="847">
        <v>20</v>
      </c>
      <c r="I29" s="847">
        <v>0</v>
      </c>
      <c r="J29" s="851">
        <v>445</v>
      </c>
      <c r="K29" s="833">
        <f t="shared" si="8"/>
        <v>0</v>
      </c>
      <c r="L29" s="833">
        <f t="shared" si="9"/>
        <v>0</v>
      </c>
      <c r="M29" s="833">
        <f t="shared" si="20"/>
        <v>0</v>
      </c>
      <c r="N29" s="849">
        <f t="shared" si="10"/>
        <v>0</v>
      </c>
      <c r="O29" s="850"/>
      <c r="P29" s="850"/>
      <c r="Q29" s="850"/>
      <c r="S29" s="853">
        <f t="shared" si="11"/>
        <v>20</v>
      </c>
      <c r="T29" s="854">
        <v>0</v>
      </c>
      <c r="U29" s="626">
        <v>445</v>
      </c>
      <c r="V29" s="626">
        <f t="shared" si="12"/>
        <v>0</v>
      </c>
      <c r="W29" s="627">
        <f t="shared" si="13"/>
        <v>0</v>
      </c>
      <c r="X29" s="628">
        <f t="shared" si="14"/>
        <v>0</v>
      </c>
      <c r="Y29" s="629">
        <f t="shared" si="15"/>
        <v>0</v>
      </c>
      <c r="Z29" s="629">
        <f t="shared" si="16"/>
        <v>0</v>
      </c>
      <c r="AA29" s="630">
        <f t="shared" si="17"/>
        <v>0</v>
      </c>
      <c r="AB29" s="631">
        <f t="shared" si="19"/>
        <v>0</v>
      </c>
      <c r="AC29" s="632" t="e">
        <f t="shared" si="18"/>
        <v>#DIV/0!</v>
      </c>
      <c r="AM29" s="1703">
        <f t="shared" si="7"/>
        <v>0</v>
      </c>
      <c r="AN29" s="1713"/>
    </row>
    <row r="30" spans="1:40" ht="150" customHeight="1" x14ac:dyDescent="0.7">
      <c r="A30" s="584">
        <v>19</v>
      </c>
      <c r="B30" s="608" t="s">
        <v>267</v>
      </c>
      <c r="C30" s="609" t="s">
        <v>175</v>
      </c>
      <c r="D30" s="584" t="s">
        <v>182</v>
      </c>
      <c r="E30" s="584" t="s">
        <v>331</v>
      </c>
      <c r="F30" s="768" t="s">
        <v>405</v>
      </c>
      <c r="G30" s="846" t="s">
        <v>406</v>
      </c>
      <c r="H30" s="847">
        <v>20</v>
      </c>
      <c r="I30" s="847">
        <v>0</v>
      </c>
      <c r="J30" s="851">
        <v>38</v>
      </c>
      <c r="K30" s="833">
        <f t="shared" si="8"/>
        <v>0</v>
      </c>
      <c r="L30" s="833">
        <f t="shared" si="9"/>
        <v>0</v>
      </c>
      <c r="M30" s="833">
        <f t="shared" si="20"/>
        <v>0</v>
      </c>
      <c r="N30" s="849">
        <f t="shared" si="10"/>
        <v>0</v>
      </c>
      <c r="O30" s="850"/>
      <c r="P30" s="850"/>
      <c r="Q30" s="850"/>
      <c r="S30" s="853">
        <f t="shared" si="11"/>
        <v>20</v>
      </c>
      <c r="T30" s="854">
        <v>0</v>
      </c>
      <c r="U30" s="626">
        <v>38</v>
      </c>
      <c r="V30" s="626">
        <f t="shared" si="12"/>
        <v>0</v>
      </c>
      <c r="W30" s="627">
        <f t="shared" si="13"/>
        <v>0</v>
      </c>
      <c r="X30" s="628">
        <f t="shared" si="14"/>
        <v>0</v>
      </c>
      <c r="Y30" s="629">
        <f t="shared" si="15"/>
        <v>0</v>
      </c>
      <c r="Z30" s="629">
        <f t="shared" si="16"/>
        <v>0</v>
      </c>
      <c r="AA30" s="630">
        <f t="shared" si="17"/>
        <v>0</v>
      </c>
      <c r="AB30" s="631">
        <f t="shared" si="19"/>
        <v>0</v>
      </c>
      <c r="AC30" s="632" t="e">
        <f t="shared" si="18"/>
        <v>#DIV/0!</v>
      </c>
      <c r="AM30" s="1703">
        <f t="shared" si="7"/>
        <v>0</v>
      </c>
      <c r="AN30" s="1713"/>
    </row>
    <row r="31" spans="1:40" ht="50.1" customHeight="1" thickBot="1" x14ac:dyDescent="0.75">
      <c r="A31" s="584">
        <v>20</v>
      </c>
      <c r="B31" s="608"/>
      <c r="C31" s="609" t="s">
        <v>184</v>
      </c>
      <c r="D31" s="584"/>
      <c r="E31" s="584"/>
      <c r="F31" s="1553" t="s">
        <v>397</v>
      </c>
      <c r="G31" s="1554"/>
      <c r="H31" s="1554"/>
      <c r="I31" s="1554"/>
      <c r="J31" s="1554"/>
      <c r="K31" s="722">
        <f>SUM(K23:K30)</f>
        <v>13395</v>
      </c>
      <c r="L31" s="722">
        <f>SUM(L23:L30)</f>
        <v>963.6</v>
      </c>
      <c r="M31" s="722">
        <f>SUM(M23:M30)</f>
        <v>201.99816136446105</v>
      </c>
      <c r="N31" s="729">
        <f>SUM(N23:N30)</f>
        <v>14560.598161364462</v>
      </c>
      <c r="O31" s="723"/>
      <c r="P31" s="723"/>
      <c r="Q31" s="723"/>
      <c r="S31" s="1611">
        <f>SUM(S23:S30)</f>
        <v>106</v>
      </c>
      <c r="T31" s="1528"/>
      <c r="U31" s="1528"/>
      <c r="V31" s="801">
        <f>SUM(V23:V30)</f>
        <v>0</v>
      </c>
      <c r="W31" s="762">
        <f>SUM(W23:W30)</f>
        <v>13395</v>
      </c>
      <c r="X31" s="855">
        <f>SUM(X23:X30)</f>
        <v>0</v>
      </c>
      <c r="Y31" s="763"/>
      <c r="Z31" s="764">
        <f>SUM(Z23:Z30)</f>
        <v>0</v>
      </c>
      <c r="AA31" s="750">
        <f t="shared" si="17"/>
        <v>201.99816136446105</v>
      </c>
      <c r="AM31" s="1703"/>
      <c r="AN31" s="1713"/>
    </row>
    <row r="32" spans="1:40" ht="50.1" customHeight="1" thickBot="1" x14ac:dyDescent="0.75">
      <c r="A32" s="584">
        <v>21</v>
      </c>
      <c r="B32" s="608"/>
      <c r="C32" s="609" t="s">
        <v>183</v>
      </c>
      <c r="D32" s="584"/>
      <c r="E32" s="584"/>
      <c r="F32" s="1557" t="s">
        <v>408</v>
      </c>
      <c r="G32" s="1558"/>
      <c r="H32" s="1558"/>
      <c r="I32" s="1558"/>
      <c r="J32" s="1558"/>
      <c r="K32" s="856">
        <f>SUM(K23:K30)</f>
        <v>13395</v>
      </c>
      <c r="L32" s="856">
        <f>SUM(L23:L30)</f>
        <v>963.6</v>
      </c>
      <c r="M32" s="856">
        <f>SUM(M23:M30)</f>
        <v>201.99816136446105</v>
      </c>
      <c r="N32" s="857">
        <f>SUM(N23:N30)</f>
        <v>14560.598161364462</v>
      </c>
      <c r="O32" s="856"/>
      <c r="P32" s="856"/>
      <c r="Q32" s="856"/>
      <c r="S32" s="1586">
        <f>SUM(S23:S30)</f>
        <v>106</v>
      </c>
      <c r="T32" s="1533"/>
      <c r="U32" s="1533"/>
      <c r="V32" s="803">
        <f>SUM(V23:V30)</f>
        <v>0</v>
      </c>
      <c r="W32" s="712">
        <f>SUM(W23:W30)</f>
        <v>13395</v>
      </c>
      <c r="X32" s="837">
        <f>SUM(X23:X30)</f>
        <v>0</v>
      </c>
      <c r="Y32" s="713"/>
      <c r="Z32" s="714">
        <f>SUM(Z23:Z30)</f>
        <v>0</v>
      </c>
      <c r="AA32" s="715">
        <f t="shared" si="17"/>
        <v>201.99816136446105</v>
      </c>
      <c r="AM32" s="1703"/>
      <c r="AN32" s="1713"/>
    </row>
    <row r="33" spans="1:40" ht="50.1" customHeight="1" thickBot="1" x14ac:dyDescent="0.75">
      <c r="A33" s="584">
        <v>22</v>
      </c>
      <c r="B33" s="608">
        <v>3</v>
      </c>
      <c r="C33" s="609" t="s">
        <v>167</v>
      </c>
      <c r="D33" s="584"/>
      <c r="E33" s="584"/>
      <c r="F33" s="1534" t="s">
        <v>188</v>
      </c>
      <c r="G33" s="1535"/>
      <c r="H33" s="1535"/>
      <c r="I33" s="1535"/>
      <c r="J33" s="1535"/>
      <c r="K33" s="1535"/>
      <c r="L33" s="1535"/>
      <c r="M33" s="1535"/>
      <c r="N33" s="1610"/>
      <c r="O33" s="611"/>
      <c r="P33" s="611"/>
      <c r="Q33" s="611"/>
      <c r="S33" s="1395" t="str">
        <f>IF(F33&lt;&gt;"",F33,"")</f>
        <v>ARTÍSTICO</v>
      </c>
      <c r="T33" s="1396"/>
      <c r="U33" s="1396"/>
      <c r="V33" s="1396"/>
      <c r="W33" s="1396"/>
      <c r="X33" s="1396"/>
      <c r="Y33" s="1396"/>
      <c r="Z33" s="1396"/>
      <c r="AA33" s="1563"/>
      <c r="AM33" s="1703"/>
      <c r="AN33" s="1713"/>
    </row>
    <row r="34" spans="1:40" ht="50.1" customHeight="1" thickBot="1" x14ac:dyDescent="0.75">
      <c r="A34" s="584">
        <v>23</v>
      </c>
      <c r="B34" s="608" t="s">
        <v>192</v>
      </c>
      <c r="C34" s="609" t="s">
        <v>169</v>
      </c>
      <c r="D34" s="584"/>
      <c r="E34" s="584"/>
      <c r="F34" s="1547" t="s">
        <v>418</v>
      </c>
      <c r="G34" s="1548"/>
      <c r="H34" s="1548"/>
      <c r="I34" s="1548"/>
      <c r="J34" s="1548"/>
      <c r="K34" s="1548"/>
      <c r="L34" s="613" t="s">
        <v>171</v>
      </c>
      <c r="M34" s="613" t="s">
        <v>172</v>
      </c>
      <c r="N34" s="741" t="s">
        <v>129</v>
      </c>
      <c r="O34" s="615"/>
      <c r="P34" s="615"/>
      <c r="Q34" s="615"/>
      <c r="S34" s="1397" t="str">
        <f>IF(F34&lt;&gt;"",F34,"")</f>
        <v>MESTRE DE CERIMÔNIA</v>
      </c>
      <c r="T34" s="1398"/>
      <c r="U34" s="1398"/>
      <c r="V34" s="1398"/>
      <c r="W34" s="1398"/>
      <c r="X34" s="1398"/>
      <c r="Y34" s="1398"/>
      <c r="Z34" s="1398"/>
      <c r="AA34" s="1561"/>
      <c r="AB34" s="616" t="s">
        <v>173</v>
      </c>
      <c r="AC34" s="617" t="s">
        <v>130</v>
      </c>
      <c r="AM34" s="1703"/>
      <c r="AN34" s="1713"/>
    </row>
    <row r="35" spans="1:40" ht="150" customHeight="1" x14ac:dyDescent="0.7">
      <c r="A35" s="584">
        <v>24</v>
      </c>
      <c r="B35" s="608" t="s">
        <v>193</v>
      </c>
      <c r="C35" s="609" t="s">
        <v>175</v>
      </c>
      <c r="D35" s="584" t="s">
        <v>182</v>
      </c>
      <c r="E35" s="584" t="s">
        <v>179</v>
      </c>
      <c r="F35" s="858" t="s">
        <v>413</v>
      </c>
      <c r="G35" s="859" t="s">
        <v>1356</v>
      </c>
      <c r="H35" s="860">
        <v>1</v>
      </c>
      <c r="I35" s="860">
        <v>0</v>
      </c>
      <c r="J35" s="861">
        <v>42750</v>
      </c>
      <c r="K35" s="747">
        <f>IF(F35&lt;&gt;"",H35*I35*J35,"")</f>
        <v>0</v>
      </c>
      <c r="L35" s="747">
        <f>IF(K35&lt;&gt;"",IF(D35="INTERNO",0,K35*$L$14),"")</f>
        <v>0</v>
      </c>
      <c r="M35" s="747">
        <f>IF(K35&lt;&gt;"",IF(E35="FAT.OGGI",SUM(K35:L35)*(1/(1-$M$14)-1),L35*(1/(1-$M$14)-1)),0)</f>
        <v>0</v>
      </c>
      <c r="N35" s="862">
        <f>SUM(K35:M35)</f>
        <v>0</v>
      </c>
      <c r="O35" s="623"/>
      <c r="P35" s="623"/>
      <c r="Q35" s="623"/>
      <c r="S35" s="853">
        <f t="shared" ref="S35:T37" si="21">IF(H35&lt;&gt;"",H35,"")</f>
        <v>1</v>
      </c>
      <c r="T35" s="854">
        <v>0</v>
      </c>
      <c r="U35" s="863">
        <v>42750</v>
      </c>
      <c r="V35" s="863">
        <f>IF(S35&lt;&gt;"",S35*T35*U35,"")</f>
        <v>0</v>
      </c>
      <c r="W35" s="864">
        <f>IF(S35&lt;&gt;"",K35-V35,"")</f>
        <v>0</v>
      </c>
      <c r="X35" s="865">
        <f>IF(S35&lt;&gt;"",0%,"")</f>
        <v>0</v>
      </c>
      <c r="Y35" s="866">
        <f>IF(S35&lt;&gt;"",X35*W35,"")</f>
        <v>0</v>
      </c>
      <c r="Z35" s="866">
        <f>IF(S35&lt;&gt;"",Y35+V35,"")</f>
        <v>0</v>
      </c>
      <c r="AA35" s="867">
        <f>IF(S35&lt;&gt;"",Z35+M35,"")</f>
        <v>0</v>
      </c>
      <c r="AB35" s="640">
        <f>IF(S35&lt;&gt;"", IFERROR(W35/K35, 0), 0)</f>
        <v>0</v>
      </c>
      <c r="AC35" s="632" t="e">
        <f>V35/$V$38</f>
        <v>#DIV/0!</v>
      </c>
      <c r="AM35" s="1703">
        <f t="shared" si="7"/>
        <v>0</v>
      </c>
      <c r="AN35" s="1713"/>
    </row>
    <row r="36" spans="1:40" ht="150" customHeight="1" x14ac:dyDescent="0.7">
      <c r="A36" s="646">
        <v>25</v>
      </c>
      <c r="B36" s="608" t="s">
        <v>194</v>
      </c>
      <c r="C36" s="647" t="s">
        <v>175</v>
      </c>
      <c r="D36" s="584" t="s">
        <v>182</v>
      </c>
      <c r="E36" s="584" t="s">
        <v>179</v>
      </c>
      <c r="F36" s="838" t="s">
        <v>858</v>
      </c>
      <c r="G36" s="868" t="s">
        <v>859</v>
      </c>
      <c r="H36" s="869">
        <v>1</v>
      </c>
      <c r="I36" s="869">
        <v>1</v>
      </c>
      <c r="J36" s="870">
        <v>12000</v>
      </c>
      <c r="K36" s="870">
        <f>IF(F36&lt;&gt;"",H36*I36*J36,"")</f>
        <v>12000</v>
      </c>
      <c r="L36" s="870">
        <f>IF(K36&lt;&gt;"",IF(D36="INTERNO",0,K36*$L$14),"")</f>
        <v>960</v>
      </c>
      <c r="M36" s="870">
        <f>IF(K36&lt;&gt;"",IF(E36="FAT.OGGI",SUM(K36:L36)*(1/(1-$M$14)-1),L36*(1/(1-$M$14)-1)),0)</f>
        <v>2716.7872263215186</v>
      </c>
      <c r="N36" s="871">
        <f>SUM(K36:M36)</f>
        <v>15676.787226321518</v>
      </c>
      <c r="O36" s="623"/>
      <c r="P36" s="872" t="s">
        <v>978</v>
      </c>
      <c r="Q36" s="623"/>
      <c r="R36" s="844" t="s">
        <v>1131</v>
      </c>
      <c r="S36" s="873">
        <f t="shared" si="21"/>
        <v>1</v>
      </c>
      <c r="T36" s="874">
        <f t="shared" si="21"/>
        <v>1</v>
      </c>
      <c r="U36" s="875">
        <v>7200</v>
      </c>
      <c r="V36" s="863">
        <v>0</v>
      </c>
      <c r="W36" s="876">
        <f>IF(S36&lt;&gt;"",K36-V36,"")</f>
        <v>12000</v>
      </c>
      <c r="X36" s="877">
        <f>IF(S36&lt;&gt;"",0%,"")</f>
        <v>0</v>
      </c>
      <c r="Y36" s="878">
        <f>IF(S36&lt;&gt;"",X36*W36,"")</f>
        <v>0</v>
      </c>
      <c r="Z36" s="878">
        <f>IF(S36&lt;&gt;"",Y36+V36,"")</f>
        <v>0</v>
      </c>
      <c r="AA36" s="879">
        <f>IF(S36&lt;&gt;"",Z36+M36,"")</f>
        <v>2716.7872263215186</v>
      </c>
      <c r="AB36" s="631">
        <f>IF(S36&lt;&gt;"", IFERROR(W36/K36, 0), 0)</f>
        <v>1</v>
      </c>
      <c r="AC36" s="632" t="e">
        <f>V36/$V$38</f>
        <v>#DIV/0!</v>
      </c>
      <c r="AM36" s="1703">
        <f t="shared" si="7"/>
        <v>0</v>
      </c>
      <c r="AN36" s="1713"/>
    </row>
    <row r="37" spans="1:40" ht="150" customHeight="1" x14ac:dyDescent="0.7">
      <c r="A37" s="654">
        <v>26</v>
      </c>
      <c r="B37" s="608" t="s">
        <v>298</v>
      </c>
      <c r="C37" s="655" t="s">
        <v>175</v>
      </c>
      <c r="D37" s="633" t="s">
        <v>182</v>
      </c>
      <c r="E37" s="633" t="s">
        <v>179</v>
      </c>
      <c r="F37" s="838" t="s">
        <v>840</v>
      </c>
      <c r="G37" s="868" t="s">
        <v>1357</v>
      </c>
      <c r="H37" s="880">
        <v>1</v>
      </c>
      <c r="I37" s="880">
        <v>1</v>
      </c>
      <c r="J37" s="881">
        <v>10000</v>
      </c>
      <c r="K37" s="621">
        <f>IF(F37&lt;&gt;"",H37*I37*J37,"")</f>
        <v>10000</v>
      </c>
      <c r="L37" s="621">
        <f>IF(K37&lt;&gt;"",IF(D37="INTERNO",0,K37*$L$14),"")</f>
        <v>800</v>
      </c>
      <c r="M37" s="621">
        <f>IF(K37&lt;&gt;"",IF(E37="FAT.OGGI",SUM(K37:L37)*(1/(1-$M$14)-1),L37*(1/(1-$M$14)-1)),0)</f>
        <v>2263.9893552679318</v>
      </c>
      <c r="N37" s="622">
        <f>SUM(K37:M37)</f>
        <v>13063.989355267931</v>
      </c>
      <c r="O37" s="623"/>
      <c r="P37" s="623" t="s">
        <v>979</v>
      </c>
      <c r="Q37" s="623" t="s">
        <v>980</v>
      </c>
      <c r="R37" s="844" t="s">
        <v>1131</v>
      </c>
      <c r="S37" s="853">
        <f t="shared" si="21"/>
        <v>1</v>
      </c>
      <c r="T37" s="854">
        <f t="shared" si="21"/>
        <v>1</v>
      </c>
      <c r="U37" s="863">
        <v>8000</v>
      </c>
      <c r="V37" s="863">
        <v>0</v>
      </c>
      <c r="W37" s="864">
        <f>IF(S37&lt;&gt;"",K37-V37,"")</f>
        <v>10000</v>
      </c>
      <c r="X37" s="865">
        <f>IF(S37&lt;&gt;"",0%,"")</f>
        <v>0</v>
      </c>
      <c r="Y37" s="866">
        <f>IF(S37&lt;&gt;"",X37*W37,"")</f>
        <v>0</v>
      </c>
      <c r="Z37" s="866">
        <f>IF(S37&lt;&gt;"",Y37+V37,"")</f>
        <v>0</v>
      </c>
      <c r="AA37" s="867">
        <f>IF(S37&lt;&gt;"",Z37+M37,"")</f>
        <v>2263.9893552679318</v>
      </c>
      <c r="AB37" s="645">
        <f>IF(S37&lt;&gt;"", IFERROR(W37/K37, 0), 0)</f>
        <v>1</v>
      </c>
      <c r="AC37" s="632" t="e">
        <f>V37/$V$38</f>
        <v>#DIV/0!</v>
      </c>
      <c r="AM37" s="1703">
        <f t="shared" si="7"/>
        <v>0</v>
      </c>
      <c r="AN37" s="1713"/>
    </row>
    <row r="38" spans="1:40" ht="50.1" customHeight="1" thickBot="1" x14ac:dyDescent="0.75">
      <c r="A38" s="633">
        <v>27</v>
      </c>
      <c r="B38" s="608"/>
      <c r="C38" s="634" t="s">
        <v>184</v>
      </c>
      <c r="D38" s="633"/>
      <c r="E38" s="633"/>
      <c r="F38" s="1553" t="s">
        <v>419</v>
      </c>
      <c r="G38" s="1554"/>
      <c r="H38" s="1554"/>
      <c r="I38" s="1554"/>
      <c r="J38" s="1554"/>
      <c r="K38" s="722">
        <f>SUM(K35:K37)</f>
        <v>22000</v>
      </c>
      <c r="L38" s="722">
        <f>SUM(L35:L37)</f>
        <v>1760</v>
      </c>
      <c r="M38" s="722">
        <f>SUM(M35:M37)</f>
        <v>4980.7765815894509</v>
      </c>
      <c r="N38" s="729">
        <f>SUM(N35:N37)</f>
        <v>28740.776581589449</v>
      </c>
      <c r="O38" s="723"/>
      <c r="P38" s="723"/>
      <c r="Q38" s="723"/>
      <c r="S38" s="1611">
        <f>SUM(S35:S37)</f>
        <v>3</v>
      </c>
      <c r="T38" s="1528"/>
      <c r="U38" s="1528"/>
      <c r="V38" s="801">
        <f>SUM(V35:V35)</f>
        <v>0</v>
      </c>
      <c r="W38" s="762">
        <f>SUM(W35:W35)</f>
        <v>0</v>
      </c>
      <c r="X38" s="882">
        <f>SUM(X35:X37)</f>
        <v>0</v>
      </c>
      <c r="Y38" s="763"/>
      <c r="Z38" s="764">
        <f>SUM(Z35:Z35)</f>
        <v>0</v>
      </c>
      <c r="AA38" s="750">
        <f>IF(S38&lt;&gt;"",Z38+M38,"")</f>
        <v>4980.7765815894509</v>
      </c>
      <c r="AC38" s="883"/>
      <c r="AM38" s="1703"/>
      <c r="AN38" s="1713"/>
    </row>
    <row r="39" spans="1:40" ht="50.1" customHeight="1" thickBot="1" x14ac:dyDescent="0.75">
      <c r="A39" s="584">
        <v>28</v>
      </c>
      <c r="B39" s="608"/>
      <c r="C39" s="609" t="s">
        <v>183</v>
      </c>
      <c r="D39" s="584"/>
      <c r="E39" s="584"/>
      <c r="F39" s="1557" t="s">
        <v>190</v>
      </c>
      <c r="G39" s="1558"/>
      <c r="H39" s="1558"/>
      <c r="I39" s="1558"/>
      <c r="J39" s="1558"/>
      <c r="K39" s="711">
        <f>SUM(K35:K37)</f>
        <v>22000</v>
      </c>
      <c r="L39" s="711">
        <f>SUM(L35:L37)</f>
        <v>1760</v>
      </c>
      <c r="M39" s="711">
        <f>SUM(M35:M37)</f>
        <v>4980.7765815894509</v>
      </c>
      <c r="N39" s="711">
        <f>SUM(N35:N37)</f>
        <v>28740.776581589449</v>
      </c>
      <c r="O39" s="711"/>
      <c r="P39" s="711"/>
      <c r="Q39" s="711"/>
      <c r="S39" s="1593">
        <f>SUM(S35:S37)</f>
        <v>3</v>
      </c>
      <c r="T39" s="1594"/>
      <c r="U39" s="1594"/>
      <c r="V39" s="884">
        <f>SUM(V35:V35)</f>
        <v>0</v>
      </c>
      <c r="W39" s="724">
        <f>SUM(W35:W35)</f>
        <v>0</v>
      </c>
      <c r="X39" s="885">
        <f>SUM(X35:X37)</f>
        <v>0</v>
      </c>
      <c r="Y39" s="725"/>
      <c r="Z39" s="726">
        <f>SUM(Z35:Z35)</f>
        <v>0</v>
      </c>
      <c r="AA39" s="727">
        <f>IF(S39&lt;&gt;"",Z39+M39,"")</f>
        <v>4980.7765815894509</v>
      </c>
      <c r="AC39" s="883"/>
      <c r="AM39" s="1703"/>
      <c r="AN39" s="1713"/>
    </row>
    <row r="40" spans="1:40" ht="50.1" customHeight="1" x14ac:dyDescent="0.7">
      <c r="A40" s="584">
        <v>29</v>
      </c>
      <c r="B40" s="608">
        <v>4</v>
      </c>
      <c r="C40" s="609" t="s">
        <v>167</v>
      </c>
      <c r="D40" s="584"/>
      <c r="E40" s="584"/>
      <c r="F40" s="1534" t="s">
        <v>422</v>
      </c>
      <c r="G40" s="1535"/>
      <c r="H40" s="1535"/>
      <c r="I40" s="1535"/>
      <c r="J40" s="1535"/>
      <c r="K40" s="1535"/>
      <c r="L40" s="1535"/>
      <c r="M40" s="1535"/>
      <c r="N40" s="1595"/>
      <c r="O40" s="611"/>
      <c r="P40" s="611"/>
      <c r="Q40" s="611"/>
      <c r="S40" s="1587" t="str">
        <f>IF(F40&lt;&gt;"",F40,"")</f>
        <v>TÉCNICA</v>
      </c>
      <c r="T40" s="1588"/>
      <c r="U40" s="1588"/>
      <c r="V40" s="1588"/>
      <c r="W40" s="1588"/>
      <c r="X40" s="1588"/>
      <c r="Y40" s="1588"/>
      <c r="Z40" s="1588"/>
      <c r="AA40" s="1589"/>
      <c r="AC40" s="883"/>
      <c r="AM40" s="1703"/>
      <c r="AN40" s="1713"/>
    </row>
    <row r="41" spans="1:40" ht="150" customHeight="1" x14ac:dyDescent="0.7">
      <c r="A41" s="584">
        <v>30</v>
      </c>
      <c r="B41" s="608" t="s">
        <v>682</v>
      </c>
      <c r="C41" s="609" t="s">
        <v>175</v>
      </c>
      <c r="D41" s="584" t="s">
        <v>182</v>
      </c>
      <c r="E41" s="584" t="s">
        <v>331</v>
      </c>
      <c r="F41" s="838" t="s">
        <v>619</v>
      </c>
      <c r="G41" s="886" t="s">
        <v>1358</v>
      </c>
      <c r="H41" s="830">
        <v>0</v>
      </c>
      <c r="I41" s="830">
        <v>9</v>
      </c>
      <c r="J41" s="881">
        <v>1100</v>
      </c>
      <c r="K41" s="620">
        <f>IF(F41&lt;&gt;"",H41*I41*J41,"")</f>
        <v>0</v>
      </c>
      <c r="L41" s="620">
        <f>IF(K41&lt;&gt;"",IF(D41="INTERNO",0,K41*$L$14),"")</f>
        <v>0</v>
      </c>
      <c r="M41" s="620">
        <f>IF(K41&lt;&gt;"",IF(E41="FAT.OGGI",SUM(K41:L41)*(1/(1-$M$14)-1),L41*(1/(1-$M$14)-1)),0)</f>
        <v>0</v>
      </c>
      <c r="N41" s="887">
        <f>SUM(K41:M41)</f>
        <v>0</v>
      </c>
      <c r="O41" s="888"/>
      <c r="P41" s="888" t="s">
        <v>956</v>
      </c>
      <c r="Q41" s="888" t="s">
        <v>981</v>
      </c>
      <c r="S41" s="854">
        <f>IF(H41&lt;&gt;"",H41,"")</f>
        <v>0</v>
      </c>
      <c r="T41" s="854">
        <v>0</v>
      </c>
      <c r="U41" s="626">
        <v>5500</v>
      </c>
      <c r="V41" s="626">
        <f>IF(S41&lt;&gt;"",S41*T41*U41,"")</f>
        <v>0</v>
      </c>
      <c r="W41" s="889">
        <f>IF(S41&lt;&gt;"",K41-V41,"")</f>
        <v>0</v>
      </c>
      <c r="X41" s="890">
        <f>IF(S41&lt;&gt;"",0%,"")</f>
        <v>0</v>
      </c>
      <c r="Y41" s="891">
        <f>IF(S41&lt;&gt;"",X41*W41,"")</f>
        <v>0</v>
      </c>
      <c r="Z41" s="891">
        <f>IF(S41&lt;&gt;"",Y41+V41,"")</f>
        <v>0</v>
      </c>
      <c r="AA41" s="891">
        <f>IF(S41&lt;&gt;"",Z41+M41,"")</f>
        <v>0</v>
      </c>
      <c r="AB41" s="631">
        <f>IF(S41&lt;&gt;"", IFERROR(W41/K41, 0), 0)</f>
        <v>0</v>
      </c>
      <c r="AC41" s="632" t="e">
        <f>V41/$V$43</f>
        <v>#DIV/0!</v>
      </c>
      <c r="AM41" s="1703">
        <f t="shared" si="7"/>
        <v>0</v>
      </c>
      <c r="AN41" s="1713"/>
    </row>
    <row r="42" spans="1:40" ht="150" customHeight="1" x14ac:dyDescent="0.7">
      <c r="A42" s="633">
        <v>31</v>
      </c>
      <c r="B42" s="608" t="s">
        <v>683</v>
      </c>
      <c r="C42" s="634" t="s">
        <v>175</v>
      </c>
      <c r="D42" s="633" t="s">
        <v>182</v>
      </c>
      <c r="E42" s="633" t="s">
        <v>331</v>
      </c>
      <c r="F42" s="839" t="s">
        <v>620</v>
      </c>
      <c r="G42" s="892" t="s">
        <v>1359</v>
      </c>
      <c r="H42" s="893">
        <v>0</v>
      </c>
      <c r="I42" s="893">
        <v>9</v>
      </c>
      <c r="J42" s="842">
        <v>11000</v>
      </c>
      <c r="K42" s="843">
        <f>IF(F42&lt;&gt;"",H42*I42*J42,"")</f>
        <v>0</v>
      </c>
      <c r="L42" s="843">
        <f>IF(K42&lt;&gt;"",IF(D42="INTERNO",0,K42*$L$14),"")</f>
        <v>0</v>
      </c>
      <c r="M42" s="620">
        <f>IF(K42&lt;&gt;"",IF(E42="FAT.OGGI",SUM(K42:L42)*(1/(1-$M$14)-1),L42*(1/(1-$M$14)-1)),0)</f>
        <v>0</v>
      </c>
      <c r="N42" s="894">
        <f>SUM(K42:M42)</f>
        <v>0</v>
      </c>
      <c r="O42" s="705"/>
      <c r="P42" s="705"/>
      <c r="Q42" s="705"/>
      <c r="S42" s="854">
        <f>IF(H42&lt;&gt;"",H42,"")</f>
        <v>0</v>
      </c>
      <c r="T42" s="854">
        <v>0</v>
      </c>
      <c r="U42" s="626">
        <v>15000</v>
      </c>
      <c r="V42" s="626">
        <f>IF(S42&lt;&gt;"",S42*T42*U42,"")</f>
        <v>0</v>
      </c>
      <c r="W42" s="889">
        <f>IF(S42&lt;&gt;"",K42-V42,"")</f>
        <v>0</v>
      </c>
      <c r="X42" s="890">
        <f>IF(S42&lt;&gt;"",0%,"")</f>
        <v>0</v>
      </c>
      <c r="Y42" s="891">
        <f>IF(S42&lt;&gt;"",X42*W42,"")</f>
        <v>0</v>
      </c>
      <c r="Z42" s="891">
        <f>IF(S42&lt;&gt;"",Y42+V42,"")</f>
        <v>0</v>
      </c>
      <c r="AA42" s="891">
        <f>IF(S42&lt;&gt;"",Z42+M42,"")</f>
        <v>0</v>
      </c>
      <c r="AB42" s="631">
        <f>IF(S42&lt;&gt;"", IFERROR(W42/K42, 0), 0)</f>
        <v>0</v>
      </c>
      <c r="AC42" s="632" t="e">
        <f>V42/$V$43</f>
        <v>#DIV/0!</v>
      </c>
      <c r="AM42" s="1703">
        <f t="shared" si="7"/>
        <v>0</v>
      </c>
      <c r="AN42" s="1713"/>
    </row>
    <row r="43" spans="1:40" ht="50.1" customHeight="1" thickBot="1" x14ac:dyDescent="0.75">
      <c r="A43" s="584">
        <v>32</v>
      </c>
      <c r="B43" s="608"/>
      <c r="C43" s="609" t="s">
        <v>184</v>
      </c>
      <c r="D43" s="584"/>
      <c r="E43" s="584"/>
      <c r="F43" s="1526" t="s">
        <v>419</v>
      </c>
      <c r="G43" s="1527"/>
      <c r="H43" s="1527"/>
      <c r="I43" s="1527"/>
      <c r="J43" s="1527"/>
      <c r="K43" s="895">
        <f>SUM(K41:K42)</f>
        <v>0</v>
      </c>
      <c r="L43" s="895">
        <f>SUM(L41:L42)</f>
        <v>0</v>
      </c>
      <c r="M43" s="895">
        <f>SUM(M41:M42)</f>
        <v>0</v>
      </c>
      <c r="N43" s="896">
        <f>SUM(N41:N42)</f>
        <v>0</v>
      </c>
      <c r="O43" s="897"/>
      <c r="P43" s="897"/>
      <c r="Q43" s="897"/>
      <c r="S43" s="1590">
        <f>SUM(S41:S42)</f>
        <v>0</v>
      </c>
      <c r="T43" s="1591"/>
      <c r="U43" s="1591"/>
      <c r="V43" s="898">
        <f>SUM(V41:V42)</f>
        <v>0</v>
      </c>
      <c r="W43" s="899">
        <f>SUM(W41:W42)</f>
        <v>0</v>
      </c>
      <c r="X43" s="900">
        <f>SUM(X41:X42)</f>
        <v>0</v>
      </c>
      <c r="Y43" s="901"/>
      <c r="Z43" s="902">
        <f>SUM(Z41:Z42)</f>
        <v>0</v>
      </c>
      <c r="AA43" s="903">
        <f>IF(S43&lt;&gt;"",Z43+M43,"")</f>
        <v>0</v>
      </c>
      <c r="AC43" s="632"/>
      <c r="AM43" s="1703"/>
      <c r="AN43" s="1713"/>
    </row>
    <row r="44" spans="1:40" ht="50.1" customHeight="1" thickBot="1" x14ac:dyDescent="0.75">
      <c r="A44" s="584">
        <v>33</v>
      </c>
      <c r="B44" s="608"/>
      <c r="C44" s="609" t="s">
        <v>183</v>
      </c>
      <c r="D44" s="584"/>
      <c r="E44" s="584"/>
      <c r="F44" s="1529" t="s">
        <v>440</v>
      </c>
      <c r="G44" s="1530"/>
      <c r="H44" s="1530"/>
      <c r="I44" s="1530"/>
      <c r="J44" s="1530"/>
      <c r="K44" s="711">
        <f>SUM(K41:K42)</f>
        <v>0</v>
      </c>
      <c r="L44" s="711">
        <f>SUM(L41:L42)</f>
        <v>0</v>
      </c>
      <c r="M44" s="711">
        <f>SUM(M41:M42)</f>
        <v>0</v>
      </c>
      <c r="N44" s="802">
        <f>SUM(N41:N42)</f>
        <v>0</v>
      </c>
      <c r="O44" s="711"/>
      <c r="P44" s="711"/>
      <c r="Q44" s="711"/>
      <c r="S44" s="1596">
        <f>SUM(S41:S42)</f>
        <v>0</v>
      </c>
      <c r="T44" s="1597"/>
      <c r="U44" s="1597"/>
      <c r="V44" s="904">
        <f>SUM(V41:V42)</f>
        <v>0</v>
      </c>
      <c r="W44" s="905">
        <f>SUM(W41:W42)</f>
        <v>0</v>
      </c>
      <c r="X44" s="906">
        <f>SUM(X41:X42)</f>
        <v>0</v>
      </c>
      <c r="Y44" s="907"/>
      <c r="Z44" s="908">
        <f>SUM(Z41:Z42)</f>
        <v>0</v>
      </c>
      <c r="AA44" s="909">
        <f>IF(S44&lt;&gt;"",Z44+M44,"")</f>
        <v>0</v>
      </c>
      <c r="AC44" s="632"/>
      <c r="AM44" s="1703"/>
      <c r="AN44" s="1713"/>
    </row>
    <row r="45" spans="1:40" ht="50.1" customHeight="1" thickBot="1" x14ac:dyDescent="0.75">
      <c r="A45" s="584">
        <v>34</v>
      </c>
      <c r="B45" s="608">
        <v>5</v>
      </c>
      <c r="C45" s="609" t="s">
        <v>167</v>
      </c>
      <c r="D45" s="584"/>
      <c r="E45" s="584"/>
      <c r="F45" s="1534" t="s">
        <v>458</v>
      </c>
      <c r="G45" s="1535"/>
      <c r="H45" s="1535"/>
      <c r="I45" s="1535"/>
      <c r="J45" s="1535"/>
      <c r="K45" s="1535"/>
      <c r="L45" s="1535"/>
      <c r="M45" s="1535"/>
      <c r="N45" s="1595"/>
      <c r="O45" s="611"/>
      <c r="P45" s="611"/>
      <c r="Q45" s="611"/>
      <c r="S45" s="1543" t="str">
        <f>IF(F45&lt;&gt;"",F45,"")</f>
        <v xml:space="preserve">CENOGRAFIA </v>
      </c>
      <c r="T45" s="1537"/>
      <c r="U45" s="1537"/>
      <c r="V45" s="1537"/>
      <c r="W45" s="1537"/>
      <c r="X45" s="1537"/>
      <c r="Y45" s="1537"/>
      <c r="Z45" s="1537"/>
      <c r="AA45" s="1538"/>
      <c r="AC45" s="632"/>
      <c r="AM45" s="1703"/>
      <c r="AN45" s="1713"/>
    </row>
    <row r="46" spans="1:40" ht="50.1" customHeight="1" x14ac:dyDescent="0.7">
      <c r="A46" s="584">
        <v>35</v>
      </c>
      <c r="B46" s="608" t="s">
        <v>217</v>
      </c>
      <c r="C46" s="609" t="s">
        <v>169</v>
      </c>
      <c r="D46" s="584"/>
      <c r="E46" s="584"/>
      <c r="F46" s="1547" t="s">
        <v>452</v>
      </c>
      <c r="G46" s="1548"/>
      <c r="H46" s="1548"/>
      <c r="I46" s="1548"/>
      <c r="J46" s="1548"/>
      <c r="K46" s="1548"/>
      <c r="L46" s="910" t="s">
        <v>171</v>
      </c>
      <c r="M46" s="910" t="s">
        <v>172</v>
      </c>
      <c r="N46" s="911" t="s">
        <v>129</v>
      </c>
      <c r="O46" s="912"/>
      <c r="P46" s="912"/>
      <c r="Q46" s="912"/>
      <c r="S46" s="1602" t="str">
        <f>IF(F46&lt;&gt;"",F46,"")</f>
        <v>CENOGRAFIA</v>
      </c>
      <c r="T46" s="1603"/>
      <c r="U46" s="1603"/>
      <c r="V46" s="1603"/>
      <c r="W46" s="1603"/>
      <c r="X46" s="1603"/>
      <c r="Y46" s="1603"/>
      <c r="Z46" s="1603"/>
      <c r="AA46" s="1604"/>
      <c r="AB46" s="616" t="s">
        <v>173</v>
      </c>
      <c r="AC46" s="913" t="s">
        <v>130</v>
      </c>
      <c r="AM46" s="1703"/>
      <c r="AN46" s="1713"/>
    </row>
    <row r="47" spans="1:40" ht="150" customHeight="1" x14ac:dyDescent="0.7">
      <c r="A47" s="584">
        <v>37</v>
      </c>
      <c r="B47" s="608" t="s">
        <v>219</v>
      </c>
      <c r="C47" s="609" t="s">
        <v>175</v>
      </c>
      <c r="D47" s="633" t="s">
        <v>182</v>
      </c>
      <c r="E47" s="633" t="s">
        <v>331</v>
      </c>
      <c r="F47" s="736" t="s">
        <v>838</v>
      </c>
      <c r="G47" s="886" t="s">
        <v>1360</v>
      </c>
      <c r="H47" s="706">
        <v>1</v>
      </c>
      <c r="I47" s="706">
        <v>1</v>
      </c>
      <c r="J47" s="620">
        <v>9500</v>
      </c>
      <c r="K47" s="620">
        <f>IF(F47&lt;&gt;"",H47*I47*J47,"")</f>
        <v>9500</v>
      </c>
      <c r="L47" s="620">
        <f>IF(K47&lt;&gt;"",IF(D47="INTERNO",0,K47*$L$14),"")</f>
        <v>760</v>
      </c>
      <c r="M47" s="620">
        <f>IF(K47&lt;&gt;"",IF(E47="FAT.OGGI",SUM(K47:L47)*(1/(1-$M$14)-1),L47*(1/(1-$M$14)-1)),0)</f>
        <v>159.3177694447804</v>
      </c>
      <c r="N47" s="620">
        <f>SUM(K47:M47)</f>
        <v>10419.31776944478</v>
      </c>
      <c r="O47" s="705"/>
      <c r="P47" s="914" t="s">
        <v>623</v>
      </c>
      <c r="Q47" s="915" t="s">
        <v>982</v>
      </c>
      <c r="R47" s="844" t="s">
        <v>1131</v>
      </c>
      <c r="S47" s="916">
        <f t="shared" ref="S47:T48" si="22">IF(H47&lt;&gt;"",H47,"")</f>
        <v>1</v>
      </c>
      <c r="T47" s="916">
        <f t="shared" si="22"/>
        <v>1</v>
      </c>
      <c r="U47" s="697">
        <v>251</v>
      </c>
      <c r="V47" s="697">
        <v>0</v>
      </c>
      <c r="W47" s="917">
        <f>IF(S47&lt;&gt;"",K47-V47,"")</f>
        <v>9500</v>
      </c>
      <c r="X47" s="918">
        <f>IF(S47&lt;&gt;"",0%,"")</f>
        <v>0</v>
      </c>
      <c r="Y47" s="919">
        <f>IF(S47&lt;&gt;"",X47*W47,"")</f>
        <v>0</v>
      </c>
      <c r="Z47" s="919">
        <f>IF(S47&lt;&gt;"",Y47+V47,"")</f>
        <v>0</v>
      </c>
      <c r="AA47" s="782">
        <f t="shared" ref="AA47:AA50" si="23">IF(S47&lt;&gt;"",Z47+M47,"")</f>
        <v>159.3177694447804</v>
      </c>
      <c r="AB47" s="632">
        <f>IF(S47&lt;&gt;"", IFERROR(W47/K47, 0), 0)</f>
        <v>1</v>
      </c>
      <c r="AC47" s="632"/>
      <c r="AM47" s="1703">
        <f t="shared" si="7"/>
        <v>0</v>
      </c>
      <c r="AN47" s="1713"/>
    </row>
    <row r="48" spans="1:40" ht="150" customHeight="1" x14ac:dyDescent="0.7">
      <c r="A48" s="646">
        <v>38</v>
      </c>
      <c r="B48" s="608" t="s">
        <v>805</v>
      </c>
      <c r="C48" s="647" t="s">
        <v>175</v>
      </c>
      <c r="D48" s="633" t="s">
        <v>182</v>
      </c>
      <c r="E48" s="633" t="s">
        <v>331</v>
      </c>
      <c r="F48" s="736" t="s">
        <v>839</v>
      </c>
      <c r="G48" s="886" t="s">
        <v>1361</v>
      </c>
      <c r="H48" s="706">
        <v>1</v>
      </c>
      <c r="I48" s="706">
        <v>1</v>
      </c>
      <c r="J48" s="620">
        <v>15000</v>
      </c>
      <c r="K48" s="620">
        <f>IF(F48&lt;&gt;"",H48*I48*J48,"")</f>
        <v>15000</v>
      </c>
      <c r="L48" s="620">
        <f>IF(K48&lt;&gt;"",IF(D48="INTERNO",0,K48*$L$14),"")</f>
        <v>1200</v>
      </c>
      <c r="M48" s="620">
        <f>IF(K48&lt;&gt;"",IF(E48="FAT.OGGI",SUM(K48:L48)*(1/(1-$M$14)-1),L48*(1/(1-$M$14)-1)),0)</f>
        <v>251.55437280754799</v>
      </c>
      <c r="N48" s="620">
        <f>SUM(K48:M48)</f>
        <v>16451.554372807546</v>
      </c>
      <c r="O48" s="705"/>
      <c r="P48" s="914" t="s">
        <v>623</v>
      </c>
      <c r="Q48" s="920" t="s">
        <v>987</v>
      </c>
      <c r="R48" s="844" t="s">
        <v>1131</v>
      </c>
      <c r="S48" s="739">
        <f t="shared" si="22"/>
        <v>1</v>
      </c>
      <c r="T48" s="739">
        <f t="shared" si="22"/>
        <v>1</v>
      </c>
      <c r="U48" s="650">
        <f>5380+4600+5000</f>
        <v>14980</v>
      </c>
      <c r="V48" s="650">
        <v>0</v>
      </c>
      <c r="W48" s="921">
        <f>IF(S48&lt;&gt;"",K48-V48,"")</f>
        <v>15000</v>
      </c>
      <c r="X48" s="922">
        <f>IF(S48&lt;&gt;"",0%,"")</f>
        <v>0</v>
      </c>
      <c r="Y48" s="923">
        <f>IF(S48&lt;&gt;"",X48*W48,"")</f>
        <v>0</v>
      </c>
      <c r="Z48" s="923">
        <f>IF(S48&lt;&gt;"",Y48+V48,"")</f>
        <v>0</v>
      </c>
      <c r="AA48" s="891">
        <f t="shared" si="23"/>
        <v>251.55437280754799</v>
      </c>
      <c r="AB48" s="632">
        <f>IF(S48&lt;&gt;"", IFERROR(W48/K48, 0), 0)</f>
        <v>1</v>
      </c>
      <c r="AC48" s="632"/>
      <c r="AM48" s="1703">
        <f t="shared" si="7"/>
        <v>0</v>
      </c>
      <c r="AN48" s="1713"/>
    </row>
    <row r="49" spans="1:41" ht="50.1" customHeight="1" thickBot="1" x14ac:dyDescent="0.75">
      <c r="A49" s="584">
        <v>40</v>
      </c>
      <c r="B49" s="608"/>
      <c r="C49" s="609" t="s">
        <v>184</v>
      </c>
      <c r="D49" s="584"/>
      <c r="E49" s="584"/>
      <c r="F49" s="1553" t="s">
        <v>474</v>
      </c>
      <c r="G49" s="1554"/>
      <c r="H49" s="1554"/>
      <c r="I49" s="1554"/>
      <c r="J49" s="1554"/>
      <c r="K49" s="722">
        <f>SUM(K47:K48)</f>
        <v>24500</v>
      </c>
      <c r="L49" s="722">
        <f>SUM(L47:L48)</f>
        <v>1960</v>
      </c>
      <c r="M49" s="722">
        <f>SUM(M47:M48)</f>
        <v>410.87214225232839</v>
      </c>
      <c r="N49" s="729">
        <f>SUM(N47:N48)</f>
        <v>26870.872142252327</v>
      </c>
      <c r="O49" s="723"/>
      <c r="P49" s="723"/>
      <c r="Q49" s="723"/>
      <c r="S49" s="1605">
        <f>SUM(S47:S48)</f>
        <v>2</v>
      </c>
      <c r="T49" s="1606"/>
      <c r="U49" s="1606"/>
      <c r="V49" s="924">
        <f>SUM(V47:V48)</f>
        <v>0</v>
      </c>
      <c r="W49" s="925">
        <f>SUM(W47:W48)</f>
        <v>24500</v>
      </c>
      <c r="X49" s="926">
        <f>SUM(X47:X48)</f>
        <v>0</v>
      </c>
      <c r="Y49" s="927"/>
      <c r="Z49" s="928">
        <f>SUM(Z47:Z48)</f>
        <v>0</v>
      </c>
      <c r="AA49" s="929">
        <f t="shared" si="23"/>
        <v>410.87214225232839</v>
      </c>
      <c r="AC49" s="632"/>
      <c r="AM49" s="1703"/>
      <c r="AN49" s="1713"/>
    </row>
    <row r="50" spans="1:41" ht="50.1" customHeight="1" thickBot="1" x14ac:dyDescent="0.75">
      <c r="A50" s="646">
        <v>41</v>
      </c>
      <c r="B50" s="608"/>
      <c r="C50" s="647" t="s">
        <v>183</v>
      </c>
      <c r="D50" s="646"/>
      <c r="E50" s="646"/>
      <c r="F50" s="1567" t="s">
        <v>473</v>
      </c>
      <c r="G50" s="1568"/>
      <c r="H50" s="1568"/>
      <c r="I50" s="1568"/>
      <c r="J50" s="1568"/>
      <c r="K50" s="930">
        <f>SUM(K47:K48)</f>
        <v>24500</v>
      </c>
      <c r="L50" s="930">
        <f>SUM(L47:L48)</f>
        <v>1960</v>
      </c>
      <c r="M50" s="930">
        <f>SUM(M47:M48)</f>
        <v>410.87214225232839</v>
      </c>
      <c r="N50" s="931">
        <f>SUM(N47:N48)</f>
        <v>26870.872142252327</v>
      </c>
      <c r="O50" s="711"/>
      <c r="P50" s="711"/>
      <c r="Q50" s="711"/>
      <c r="S50" s="1593">
        <f>SUM(S47:S48)</f>
        <v>2</v>
      </c>
      <c r="T50" s="1594"/>
      <c r="U50" s="1594"/>
      <c r="V50" s="884">
        <f>SUM(V47:V48)</f>
        <v>0</v>
      </c>
      <c r="W50" s="932">
        <f>SUM(W47:W48)</f>
        <v>24500</v>
      </c>
      <c r="X50" s="933">
        <f>SUM(X47:X48)</f>
        <v>0</v>
      </c>
      <c r="Y50" s="934"/>
      <c r="Z50" s="935">
        <f>SUM(Z47:Z48)</f>
        <v>0</v>
      </c>
      <c r="AA50" s="936">
        <f t="shared" si="23"/>
        <v>410.87214225232839</v>
      </c>
      <c r="AC50" s="632"/>
      <c r="AM50" s="1703"/>
      <c r="AN50" s="1713"/>
    </row>
    <row r="51" spans="1:41" ht="50.1" customHeight="1" thickBot="1" x14ac:dyDescent="0.75">
      <c r="A51" s="654">
        <v>42</v>
      </c>
      <c r="B51" s="608">
        <v>6</v>
      </c>
      <c r="C51" s="655" t="s">
        <v>167</v>
      </c>
      <c r="D51" s="654"/>
      <c r="E51" s="654"/>
      <c r="F51" s="1607" t="s">
        <v>441</v>
      </c>
      <c r="G51" s="1608"/>
      <c r="H51" s="1608"/>
      <c r="I51" s="1608"/>
      <c r="J51" s="1608"/>
      <c r="K51" s="1608"/>
      <c r="L51" s="1608"/>
      <c r="M51" s="1608"/>
      <c r="N51" s="1609"/>
      <c r="O51" s="611"/>
      <c r="P51" s="611"/>
      <c r="Q51" s="611"/>
      <c r="S51" s="1607" t="str">
        <f>IF(F51&lt;&gt;"",F51,"")</f>
        <v>CONTEÚDO</v>
      </c>
      <c r="T51" s="1608"/>
      <c r="U51" s="1608"/>
      <c r="V51" s="1608"/>
      <c r="W51" s="1608"/>
      <c r="X51" s="1608"/>
      <c r="Y51" s="1608"/>
      <c r="Z51" s="1608"/>
      <c r="AA51" s="1609"/>
      <c r="AC51" s="632"/>
      <c r="AM51" s="1703"/>
      <c r="AN51" s="1713"/>
    </row>
    <row r="52" spans="1:41" ht="50.1" customHeight="1" x14ac:dyDescent="0.7">
      <c r="A52" s="633">
        <v>43</v>
      </c>
      <c r="B52" s="608"/>
      <c r="C52" s="634" t="s">
        <v>184</v>
      </c>
      <c r="D52" s="633"/>
      <c r="E52" s="633"/>
      <c r="F52" s="1582" t="s">
        <v>441</v>
      </c>
      <c r="G52" s="1583"/>
      <c r="H52" s="1583"/>
      <c r="I52" s="1583"/>
      <c r="J52" s="1583"/>
      <c r="K52" s="1583"/>
      <c r="L52" s="937" t="s">
        <v>171</v>
      </c>
      <c r="M52" s="937" t="s">
        <v>172</v>
      </c>
      <c r="N52" s="938" t="s">
        <v>129</v>
      </c>
      <c r="O52" s="615"/>
      <c r="P52" s="615"/>
      <c r="Q52" s="615"/>
      <c r="S52" s="1397" t="str">
        <f>IF(F52&lt;&gt;"",F52,"")</f>
        <v>CONTEÚDO</v>
      </c>
      <c r="T52" s="1398"/>
      <c r="U52" s="1398"/>
      <c r="V52" s="1398"/>
      <c r="W52" s="1398"/>
      <c r="X52" s="1398"/>
      <c r="Y52" s="1398"/>
      <c r="Z52" s="1398"/>
      <c r="AA52" s="1561"/>
      <c r="AB52" s="616" t="s">
        <v>173</v>
      </c>
      <c r="AC52" s="939"/>
      <c r="AM52" s="1703"/>
      <c r="AN52" s="1713"/>
    </row>
    <row r="53" spans="1:41" ht="150" customHeight="1" x14ac:dyDescent="0.7">
      <c r="A53" s="584">
        <v>45</v>
      </c>
      <c r="B53" s="608" t="s">
        <v>693</v>
      </c>
      <c r="C53" s="609" t="s">
        <v>175</v>
      </c>
      <c r="D53" s="584" t="s">
        <v>182</v>
      </c>
      <c r="E53" s="584" t="s">
        <v>331</v>
      </c>
      <c r="F53" s="838" t="s">
        <v>804</v>
      </c>
      <c r="G53" s="940" t="s">
        <v>1362</v>
      </c>
      <c r="H53" s="830">
        <v>1</v>
      </c>
      <c r="I53" s="830">
        <v>1</v>
      </c>
      <c r="J53" s="831">
        <v>91375</v>
      </c>
      <c r="K53" s="621">
        <f>IF(F53&lt;&gt;"",H53*I53*J53,"")</f>
        <v>91375</v>
      </c>
      <c r="L53" s="621">
        <f>IF(K53&lt;&gt;"",IF(D53="INTERNO",0,K53*$L$14),"")</f>
        <v>7310</v>
      </c>
      <c r="M53" s="621">
        <f>IF(K53&lt;&gt;"",IF(E53="FAT.OGGI",SUM(K53:L53)*(1/(1-$M$14)-1),L53*(1/(1-$M$14)-1)),0)</f>
        <v>1532.3853876859798</v>
      </c>
      <c r="N53" s="622">
        <f>SUM(K53:M53)</f>
        <v>100217.38538768598</v>
      </c>
      <c r="O53" s="623"/>
      <c r="P53" s="914" t="s">
        <v>623</v>
      </c>
      <c r="Q53" s="914" t="s">
        <v>994</v>
      </c>
      <c r="R53" s="844" t="s">
        <v>1133</v>
      </c>
      <c r="S53" s="941">
        <f t="shared" ref="S53:S55" si="24">IF(H53&lt;&gt;"",H53,"")</f>
        <v>1</v>
      </c>
      <c r="T53" s="916">
        <v>1</v>
      </c>
      <c r="U53" s="697">
        <v>73100</v>
      </c>
      <c r="V53" s="697">
        <v>0</v>
      </c>
      <c r="W53" s="698">
        <f>IF(S53&lt;&gt;"",K53-V53,"")</f>
        <v>91375</v>
      </c>
      <c r="X53" s="699">
        <f>IF(S53&lt;&gt;"",0%,"")</f>
        <v>0</v>
      </c>
      <c r="Y53" s="700">
        <f>IF(S53&lt;&gt;"",X53*W53,"")</f>
        <v>0</v>
      </c>
      <c r="Z53" s="700">
        <f>IF(S53&lt;&gt;"",Y53+V53,"")</f>
        <v>0</v>
      </c>
      <c r="AA53" s="701">
        <f t="shared" ref="AA53:AA58" si="25">IF(S53&lt;&gt;"",Z53+M53,"")</f>
        <v>1532.3853876859798</v>
      </c>
      <c r="AB53" s="942">
        <f>IF(S53&lt;&gt;"", IFERROR(W53/K53, 0), 0)</f>
        <v>1</v>
      </c>
      <c r="AC53" s="632" t="e">
        <f>V53/$V$57</f>
        <v>#DIV/0!</v>
      </c>
      <c r="AM53" s="1703">
        <f t="shared" si="7"/>
        <v>0</v>
      </c>
      <c r="AN53" s="1713"/>
    </row>
    <row r="54" spans="1:41" ht="150" customHeight="1" x14ac:dyDescent="0.7">
      <c r="A54" s="646">
        <v>46</v>
      </c>
      <c r="B54" s="608" t="s">
        <v>803</v>
      </c>
      <c r="C54" s="647" t="s">
        <v>175</v>
      </c>
      <c r="D54" s="584" t="s">
        <v>182</v>
      </c>
      <c r="E54" s="584" t="s">
        <v>331</v>
      </c>
      <c r="F54" s="838" t="s">
        <v>850</v>
      </c>
      <c r="G54" s="940" t="s">
        <v>1363</v>
      </c>
      <c r="H54" s="943">
        <v>1</v>
      </c>
      <c r="I54" s="943">
        <v>1</v>
      </c>
      <c r="J54" s="870">
        <v>3730</v>
      </c>
      <c r="K54" s="870">
        <f>IF(F54&lt;&gt;"",H54*I54*J54,"")</f>
        <v>3730</v>
      </c>
      <c r="L54" s="870">
        <f>IF(K54&lt;&gt;"",IF(D54="INTERNO",0,K54*$L$14),"")</f>
        <v>298.40000000000003</v>
      </c>
      <c r="M54" s="870">
        <f>IF(K54&lt;&gt;"",IF(E54="FAT.OGGI",SUM(K54:L54)*(1/(1-$M$14)-1),L54*(1/(1-$M$14)-1)),0)</f>
        <v>62.553187371476945</v>
      </c>
      <c r="N54" s="944">
        <f>SUM(K54:M54)</f>
        <v>4090.9531873714768</v>
      </c>
      <c r="O54" s="945"/>
      <c r="P54" s="914" t="s">
        <v>974</v>
      </c>
      <c r="Q54" s="914"/>
      <c r="R54" s="844" t="s">
        <v>1134</v>
      </c>
      <c r="S54" s="946">
        <f t="shared" si="24"/>
        <v>1</v>
      </c>
      <c r="T54" s="946">
        <v>1</v>
      </c>
      <c r="U54" s="947">
        <v>0</v>
      </c>
      <c r="V54" s="947">
        <f>IF(S54&lt;&gt;"",S54*T54*U54,"")</f>
        <v>0</v>
      </c>
      <c r="W54" s="948">
        <f>IF(S54&lt;&gt;"",K54-V54,"")</f>
        <v>3730</v>
      </c>
      <c r="X54" s="949">
        <f>IF(S54&lt;&gt;"",0%,"")</f>
        <v>0</v>
      </c>
      <c r="Y54" s="950">
        <f>IF(S54&lt;&gt;"",X54*W54,"")</f>
        <v>0</v>
      </c>
      <c r="Z54" s="950">
        <f>IF(S54&lt;&gt;"",Y54+V54,"")</f>
        <v>0</v>
      </c>
      <c r="AA54" s="950">
        <f t="shared" si="25"/>
        <v>62.553187371476945</v>
      </c>
      <c r="AB54" s="632">
        <f>IF(S54&lt;&gt;"", IFERROR(W54/K54, 0), 0)</f>
        <v>1</v>
      </c>
      <c r="AC54" s="632" t="e">
        <f>V54/$V$57</f>
        <v>#DIV/0!</v>
      </c>
      <c r="AM54" s="1703">
        <f t="shared" si="7"/>
        <v>0</v>
      </c>
      <c r="AN54" s="1713"/>
    </row>
    <row r="55" spans="1:41" ht="150" customHeight="1" x14ac:dyDescent="0.7">
      <c r="A55" s="654">
        <v>47</v>
      </c>
      <c r="B55" s="608" t="s">
        <v>832</v>
      </c>
      <c r="C55" s="655" t="s">
        <v>175</v>
      </c>
      <c r="D55" s="633" t="s">
        <v>182</v>
      </c>
      <c r="E55" s="633" t="s">
        <v>331</v>
      </c>
      <c r="F55" s="838" t="s">
        <v>690</v>
      </c>
      <c r="G55" s="940" t="s">
        <v>1364</v>
      </c>
      <c r="H55" s="951">
        <v>1</v>
      </c>
      <c r="I55" s="951">
        <v>0</v>
      </c>
      <c r="J55" s="621">
        <v>115010</v>
      </c>
      <c r="K55" s="621">
        <f>IF(F55&lt;&gt;"",H55*I55*J55,"")</f>
        <v>0</v>
      </c>
      <c r="L55" s="621">
        <f>IF(K55&lt;&gt;"",IF(D55="INTERNO",0,K55*$L$14),"")</f>
        <v>0</v>
      </c>
      <c r="M55" s="621">
        <f>IF(K55&lt;&gt;"",IF(E55="FAT.OGGI",SUM(K55:L55)*(1/(1-$M$14)-1),L55*(1/(1-$M$14)-1)),0)</f>
        <v>0</v>
      </c>
      <c r="N55" s="622">
        <f>SUM(K55:M55)</f>
        <v>0</v>
      </c>
      <c r="O55" s="623"/>
      <c r="P55" s="914" t="s">
        <v>623</v>
      </c>
      <c r="Q55" s="914" t="s">
        <v>995</v>
      </c>
      <c r="R55" s="559" t="s">
        <v>991</v>
      </c>
      <c r="S55" s="952">
        <f t="shared" si="24"/>
        <v>1</v>
      </c>
      <c r="T55" s="952">
        <v>0</v>
      </c>
      <c r="U55" s="660">
        <v>115010</v>
      </c>
      <c r="V55" s="660">
        <f>IF(S55&lt;&gt;"",S55*T55*U55,"")</f>
        <v>0</v>
      </c>
      <c r="W55" s="661">
        <f>IF(S55&lt;&gt;"",K55-V55,"")</f>
        <v>0</v>
      </c>
      <c r="X55" s="662">
        <f>IF(S55&lt;&gt;"",0%,"")</f>
        <v>0</v>
      </c>
      <c r="Y55" s="663">
        <f>IF(S55&lt;&gt;"",X55*W55,"")</f>
        <v>0</v>
      </c>
      <c r="Z55" s="663">
        <f>IF(S55&lt;&gt;"",Y55+V55,"")</f>
        <v>0</v>
      </c>
      <c r="AA55" s="669">
        <f t="shared" si="25"/>
        <v>0</v>
      </c>
      <c r="AB55" s="953">
        <f>IF(S55&lt;&gt;"", IFERROR(W55/K55, 0), 0)</f>
        <v>0</v>
      </c>
      <c r="AC55" s="632" t="e">
        <f>V55/$V$57</f>
        <v>#DIV/0!</v>
      </c>
      <c r="AM55" s="1703">
        <f t="shared" si="7"/>
        <v>0</v>
      </c>
      <c r="AN55" s="1713"/>
    </row>
    <row r="56" spans="1:41" ht="150" customHeight="1" x14ac:dyDescent="0.7">
      <c r="A56" s="654">
        <v>48</v>
      </c>
      <c r="B56" s="608" t="s">
        <v>849</v>
      </c>
      <c r="C56" s="655" t="s">
        <v>175</v>
      </c>
      <c r="D56" s="633" t="s">
        <v>182</v>
      </c>
      <c r="E56" s="633" t="s">
        <v>331</v>
      </c>
      <c r="F56" s="838" t="s">
        <v>833</v>
      </c>
      <c r="G56" s="940" t="s">
        <v>1365</v>
      </c>
      <c r="H56" s="951">
        <v>1</v>
      </c>
      <c r="I56" s="951">
        <v>0</v>
      </c>
      <c r="J56" s="621">
        <v>23638.5</v>
      </c>
      <c r="K56" s="621">
        <f>IF(F56&lt;&gt;"",H56*I56*J56,"")</f>
        <v>0</v>
      </c>
      <c r="L56" s="621">
        <f>IF(K56&lt;&gt;"",IF(D56="INTERNO",0,K56*$L$14),"")</f>
        <v>0</v>
      </c>
      <c r="M56" s="621">
        <f>IF(K56&lt;&gt;"",IF(E56="FAT.OGGI",SUM(K56:L56)*(1/(1-$M$14)-1),L56*(1/(1-$M$14)-1)),0)</f>
        <v>0</v>
      </c>
      <c r="N56" s="622">
        <f>SUM(K56:M56)</f>
        <v>0</v>
      </c>
      <c r="O56" s="623"/>
      <c r="P56" s="914" t="s">
        <v>623</v>
      </c>
      <c r="Q56" s="954" t="s">
        <v>996</v>
      </c>
      <c r="S56" s="955">
        <f>IF(H56&lt;&gt;"",H56,"")</f>
        <v>1</v>
      </c>
      <c r="T56" s="952">
        <v>0</v>
      </c>
      <c r="U56" s="660">
        <v>23638.5</v>
      </c>
      <c r="V56" s="660">
        <f>IF(S56&lt;&gt;"",S56*T56*U56,"")</f>
        <v>0</v>
      </c>
      <c r="W56" s="661">
        <f>IF(S56&lt;&gt;"",K56-V56,"")</f>
        <v>0</v>
      </c>
      <c r="X56" s="662">
        <f>IF(S56&lt;&gt;"",0%,"")</f>
        <v>0</v>
      </c>
      <c r="Y56" s="663">
        <f>IF(S56&lt;&gt;"",X56*W56,"")</f>
        <v>0</v>
      </c>
      <c r="Z56" s="663">
        <f>IF(S56&lt;&gt;"",Y56+V56,"")</f>
        <v>0</v>
      </c>
      <c r="AA56" s="664">
        <f t="shared" si="25"/>
        <v>0</v>
      </c>
      <c r="AB56" s="631">
        <f>IF(S56&lt;&gt;"", IFERROR(W56/K56, 0), 0)</f>
        <v>0</v>
      </c>
      <c r="AC56" s="632" t="e">
        <f>V56/$V$57</f>
        <v>#DIV/0!</v>
      </c>
      <c r="AM56" s="1703">
        <f t="shared" si="7"/>
        <v>0</v>
      </c>
      <c r="AN56" s="1713"/>
    </row>
    <row r="57" spans="1:41" ht="50.1" customHeight="1" thickBot="1" x14ac:dyDescent="0.75">
      <c r="A57" s="633">
        <v>49</v>
      </c>
      <c r="B57" s="608">
        <v>7</v>
      </c>
      <c r="C57" s="634" t="s">
        <v>167</v>
      </c>
      <c r="D57" s="633"/>
      <c r="E57" s="633"/>
      <c r="F57" s="1584"/>
      <c r="G57" s="1554"/>
      <c r="H57" s="1554"/>
      <c r="I57" s="1554"/>
      <c r="J57" s="1554"/>
      <c r="K57" s="722">
        <f>SUM(K53:K56)</f>
        <v>95105</v>
      </c>
      <c r="L57" s="722">
        <f>SUM(L53:L56)</f>
        <v>7608.4</v>
      </c>
      <c r="M57" s="722">
        <f>SUM(M53:M56)</f>
        <v>1594.9385750574568</v>
      </c>
      <c r="N57" s="729">
        <f>SUM(N53:N56)</f>
        <v>104308.33857505745</v>
      </c>
      <c r="O57" s="723"/>
      <c r="P57" s="723"/>
      <c r="Q57" s="723"/>
      <c r="S57" s="1549" t="s">
        <v>450</v>
      </c>
      <c r="T57" s="1550"/>
      <c r="U57" s="1550"/>
      <c r="V57" s="740">
        <f>SUM(V53:V56)</f>
        <v>0</v>
      </c>
      <c r="W57" s="731">
        <f>SUM(W53:W56)</f>
        <v>95105</v>
      </c>
      <c r="X57" s="732"/>
      <c r="Y57" s="732"/>
      <c r="Z57" s="733">
        <f>SUM(Z53:Z56)</f>
        <v>0</v>
      </c>
      <c r="AA57" s="734">
        <f>IF(S57&lt;&gt;"",Z57+M57,"")</f>
        <v>1594.9385750574568</v>
      </c>
      <c r="AM57" s="1703"/>
      <c r="AN57" s="1713"/>
    </row>
    <row r="58" spans="1:41" ht="50.1" customHeight="1" thickBot="1" x14ac:dyDescent="0.75">
      <c r="A58" s="584">
        <v>50</v>
      </c>
      <c r="B58" s="608" t="s">
        <v>442</v>
      </c>
      <c r="C58" s="609" t="s">
        <v>169</v>
      </c>
      <c r="D58" s="584"/>
      <c r="E58" s="584"/>
      <c r="F58" s="1557" t="s">
        <v>450</v>
      </c>
      <c r="G58" s="1558"/>
      <c r="H58" s="1558"/>
      <c r="I58" s="1558"/>
      <c r="J58" s="1558"/>
      <c r="K58" s="711">
        <f>SUM(K53:K56)</f>
        <v>95105</v>
      </c>
      <c r="L58" s="711">
        <f>SUM(L53:L56)</f>
        <v>7608.4</v>
      </c>
      <c r="M58" s="711">
        <f>SUM(M53:M56)</f>
        <v>1594.9385750574568</v>
      </c>
      <c r="N58" s="711">
        <f>SUM(N53:N56)</f>
        <v>104308.33857505745</v>
      </c>
      <c r="O58" s="711"/>
      <c r="P58" s="711"/>
      <c r="Q58" s="711"/>
      <c r="S58" s="1580" t="s">
        <v>450</v>
      </c>
      <c r="T58" s="1581"/>
      <c r="U58" s="1581"/>
      <c r="V58" s="711">
        <f>SUM(V53:V56)</f>
        <v>0</v>
      </c>
      <c r="W58" s="956">
        <f>SUM(W57:W57)</f>
        <v>95105</v>
      </c>
      <c r="X58" s="756"/>
      <c r="Y58" s="756"/>
      <c r="Z58" s="957">
        <f>SUM(Z57:Z57)</f>
        <v>0</v>
      </c>
      <c r="AA58" s="758">
        <f t="shared" si="25"/>
        <v>1594.9385750574568</v>
      </c>
      <c r="AM58" s="1703"/>
      <c r="AN58" s="1713"/>
    </row>
    <row r="59" spans="1:41" ht="50.1" customHeight="1" thickBot="1" x14ac:dyDescent="0.75">
      <c r="A59" s="584">
        <v>51</v>
      </c>
      <c r="B59" s="608" t="s">
        <v>443</v>
      </c>
      <c r="C59" s="609" t="s">
        <v>175</v>
      </c>
      <c r="D59" s="584" t="s">
        <v>182</v>
      </c>
      <c r="E59" s="584" t="s">
        <v>179</v>
      </c>
      <c r="F59" s="1534" t="s">
        <v>505</v>
      </c>
      <c r="G59" s="1535"/>
      <c r="H59" s="1535"/>
      <c r="I59" s="1535"/>
      <c r="J59" s="1535"/>
      <c r="K59" s="1535"/>
      <c r="L59" s="1535"/>
      <c r="M59" s="1535"/>
      <c r="N59" s="1592"/>
      <c r="O59" s="611"/>
      <c r="P59" s="611"/>
      <c r="Q59" s="611"/>
      <c r="S59" s="1543" t="str">
        <f>IF(F59&lt;&gt;"",F59,"")</f>
        <v>ATIVIDADES, BRINDES E MATERIAIS</v>
      </c>
      <c r="T59" s="1537"/>
      <c r="U59" s="1537"/>
      <c r="V59" s="1537"/>
      <c r="W59" s="1537"/>
      <c r="X59" s="1537"/>
      <c r="Y59" s="1537"/>
      <c r="Z59" s="1537"/>
      <c r="AA59" s="1538"/>
      <c r="AM59" s="1703"/>
      <c r="AN59" s="1713"/>
    </row>
    <row r="60" spans="1:41" ht="50.1" customHeight="1" x14ac:dyDescent="0.7">
      <c r="A60" s="584">
        <v>52</v>
      </c>
      <c r="B60" s="608"/>
      <c r="C60" s="609" t="s">
        <v>184</v>
      </c>
      <c r="D60" s="584"/>
      <c r="E60" s="584"/>
      <c r="F60" s="1539">
        <f>SUM(F59:F59)</f>
        <v>0</v>
      </c>
      <c r="G60" s="1540"/>
      <c r="H60" s="1540"/>
      <c r="I60" s="1540"/>
      <c r="J60" s="1540"/>
      <c r="K60" s="1541"/>
      <c r="L60" s="937">
        <f>SUM(L59:L59)</f>
        <v>0</v>
      </c>
      <c r="M60" s="937">
        <f>SUM(M59:M59)</f>
        <v>0</v>
      </c>
      <c r="N60" s="958">
        <f>SUM(N59:N59)</f>
        <v>0</v>
      </c>
      <c r="O60" s="615"/>
      <c r="P60" s="615"/>
      <c r="Q60" s="615"/>
      <c r="S60" s="1547">
        <f>SUM(S59:S59)</f>
        <v>0</v>
      </c>
      <c r="T60" s="1548"/>
      <c r="U60" s="1548"/>
      <c r="V60" s="1548"/>
      <c r="W60" s="1548"/>
      <c r="X60" s="1548"/>
      <c r="Y60" s="1548"/>
      <c r="Z60" s="1548"/>
      <c r="AA60" s="1579"/>
      <c r="AB60" s="616" t="s">
        <v>173</v>
      </c>
      <c r="AC60" s="617" t="s">
        <v>130</v>
      </c>
      <c r="AM60" s="1703"/>
      <c r="AN60" s="1713"/>
    </row>
    <row r="61" spans="1:41" ht="144" customHeight="1" x14ac:dyDescent="0.7">
      <c r="A61" s="584">
        <v>56</v>
      </c>
      <c r="B61" s="608" t="s">
        <v>695</v>
      </c>
      <c r="C61" s="609" t="s">
        <v>175</v>
      </c>
      <c r="D61" s="584" t="s">
        <v>182</v>
      </c>
      <c r="E61" s="959" t="s">
        <v>331</v>
      </c>
      <c r="F61" s="839" t="s">
        <v>830</v>
      </c>
      <c r="G61" s="960" t="s">
        <v>1366</v>
      </c>
      <c r="H61" s="961">
        <v>1</v>
      </c>
      <c r="I61" s="961">
        <v>0</v>
      </c>
      <c r="J61" s="843">
        <v>15000</v>
      </c>
      <c r="K61" s="620">
        <f t="shared" ref="K61:K67" si="26">IF(F61&lt;&gt;"",H61*I61*J61,"")</f>
        <v>0</v>
      </c>
      <c r="L61" s="620">
        <f t="shared" ref="L61:L67" si="27">IF(K61&lt;&gt;"",IF(D61="INTERNO",0,K61*$L$14),"")</f>
        <v>0</v>
      </c>
      <c r="M61" s="620">
        <f t="shared" ref="M61:M67" si="28">IF(K61&lt;&gt;"",IF(E61="FAT.OGGI",SUM(K61:L61)*(1/(1-$M$14)-1),L61*(1/(1-$M$14)-1)),0)</f>
        <v>0</v>
      </c>
      <c r="N61" s="894">
        <f t="shared" ref="N61:N67" si="29">SUM(K61:M61)</f>
        <v>0</v>
      </c>
      <c r="O61" s="705"/>
      <c r="P61" s="778" t="s">
        <v>623</v>
      </c>
      <c r="Q61" s="962" t="s">
        <v>997</v>
      </c>
      <c r="S61" s="853">
        <f t="shared" ref="S61:T65" si="30">IF(H61&lt;&gt;"",H61,"")</f>
        <v>1</v>
      </c>
      <c r="T61" s="854">
        <f t="shared" si="30"/>
        <v>0</v>
      </c>
      <c r="U61" s="626">
        <v>7000</v>
      </c>
      <c r="V61" s="626">
        <f t="shared" ref="V61" si="31">IF(S61&lt;&gt;"",S61*T61*U61,"")</f>
        <v>0</v>
      </c>
      <c r="W61" s="627">
        <f t="shared" ref="W61" si="32">IF(S61&lt;&gt;"",K61-V61,"")</f>
        <v>0</v>
      </c>
      <c r="X61" s="628">
        <f t="shared" ref="X61" si="33">IF(S61&lt;&gt;"",0%,"")</f>
        <v>0</v>
      </c>
      <c r="Y61" s="629">
        <f t="shared" ref="Y61" si="34">IF(S61&lt;&gt;"",X61*W61,"")</f>
        <v>0</v>
      </c>
      <c r="Z61" s="629">
        <f t="shared" ref="Z61" si="35">IF(S61&lt;&gt;"",Y61+V61,"")</f>
        <v>0</v>
      </c>
      <c r="AA61" s="630">
        <f t="shared" ref="AA61:AA67" si="36">IF(S61&lt;&gt;"",Z61+M61,"")</f>
        <v>0</v>
      </c>
      <c r="AB61" s="631">
        <f t="shared" ref="AB61:AB67" si="37">IF(S61&lt;&gt;"", IFERROR(W61/K61, 0), 0)</f>
        <v>0</v>
      </c>
      <c r="AC61" s="632" t="e">
        <f>V61/$V$57</f>
        <v>#DIV/0!</v>
      </c>
      <c r="AM61" s="1703">
        <f t="shared" si="7"/>
        <v>0</v>
      </c>
      <c r="AN61" s="1713"/>
    </row>
    <row r="62" spans="1:41" ht="105.6" customHeight="1" x14ac:dyDescent="0.7">
      <c r="A62" s="646">
        <v>57</v>
      </c>
      <c r="B62" s="608" t="s">
        <v>696</v>
      </c>
      <c r="C62" s="647" t="s">
        <v>175</v>
      </c>
      <c r="D62" s="584" t="s">
        <v>182</v>
      </c>
      <c r="E62" s="959" t="s">
        <v>331</v>
      </c>
      <c r="F62" s="839" t="s">
        <v>831</v>
      </c>
      <c r="G62" s="960" t="s">
        <v>1367</v>
      </c>
      <c r="H62" s="961">
        <v>2</v>
      </c>
      <c r="I62" s="961">
        <v>0</v>
      </c>
      <c r="J62" s="843">
        <v>5250</v>
      </c>
      <c r="K62" s="620">
        <f t="shared" si="26"/>
        <v>0</v>
      </c>
      <c r="L62" s="620">
        <f t="shared" si="27"/>
        <v>0</v>
      </c>
      <c r="M62" s="620">
        <f t="shared" si="28"/>
        <v>0</v>
      </c>
      <c r="N62" s="894">
        <f t="shared" si="29"/>
        <v>0</v>
      </c>
      <c r="O62" s="705"/>
      <c r="P62" s="778" t="s">
        <v>623</v>
      </c>
      <c r="Q62" s="962" t="s">
        <v>998</v>
      </c>
      <c r="S62" s="853">
        <f t="shared" si="30"/>
        <v>2</v>
      </c>
      <c r="T62" s="854">
        <f t="shared" si="30"/>
        <v>0</v>
      </c>
      <c r="U62" s="626">
        <v>3500</v>
      </c>
      <c r="V62" s="626">
        <f t="shared" ref="V62" si="38">IF(S62&lt;&gt;"",S62*T62*U62,"")</f>
        <v>0</v>
      </c>
      <c r="W62" s="627">
        <f t="shared" ref="W62:W67" si="39">IF(S62&lt;&gt;"",K62-V62,"")</f>
        <v>0</v>
      </c>
      <c r="X62" s="628">
        <f t="shared" ref="X62:X67" si="40">IF(S62&lt;&gt;"",0%,"")</f>
        <v>0</v>
      </c>
      <c r="Y62" s="629">
        <f t="shared" ref="Y62:Y67" si="41">IF(S62&lt;&gt;"",X62*W62,"")</f>
        <v>0</v>
      </c>
      <c r="Z62" s="629">
        <f t="shared" ref="Z62:Z67" si="42">IF(S62&lt;&gt;"",Y62+V62,"")</f>
        <v>0</v>
      </c>
      <c r="AA62" s="630">
        <f t="shared" si="36"/>
        <v>0</v>
      </c>
      <c r="AB62" s="631">
        <f t="shared" si="37"/>
        <v>0</v>
      </c>
      <c r="AC62" s="632" t="e">
        <f>V62/$V$57</f>
        <v>#DIV/0!</v>
      </c>
      <c r="AM62" s="1703">
        <f t="shared" si="7"/>
        <v>0</v>
      </c>
      <c r="AN62" s="1713"/>
    </row>
    <row r="63" spans="1:41" ht="64.650000000000006" customHeight="1" x14ac:dyDescent="0.7">
      <c r="A63" s="584">
        <v>65</v>
      </c>
      <c r="B63" s="608" t="s">
        <v>704</v>
      </c>
      <c r="C63" s="609" t="s">
        <v>175</v>
      </c>
      <c r="D63" s="633" t="s">
        <v>182</v>
      </c>
      <c r="E63" s="633" t="s">
        <v>179</v>
      </c>
      <c r="F63" s="839" t="s">
        <v>843</v>
      </c>
      <c r="G63" s="963" t="s">
        <v>852</v>
      </c>
      <c r="H63" s="961">
        <v>1</v>
      </c>
      <c r="I63" s="961">
        <v>1</v>
      </c>
      <c r="J63" s="843">
        <v>1071.2249999999999</v>
      </c>
      <c r="K63" s="621">
        <f t="shared" si="26"/>
        <v>1071.2249999999999</v>
      </c>
      <c r="L63" s="621">
        <f t="shared" si="27"/>
        <v>85.697999999999993</v>
      </c>
      <c r="M63" s="621">
        <f t="shared" si="28"/>
        <v>242.52419970968904</v>
      </c>
      <c r="N63" s="622">
        <f t="shared" si="29"/>
        <v>1399.4471997096891</v>
      </c>
      <c r="O63" s="623"/>
      <c r="P63" s="778" t="s">
        <v>623</v>
      </c>
      <c r="Q63" s="779" t="s">
        <v>1135</v>
      </c>
      <c r="R63" s="844" t="s">
        <v>1134</v>
      </c>
      <c r="S63" s="624">
        <f t="shared" si="30"/>
        <v>1</v>
      </c>
      <c r="T63" s="625">
        <f t="shared" si="30"/>
        <v>1</v>
      </c>
      <c r="U63" s="626">
        <v>793.5</v>
      </c>
      <c r="V63" s="626">
        <v>0</v>
      </c>
      <c r="W63" s="627">
        <f t="shared" si="39"/>
        <v>1071.2249999999999</v>
      </c>
      <c r="X63" s="628">
        <f t="shared" si="40"/>
        <v>0</v>
      </c>
      <c r="Y63" s="629">
        <f t="shared" si="41"/>
        <v>0</v>
      </c>
      <c r="Z63" s="629">
        <f t="shared" si="42"/>
        <v>0</v>
      </c>
      <c r="AA63" s="630">
        <f t="shared" si="36"/>
        <v>242.52419970968904</v>
      </c>
      <c r="AB63" s="631">
        <f t="shared" si="37"/>
        <v>1</v>
      </c>
      <c r="AC63" s="632">
        <f>V63/$V$68</f>
        <v>0</v>
      </c>
      <c r="AM63" s="1703">
        <f t="shared" si="7"/>
        <v>0</v>
      </c>
      <c r="AN63" s="1713"/>
    </row>
    <row r="64" spans="1:41" ht="64.650000000000006" customHeight="1" x14ac:dyDescent="0.7">
      <c r="A64" s="584">
        <v>66</v>
      </c>
      <c r="B64" s="608" t="s">
        <v>786</v>
      </c>
      <c r="C64" s="609" t="s">
        <v>175</v>
      </c>
      <c r="D64" s="633" t="s">
        <v>182</v>
      </c>
      <c r="E64" s="633" t="s">
        <v>179</v>
      </c>
      <c r="F64" s="839" t="s">
        <v>853</v>
      </c>
      <c r="G64" s="963" t="s">
        <v>1368</v>
      </c>
      <c r="H64" s="961">
        <v>72</v>
      </c>
      <c r="I64" s="961">
        <v>1</v>
      </c>
      <c r="J64" s="843">
        <v>114.75</v>
      </c>
      <c r="K64" s="621">
        <f t="shared" si="26"/>
        <v>8262</v>
      </c>
      <c r="L64" s="621">
        <f t="shared" si="27"/>
        <v>660.96</v>
      </c>
      <c r="M64" s="621">
        <f t="shared" si="28"/>
        <v>1870.5080053223653</v>
      </c>
      <c r="N64" s="622">
        <f t="shared" si="29"/>
        <v>10793.468005322364</v>
      </c>
      <c r="O64" s="623"/>
      <c r="P64" s="778" t="s">
        <v>623</v>
      </c>
      <c r="Q64" s="964" t="s">
        <v>1003</v>
      </c>
      <c r="R64" s="844" t="s">
        <v>1134</v>
      </c>
      <c r="S64" s="624">
        <v>1</v>
      </c>
      <c r="T64" s="625">
        <v>1</v>
      </c>
      <c r="U64" s="626">
        <v>11460</v>
      </c>
      <c r="V64" s="626">
        <v>11460</v>
      </c>
      <c r="W64" s="627">
        <f t="shared" si="39"/>
        <v>-3198</v>
      </c>
      <c r="X64" s="628">
        <f t="shared" si="40"/>
        <v>0</v>
      </c>
      <c r="Y64" s="629">
        <f t="shared" si="41"/>
        <v>0</v>
      </c>
      <c r="Z64" s="629">
        <f t="shared" si="42"/>
        <v>11460</v>
      </c>
      <c r="AA64" s="630">
        <f t="shared" si="36"/>
        <v>13330.508005322365</v>
      </c>
      <c r="AB64" s="631">
        <f t="shared" si="37"/>
        <v>-0.38707334785766156</v>
      </c>
      <c r="AC64" s="632">
        <f>V64/$V$68</f>
        <v>1</v>
      </c>
      <c r="AM64" s="1703">
        <f t="shared" si="7"/>
        <v>0</v>
      </c>
      <c r="AN64" s="1713">
        <v>11460</v>
      </c>
      <c r="AO64" s="1695" t="s">
        <v>1547</v>
      </c>
    </row>
    <row r="65" spans="1:40" ht="64.650000000000006" customHeight="1" x14ac:dyDescent="0.7">
      <c r="A65" s="584">
        <v>67</v>
      </c>
      <c r="B65" s="608" t="s">
        <v>787</v>
      </c>
      <c r="C65" s="609" t="s">
        <v>175</v>
      </c>
      <c r="D65" s="633" t="s">
        <v>182</v>
      </c>
      <c r="E65" s="633" t="s">
        <v>179</v>
      </c>
      <c r="F65" s="839" t="s">
        <v>854</v>
      </c>
      <c r="G65" s="963" t="s">
        <v>1369</v>
      </c>
      <c r="H65" s="961">
        <v>20</v>
      </c>
      <c r="I65" s="961">
        <v>1</v>
      </c>
      <c r="J65" s="843">
        <v>222.89</v>
      </c>
      <c r="K65" s="621">
        <f t="shared" si="26"/>
        <v>4457.7999999999993</v>
      </c>
      <c r="L65" s="621">
        <f t="shared" si="27"/>
        <v>356.62399999999997</v>
      </c>
      <c r="M65" s="621">
        <f t="shared" si="28"/>
        <v>1009.2411747913385</v>
      </c>
      <c r="N65" s="622">
        <f t="shared" si="29"/>
        <v>5823.6651747913374</v>
      </c>
      <c r="O65" s="623"/>
      <c r="P65" s="778" t="s">
        <v>623</v>
      </c>
      <c r="Q65" s="964" t="s">
        <v>1004</v>
      </c>
      <c r="R65" s="844" t="s">
        <v>1134</v>
      </c>
      <c r="S65" s="624">
        <f t="shared" si="30"/>
        <v>20</v>
      </c>
      <c r="T65" s="625">
        <v>0</v>
      </c>
      <c r="U65" s="626">
        <v>165</v>
      </c>
      <c r="V65" s="626">
        <v>0</v>
      </c>
      <c r="W65" s="627">
        <f t="shared" si="39"/>
        <v>4457.7999999999993</v>
      </c>
      <c r="X65" s="628">
        <f t="shared" si="40"/>
        <v>0</v>
      </c>
      <c r="Y65" s="629">
        <f t="shared" si="41"/>
        <v>0</v>
      </c>
      <c r="Z65" s="629">
        <f t="shared" si="42"/>
        <v>0</v>
      </c>
      <c r="AA65" s="630">
        <f t="shared" si="36"/>
        <v>1009.2411747913385</v>
      </c>
      <c r="AB65" s="631">
        <f t="shared" si="37"/>
        <v>1</v>
      </c>
      <c r="AC65" s="632">
        <f>V65/$V$68</f>
        <v>0</v>
      </c>
      <c r="AM65" s="1703">
        <f t="shared" si="7"/>
        <v>0</v>
      </c>
      <c r="AN65" s="1713"/>
    </row>
    <row r="66" spans="1:40" ht="64.650000000000006" customHeight="1" x14ac:dyDescent="0.7">
      <c r="A66" s="584">
        <v>68</v>
      </c>
      <c r="B66" s="608" t="s">
        <v>801</v>
      </c>
      <c r="C66" s="609" t="s">
        <v>175</v>
      </c>
      <c r="D66" s="633" t="s">
        <v>182</v>
      </c>
      <c r="E66" s="633" t="s">
        <v>179</v>
      </c>
      <c r="F66" s="839" t="s">
        <v>851</v>
      </c>
      <c r="G66" s="963" t="s">
        <v>1370</v>
      </c>
      <c r="H66" s="961">
        <v>200</v>
      </c>
      <c r="I66" s="961">
        <v>1</v>
      </c>
      <c r="J66" s="843">
        <v>1.9870000000000001</v>
      </c>
      <c r="K66" s="621">
        <f t="shared" si="26"/>
        <v>397.40000000000003</v>
      </c>
      <c r="L66" s="621">
        <f t="shared" si="27"/>
        <v>31.792000000000005</v>
      </c>
      <c r="M66" s="621">
        <f t="shared" si="28"/>
        <v>89.970936978347638</v>
      </c>
      <c r="N66" s="622">
        <f t="shared" si="29"/>
        <v>519.16293697834772</v>
      </c>
      <c r="O66" s="623"/>
      <c r="P66" s="778" t="s">
        <v>623</v>
      </c>
      <c r="Q66" s="779" t="s">
        <v>1137</v>
      </c>
      <c r="R66" s="844" t="s">
        <v>1134</v>
      </c>
      <c r="S66" s="624">
        <v>1</v>
      </c>
      <c r="T66" s="625">
        <f t="shared" ref="T66:T67" si="43">IF(I66&lt;&gt;"",I66,"")</f>
        <v>1</v>
      </c>
      <c r="U66" s="626">
        <v>235.2</v>
      </c>
      <c r="V66" s="626">
        <v>0</v>
      </c>
      <c r="W66" s="627">
        <f t="shared" si="39"/>
        <v>397.40000000000003</v>
      </c>
      <c r="X66" s="628">
        <f t="shared" si="40"/>
        <v>0</v>
      </c>
      <c r="Y66" s="629">
        <f t="shared" si="41"/>
        <v>0</v>
      </c>
      <c r="Z66" s="629">
        <f t="shared" si="42"/>
        <v>0</v>
      </c>
      <c r="AA66" s="630">
        <f t="shared" si="36"/>
        <v>89.970936978347638</v>
      </c>
      <c r="AB66" s="640">
        <f t="shared" si="37"/>
        <v>1</v>
      </c>
      <c r="AC66" s="632">
        <f>V66/$V$68</f>
        <v>0</v>
      </c>
      <c r="AM66" s="1703">
        <f t="shared" si="7"/>
        <v>0</v>
      </c>
      <c r="AN66" s="1713"/>
    </row>
    <row r="67" spans="1:40" ht="64.650000000000006" customHeight="1" x14ac:dyDescent="0.7">
      <c r="A67" s="646">
        <v>69</v>
      </c>
      <c r="B67" s="608" t="s">
        <v>842</v>
      </c>
      <c r="C67" s="647" t="s">
        <v>175</v>
      </c>
      <c r="D67" s="633" t="s">
        <v>182</v>
      </c>
      <c r="E67" s="633" t="s">
        <v>179</v>
      </c>
      <c r="F67" s="839" t="s">
        <v>891</v>
      </c>
      <c r="G67" s="963" t="s">
        <v>1371</v>
      </c>
      <c r="H67" s="965">
        <v>1</v>
      </c>
      <c r="I67" s="965">
        <v>1</v>
      </c>
      <c r="J67" s="966">
        <v>5572.8</v>
      </c>
      <c r="K67" s="967">
        <f t="shared" si="26"/>
        <v>5572.8</v>
      </c>
      <c r="L67" s="870">
        <f t="shared" si="27"/>
        <v>445.82400000000001</v>
      </c>
      <c r="M67" s="870">
        <f t="shared" si="28"/>
        <v>1261.6759879037131</v>
      </c>
      <c r="N67" s="944">
        <f t="shared" si="29"/>
        <v>7280.2999879037125</v>
      </c>
      <c r="O67" s="945"/>
      <c r="P67" s="778" t="s">
        <v>623</v>
      </c>
      <c r="Q67" s="779" t="s">
        <v>1136</v>
      </c>
      <c r="R67" s="844" t="s">
        <v>1134</v>
      </c>
      <c r="S67" s="968">
        <f>IF(H67&lt;&gt;"",H67,"")</f>
        <v>1</v>
      </c>
      <c r="T67" s="969">
        <f t="shared" si="43"/>
        <v>1</v>
      </c>
      <c r="U67" s="875">
        <v>4128</v>
      </c>
      <c r="V67" s="626">
        <v>0</v>
      </c>
      <c r="W67" s="627">
        <f t="shared" si="39"/>
        <v>5572.8</v>
      </c>
      <c r="X67" s="628">
        <f t="shared" si="40"/>
        <v>0</v>
      </c>
      <c r="Y67" s="629">
        <f t="shared" si="41"/>
        <v>0</v>
      </c>
      <c r="Z67" s="629">
        <f t="shared" si="42"/>
        <v>0</v>
      </c>
      <c r="AA67" s="879">
        <f t="shared" si="36"/>
        <v>1261.6759879037131</v>
      </c>
      <c r="AB67" s="631">
        <f t="shared" si="37"/>
        <v>1</v>
      </c>
      <c r="AC67" s="632">
        <f>V67/$V$68</f>
        <v>0</v>
      </c>
      <c r="AM67" s="1703">
        <f t="shared" si="7"/>
        <v>0</v>
      </c>
      <c r="AN67" s="1713"/>
    </row>
    <row r="68" spans="1:40" ht="50.1" customHeight="1" thickBot="1" x14ac:dyDescent="0.75">
      <c r="A68" s="633">
        <v>74</v>
      </c>
      <c r="B68" s="608" t="s">
        <v>705</v>
      </c>
      <c r="C68" s="634" t="s">
        <v>169</v>
      </c>
      <c r="D68" s="633"/>
      <c r="E68" s="633"/>
      <c r="F68" s="1553" t="s">
        <v>524</v>
      </c>
      <c r="G68" s="1554"/>
      <c r="H68" s="1554"/>
      <c r="I68" s="1554"/>
      <c r="J68" s="1554"/>
      <c r="K68" s="722">
        <f>SUM(K61:K67)</f>
        <v>19761.224999999999</v>
      </c>
      <c r="L68" s="722">
        <f>SUM(L61:L67)</f>
        <v>1580.8979999999999</v>
      </c>
      <c r="M68" s="722">
        <f>SUM(M61:M67)</f>
        <v>4473.9203047054534</v>
      </c>
      <c r="N68" s="729">
        <f>SUM(N61:N67)</f>
        <v>25816.04330470545</v>
      </c>
      <c r="O68" s="723"/>
      <c r="P68" s="723"/>
      <c r="Q68" s="723"/>
      <c r="S68" s="1553" t="s">
        <v>503</v>
      </c>
      <c r="T68" s="1554"/>
      <c r="U68" s="1554"/>
      <c r="V68" s="970">
        <f>SUM(V61:V67)</f>
        <v>11460</v>
      </c>
      <c r="W68" s="724">
        <f>SUM(W61:W67)</f>
        <v>8301.2249999999985</v>
      </c>
      <c r="X68" s="725"/>
      <c r="Y68" s="725"/>
      <c r="Z68" s="726">
        <f>SUM(Z61:Z67)</f>
        <v>11460</v>
      </c>
      <c r="AA68" s="727">
        <f>IF(S68&lt;&gt;"",Z68+M68,"")</f>
        <v>15933.920304705454</v>
      </c>
      <c r="AM68" s="1703"/>
      <c r="AN68" s="1713"/>
    </row>
    <row r="69" spans="1:40" ht="50.1" customHeight="1" thickBot="1" x14ac:dyDescent="0.75">
      <c r="A69" s="584">
        <v>75</v>
      </c>
      <c r="B69" s="608" t="s">
        <v>477</v>
      </c>
      <c r="C69" s="609"/>
      <c r="D69" s="584"/>
      <c r="E69" s="584"/>
      <c r="F69" s="1557" t="s">
        <v>524</v>
      </c>
      <c r="G69" s="1558"/>
      <c r="H69" s="1558"/>
      <c r="I69" s="1558"/>
      <c r="J69" s="1558"/>
      <c r="K69" s="711">
        <f>SUM(K61:K67)</f>
        <v>19761.224999999999</v>
      </c>
      <c r="L69" s="711">
        <f>SUM(L61:L67)</f>
        <v>1580.8979999999999</v>
      </c>
      <c r="M69" s="711">
        <f>SUM(M61:M67)</f>
        <v>4473.9203047054534</v>
      </c>
      <c r="N69" s="711">
        <f>SUM(N61:N67)</f>
        <v>25816.04330470545</v>
      </c>
      <c r="O69" s="711"/>
      <c r="P69" s="711"/>
      <c r="Q69" s="711"/>
      <c r="S69" s="1580" t="s">
        <v>524</v>
      </c>
      <c r="T69" s="1581"/>
      <c r="U69" s="1581"/>
      <c r="V69" s="711">
        <f>SUM(V61:V67)</f>
        <v>11460</v>
      </c>
      <c r="W69" s="755">
        <f>SUM(W61:W67)</f>
        <v>8301.2249999999985</v>
      </c>
      <c r="X69" s="756"/>
      <c r="Y69" s="756"/>
      <c r="Z69" s="757">
        <f>SUM(Z61:Z67)</f>
        <v>11460</v>
      </c>
      <c r="AA69" s="758">
        <f>IF(S69&lt;&gt;"",Z69+M69,"")</f>
        <v>15933.920304705454</v>
      </c>
      <c r="AM69" s="1703"/>
      <c r="AN69" s="1713"/>
    </row>
    <row r="70" spans="1:40" ht="50.1" customHeight="1" thickBot="1" x14ac:dyDescent="0.75">
      <c r="A70" s="584">
        <v>76</v>
      </c>
      <c r="B70" s="608">
        <v>8</v>
      </c>
      <c r="C70" s="609" t="s">
        <v>167</v>
      </c>
      <c r="D70" s="584"/>
      <c r="E70" s="584"/>
      <c r="F70" s="1534" t="s">
        <v>686</v>
      </c>
      <c r="G70" s="1535"/>
      <c r="H70" s="1535"/>
      <c r="I70" s="1535"/>
      <c r="J70" s="1535"/>
      <c r="K70" s="1535"/>
      <c r="L70" s="1535"/>
      <c r="M70" s="1535"/>
      <c r="N70" s="1610"/>
      <c r="O70" s="611"/>
      <c r="P70" s="611"/>
      <c r="Q70" s="611"/>
      <c r="S70" s="1395" t="str">
        <f>IF(F70&lt;&gt;"",F70,"")</f>
        <v xml:space="preserve">PLANEJAMENTO </v>
      </c>
      <c r="T70" s="1396"/>
      <c r="U70" s="1396"/>
      <c r="V70" s="1396"/>
      <c r="W70" s="1396"/>
      <c r="X70" s="1396"/>
      <c r="Y70" s="1396"/>
      <c r="Z70" s="1396"/>
      <c r="AA70" s="1563"/>
      <c r="AM70" s="1703"/>
      <c r="AN70" s="1713"/>
    </row>
    <row r="71" spans="1:40" ht="50.1" customHeight="1" thickBot="1" x14ac:dyDescent="0.75">
      <c r="A71" s="584">
        <v>77</v>
      </c>
      <c r="B71" s="608" t="s">
        <v>451</v>
      </c>
      <c r="C71" s="609" t="s">
        <v>169</v>
      </c>
      <c r="D71" s="584"/>
      <c r="E71" s="584"/>
      <c r="F71" s="1539" t="s">
        <v>686</v>
      </c>
      <c r="G71" s="1540"/>
      <c r="H71" s="1540"/>
      <c r="I71" s="1540"/>
      <c r="J71" s="1540"/>
      <c r="K71" s="1541"/>
      <c r="L71" s="612" t="s">
        <v>171</v>
      </c>
      <c r="M71" s="613" t="s">
        <v>172</v>
      </c>
      <c r="N71" s="971" t="s">
        <v>129</v>
      </c>
      <c r="O71" s="615"/>
      <c r="P71" s="615"/>
      <c r="Q71" s="615"/>
      <c r="S71" s="1547" t="str">
        <f>IF(F71&lt;&gt;"",F71,"")</f>
        <v xml:space="preserve">PLANEJAMENTO </v>
      </c>
      <c r="T71" s="1548"/>
      <c r="U71" s="1548"/>
      <c r="V71" s="1548"/>
      <c r="W71" s="1548"/>
      <c r="X71" s="1548"/>
      <c r="Y71" s="1548"/>
      <c r="Z71" s="1548"/>
      <c r="AA71" s="1579"/>
      <c r="AB71" s="616" t="s">
        <v>173</v>
      </c>
      <c r="AC71" s="617" t="s">
        <v>130</v>
      </c>
      <c r="AM71" s="1703"/>
      <c r="AN71" s="1713"/>
    </row>
    <row r="72" spans="1:40" ht="150" customHeight="1" x14ac:dyDescent="0.7">
      <c r="A72" s="584">
        <v>78</v>
      </c>
      <c r="B72" s="608" t="s">
        <v>453</v>
      </c>
      <c r="C72" s="609" t="s">
        <v>175</v>
      </c>
      <c r="D72" s="584" t="s">
        <v>182</v>
      </c>
      <c r="E72" s="584" t="s">
        <v>179</v>
      </c>
      <c r="F72" s="972" t="s">
        <v>684</v>
      </c>
      <c r="G72" s="973" t="s">
        <v>1372</v>
      </c>
      <c r="H72" s="974">
        <v>1</v>
      </c>
      <c r="I72" s="974">
        <v>0</v>
      </c>
      <c r="J72" s="975">
        <v>16000</v>
      </c>
      <c r="K72" s="976">
        <f>IF(F72&lt;&gt;"",H72*I72*J72,"")</f>
        <v>0</v>
      </c>
      <c r="L72" s="747">
        <f>IF(K72&lt;&gt;"",IF(D72="INTERNO",0,K72*$L$14),"")</f>
        <v>0</v>
      </c>
      <c r="M72" s="747">
        <f>IF(K72&lt;&gt;"",IF(E72="FAT.OGGI",SUM(K72:L72)*(1/(1-$M$14)-1),L72*(1/(1-$M$14)-1)),0)</f>
        <v>0</v>
      </c>
      <c r="N72" s="748">
        <f>SUM(K72:M72)</f>
        <v>0</v>
      </c>
      <c r="O72" s="623"/>
      <c r="P72" s="623"/>
      <c r="Q72" s="623"/>
      <c r="S72" s="853">
        <f>IF(H72&lt;&gt;"",H72,"")</f>
        <v>1</v>
      </c>
      <c r="T72" s="854">
        <v>0</v>
      </c>
      <c r="U72" s="626">
        <v>16000</v>
      </c>
      <c r="V72" s="626">
        <f t="shared" ref="V72:V73" si="44">IF(S72&lt;&gt;"",S72*T72*U72,"")</f>
        <v>0</v>
      </c>
      <c r="W72" s="627">
        <f t="shared" ref="W72:W73" si="45">IF(S72&lt;&gt;"",K72-V72,"")</f>
        <v>0</v>
      </c>
      <c r="X72" s="628">
        <f t="shared" ref="X72:X73" si="46">IF(S72&lt;&gt;"",0%,"")</f>
        <v>0</v>
      </c>
      <c r="Y72" s="629">
        <f t="shared" ref="Y72:Y73" si="47">IF(S72&lt;&gt;"",X72*W72,"")</f>
        <v>0</v>
      </c>
      <c r="Z72" s="629">
        <f t="shared" ref="Z72:Z73" si="48">IF(S72&lt;&gt;"",Y72+V72,"")</f>
        <v>0</v>
      </c>
      <c r="AA72" s="630">
        <f>IF(S72&lt;&gt;"",Z72+M72,"")</f>
        <v>0</v>
      </c>
      <c r="AB72" s="631">
        <f t="shared" ref="AB72:AB73" si="49">IF(S72&lt;&gt;"", IFERROR(W72/K72, 0), 0)</f>
        <v>0</v>
      </c>
      <c r="AC72" s="632">
        <f>V72/$V$68</f>
        <v>0</v>
      </c>
      <c r="AM72" s="1703">
        <f t="shared" si="7"/>
        <v>0</v>
      </c>
      <c r="AN72" s="1713"/>
    </row>
    <row r="73" spans="1:40" ht="150" customHeight="1" x14ac:dyDescent="0.7">
      <c r="A73" s="584">
        <v>79</v>
      </c>
      <c r="B73" s="608" t="s">
        <v>454</v>
      </c>
      <c r="C73" s="609" t="s">
        <v>175</v>
      </c>
      <c r="D73" s="584" t="s">
        <v>182</v>
      </c>
      <c r="E73" s="584" t="s">
        <v>179</v>
      </c>
      <c r="F73" s="845" t="s">
        <v>706</v>
      </c>
      <c r="G73" s="846" t="s">
        <v>1373</v>
      </c>
      <c r="H73" s="977">
        <v>1</v>
      </c>
      <c r="I73" s="977">
        <v>0</v>
      </c>
      <c r="J73" s="978">
        <v>24000</v>
      </c>
      <c r="K73" s="979">
        <f>IF(F73&lt;&gt;"",H73*I73*J73,"")</f>
        <v>0</v>
      </c>
      <c r="L73" s="870">
        <f>IF(K73&lt;&gt;"",IF(D73="INTERNO",0,K73*$L$14),"")</f>
        <v>0</v>
      </c>
      <c r="M73" s="870">
        <f>IF(K73&lt;&gt;"",IF(E73="FAT.OGGI",SUM(K73:L73)*(1/(1-$M$14)-1),L73*(1/(1-$M$14)-1)),0)</f>
        <v>0</v>
      </c>
      <c r="N73" s="944">
        <f>SUM(K73:M73)</f>
        <v>0</v>
      </c>
      <c r="O73" s="980"/>
      <c r="P73" s="980"/>
      <c r="Q73" s="980"/>
      <c r="S73" s="853">
        <f>IF(H73&lt;&gt;"",H73,"")</f>
        <v>1</v>
      </c>
      <c r="T73" s="854">
        <f>IF(I73&lt;&gt;"",I73,"")</f>
        <v>0</v>
      </c>
      <c r="U73" s="981">
        <v>35000</v>
      </c>
      <c r="V73" s="626">
        <f t="shared" si="44"/>
        <v>0</v>
      </c>
      <c r="W73" s="627">
        <f t="shared" si="45"/>
        <v>0</v>
      </c>
      <c r="X73" s="628">
        <f t="shared" si="46"/>
        <v>0</v>
      </c>
      <c r="Y73" s="629">
        <f t="shared" si="47"/>
        <v>0</v>
      </c>
      <c r="Z73" s="629">
        <f t="shared" si="48"/>
        <v>0</v>
      </c>
      <c r="AA73" s="630">
        <f>IF(S73&lt;&gt;"",Z73+M73,"")</f>
        <v>0</v>
      </c>
      <c r="AB73" s="631">
        <f t="shared" si="49"/>
        <v>0</v>
      </c>
      <c r="AC73" s="632">
        <f>V73/$V$68</f>
        <v>0</v>
      </c>
      <c r="AM73" s="1703">
        <f t="shared" si="7"/>
        <v>0</v>
      </c>
      <c r="AN73" s="1713"/>
    </row>
    <row r="74" spans="1:40" ht="50.1" customHeight="1" thickBot="1" x14ac:dyDescent="0.75">
      <c r="A74" s="584">
        <v>82</v>
      </c>
      <c r="B74" s="608"/>
      <c r="C74" s="609" t="s">
        <v>184</v>
      </c>
      <c r="D74" s="584"/>
      <c r="E74" s="584"/>
      <c r="F74" s="1598" t="s">
        <v>687</v>
      </c>
      <c r="G74" s="1599"/>
      <c r="H74" s="1599"/>
      <c r="I74" s="1599"/>
      <c r="J74" s="1599"/>
      <c r="K74" s="982">
        <f>SUM(K72:K73)</f>
        <v>0</v>
      </c>
      <c r="L74" s="740">
        <f>SUM(L72:L73)</f>
        <v>0</v>
      </c>
      <c r="M74" s="740">
        <f>SUM(M72:M73)</f>
        <v>0</v>
      </c>
      <c r="N74" s="983">
        <f>SUM(N72:N73)</f>
        <v>0</v>
      </c>
      <c r="O74" s="723"/>
      <c r="P74" s="723"/>
      <c r="Q74" s="723"/>
      <c r="S74" s="1600">
        <f>SUM(S72:S73)</f>
        <v>2</v>
      </c>
      <c r="T74" s="1601"/>
      <c r="U74" s="1601"/>
      <c r="V74" s="984">
        <f>SUM(V72:V73)</f>
        <v>0</v>
      </c>
      <c r="W74" s="985">
        <f>SUM(W72:W73)</f>
        <v>0</v>
      </c>
      <c r="X74" s="885">
        <f>SUM(X72:X73)</f>
        <v>0</v>
      </c>
      <c r="Y74" s="885"/>
      <c r="Z74" s="986">
        <f>SUM(Z72:Z73)</f>
        <v>0</v>
      </c>
      <c r="AA74" s="987">
        <f>IF(S74&lt;&gt;"",Z74+M74,"")</f>
        <v>0</v>
      </c>
      <c r="AM74" s="1703"/>
      <c r="AN74" s="1713"/>
    </row>
    <row r="75" spans="1:40" ht="50.1" customHeight="1" thickBot="1" x14ac:dyDescent="0.75">
      <c r="A75" s="584">
        <v>83</v>
      </c>
      <c r="B75" s="608"/>
      <c r="C75" s="609" t="s">
        <v>183</v>
      </c>
      <c r="D75" s="584"/>
      <c r="E75" s="584"/>
      <c r="F75" s="1529" t="s">
        <v>687</v>
      </c>
      <c r="G75" s="1530"/>
      <c r="H75" s="1530"/>
      <c r="I75" s="1530"/>
      <c r="J75" s="1530"/>
      <c r="K75" s="711">
        <f>SUM(K72:K73)</f>
        <v>0</v>
      </c>
      <c r="L75" s="711">
        <f>SUM(L72:L73)</f>
        <v>0</v>
      </c>
      <c r="M75" s="711">
        <f>SUM(M72:M73)</f>
        <v>0</v>
      </c>
      <c r="N75" s="802">
        <f>SUM(N72:N73)</f>
        <v>0</v>
      </c>
      <c r="O75" s="711"/>
      <c r="P75" s="711"/>
      <c r="Q75" s="711"/>
      <c r="S75" s="1585">
        <f>SUM(S72:S73)</f>
        <v>2</v>
      </c>
      <c r="T75" s="1581"/>
      <c r="U75" s="1581"/>
      <c r="V75" s="988">
        <f>SUM(V72:V73)</f>
        <v>0</v>
      </c>
      <c r="W75" s="755">
        <f>SUM(W72:W73)</f>
        <v>0</v>
      </c>
      <c r="X75" s="989">
        <f>SUM(X72:X73)</f>
        <v>0</v>
      </c>
      <c r="Y75" s="756"/>
      <c r="Z75" s="757">
        <f>SUM(Z72:Z73)</f>
        <v>0</v>
      </c>
      <c r="AA75" s="990">
        <f t="shared" ref="AA75" si="50">IF(S75&lt;&gt;"",Z75+M75,"")</f>
        <v>0</v>
      </c>
      <c r="AB75" s="991" t="s">
        <v>235</v>
      </c>
      <c r="AC75" s="992" t="s">
        <v>549</v>
      </c>
      <c r="AM75" s="1703"/>
      <c r="AN75" s="1713"/>
    </row>
    <row r="76" spans="1:40" ht="50.1" customHeight="1" thickBot="1" x14ac:dyDescent="0.75">
      <c r="A76" s="584">
        <v>84</v>
      </c>
      <c r="B76" s="608">
        <v>9</v>
      </c>
      <c r="C76" s="609" t="s">
        <v>167</v>
      </c>
      <c r="D76" s="584"/>
      <c r="E76" s="584"/>
      <c r="F76" s="1534" t="s">
        <v>937</v>
      </c>
      <c r="G76" s="1535"/>
      <c r="H76" s="1535"/>
      <c r="I76" s="1535"/>
      <c r="J76" s="1535"/>
      <c r="K76" s="1535"/>
      <c r="L76" s="1535"/>
      <c r="M76" s="1535"/>
      <c r="N76" s="1613"/>
      <c r="O76" s="611"/>
      <c r="P76" s="611"/>
      <c r="Q76" s="611"/>
      <c r="S76" s="993" t="str">
        <f>IF(F76&lt;&gt;"",F76,"")</f>
        <v xml:space="preserve">EQUIPE </v>
      </c>
      <c r="T76" s="751"/>
      <c r="U76" s="752"/>
      <c r="V76" s="752"/>
      <c r="W76" s="752"/>
      <c r="X76" s="752"/>
      <c r="Y76" s="752"/>
      <c r="Z76" s="752"/>
      <c r="AA76" s="752"/>
      <c r="AB76" s="994"/>
      <c r="AC76" s="995"/>
      <c r="AM76" s="1703"/>
      <c r="AN76" s="1713"/>
    </row>
    <row r="77" spans="1:40" ht="50.1" customHeight="1" x14ac:dyDescent="0.7">
      <c r="A77" s="584">
        <v>85</v>
      </c>
      <c r="B77" s="608" t="s">
        <v>475</v>
      </c>
      <c r="C77" s="609" t="s">
        <v>169</v>
      </c>
      <c r="D77" s="584"/>
      <c r="E77" s="584"/>
      <c r="F77" s="1539" t="s">
        <v>938</v>
      </c>
      <c r="G77" s="1540"/>
      <c r="H77" s="1540"/>
      <c r="I77" s="1540"/>
      <c r="J77" s="1540"/>
      <c r="K77" s="1541"/>
      <c r="L77" s="996" t="s">
        <v>171</v>
      </c>
      <c r="M77" s="910" t="s">
        <v>172</v>
      </c>
      <c r="N77" s="997" t="s">
        <v>129</v>
      </c>
      <c r="O77" s="912"/>
      <c r="P77" s="912"/>
      <c r="Q77" s="912"/>
      <c r="S77" s="998" t="str">
        <f>IF(F77&lt;&gt;"",F77,"")</f>
        <v>EQUIIPES E SERVIÇOS</v>
      </c>
      <c r="T77" s="753"/>
      <c r="U77" s="754"/>
      <c r="V77" s="754"/>
      <c r="W77" s="754"/>
      <c r="X77" s="754"/>
      <c r="Y77" s="754"/>
      <c r="Z77" s="754"/>
      <c r="AA77" s="754"/>
      <c r="AB77" s="999" t="s">
        <v>173</v>
      </c>
      <c r="AC77" s="617" t="s">
        <v>130</v>
      </c>
      <c r="AM77" s="1703"/>
      <c r="AN77" s="1713"/>
    </row>
    <row r="78" spans="1:40" ht="150" customHeight="1" x14ac:dyDescent="0.7">
      <c r="A78" s="584">
        <v>86</v>
      </c>
      <c r="B78" s="608" t="s">
        <v>477</v>
      </c>
      <c r="C78" s="609" t="s">
        <v>175</v>
      </c>
      <c r="D78" s="633" t="s">
        <v>182</v>
      </c>
      <c r="E78" s="633" t="s">
        <v>179</v>
      </c>
      <c r="F78" s="1000" t="s">
        <v>288</v>
      </c>
      <c r="G78" s="703" t="s">
        <v>1374</v>
      </c>
      <c r="H78" s="1001">
        <v>7</v>
      </c>
      <c r="I78" s="1001">
        <v>5</v>
      </c>
      <c r="J78" s="694">
        <v>350</v>
      </c>
      <c r="K78" s="694">
        <f>IF(F78&lt;&gt;"",H78*I78*J78,"")</f>
        <v>12250</v>
      </c>
      <c r="L78" s="694">
        <f>IF(K78&lt;&gt;"",IF(D78="INTERNO",0,K78*$L$14),"")</f>
        <v>980</v>
      </c>
      <c r="M78" s="694">
        <f>IF(K78&lt;&gt;"",IF(E78="FAT.OGGI",SUM(K78:L78)*(1/(1-$M$14)-1),L78*(1/(1-$M$14)-1)),0)</f>
        <v>2773.3869602032169</v>
      </c>
      <c r="N78" s="704">
        <f>SUM(K78:M78)</f>
        <v>16003.386960203217</v>
      </c>
      <c r="O78" s="705"/>
      <c r="P78" s="705"/>
      <c r="Q78" s="705"/>
      <c r="R78" s="844" t="s">
        <v>1134</v>
      </c>
      <c r="S78" s="1002">
        <v>7</v>
      </c>
      <c r="T78" s="1003">
        <v>5</v>
      </c>
      <c r="U78" s="643">
        <v>291.43</v>
      </c>
      <c r="V78" s="643">
        <v>0</v>
      </c>
      <c r="W78" s="667">
        <f>IF(S78&lt;&gt;"",K78-V78,"")</f>
        <v>12250</v>
      </c>
      <c r="X78" s="668">
        <f>IF(S78&lt;&gt;"",0%,"")</f>
        <v>0</v>
      </c>
      <c r="Y78" s="669">
        <f>IF(S78&lt;&gt;"",X78*W78,"")</f>
        <v>0</v>
      </c>
      <c r="Z78" s="629">
        <f t="shared" ref="Z78:Z81" si="51">IF(S78&lt;&gt;"",Y78+V78,"")</f>
        <v>0</v>
      </c>
      <c r="AA78" s="653">
        <f>IF(S78&lt;&gt;"",Z78+M78,"")</f>
        <v>2773.3869602032169</v>
      </c>
      <c r="AB78" s="632">
        <f t="shared" ref="AB78:AB81" si="52">IF(S78&lt;&gt;"", IFERROR(W78/K78, 0), 0)</f>
        <v>1</v>
      </c>
      <c r="AC78" s="632">
        <f>V78/$V$68</f>
        <v>0</v>
      </c>
      <c r="AD78" s="883"/>
      <c r="AM78" s="1703">
        <f t="shared" si="7"/>
        <v>0</v>
      </c>
      <c r="AN78" s="1713"/>
    </row>
    <row r="79" spans="1:40" ht="150" customHeight="1" x14ac:dyDescent="0.7">
      <c r="A79" s="584">
        <v>87</v>
      </c>
      <c r="B79" s="608" t="s">
        <v>478</v>
      </c>
      <c r="C79" s="609" t="s">
        <v>175</v>
      </c>
      <c r="D79" s="633" t="s">
        <v>182</v>
      </c>
      <c r="E79" s="633" t="s">
        <v>179</v>
      </c>
      <c r="F79" s="1004" t="s">
        <v>289</v>
      </c>
      <c r="G79" s="1005" t="s">
        <v>1375</v>
      </c>
      <c r="H79" s="1006">
        <v>4</v>
      </c>
      <c r="I79" s="1006">
        <v>6</v>
      </c>
      <c r="J79" s="1007">
        <v>280</v>
      </c>
      <c r="K79" s="1007">
        <f>IF(F79&lt;&gt;"",H79*I79*J79,"")</f>
        <v>6720</v>
      </c>
      <c r="L79" s="1007">
        <f>IF(K79&lt;&gt;"",IF(D79="INTERNO",0,K79*$L$14),"")</f>
        <v>537.6</v>
      </c>
      <c r="M79" s="1007">
        <f>IF(K79&lt;&gt;"",IF(E79="FAT.OGGI",SUM(K79:L79)*(1/(1-$M$14)-1),L79*(1/(1-$M$14)-1)),0)</f>
        <v>1521.4008467400504</v>
      </c>
      <c r="N79" s="1008">
        <f>SUM(K79:M79)</f>
        <v>8779.0008467400512</v>
      </c>
      <c r="O79" s="1009"/>
      <c r="P79" s="1009"/>
      <c r="Q79" s="1009" t="s">
        <v>1005</v>
      </c>
      <c r="R79" s="844" t="s">
        <v>1134</v>
      </c>
      <c r="S79" s="1002">
        <f t="shared" ref="S79:T80" si="53">IF(H79&lt;&gt;"",H79,"")</f>
        <v>4</v>
      </c>
      <c r="T79" s="1003">
        <f t="shared" si="53"/>
        <v>6</v>
      </c>
      <c r="U79" s="643">
        <v>280</v>
      </c>
      <c r="V79" s="643">
        <v>0</v>
      </c>
      <c r="W79" s="667">
        <f>IF(S79&lt;&gt;"",K79-V79,"")</f>
        <v>6720</v>
      </c>
      <c r="X79" s="668">
        <f>IF(S79&lt;&gt;"",0%,"")</f>
        <v>0</v>
      </c>
      <c r="Y79" s="669">
        <f>IF(S79&lt;&gt;"",X79*W79,"")</f>
        <v>0</v>
      </c>
      <c r="Z79" s="629">
        <f t="shared" si="51"/>
        <v>0</v>
      </c>
      <c r="AA79" s="653">
        <f>IF(S79&lt;&gt;"",Z79+M79,"")</f>
        <v>1521.4008467400504</v>
      </c>
      <c r="AB79" s="632">
        <f t="shared" si="52"/>
        <v>1</v>
      </c>
      <c r="AC79" s="632">
        <f>V79/$V$68</f>
        <v>0</v>
      </c>
      <c r="AD79" s="883"/>
      <c r="AM79" s="1703">
        <f t="shared" si="7"/>
        <v>0</v>
      </c>
      <c r="AN79" s="1713"/>
    </row>
    <row r="80" spans="1:40" ht="150" customHeight="1" x14ac:dyDescent="0.7">
      <c r="A80" s="584">
        <v>89</v>
      </c>
      <c r="B80" s="608" t="s">
        <v>480</v>
      </c>
      <c r="C80" s="609" t="s">
        <v>175</v>
      </c>
      <c r="D80" s="633" t="s">
        <v>182</v>
      </c>
      <c r="E80" s="633" t="s">
        <v>179</v>
      </c>
      <c r="F80" s="1004" t="s">
        <v>290</v>
      </c>
      <c r="G80" s="1010" t="s">
        <v>1376</v>
      </c>
      <c r="H80" s="1006">
        <v>5</v>
      </c>
      <c r="I80" s="1006">
        <v>1</v>
      </c>
      <c r="J80" s="1007">
        <v>450</v>
      </c>
      <c r="K80" s="1007">
        <f>IF(F80&lt;&gt;"",H80*I80*J80,"")</f>
        <v>2250</v>
      </c>
      <c r="L80" s="1007">
        <f>IF(K80&lt;&gt;"",IF(D80="INTERNO",0,K80*$L$14),"")</f>
        <v>180</v>
      </c>
      <c r="M80" s="1007">
        <f>IF(K80&lt;&gt;"",IF(E80="FAT.OGGI",SUM(K80:L80)*(1/(1-$M$14)-1),L80*(1/(1-$M$14)-1)),0)</f>
        <v>509.39760493528468</v>
      </c>
      <c r="N80" s="1008">
        <f>SUM(K80:M80)</f>
        <v>2939.3976049352846</v>
      </c>
      <c r="O80" s="705"/>
      <c r="P80" s="705"/>
      <c r="Q80" s="1009" t="s">
        <v>1005</v>
      </c>
      <c r="R80" s="844" t="s">
        <v>1134</v>
      </c>
      <c r="S80" s="1002">
        <f t="shared" si="53"/>
        <v>5</v>
      </c>
      <c r="T80" s="1003">
        <f t="shared" si="53"/>
        <v>1</v>
      </c>
      <c r="U80" s="643">
        <v>420</v>
      </c>
      <c r="V80" s="643">
        <v>0</v>
      </c>
      <c r="W80" s="667">
        <f>IF(S80&lt;&gt;"",K80-V80,"")</f>
        <v>2250</v>
      </c>
      <c r="X80" s="668">
        <f>IF(S80&lt;&gt;"",0%,"")</f>
        <v>0</v>
      </c>
      <c r="Y80" s="669">
        <f>IF(S80&lt;&gt;"",X80*W80,"")</f>
        <v>0</v>
      </c>
      <c r="Z80" s="629">
        <f t="shared" si="51"/>
        <v>0</v>
      </c>
      <c r="AA80" s="653">
        <f>IF(S80&lt;&gt;"",Z80+M80,"")</f>
        <v>509.39760493528468</v>
      </c>
      <c r="AB80" s="632">
        <f t="shared" si="52"/>
        <v>1</v>
      </c>
      <c r="AC80" s="632">
        <f>V80/$V$68</f>
        <v>0</v>
      </c>
      <c r="AD80" s="883"/>
      <c r="AM80" s="1703">
        <f t="shared" si="7"/>
        <v>0</v>
      </c>
      <c r="AN80" s="1713"/>
    </row>
    <row r="81" spans="1:42" ht="150" customHeight="1" x14ac:dyDescent="0.7">
      <c r="A81" s="584">
        <v>90</v>
      </c>
      <c r="B81" s="608" t="s">
        <v>481</v>
      </c>
      <c r="C81" s="609" t="s">
        <v>175</v>
      </c>
      <c r="D81" s="633" t="s">
        <v>182</v>
      </c>
      <c r="E81" s="633" t="s">
        <v>179</v>
      </c>
      <c r="F81" s="1011" t="s">
        <v>537</v>
      </c>
      <c r="G81" s="840" t="s">
        <v>1377</v>
      </c>
      <c r="H81" s="1012">
        <v>4</v>
      </c>
      <c r="I81" s="1012">
        <v>1</v>
      </c>
      <c r="J81" s="843">
        <v>3500</v>
      </c>
      <c r="K81" s="843">
        <f>IF(F81&lt;&gt;"",H81*I81*J81,"")</f>
        <v>14000</v>
      </c>
      <c r="L81" s="843">
        <f>IF(K81&lt;&gt;"",IF(D81="INTERNO",0,K81*$L$14),"")</f>
        <v>1120</v>
      </c>
      <c r="M81" s="843">
        <f>IF(K81&lt;&gt;"",IF(E81="FAT.OGGI",SUM(K81:L81)*(1/(1-$M$14)-1),L81*(1/(1-$M$14)-1)),0)</f>
        <v>3169.5850973751049</v>
      </c>
      <c r="N81" s="1013">
        <f>SUM(K81:M81)</f>
        <v>18289.585097375104</v>
      </c>
      <c r="O81" s="705"/>
      <c r="P81" s="705"/>
      <c r="Q81" s="705"/>
      <c r="R81" s="844" t="s">
        <v>1134</v>
      </c>
      <c r="S81" s="1002">
        <v>1</v>
      </c>
      <c r="T81" s="1003">
        <f>IF(I81&lt;&gt;"",I81,"")</f>
        <v>1</v>
      </c>
      <c r="U81" s="643">
        <v>7200</v>
      </c>
      <c r="V81" s="643">
        <v>0</v>
      </c>
      <c r="W81" s="667">
        <f>IF(S81&lt;&gt;"",K81-V81,"")</f>
        <v>14000</v>
      </c>
      <c r="X81" s="668">
        <f>IF(S81&lt;&gt;"",0%,"")</f>
        <v>0</v>
      </c>
      <c r="Y81" s="669">
        <f>IF(S81&lt;&gt;"",X81*W81,"")</f>
        <v>0</v>
      </c>
      <c r="Z81" s="629">
        <f t="shared" si="51"/>
        <v>0</v>
      </c>
      <c r="AA81" s="653">
        <f>IF(S81&lt;&gt;"",Z81+M81,"")</f>
        <v>3169.5850973751049</v>
      </c>
      <c r="AB81" s="632">
        <f t="shared" si="52"/>
        <v>1</v>
      </c>
      <c r="AC81" s="632">
        <f>V81/$V$68</f>
        <v>0</v>
      </c>
      <c r="AD81" s="883"/>
      <c r="AM81" s="1703">
        <f t="shared" si="7"/>
        <v>0</v>
      </c>
      <c r="AN81" s="1713"/>
    </row>
    <row r="82" spans="1:42" ht="50.1" customHeight="1" thickBot="1" x14ac:dyDescent="0.75">
      <c r="A82" s="584">
        <v>91</v>
      </c>
      <c r="B82" s="1014"/>
      <c r="C82" s="584" t="s">
        <v>184</v>
      </c>
      <c r="D82" s="584"/>
      <c r="E82" s="584"/>
      <c r="F82" s="1559" t="s">
        <v>191</v>
      </c>
      <c r="G82" s="1560"/>
      <c r="H82" s="1560"/>
      <c r="I82" s="1560"/>
      <c r="J82" s="1560"/>
      <c r="K82" s="740">
        <f>SUM(K78:K81)</f>
        <v>35220</v>
      </c>
      <c r="L82" s="740">
        <f>SUM(L78:L81)</f>
        <v>2817.6</v>
      </c>
      <c r="M82" s="740">
        <f>SUM(M78:M81)</f>
        <v>7973.7705092536571</v>
      </c>
      <c r="N82" s="1015">
        <f>SUM(N78:N81)</f>
        <v>46011.370509253655</v>
      </c>
      <c r="O82" s="723"/>
      <c r="P82" s="723"/>
      <c r="Q82" s="723"/>
      <c r="S82" s="1565">
        <f>SUM(S78:S81)</f>
        <v>17</v>
      </c>
      <c r="T82" s="1554"/>
      <c r="U82" s="1554"/>
      <c r="V82" s="970">
        <f>SUM(V79:V81)</f>
        <v>0</v>
      </c>
      <c r="W82" s="724">
        <f>SUM(W79:W81)</f>
        <v>22970</v>
      </c>
      <c r="X82" s="1016">
        <f>SUM(X78:X81)</f>
        <v>0</v>
      </c>
      <c r="Y82" s="725"/>
      <c r="Z82" s="726">
        <f>SUM(Z79:Z81)</f>
        <v>0</v>
      </c>
      <c r="AA82" s="727">
        <f t="shared" ref="AA82:AA83" si="54">IF(S82&lt;&gt;"",Z82+M82,"")</f>
        <v>7973.7705092536571</v>
      </c>
      <c r="AB82" s="1017" t="str">
        <f t="shared" ref="AB82" si="55">IF(T82&lt;&gt;"",AA82+M82,"")</f>
        <v/>
      </c>
      <c r="AC82" s="995"/>
      <c r="AM82" s="1703"/>
      <c r="AN82" s="1713"/>
    </row>
    <row r="83" spans="1:42" ht="50.1" customHeight="1" thickBot="1" x14ac:dyDescent="0.75">
      <c r="A83" s="1018">
        <v>92</v>
      </c>
      <c r="B83" s="1019"/>
      <c r="C83" s="584" t="s">
        <v>183</v>
      </c>
      <c r="D83" s="584"/>
      <c r="E83" s="584"/>
      <c r="F83" s="1529" t="s">
        <v>191</v>
      </c>
      <c r="G83" s="1530"/>
      <c r="H83" s="1530"/>
      <c r="I83" s="1530"/>
      <c r="J83" s="1530"/>
      <c r="K83" s="711">
        <f>SUM(K78:K81)</f>
        <v>35220</v>
      </c>
      <c r="L83" s="711">
        <f>SUM(L78:L81)</f>
        <v>2817.6</v>
      </c>
      <c r="M83" s="711">
        <f>SUM(M78:M81)</f>
        <v>7973.7705092536571</v>
      </c>
      <c r="N83" s="802">
        <f>SUM(N78:N81)</f>
        <v>46011.370509253655</v>
      </c>
      <c r="O83" s="711"/>
      <c r="P83" s="711"/>
      <c r="Q83" s="711"/>
      <c r="S83" s="1585">
        <f>SUM(S78:S81)</f>
        <v>17</v>
      </c>
      <c r="T83" s="1581"/>
      <c r="U83" s="1581"/>
      <c r="V83" s="988">
        <f>SUM(V79:V81)</f>
        <v>0</v>
      </c>
      <c r="W83" s="755">
        <f>SUM(W79:W81)</f>
        <v>22970</v>
      </c>
      <c r="X83" s="989">
        <f>SUM(X78:X81)</f>
        <v>0</v>
      </c>
      <c r="Y83" s="756"/>
      <c r="Z83" s="757">
        <f>SUM(Z79:Z81)</f>
        <v>0</v>
      </c>
      <c r="AA83" s="990">
        <f t="shared" si="54"/>
        <v>7973.7705092536571</v>
      </c>
      <c r="AB83" s="991" t="s">
        <v>235</v>
      </c>
      <c r="AC83" s="1020" t="s">
        <v>549</v>
      </c>
      <c r="AM83" s="1703"/>
      <c r="AN83" s="1713"/>
    </row>
    <row r="84" spans="1:42" ht="50.1" customHeight="1" thickBot="1" x14ac:dyDescent="0.75">
      <c r="A84" s="1021">
        <v>93</v>
      </c>
      <c r="B84" s="1022"/>
      <c r="C84" s="646" t="s">
        <v>186</v>
      </c>
      <c r="D84" s="646"/>
      <c r="E84" s="646"/>
      <c r="F84" s="1023" t="s">
        <v>187</v>
      </c>
      <c r="G84" s="1024"/>
      <c r="H84" s="1024"/>
      <c r="I84" s="1024"/>
      <c r="J84" s="1024"/>
      <c r="K84" s="1025">
        <f>SUM(K17:K18)+SUM(K23:K30)+SUM(K35:K37)+SUM(K41:K42)+SUM(K47:K48)+SUM(K53:K56)+SUM(K59:K59)+SUM(K61:K67)+SUM(K72:K73)+SUM(K78:K81)</f>
        <v>209981.22500000001</v>
      </c>
      <c r="L84" s="1025">
        <f>SUM(L17:L18)+SUM(L23:L30)+SUM(L35:L37)+SUM(L41:L42)+SUM(L47:L48)+SUM(L53:L56)+SUM(L59:L59)+SUM(L61:L67)+SUM(L72:L73)+SUM(L78:L81)</f>
        <v>16690.498</v>
      </c>
      <c r="M84" s="1025">
        <f>SUM(M17:M18)+SUM(M23:M30)+SUM(M35:M37)+SUM(M41:M42)+SUM(M47:M48)+SUM(M53:M56)+SUM(M59:M59)+SUM(M61:M67)+SUM(M72:M73)+SUM(M78:M81)</f>
        <v>19636.276274222808</v>
      </c>
      <c r="N84" s="1025">
        <f>SUM(N17:N18)+SUM(N23:N30)+SUM(N35:N37)+SUM(N41:N42)+SUM(N47:N48)+SUM(N53:N56)+SUM(N59:N59)+SUM(N61:N67)+SUM(N72:N73)+SUM(N78:N81)</f>
        <v>246307.99927422276</v>
      </c>
      <c r="O84" s="1026"/>
      <c r="P84" s="1026"/>
      <c r="Q84" s="1026"/>
      <c r="S84" s="1023" t="s">
        <v>43</v>
      </c>
      <c r="T84" s="1027">
        <f>SUM(T17:T18)+SUM(T23:T30)+SUM(T35:T37)+SUM(T41:T42)+SUM(T47:T48)+SUM(T53:T56)+SUM(T59:T59)+SUM(T61:T67)+SUM(T72:T73)+SUM(T78:T81)</f>
        <v>25</v>
      </c>
      <c r="U84" s="1028"/>
      <c r="V84" s="1029">
        <f>SUM(V17:V18)+SUM(V23:V30)+SUM(V35:V37)+SUM(V41:V42)+SUM(V47:V48)+SUM(V53:V56)+SUM(V61:V67)+SUM(V72:V73)+SUM(V78:V81)</f>
        <v>11460</v>
      </c>
      <c r="W84" s="1029">
        <f>SUM(W17:W18)+SUM(W23:W30)+SUM(W35:W37)+SUM(W41:W42)+SUM(W47:W48)+SUM(W53:W56)+SUM(W61:W67)+SUM(W72:W73)+SUM(W78:W81)</f>
        <v>198521.22500000001</v>
      </c>
      <c r="X84" s="1029"/>
      <c r="Y84" s="1029"/>
      <c r="Z84" s="1029">
        <f>SUM(Z17:Z18)+SUM(Z23:Z30)+SUM(Z35:Z37)+SUM(Z41:Z42)+SUM(Z47:Z48)+SUM(Z53:Z56)+SUM(Z61:Z67)+SUM(Z72:Z73)+SUM(Z78:Z81)</f>
        <v>11460</v>
      </c>
      <c r="AA84" s="1029">
        <f>SUM(AA17:AA18)+SUM(AA23:AA30)+SUM(AA35:AA37)+SUM(AA41:AA42)+SUM(AA47:AA48)+SUM(AA53:AA56)+SUM(AA61:AA67)+SUM(AA72:AA73)+SUM(AA78:AA81)</f>
        <v>31096.276274222808</v>
      </c>
      <c r="AB84" s="1030">
        <f>IF(S84&lt;&gt;"",(N84-AA84)/N84,"")</f>
        <v>0.8737504410500192</v>
      </c>
      <c r="AC84" s="1031">
        <f>IF(AB84&lt;&gt;"",(N84-AA84),"")</f>
        <v>215211.72299999994</v>
      </c>
      <c r="AM84" s="1703">
        <f>SUM(AM17:AM83)</f>
        <v>0</v>
      </c>
      <c r="AN84" s="1713">
        <f>SUM(AN17:AN83)</f>
        <v>11460</v>
      </c>
    </row>
    <row r="85" spans="1:42" s="1037" customFormat="1" x14ac:dyDescent="0.7">
      <c r="A85" s="1032"/>
      <c r="B85" s="1033"/>
      <c r="C85" s="1034"/>
      <c r="D85" s="1032"/>
      <c r="E85" s="1032"/>
      <c r="F85" s="1035"/>
      <c r="G85" s="1035"/>
      <c r="H85" s="1035"/>
      <c r="I85" s="1035"/>
      <c r="J85" s="1035"/>
      <c r="K85" s="1036"/>
      <c r="L85" s="1036"/>
      <c r="M85" s="1036"/>
      <c r="N85" s="1036"/>
      <c r="O85" s="1036"/>
      <c r="P85" s="1036"/>
      <c r="Q85" s="1036"/>
      <c r="S85" s="1035"/>
      <c r="T85" s="1038"/>
      <c r="U85" s="1038"/>
      <c r="V85" s="1039"/>
      <c r="W85" s="1040"/>
      <c r="X85" s="1041"/>
      <c r="Y85" s="1041"/>
      <c r="Z85" s="1040"/>
      <c r="AA85" s="1042"/>
      <c r="AB85" s="1043"/>
      <c r="AC85" s="1043"/>
      <c r="AM85" s="1716"/>
      <c r="AN85" s="1716"/>
      <c r="AO85" s="1715"/>
      <c r="AP85" s="1716"/>
    </row>
    <row r="86" spans="1:42" s="1037" customFormat="1" x14ac:dyDescent="0.7">
      <c r="A86" s="1032"/>
      <c r="B86" s="1033"/>
      <c r="C86" s="1034"/>
      <c r="D86" s="1032"/>
      <c r="E86" s="1032"/>
      <c r="F86" s="1035"/>
      <c r="G86" s="1035"/>
      <c r="H86" s="1035"/>
      <c r="I86" s="1035"/>
      <c r="J86" s="1035"/>
      <c r="K86" s="1036"/>
      <c r="L86" s="1036"/>
      <c r="M86" s="1036"/>
      <c r="N86" s="1036"/>
      <c r="O86" s="1036"/>
      <c r="P86" s="1036"/>
      <c r="Q86" s="1036"/>
      <c r="S86" s="1035"/>
      <c r="T86" s="1038"/>
      <c r="U86" s="1038"/>
      <c r="V86" s="1039"/>
      <c r="W86" s="1040"/>
      <c r="X86" s="1041"/>
      <c r="Y86" s="1041"/>
      <c r="Z86" s="1040"/>
      <c r="AA86" s="1042"/>
      <c r="AB86" s="1043"/>
      <c r="AC86" s="1043"/>
      <c r="AM86" s="1716"/>
      <c r="AN86" s="1716"/>
      <c r="AO86" s="1715"/>
      <c r="AP86" s="1716"/>
    </row>
    <row r="87" spans="1:42" x14ac:dyDescent="0.7">
      <c r="AN87" s="1706">
        <f>Z84</f>
        <v>11460</v>
      </c>
      <c r="AO87" s="1707" t="s">
        <v>1615</v>
      </c>
    </row>
    <row r="88" spans="1:42" x14ac:dyDescent="0.7">
      <c r="AN88" s="1708">
        <f>N84-Z84</f>
        <v>234847.99927422276</v>
      </c>
      <c r="AO88" s="1709" t="s">
        <v>799</v>
      </c>
    </row>
    <row r="89" spans="1:42" x14ac:dyDescent="0.7">
      <c r="AN89" s="1714">
        <f>AN88*100%/N84</f>
        <v>0.95347288746703995</v>
      </c>
      <c r="AO89" s="1709"/>
    </row>
  </sheetData>
  <autoFilter ref="A1:AN44" xr:uid="{107B9E09-8154-459A-AE62-6A4242823A27}">
    <filterColumn colId="5" showButton="0"/>
  </autoFilter>
  <mergeCells count="77">
    <mergeCell ref="F1:G1"/>
    <mergeCell ref="F2:G2"/>
    <mergeCell ref="S12:V12"/>
    <mergeCell ref="W12:Z12"/>
    <mergeCell ref="AE12:AG12"/>
    <mergeCell ref="F20:J20"/>
    <mergeCell ref="S20:U20"/>
    <mergeCell ref="AM12:AN12"/>
    <mergeCell ref="F15:N15"/>
    <mergeCell ref="S15:AA15"/>
    <mergeCell ref="F16:K16"/>
    <mergeCell ref="S16:AA16"/>
    <mergeCell ref="F19:J19"/>
    <mergeCell ref="S19:U19"/>
    <mergeCell ref="AI12:AJ12"/>
    <mergeCell ref="AM15:AN15"/>
    <mergeCell ref="AM16:AN16"/>
    <mergeCell ref="F21:N21"/>
    <mergeCell ref="S21:AA21"/>
    <mergeCell ref="F22:K22"/>
    <mergeCell ref="S22:AA22"/>
    <mergeCell ref="F31:J31"/>
    <mergeCell ref="S31:U31"/>
    <mergeCell ref="F32:J32"/>
    <mergeCell ref="S32:U32"/>
    <mergeCell ref="F33:N33"/>
    <mergeCell ref="S33:AA33"/>
    <mergeCell ref="F34:K34"/>
    <mergeCell ref="S34:AA34"/>
    <mergeCell ref="F38:J38"/>
    <mergeCell ref="S38:U38"/>
    <mergeCell ref="F39:J39"/>
    <mergeCell ref="S39:U39"/>
    <mergeCell ref="F40:N40"/>
    <mergeCell ref="S40:AA40"/>
    <mergeCell ref="F43:J43"/>
    <mergeCell ref="S43:U43"/>
    <mergeCell ref="F44:J44"/>
    <mergeCell ref="S44:U44"/>
    <mergeCell ref="F45:N45"/>
    <mergeCell ref="S45:AA45"/>
    <mergeCell ref="F46:K46"/>
    <mergeCell ref="S46:AA46"/>
    <mergeCell ref="F49:J49"/>
    <mergeCell ref="S49:U49"/>
    <mergeCell ref="F50:J50"/>
    <mergeCell ref="S50:U50"/>
    <mergeCell ref="F51:N51"/>
    <mergeCell ref="S51:AA51"/>
    <mergeCell ref="F52:K52"/>
    <mergeCell ref="S52:AA52"/>
    <mergeCell ref="F57:J57"/>
    <mergeCell ref="S57:U57"/>
    <mergeCell ref="F58:J58"/>
    <mergeCell ref="S58:U58"/>
    <mergeCell ref="F59:N59"/>
    <mergeCell ref="S59:AA59"/>
    <mergeCell ref="F60:K60"/>
    <mergeCell ref="S60:AA60"/>
    <mergeCell ref="F68:J68"/>
    <mergeCell ref="S68:U68"/>
    <mergeCell ref="F69:J69"/>
    <mergeCell ref="S69:U69"/>
    <mergeCell ref="F70:N70"/>
    <mergeCell ref="S70:AA70"/>
    <mergeCell ref="F71:K71"/>
    <mergeCell ref="S71:AA71"/>
    <mergeCell ref="F74:J74"/>
    <mergeCell ref="S74:U74"/>
    <mergeCell ref="F75:J75"/>
    <mergeCell ref="S75:U75"/>
    <mergeCell ref="F76:N76"/>
    <mergeCell ref="F77:K77"/>
    <mergeCell ref="F82:J82"/>
    <mergeCell ref="S82:U82"/>
    <mergeCell ref="F83:J83"/>
    <mergeCell ref="S83:U83"/>
  </mergeCells>
  <dataValidations disablePrompts="1" count="3">
    <dataValidation type="list" allowBlank="1" showInputMessage="1" showErrorMessage="1" sqref="E84" xr:uid="{0E99796B-67E5-41DF-A2C6-7997CFFF3EB0}">
      <formula1>"FAT.OGGI,FAT.CLIENTE "</formula1>
    </dataValidation>
    <dataValidation type="list" allowBlank="1" showInputMessage="1" showErrorMessage="1" sqref="D17:D18 D59 D69 D72:D73 D84 D61:D67 D53:D56 D23:D51 D78:D81" xr:uid="{1C5EA6D1-338C-46EB-A4F7-F5EAF3AF3AA1}">
      <formula1>"INTERNO,OPERACIONAL"</formula1>
    </dataValidation>
    <dataValidation type="list" allowBlank="1" showInputMessage="1" showErrorMessage="1" sqref="E17:E18 E59 E69 E72:E73 E61:E67 E53:E56 E23:E51 E78:E81" xr:uid="{11A5CF91-5970-46CB-A7FF-F92892420644}">
      <formula1>"FAT.OGGI,FAT.CLIENTE"</formula1>
    </dataValidation>
  </dataValidations>
  <pageMargins left="0.511811024" right="0.511811024" top="0.78740157499999996" bottom="0.78740157499999996" header="0.31496062000000002" footer="0.31496062000000002"/>
  <pageSetup paperSize="9" orientation="portrait" horizontalDpi="360" verticalDpi="36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2D5FC-0974-4C22-A4D1-46F79DABADC1}">
  <sheetPr>
    <tabColor theme="2" tint="-0.749992370372631"/>
  </sheetPr>
  <dimension ref="A2:U22"/>
  <sheetViews>
    <sheetView topLeftCell="A10" workbookViewId="0">
      <selection activeCell="B15" sqref="B15"/>
    </sheetView>
  </sheetViews>
  <sheetFormatPr defaultRowHeight="14.4" x14ac:dyDescent="0.3"/>
  <cols>
    <col min="1" max="1" width="12.33203125" customWidth="1"/>
    <col min="2" max="2" width="16.44140625" customWidth="1"/>
    <col min="3" max="4" width="13.88671875" customWidth="1"/>
    <col min="5" max="5" width="13.5546875" customWidth="1"/>
    <col min="6" max="6" width="2.88671875" customWidth="1"/>
    <col min="7" max="7" width="14.109375" customWidth="1"/>
    <col min="8" max="8" width="11.88671875" customWidth="1"/>
    <col min="9" max="9" width="14.44140625" customWidth="1"/>
    <col min="10" max="10" width="15.44140625" bestFit="1" customWidth="1"/>
    <col min="11" max="11" width="12.109375" bestFit="1" customWidth="1"/>
    <col min="12" max="12" width="12.88671875" bestFit="1" customWidth="1"/>
    <col min="13" max="13" width="4.109375" customWidth="1"/>
    <col min="14" max="14" width="44" customWidth="1"/>
    <col min="15" max="15" width="6.109375" customWidth="1"/>
    <col min="16" max="16" width="12.5546875" customWidth="1"/>
    <col min="17" max="17" width="7" customWidth="1"/>
    <col min="18" max="18" width="12.5546875" bestFit="1" customWidth="1"/>
    <col min="19" max="19" width="7.88671875" customWidth="1"/>
    <col min="20" max="20" width="5.109375" customWidth="1"/>
  </cols>
  <sheetData>
    <row r="2" spans="1:21" x14ac:dyDescent="0.3">
      <c r="A2" t="s">
        <v>1021</v>
      </c>
    </row>
    <row r="3" spans="1:21" x14ac:dyDescent="0.3">
      <c r="A3" s="165"/>
      <c r="B3" s="165" t="s">
        <v>1027</v>
      </c>
      <c r="C3" s="165"/>
      <c r="D3" s="165"/>
      <c r="G3" s="166" t="s">
        <v>1028</v>
      </c>
      <c r="H3" s="166"/>
      <c r="I3" s="166"/>
      <c r="J3" s="166"/>
      <c r="K3" s="166"/>
      <c r="L3" s="166"/>
      <c r="M3" s="166"/>
      <c r="N3" s="166"/>
      <c r="O3" s="166"/>
      <c r="P3" s="166"/>
      <c r="Q3" s="166"/>
      <c r="R3" s="166"/>
      <c r="S3" s="166"/>
      <c r="T3" s="166"/>
      <c r="U3" s="166"/>
    </row>
    <row r="4" spans="1:21" x14ac:dyDescent="0.3">
      <c r="A4" s="166"/>
      <c r="B4" s="167" t="s">
        <v>1025</v>
      </c>
      <c r="C4" s="167" t="s">
        <v>1026</v>
      </c>
      <c r="D4" s="167" t="s">
        <v>1032</v>
      </c>
      <c r="E4" s="164" t="s">
        <v>1033</v>
      </c>
      <c r="F4" s="163"/>
      <c r="G4" s="167" t="s">
        <v>1025</v>
      </c>
      <c r="H4" s="167" t="s">
        <v>1029</v>
      </c>
      <c r="I4" s="167" t="s">
        <v>1030</v>
      </c>
      <c r="J4" s="167" t="s">
        <v>1031</v>
      </c>
      <c r="K4" s="167" t="s">
        <v>1032</v>
      </c>
      <c r="L4" s="167" t="s">
        <v>1033</v>
      </c>
      <c r="M4" s="167"/>
      <c r="N4" s="167"/>
      <c r="O4" s="166"/>
      <c r="P4" s="166"/>
      <c r="Q4" s="166"/>
      <c r="R4" s="166"/>
      <c r="S4" s="166"/>
      <c r="T4" s="166"/>
      <c r="U4" s="166"/>
    </row>
    <row r="5" spans="1:21" x14ac:dyDescent="0.3">
      <c r="A5" s="167" t="s">
        <v>1022</v>
      </c>
      <c r="B5" s="168">
        <v>905913</v>
      </c>
      <c r="C5" s="168">
        <v>1035861</v>
      </c>
      <c r="D5" s="169">
        <f>B5-(C5-H5)</f>
        <v>-105998</v>
      </c>
      <c r="E5" s="180">
        <f>3284.4+3916.8</f>
        <v>7201.2000000000007</v>
      </c>
      <c r="F5" s="163"/>
      <c r="G5" s="181">
        <v>305133</v>
      </c>
      <c r="H5" s="168">
        <v>23950</v>
      </c>
      <c r="I5" s="168">
        <v>202245.6</v>
      </c>
      <c r="J5" s="170">
        <f>I5+H5</f>
        <v>226195.6</v>
      </c>
      <c r="K5" s="182">
        <f>G5-J5</f>
        <v>78937.399999999994</v>
      </c>
      <c r="L5" s="180">
        <f>642.6+4692+14688</f>
        <v>20022.599999999999</v>
      </c>
      <c r="M5" s="167"/>
      <c r="N5" s="166"/>
      <c r="O5" s="166"/>
      <c r="P5" s="166"/>
      <c r="Q5" s="166"/>
      <c r="R5" s="166"/>
      <c r="S5" s="166"/>
      <c r="T5" s="166"/>
      <c r="U5" s="166"/>
    </row>
    <row r="6" spans="1:21" x14ac:dyDescent="0.3">
      <c r="A6" s="167" t="s">
        <v>189</v>
      </c>
      <c r="B6" s="168">
        <v>1189010</v>
      </c>
      <c r="C6" s="166"/>
      <c r="D6" s="166"/>
      <c r="E6" s="163"/>
      <c r="F6" s="163"/>
      <c r="G6" s="166"/>
      <c r="H6" s="166"/>
      <c r="I6" s="166"/>
      <c r="J6" s="166"/>
      <c r="K6" s="166"/>
      <c r="L6" s="166"/>
      <c r="M6" s="166"/>
      <c r="N6" s="166"/>
      <c r="O6" s="166"/>
      <c r="P6" s="166"/>
      <c r="Q6" s="166"/>
      <c r="R6" s="166"/>
      <c r="S6" s="166"/>
      <c r="T6" s="166"/>
      <c r="U6" s="166"/>
    </row>
    <row r="7" spans="1:21" x14ac:dyDescent="0.3">
      <c r="A7" s="167" t="s">
        <v>1023</v>
      </c>
      <c r="B7" s="168">
        <v>223583.02</v>
      </c>
      <c r="C7" s="166"/>
      <c r="D7" s="166"/>
      <c r="E7" s="163"/>
      <c r="F7" s="163"/>
      <c r="G7" s="166"/>
      <c r="H7" s="166"/>
      <c r="I7" s="166"/>
      <c r="J7" s="166"/>
      <c r="K7" s="166"/>
      <c r="L7" s="166"/>
      <c r="M7" s="166"/>
      <c r="N7" s="166"/>
      <c r="O7" s="166"/>
      <c r="P7" s="166"/>
      <c r="Q7" s="166"/>
      <c r="R7" s="166"/>
      <c r="S7" s="166"/>
      <c r="T7" s="166"/>
      <c r="U7" s="166"/>
    </row>
    <row r="8" spans="1:21" x14ac:dyDescent="0.3">
      <c r="A8" s="167" t="s">
        <v>1024</v>
      </c>
      <c r="B8" s="168">
        <v>15560</v>
      </c>
      <c r="C8" s="166"/>
      <c r="D8" s="166"/>
      <c r="E8" s="163"/>
      <c r="F8" s="163"/>
      <c r="G8" s="166"/>
      <c r="H8" s="166"/>
      <c r="I8" s="166"/>
      <c r="J8" s="166"/>
      <c r="K8" s="166"/>
      <c r="L8" s="166"/>
      <c r="M8" s="166"/>
      <c r="N8" s="166"/>
      <c r="O8" s="166"/>
      <c r="P8" s="166"/>
      <c r="Q8" s="166"/>
      <c r="R8" s="166"/>
      <c r="S8" s="166"/>
      <c r="T8" s="166"/>
      <c r="U8" s="166"/>
    </row>
    <row r="9" spans="1:21" x14ac:dyDescent="0.3">
      <c r="A9" s="166"/>
      <c r="B9" s="170">
        <f>SUM(B5:B8)</f>
        <v>2334066.02</v>
      </c>
      <c r="C9" s="168"/>
      <c r="D9" s="166"/>
      <c r="E9" s="163"/>
      <c r="F9" s="163"/>
      <c r="G9" s="166"/>
      <c r="H9" s="166"/>
      <c r="I9" s="166"/>
      <c r="J9" s="166"/>
      <c r="K9" s="166"/>
      <c r="L9" s="166"/>
      <c r="M9" s="166"/>
      <c r="N9" s="166"/>
      <c r="O9" s="166"/>
      <c r="P9" s="166"/>
      <c r="Q9" s="166"/>
      <c r="R9" s="166"/>
      <c r="S9" s="166"/>
      <c r="T9" s="166"/>
      <c r="U9" s="166"/>
    </row>
    <row r="10" spans="1:21" x14ac:dyDescent="0.3">
      <c r="A10" s="166"/>
      <c r="B10" s="166"/>
      <c r="C10" s="168"/>
      <c r="D10" s="166"/>
      <c r="E10" s="163"/>
      <c r="F10" s="163"/>
      <c r="G10" s="166"/>
      <c r="H10" s="166"/>
      <c r="I10" s="166"/>
      <c r="J10" s="166"/>
      <c r="K10" s="166"/>
      <c r="L10" s="166"/>
      <c r="M10" s="166"/>
      <c r="N10" s="166"/>
      <c r="O10" s="166"/>
      <c r="P10" s="166"/>
      <c r="Q10" s="166"/>
      <c r="R10" s="166"/>
      <c r="S10" s="166"/>
      <c r="T10" s="166"/>
      <c r="U10" s="166"/>
    </row>
    <row r="11" spans="1:21" x14ac:dyDescent="0.3">
      <c r="A11" s="166"/>
      <c r="B11" s="166"/>
      <c r="C11" s="171">
        <f>D5+K5</f>
        <v>-27060.600000000006</v>
      </c>
      <c r="D11" s="166"/>
      <c r="E11" s="163"/>
      <c r="F11" s="163"/>
      <c r="G11" s="166"/>
      <c r="H11" s="166"/>
      <c r="I11" s="166"/>
      <c r="J11" s="166"/>
      <c r="K11" s="166"/>
      <c r="L11" s="166"/>
      <c r="M11" s="166"/>
      <c r="N11" s="166"/>
      <c r="O11" s="166"/>
      <c r="P11" s="166"/>
      <c r="Q11" s="166"/>
      <c r="R11" s="166"/>
      <c r="S11" s="166"/>
      <c r="T11" s="166"/>
      <c r="U11" s="166"/>
    </row>
    <row r="12" spans="1:21" x14ac:dyDescent="0.3">
      <c r="A12" s="166"/>
      <c r="B12" s="166"/>
      <c r="C12" s="166"/>
      <c r="D12" s="166"/>
      <c r="E12" s="163"/>
      <c r="F12" s="163"/>
      <c r="G12" s="166"/>
      <c r="H12" s="166"/>
      <c r="I12" s="166"/>
      <c r="J12" s="166"/>
      <c r="K12" s="166"/>
      <c r="L12" s="166"/>
      <c r="M12" s="166"/>
      <c r="N12" s="166"/>
      <c r="O12" s="166"/>
      <c r="P12" s="166"/>
      <c r="Q12" s="166"/>
      <c r="R12" s="166"/>
      <c r="S12" s="166"/>
      <c r="T12" s="166"/>
      <c r="U12" s="166"/>
    </row>
    <row r="13" spans="1:21" x14ac:dyDescent="0.3">
      <c r="A13" s="166"/>
      <c r="B13" s="166"/>
      <c r="C13" s="166"/>
      <c r="D13" s="166"/>
      <c r="E13" s="163"/>
      <c r="F13" s="163"/>
      <c r="G13" s="166"/>
      <c r="H13" s="166"/>
      <c r="I13" s="166"/>
      <c r="J13" s="166"/>
      <c r="K13" s="166"/>
      <c r="L13" s="166"/>
      <c r="M13" s="166"/>
      <c r="N13" s="166"/>
      <c r="O13" s="166" t="s">
        <v>1050</v>
      </c>
      <c r="P13" s="166"/>
      <c r="Q13" s="166" t="s">
        <v>1051</v>
      </c>
      <c r="R13" s="166"/>
      <c r="S13" s="166" t="s">
        <v>1056</v>
      </c>
      <c r="T13" s="166"/>
      <c r="U13" s="166"/>
    </row>
    <row r="14" spans="1:21" x14ac:dyDescent="0.3">
      <c r="A14" s="172" t="s">
        <v>1037</v>
      </c>
      <c r="B14" s="172" t="s">
        <v>1038</v>
      </c>
      <c r="C14" s="172" t="s">
        <v>1039</v>
      </c>
      <c r="D14" s="172" t="s">
        <v>1040</v>
      </c>
      <c r="E14" s="163"/>
      <c r="G14" s="172" t="s">
        <v>1041</v>
      </c>
      <c r="H14" s="172" t="s">
        <v>1042</v>
      </c>
      <c r="I14" s="172" t="s">
        <v>1043</v>
      </c>
      <c r="J14" s="172" t="s">
        <v>1044</v>
      </c>
      <c r="K14" s="172" t="s">
        <v>1039</v>
      </c>
      <c r="L14" s="172" t="s">
        <v>1040</v>
      </c>
      <c r="M14" s="166"/>
      <c r="N14" s="166"/>
      <c r="O14" s="172" t="s">
        <v>1052</v>
      </c>
      <c r="P14" s="172" t="s">
        <v>34</v>
      </c>
      <c r="Q14" s="172" t="s">
        <v>1052</v>
      </c>
      <c r="R14" s="172" t="s">
        <v>34</v>
      </c>
      <c r="S14" s="166"/>
      <c r="T14" s="166"/>
      <c r="U14" s="166"/>
    </row>
    <row r="15" spans="1:21" ht="34.200000000000003" x14ac:dyDescent="0.3">
      <c r="A15" s="173" t="s">
        <v>1045</v>
      </c>
      <c r="B15" s="174">
        <v>385993.61</v>
      </c>
      <c r="C15" s="175">
        <v>0.96599840691293815</v>
      </c>
      <c r="D15" s="175">
        <v>6.7123191822504175E-2</v>
      </c>
      <c r="E15" s="163"/>
      <c r="G15" s="1621">
        <v>4502505407</v>
      </c>
      <c r="H15" s="183">
        <v>45931</v>
      </c>
      <c r="I15" s="184">
        <v>1573579.97</v>
      </c>
      <c r="J15" s="185">
        <v>385993.61</v>
      </c>
      <c r="K15" s="186">
        <v>0.96599840691293815</v>
      </c>
      <c r="L15" s="186">
        <v>6.7123191822504175E-2</v>
      </c>
      <c r="M15" s="166"/>
      <c r="N15" s="154" t="s">
        <v>1053</v>
      </c>
      <c r="O15" s="155">
        <v>50</v>
      </c>
      <c r="P15" s="156">
        <v>178500</v>
      </c>
      <c r="Q15" s="157"/>
      <c r="R15" s="158"/>
      <c r="S15" s="159"/>
      <c r="T15" s="159"/>
      <c r="U15" s="166"/>
    </row>
    <row r="16" spans="1:21" ht="34.200000000000003" x14ac:dyDescent="0.3">
      <c r="A16" s="173" t="s">
        <v>1046</v>
      </c>
      <c r="B16" s="176">
        <v>1129795.3</v>
      </c>
      <c r="C16" s="175">
        <v>0.95238095238095244</v>
      </c>
      <c r="D16" s="175">
        <v>0.19646819190106193</v>
      </c>
      <c r="E16" s="163"/>
      <c r="G16" s="1621"/>
      <c r="H16" s="183"/>
      <c r="I16" s="184"/>
      <c r="J16" s="185">
        <v>1129795.3</v>
      </c>
      <c r="K16" s="186">
        <v>0.95238095238095244</v>
      </c>
      <c r="L16" s="186">
        <v>0.19646819190106193</v>
      </c>
      <c r="M16" s="166"/>
      <c r="N16" s="154" t="s">
        <v>1054</v>
      </c>
      <c r="O16" s="157">
        <v>253</v>
      </c>
      <c r="P16" s="156">
        <v>717255</v>
      </c>
      <c r="Q16" s="157"/>
      <c r="R16" s="158"/>
      <c r="S16" s="159"/>
      <c r="T16" s="159"/>
      <c r="U16" s="166"/>
    </row>
    <row r="17" spans="1:21" ht="34.200000000000003" x14ac:dyDescent="0.3">
      <c r="A17" s="1617" t="s">
        <v>1047</v>
      </c>
      <c r="B17" s="1619">
        <v>1268300</v>
      </c>
      <c r="C17" s="1615">
        <v>0.95238095238095233</v>
      </c>
      <c r="D17" s="1615">
        <v>0.22055376561410445</v>
      </c>
      <c r="E17" s="163"/>
      <c r="G17" s="1621"/>
      <c r="H17" s="183"/>
      <c r="I17" s="184"/>
      <c r="J17" s="185">
        <v>57791.060000000056</v>
      </c>
      <c r="K17" s="186">
        <v>4.339596685477002E-2</v>
      </c>
      <c r="L17" s="186">
        <v>1.0049701097398613E-2</v>
      </c>
      <c r="M17" s="166"/>
      <c r="N17" s="154" t="s">
        <v>1055</v>
      </c>
      <c r="O17" s="155">
        <v>16</v>
      </c>
      <c r="P17" s="160">
        <v>105840</v>
      </c>
      <c r="Q17" s="161">
        <v>36</v>
      </c>
      <c r="R17" s="162">
        <v>148818</v>
      </c>
      <c r="S17" s="159"/>
      <c r="T17" s="159"/>
      <c r="U17" s="166"/>
    </row>
    <row r="18" spans="1:21" x14ac:dyDescent="0.3">
      <c r="A18" s="1618"/>
      <c r="B18" s="1620"/>
      <c r="C18" s="1616"/>
      <c r="D18" s="1616"/>
      <c r="E18" s="163"/>
      <c r="G18" s="179">
        <v>4502505415</v>
      </c>
      <c r="H18" s="187">
        <v>45992</v>
      </c>
      <c r="I18" s="188">
        <v>1210508.94</v>
      </c>
      <c r="J18" s="185">
        <v>1210508.94</v>
      </c>
      <c r="K18" s="186">
        <v>0.90898498552618234</v>
      </c>
      <c r="L18" s="186">
        <v>0.21050406451670584</v>
      </c>
      <c r="M18" s="166"/>
      <c r="N18" s="179" t="s">
        <v>1058</v>
      </c>
      <c r="O18" s="189">
        <v>1</v>
      </c>
      <c r="P18" s="179"/>
      <c r="Q18" s="179"/>
      <c r="R18" s="179"/>
      <c r="S18" s="179"/>
      <c r="T18" s="179"/>
      <c r="U18" s="166"/>
    </row>
    <row r="19" spans="1:21" x14ac:dyDescent="0.3">
      <c r="A19" s="177" t="s">
        <v>1048</v>
      </c>
      <c r="B19" s="178">
        <v>2784088.91</v>
      </c>
      <c r="C19" s="179"/>
      <c r="D19" s="179"/>
      <c r="E19" s="163"/>
      <c r="G19" s="179"/>
      <c r="H19" s="179"/>
      <c r="I19" s="178">
        <v>2784088.91</v>
      </c>
      <c r="J19" s="179"/>
      <c r="K19" s="189"/>
      <c r="L19" s="190">
        <v>0.48414514933767056</v>
      </c>
      <c r="M19" s="166"/>
      <c r="N19" s="179" t="s">
        <v>1059</v>
      </c>
      <c r="O19" s="189">
        <v>1</v>
      </c>
      <c r="P19" s="179"/>
      <c r="Q19" s="179"/>
      <c r="R19" s="179"/>
      <c r="S19" s="179"/>
      <c r="T19" s="179"/>
      <c r="U19" s="166"/>
    </row>
    <row r="20" spans="1:21" x14ac:dyDescent="0.3">
      <c r="A20" s="166"/>
      <c r="B20" s="166"/>
      <c r="C20" s="166"/>
      <c r="D20" s="166"/>
      <c r="E20" s="163"/>
      <c r="F20" s="163"/>
      <c r="G20" s="166"/>
      <c r="H20" s="166"/>
      <c r="I20" s="166"/>
      <c r="J20" s="166"/>
      <c r="K20" s="166"/>
      <c r="L20" s="166"/>
      <c r="M20" s="166"/>
      <c r="N20" s="179" t="s">
        <v>1060</v>
      </c>
      <c r="O20" s="189">
        <v>1</v>
      </c>
      <c r="P20" s="179"/>
      <c r="Q20" s="179"/>
      <c r="R20" s="179"/>
      <c r="S20" s="179"/>
      <c r="T20" s="179"/>
      <c r="U20" s="166"/>
    </row>
    <row r="21" spans="1:21" x14ac:dyDescent="0.3">
      <c r="A21" s="168" t="s">
        <v>1049</v>
      </c>
      <c r="B21" s="171">
        <f>B16+B17</f>
        <v>2398095.2999999998</v>
      </c>
      <c r="C21" s="166"/>
      <c r="D21" s="166"/>
      <c r="E21" s="163"/>
      <c r="F21" s="163"/>
      <c r="G21" s="166"/>
      <c r="H21" s="166"/>
      <c r="I21" s="166"/>
      <c r="J21" s="166"/>
      <c r="K21" s="166"/>
      <c r="L21" s="166"/>
      <c r="M21" s="166"/>
      <c r="N21" s="179" t="s">
        <v>1057</v>
      </c>
      <c r="O21" s="179"/>
      <c r="P21" s="179"/>
      <c r="Q21" s="179"/>
      <c r="R21" s="179"/>
      <c r="S21" s="179"/>
      <c r="T21" s="179"/>
      <c r="U21" s="166"/>
    </row>
    <row r="22" spans="1:21" x14ac:dyDescent="0.3">
      <c r="A22" s="163"/>
      <c r="B22" s="163"/>
      <c r="C22" s="163"/>
      <c r="D22" s="163"/>
      <c r="E22" s="163"/>
      <c r="F22" s="163"/>
      <c r="G22" s="163"/>
      <c r="H22" s="163"/>
      <c r="I22" s="163"/>
      <c r="J22" s="163"/>
      <c r="K22" s="163"/>
    </row>
  </sheetData>
  <mergeCells count="5">
    <mergeCell ref="D17:D18"/>
    <mergeCell ref="A17:A18"/>
    <mergeCell ref="B17:B18"/>
    <mergeCell ref="C17:C18"/>
    <mergeCell ref="G15:G17"/>
  </mergeCells>
  <pageMargins left="0.511811024" right="0.511811024" top="0.78740157499999996" bottom="0.78740157499999996" header="0.31496062000000002" footer="0.31496062000000002"/>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C2DCB-38D5-4006-A535-C607C98B3AE2}">
  <sheetPr codeName="Planilha14">
    <pageSetUpPr autoPageBreaks="0"/>
  </sheetPr>
  <dimension ref="A1:AU142"/>
  <sheetViews>
    <sheetView showGridLines="0" topLeftCell="B1" zoomScale="35" zoomScaleNormal="35" workbookViewId="0">
      <pane ySplit="1" topLeftCell="A50" activePane="bottomLeft" state="frozen"/>
      <selection pane="bottomLeft" activeCell="AO58" sqref="AO58"/>
    </sheetView>
  </sheetViews>
  <sheetFormatPr defaultColWidth="8.88671875" defaultRowHeight="36.6" x14ac:dyDescent="0.3"/>
  <cols>
    <col min="1" max="1" width="8.109375" style="1117" hidden="1" customWidth="1"/>
    <col min="2" max="2" width="15.88671875" style="1117" customWidth="1"/>
    <col min="3" max="3" width="15.44140625" style="1117" hidden="1" customWidth="1"/>
    <col min="4" max="4" width="19.5546875" style="1117" hidden="1" customWidth="1"/>
    <col min="5" max="5" width="16.88671875" style="1117" hidden="1" customWidth="1"/>
    <col min="6" max="6" width="40.5546875" style="1117" customWidth="1"/>
    <col min="7" max="7" width="78.5546875" style="1117" customWidth="1"/>
    <col min="8" max="9" width="10.5546875" style="1117" hidden="1" customWidth="1"/>
    <col min="10" max="10" width="18.88671875" style="1117" hidden="1" customWidth="1"/>
    <col min="11" max="11" width="43" style="1117" bestFit="1" customWidth="1"/>
    <col min="12" max="12" width="42.5546875" style="1117" bestFit="1" customWidth="1"/>
    <col min="13" max="13" width="41" style="1117" bestFit="1" customWidth="1"/>
    <col min="14" max="14" width="43.88671875" style="1117" bestFit="1" customWidth="1"/>
    <col min="15" max="15" width="27.44140625" style="1118" hidden="1" customWidth="1"/>
    <col min="16" max="16" width="28.88671875" style="1118" hidden="1" customWidth="1"/>
    <col min="17" max="17" width="42.109375" style="1118" hidden="1" customWidth="1"/>
    <col min="18" max="18" width="10.109375" style="1117" hidden="1" customWidth="1"/>
    <col min="19" max="19" width="1.88671875" style="1117" hidden="1" customWidth="1"/>
    <col min="20" max="20" width="10.5546875" style="1065" customWidth="1"/>
    <col min="21" max="21" width="10.5546875" style="1065" hidden="1" customWidth="1"/>
    <col min="22" max="22" width="20.5546875" style="1117" hidden="1" customWidth="1"/>
    <col min="23" max="23" width="47.109375" style="1117" bestFit="1" customWidth="1"/>
    <col min="24" max="24" width="27.5546875" style="1117" hidden="1" customWidth="1"/>
    <col min="25" max="25" width="12.5546875" style="1065" hidden="1" customWidth="1"/>
    <col min="26" max="26" width="16.109375" style="1117" hidden="1" customWidth="1"/>
    <col min="27" max="27" width="47.109375" style="1117" bestFit="1" customWidth="1"/>
    <col min="28" max="28" width="38.44140625" style="1117" hidden="1" customWidth="1"/>
    <col min="29" max="29" width="19.44140625" style="1117" hidden="1" customWidth="1"/>
    <col min="30" max="30" width="30" style="1117" hidden="1" customWidth="1"/>
    <col min="31" max="31" width="38.109375" style="1117" hidden="1" customWidth="1"/>
    <col min="32" max="32" width="14.109375" style="1117" hidden="1" customWidth="1"/>
    <col min="33" max="33" width="7.5546875" style="1117" hidden="1" customWidth="1"/>
    <col min="34" max="34" width="6.88671875" style="1117" hidden="1" customWidth="1"/>
    <col min="35" max="35" width="1.44140625" style="1117" hidden="1" customWidth="1"/>
    <col min="36" max="36" width="14" style="1117" hidden="1" customWidth="1"/>
    <col min="37" max="37" width="11.5546875" style="1117" hidden="1" customWidth="1"/>
    <col min="38" max="38" width="6.44140625" style="1117" hidden="1" customWidth="1"/>
    <col min="39" max="39" width="12.5546875" style="1117" hidden="1" customWidth="1"/>
    <col min="40" max="40" width="52" style="1719" bestFit="1" customWidth="1"/>
    <col min="41" max="41" width="48.6640625" style="1719" bestFit="1" customWidth="1"/>
    <col min="42" max="42" width="35.109375" style="1709" bestFit="1" customWidth="1"/>
    <col min="43" max="43" width="21.44140625" style="1719" customWidth="1"/>
    <col min="44" max="47" width="8.88671875" style="1719"/>
    <col min="48" max="16384" width="8.88671875" style="1117"/>
  </cols>
  <sheetData>
    <row r="1" spans="1:41" ht="49.5" customHeight="1" x14ac:dyDescent="0.3">
      <c r="B1" s="560"/>
      <c r="C1" s="561"/>
      <c r="D1" s="561"/>
      <c r="F1" s="1399" t="s">
        <v>128</v>
      </c>
      <c r="G1" s="1399"/>
    </row>
    <row r="2" spans="1:41" ht="24.75" customHeight="1" x14ac:dyDescent="0.3">
      <c r="B2" s="1065"/>
      <c r="D2" s="561"/>
      <c r="F2" s="1400" t="s">
        <v>0</v>
      </c>
      <c r="G2" s="1400"/>
    </row>
    <row r="3" spans="1:41" x14ac:dyDescent="0.3">
      <c r="B3" s="1119"/>
      <c r="F3" s="564"/>
      <c r="G3" s="564"/>
    </row>
    <row r="4" spans="1:41" ht="20.100000000000001" customHeight="1" x14ac:dyDescent="0.3">
      <c r="F4" s="565" t="s">
        <v>245</v>
      </c>
      <c r="G4" s="566"/>
    </row>
    <row r="5" spans="1:41" ht="20.100000000000001" customHeight="1" x14ac:dyDescent="0.3">
      <c r="F5" s="567" t="s">
        <v>224</v>
      </c>
      <c r="G5" s="568"/>
    </row>
    <row r="6" spans="1:41" ht="20.100000000000001" customHeight="1" x14ac:dyDescent="0.3">
      <c r="D6" s="1117" t="s">
        <v>155</v>
      </c>
      <c r="F6" s="567" t="s">
        <v>565</v>
      </c>
      <c r="G6" s="569"/>
    </row>
    <row r="7" spans="1:41" ht="20.100000000000001" customHeight="1" x14ac:dyDescent="0.3">
      <c r="F7" s="567" t="s">
        <v>247</v>
      </c>
      <c r="G7" s="569"/>
      <c r="J7" s="1117" t="s">
        <v>225</v>
      </c>
    </row>
    <row r="8" spans="1:41" ht="20.100000000000001" customHeight="1" x14ac:dyDescent="0.3">
      <c r="F8" s="567" t="s">
        <v>635</v>
      </c>
      <c r="G8" s="570"/>
    </row>
    <row r="9" spans="1:41" ht="20.100000000000001" customHeight="1" x14ac:dyDescent="0.3">
      <c r="F9" s="567" t="s">
        <v>249</v>
      </c>
      <c r="G9" s="569"/>
      <c r="J9" s="1117" t="s">
        <v>155</v>
      </c>
      <c r="M9" s="1117">
        <v>0.80469999999999997</v>
      </c>
    </row>
    <row r="10" spans="1:41" ht="20.100000000000001" customHeight="1" x14ac:dyDescent="0.3">
      <c r="F10" s="567" t="s">
        <v>177</v>
      </c>
      <c r="G10" s="569"/>
      <c r="M10" s="1117">
        <f>1-M9</f>
        <v>0.19530000000000003</v>
      </c>
    </row>
    <row r="11" spans="1:41" ht="20.100000000000001" customHeight="1" x14ac:dyDescent="0.3">
      <c r="F11" s="571" t="s">
        <v>637</v>
      </c>
      <c r="G11" s="572"/>
    </row>
    <row r="12" spans="1:41" ht="15.9" hidden="1" customHeight="1" thickBot="1" x14ac:dyDescent="0.35">
      <c r="B12" s="1120"/>
      <c r="L12" s="1121">
        <v>0</v>
      </c>
      <c r="M12" s="1122">
        <v>0</v>
      </c>
      <c r="T12" s="1409" t="s">
        <v>1</v>
      </c>
      <c r="U12" s="1410"/>
      <c r="V12" s="1410"/>
      <c r="W12" s="1411"/>
      <c r="X12" s="1412" t="s">
        <v>2</v>
      </c>
      <c r="Y12" s="1413"/>
      <c r="Z12" s="1413"/>
      <c r="AA12" s="1414"/>
      <c r="AB12" s="576" t="s">
        <v>56</v>
      </c>
      <c r="AC12" s="1123">
        <f>(1/(1-M14))-1</f>
        <v>0.20962864400629</v>
      </c>
      <c r="AF12" s="1392" t="s">
        <v>3</v>
      </c>
      <c r="AG12" s="1393"/>
      <c r="AH12" s="1394"/>
      <c r="AJ12" s="1390" t="s">
        <v>58</v>
      </c>
      <c r="AK12" s="1391"/>
      <c r="AM12" s="578" t="s">
        <v>71</v>
      </c>
      <c r="AN12" s="1696" t="s">
        <v>70</v>
      </c>
      <c r="AO12" s="1697"/>
    </row>
    <row r="13" spans="1:41" ht="37.200000000000003" thickBot="1" x14ac:dyDescent="0.35">
      <c r="A13" s="1124" t="s">
        <v>4</v>
      </c>
      <c r="B13" s="1125" t="s">
        <v>5</v>
      </c>
      <c r="C13" s="1124" t="s">
        <v>6</v>
      </c>
      <c r="D13" s="1124" t="s">
        <v>7</v>
      </c>
      <c r="E13" s="1124" t="s">
        <v>8</v>
      </c>
      <c r="L13" s="1121">
        <v>0.05</v>
      </c>
      <c r="M13" s="1122">
        <v>0.82669999999999999</v>
      </c>
    </row>
    <row r="14" spans="1:41" ht="87" thickBot="1" x14ac:dyDescent="0.35">
      <c r="A14" s="581">
        <v>0</v>
      </c>
      <c r="B14" s="582"/>
      <c r="C14" s="583"/>
      <c r="D14" s="584"/>
      <c r="E14" s="584"/>
      <c r="F14" s="585" t="s">
        <v>131</v>
      </c>
      <c r="G14" s="586" t="s">
        <v>132</v>
      </c>
      <c r="H14" s="587" t="s">
        <v>133</v>
      </c>
      <c r="I14" s="587" t="s">
        <v>134</v>
      </c>
      <c r="J14" s="588" t="s">
        <v>135</v>
      </c>
      <c r="K14" s="589" t="s">
        <v>9</v>
      </c>
      <c r="L14" s="590">
        <v>0.08</v>
      </c>
      <c r="M14" s="591">
        <f>1-M13</f>
        <v>0.17330000000000001</v>
      </c>
      <c r="N14" s="592" t="s">
        <v>129</v>
      </c>
      <c r="T14" s="594" t="s">
        <v>136</v>
      </c>
      <c r="U14" s="595" t="s">
        <v>137</v>
      </c>
      <c r="V14" s="596" t="s">
        <v>138</v>
      </c>
      <c r="W14" s="597" t="s">
        <v>139</v>
      </c>
      <c r="X14" s="598" t="s">
        <v>140</v>
      </c>
      <c r="Y14" s="599" t="s">
        <v>141</v>
      </c>
      <c r="Z14" s="600" t="s">
        <v>142</v>
      </c>
      <c r="AA14" s="600" t="s">
        <v>143</v>
      </c>
      <c r="AB14" s="601" t="s">
        <v>144</v>
      </c>
      <c r="AC14" s="602" t="s">
        <v>145</v>
      </c>
      <c r="AD14" s="603" t="s">
        <v>130</v>
      </c>
      <c r="AF14" s="604" t="s">
        <v>146</v>
      </c>
      <c r="AG14" s="605" t="s">
        <v>147</v>
      </c>
      <c r="AH14" s="605" t="s">
        <v>33</v>
      </c>
      <c r="AJ14" s="606" t="s">
        <v>148</v>
      </c>
      <c r="AK14" s="607" t="s">
        <v>149</v>
      </c>
      <c r="AL14" s="1117" t="s">
        <v>150</v>
      </c>
      <c r="AM14" s="1117" t="s">
        <v>150</v>
      </c>
      <c r="AN14" s="1698" t="s">
        <v>151</v>
      </c>
      <c r="AO14" s="1712" t="s">
        <v>152</v>
      </c>
    </row>
    <row r="15" spans="1:41" ht="50.1" customHeight="1" thickBot="1" x14ac:dyDescent="0.75">
      <c r="A15" s="584">
        <v>1</v>
      </c>
      <c r="B15" s="608">
        <v>1</v>
      </c>
      <c r="C15" s="609" t="s">
        <v>167</v>
      </c>
      <c r="D15" s="584"/>
      <c r="E15" s="584"/>
      <c r="F15" s="1380" t="s">
        <v>168</v>
      </c>
      <c r="G15" s="1381"/>
      <c r="H15" s="1381"/>
      <c r="I15" s="1381"/>
      <c r="J15" s="1381"/>
      <c r="K15" s="1381"/>
      <c r="L15" s="1381"/>
      <c r="M15" s="1381"/>
      <c r="N15" s="1382"/>
      <c r="T15" s="1387" t="str">
        <f>IF(F15&lt;&gt;"",F15,"")</f>
        <v>INTERNO</v>
      </c>
      <c r="U15" s="1388"/>
      <c r="V15" s="1388"/>
      <c r="W15" s="1388"/>
      <c r="X15" s="1388"/>
      <c r="Y15" s="1388"/>
      <c r="Z15" s="1388"/>
      <c r="AA15" s="1388"/>
      <c r="AB15" s="1389"/>
      <c r="AN15" s="1699"/>
      <c r="AO15" s="1700"/>
    </row>
    <row r="16" spans="1:41" ht="50.1" customHeight="1" x14ac:dyDescent="0.7">
      <c r="A16" s="584">
        <v>2</v>
      </c>
      <c r="B16" s="608" t="s">
        <v>170</v>
      </c>
      <c r="C16" s="609" t="s">
        <v>169</v>
      </c>
      <c r="D16" s="584"/>
      <c r="E16" s="584"/>
      <c r="F16" s="1403" t="s">
        <v>174</v>
      </c>
      <c r="G16" s="1404"/>
      <c r="H16" s="1404"/>
      <c r="I16" s="1404"/>
      <c r="J16" s="1404"/>
      <c r="K16" s="1405"/>
      <c r="L16" s="612" t="s">
        <v>171</v>
      </c>
      <c r="M16" s="613" t="s">
        <v>172</v>
      </c>
      <c r="N16" s="971" t="s">
        <v>129</v>
      </c>
      <c r="O16" s="1126" t="s">
        <v>651</v>
      </c>
      <c r="P16" s="1127" t="s">
        <v>652</v>
      </c>
      <c r="Q16" s="1127" t="s">
        <v>666</v>
      </c>
      <c r="T16" s="1406" t="str">
        <f>IF(F16&lt;&gt;"",F16,"")</f>
        <v>EQUIPE INTERNA</v>
      </c>
      <c r="U16" s="1407"/>
      <c r="V16" s="1407"/>
      <c r="W16" s="1407"/>
      <c r="X16" s="1407"/>
      <c r="Y16" s="1407"/>
      <c r="Z16" s="1407"/>
      <c r="AA16" s="1407"/>
      <c r="AB16" s="1408"/>
      <c r="AC16" s="616" t="s">
        <v>173</v>
      </c>
      <c r="AD16" s="617" t="s">
        <v>130</v>
      </c>
      <c r="AN16" s="1701"/>
      <c r="AO16" s="1702"/>
    </row>
    <row r="17" spans="1:41" ht="150" customHeight="1" x14ac:dyDescent="0.7">
      <c r="A17" s="584">
        <v>3</v>
      </c>
      <c r="B17" s="608" t="s">
        <v>176</v>
      </c>
      <c r="C17" s="609" t="s">
        <v>175</v>
      </c>
      <c r="D17" s="584" t="s">
        <v>168</v>
      </c>
      <c r="E17" s="584" t="s">
        <v>179</v>
      </c>
      <c r="F17" s="1128" t="s">
        <v>253</v>
      </c>
      <c r="G17" s="1129" t="s">
        <v>1397</v>
      </c>
      <c r="H17" s="1130">
        <v>1</v>
      </c>
      <c r="I17" s="1130">
        <v>1</v>
      </c>
      <c r="J17" s="695">
        <v>8000</v>
      </c>
      <c r="K17" s="621">
        <f t="shared" ref="K17:K24" si="0">IF(F17&lt;&gt;"",H17*I17*J17,"")</f>
        <v>8000</v>
      </c>
      <c r="L17" s="621">
        <f t="shared" ref="L17:L24" si="1">IF(K17&lt;&gt;"",IF(D17="INTERNO",0,K17*$L$14),"")</f>
        <v>0</v>
      </c>
      <c r="M17" s="621">
        <f>IF(K17&lt;&gt;"",IF(E17="FAT.OGGI",SUM(K17:L17)*(1/(1-$M$14)-1),L17*(1/(1-$M$14)-1)),"")</f>
        <v>1677.0291520503199</v>
      </c>
      <c r="N17" s="622">
        <f t="shared" ref="N17:N24" si="2">SUM(K17:M17)</f>
        <v>9677.0291520503197</v>
      </c>
      <c r="O17" s="1131" t="s">
        <v>653</v>
      </c>
      <c r="P17" s="1132" t="s">
        <v>655</v>
      </c>
      <c r="Q17" s="1133" t="s">
        <v>656</v>
      </c>
      <c r="T17" s="624">
        <f t="shared" ref="T17:U24" si="3">IF(H17&lt;&gt;"",H17,"")</f>
        <v>1</v>
      </c>
      <c r="U17" s="625">
        <f t="shared" si="3"/>
        <v>1</v>
      </c>
      <c r="V17" s="626">
        <v>0</v>
      </c>
      <c r="W17" s="626">
        <f t="shared" ref="W17" si="4">IF(T17&lt;&gt;"",T17*U17*V17,"")</f>
        <v>0</v>
      </c>
      <c r="X17" s="627">
        <f t="shared" ref="X17" si="5">IF(T17&lt;&gt;"",K17-W17,"")</f>
        <v>8000</v>
      </c>
      <c r="Y17" s="1134">
        <f t="shared" ref="Y17" si="6">IF(T17&lt;&gt;"",0%,"")</f>
        <v>0</v>
      </c>
      <c r="Z17" s="629">
        <f t="shared" ref="Z17" si="7">IF(T17&lt;&gt;"",Y17*X17,"")</f>
        <v>0</v>
      </c>
      <c r="AA17" s="629">
        <f t="shared" ref="AA17" si="8">IF(T17&lt;&gt;"",Z17+W17,"")</f>
        <v>0</v>
      </c>
      <c r="AB17" s="630">
        <f t="shared" ref="AB17:AB26" si="9">IF(T17&lt;&gt;"",AA17+M17,"")</f>
        <v>1677.0291520503199</v>
      </c>
      <c r="AC17" s="631">
        <f>IFERROR(IF(T17&lt;&gt;"",X17/K17,""),0)</f>
        <v>1</v>
      </c>
      <c r="AD17" s="632" t="e">
        <f t="shared" ref="AD17:AD24" si="10">W17/$W$25</f>
        <v>#DIV/0!</v>
      </c>
      <c r="AN17" s="1703">
        <f>AA17-AO17</f>
        <v>0</v>
      </c>
      <c r="AO17" s="1713"/>
    </row>
    <row r="18" spans="1:41" ht="150" customHeight="1" x14ac:dyDescent="0.7">
      <c r="A18" s="584">
        <v>4</v>
      </c>
      <c r="B18" s="608" t="s">
        <v>153</v>
      </c>
      <c r="C18" s="609" t="s">
        <v>175</v>
      </c>
      <c r="D18" s="584" t="s">
        <v>168</v>
      </c>
      <c r="E18" s="584" t="s">
        <v>179</v>
      </c>
      <c r="F18" s="1128" t="s">
        <v>254</v>
      </c>
      <c r="G18" s="1129" t="s">
        <v>1315</v>
      </c>
      <c r="H18" s="1130">
        <v>1</v>
      </c>
      <c r="I18" s="1130">
        <v>1</v>
      </c>
      <c r="J18" s="695">
        <v>8000</v>
      </c>
      <c r="K18" s="621">
        <f t="shared" si="0"/>
        <v>8000</v>
      </c>
      <c r="L18" s="621">
        <f t="shared" si="1"/>
        <v>0</v>
      </c>
      <c r="M18" s="621">
        <f>IF(K18&lt;&gt;"",IF(E18="FAT.OGGI",SUM(K18:L18)*(1/(1-$M$14)-1),L18*(1/(1-$M$14)-1)),"")</f>
        <v>1677.0291520503199</v>
      </c>
      <c r="N18" s="622">
        <f t="shared" si="2"/>
        <v>9677.0291520503197</v>
      </c>
      <c r="O18" s="1131" t="s">
        <v>653</v>
      </c>
      <c r="P18" s="1135" t="s">
        <v>623</v>
      </c>
      <c r="Q18" s="1136" t="s">
        <v>961</v>
      </c>
      <c r="T18" s="624">
        <f t="shared" si="3"/>
        <v>1</v>
      </c>
      <c r="U18" s="625">
        <f t="shared" si="3"/>
        <v>1</v>
      </c>
      <c r="V18" s="626">
        <v>8000</v>
      </c>
      <c r="W18" s="626">
        <v>0</v>
      </c>
      <c r="X18" s="627">
        <f t="shared" ref="X18:X24" si="11">IF(T18&lt;&gt;"",K18-W18,"")</f>
        <v>8000</v>
      </c>
      <c r="Y18" s="1134">
        <f t="shared" ref="Y18:Y24" si="12">IF(T18&lt;&gt;"",0%,"")</f>
        <v>0</v>
      </c>
      <c r="Z18" s="629">
        <f t="shared" ref="Z18:Z24" si="13">IF(T18&lt;&gt;"",Y18*X18,"")</f>
        <v>0</v>
      </c>
      <c r="AA18" s="629">
        <f t="shared" ref="AA18:AA24" si="14">IF(T18&lt;&gt;"",Z18+W18,"")</f>
        <v>0</v>
      </c>
      <c r="AB18" s="630">
        <f t="shared" si="9"/>
        <v>1677.0291520503199</v>
      </c>
      <c r="AC18" s="631">
        <f>IFERROR(IF(T18&lt;&gt;"",X18/K18,""),0)</f>
        <v>1</v>
      </c>
      <c r="AD18" s="632" t="e">
        <f t="shared" si="10"/>
        <v>#DIV/0!</v>
      </c>
      <c r="AN18" s="1703">
        <f t="shared" ref="AN18:AN77" si="15">AA18-AO18</f>
        <v>0</v>
      </c>
      <c r="AO18" s="1713"/>
    </row>
    <row r="19" spans="1:41" ht="150" customHeight="1" x14ac:dyDescent="0.7">
      <c r="A19" s="633">
        <v>5</v>
      </c>
      <c r="B19" s="608" t="s">
        <v>230</v>
      </c>
      <c r="C19" s="634" t="s">
        <v>175</v>
      </c>
      <c r="D19" s="633" t="s">
        <v>168</v>
      </c>
      <c r="E19" s="633" t="s">
        <v>179</v>
      </c>
      <c r="F19" s="1128" t="s">
        <v>255</v>
      </c>
      <c r="G19" s="1129" t="s">
        <v>1398</v>
      </c>
      <c r="H19" s="1130">
        <v>1</v>
      </c>
      <c r="I19" s="1130">
        <v>1</v>
      </c>
      <c r="J19" s="695">
        <v>8000</v>
      </c>
      <c r="K19" s="695">
        <f t="shared" si="0"/>
        <v>8000</v>
      </c>
      <c r="L19" s="695">
        <f t="shared" si="1"/>
        <v>0</v>
      </c>
      <c r="M19" s="695">
        <f>IF(K19&lt;&gt;"",IF(E19="FAT.OGGI",SUM(K19:L19)*(1/(1-$M$14)-1),L19*(1/(1-$M$14)-1)),"")</f>
        <v>1677.0291520503199</v>
      </c>
      <c r="N19" s="635">
        <f t="shared" si="2"/>
        <v>9677.0291520503197</v>
      </c>
      <c r="O19" s="1131" t="s">
        <v>653</v>
      </c>
      <c r="P19" s="1135" t="s">
        <v>623</v>
      </c>
      <c r="Q19" s="1133" t="s">
        <v>660</v>
      </c>
      <c r="T19" s="636">
        <f t="shared" si="3"/>
        <v>1</v>
      </c>
      <c r="U19" s="637">
        <f t="shared" si="3"/>
        <v>1</v>
      </c>
      <c r="V19" s="626">
        <v>5000</v>
      </c>
      <c r="W19" s="626">
        <v>0</v>
      </c>
      <c r="X19" s="627">
        <f t="shared" si="11"/>
        <v>8000</v>
      </c>
      <c r="Y19" s="1134">
        <f t="shared" si="12"/>
        <v>0</v>
      </c>
      <c r="Z19" s="629">
        <f t="shared" si="13"/>
        <v>0</v>
      </c>
      <c r="AA19" s="629">
        <f t="shared" si="14"/>
        <v>0</v>
      </c>
      <c r="AB19" s="639">
        <f t="shared" si="9"/>
        <v>1677.0291520503199</v>
      </c>
      <c r="AC19" s="631">
        <f>IFERROR(IF(T19&lt;&gt;"",X19/K19,""),0)</f>
        <v>1</v>
      </c>
      <c r="AD19" s="632" t="e">
        <f t="shared" si="10"/>
        <v>#DIV/0!</v>
      </c>
      <c r="AN19" s="1703">
        <f t="shared" si="15"/>
        <v>0</v>
      </c>
      <c r="AO19" s="1713"/>
    </row>
    <row r="20" spans="1:41" ht="150" customHeight="1" x14ac:dyDescent="0.7">
      <c r="A20" s="584">
        <v>6</v>
      </c>
      <c r="B20" s="608" t="s">
        <v>231</v>
      </c>
      <c r="C20" s="609" t="s">
        <v>175</v>
      </c>
      <c r="D20" s="633" t="s">
        <v>168</v>
      </c>
      <c r="E20" s="633" t="s">
        <v>179</v>
      </c>
      <c r="F20" s="1128" t="s">
        <v>256</v>
      </c>
      <c r="G20" s="1129" t="s">
        <v>1317</v>
      </c>
      <c r="H20" s="1130">
        <v>1</v>
      </c>
      <c r="I20" s="1130">
        <v>1</v>
      </c>
      <c r="J20" s="695">
        <v>10000</v>
      </c>
      <c r="K20" s="695">
        <f t="shared" si="0"/>
        <v>10000</v>
      </c>
      <c r="L20" s="695">
        <f t="shared" si="1"/>
        <v>0</v>
      </c>
      <c r="M20" s="695">
        <f>IF(K20&lt;&gt;"",IF(E20="FAT.OGGI",SUM(K20:L20)*(1/(1-$M$14)-1),L20*(1/(1-$M$14)-1)),0)</f>
        <v>2096.2864400629001</v>
      </c>
      <c r="N20" s="635">
        <f t="shared" si="2"/>
        <v>12096.286440062901</v>
      </c>
      <c r="O20" s="1131" t="s">
        <v>653</v>
      </c>
      <c r="P20" s="1132" t="s">
        <v>655</v>
      </c>
      <c r="Q20" s="1133" t="s">
        <v>661</v>
      </c>
      <c r="T20" s="642">
        <f t="shared" si="3"/>
        <v>1</v>
      </c>
      <c r="U20" s="696">
        <f t="shared" si="3"/>
        <v>1</v>
      </c>
      <c r="V20" s="626">
        <v>0</v>
      </c>
      <c r="W20" s="626">
        <v>0</v>
      </c>
      <c r="X20" s="627">
        <f t="shared" si="11"/>
        <v>10000</v>
      </c>
      <c r="Y20" s="1134">
        <f t="shared" si="12"/>
        <v>0</v>
      </c>
      <c r="Z20" s="629">
        <f t="shared" si="13"/>
        <v>0</v>
      </c>
      <c r="AA20" s="629">
        <f t="shared" si="14"/>
        <v>0</v>
      </c>
      <c r="AB20" s="639">
        <f t="shared" si="9"/>
        <v>2096.2864400629001</v>
      </c>
      <c r="AC20" s="631">
        <f>IF(T20&lt;&gt;"", IFERROR(X20/K20, 0), 0)</f>
        <v>1</v>
      </c>
      <c r="AD20" s="632" t="e">
        <f t="shared" si="10"/>
        <v>#DIV/0!</v>
      </c>
      <c r="AN20" s="1703">
        <f t="shared" si="15"/>
        <v>0</v>
      </c>
      <c r="AO20" s="1713"/>
    </row>
    <row r="21" spans="1:41" ht="150" customHeight="1" x14ac:dyDescent="0.7">
      <c r="A21" s="646">
        <v>7</v>
      </c>
      <c r="B21" s="608" t="s">
        <v>178</v>
      </c>
      <c r="C21" s="647" t="s">
        <v>175</v>
      </c>
      <c r="D21" s="633" t="s">
        <v>168</v>
      </c>
      <c r="E21" s="633" t="s">
        <v>179</v>
      </c>
      <c r="F21" s="1128" t="s">
        <v>72</v>
      </c>
      <c r="G21" s="1129" t="s">
        <v>1318</v>
      </c>
      <c r="H21" s="1130">
        <v>1</v>
      </c>
      <c r="I21" s="1130">
        <v>1</v>
      </c>
      <c r="J21" s="695">
        <v>15000</v>
      </c>
      <c r="K21" s="621">
        <f t="shared" si="0"/>
        <v>15000</v>
      </c>
      <c r="L21" s="621">
        <f t="shared" si="1"/>
        <v>0</v>
      </c>
      <c r="M21" s="621">
        <f>IF(K21&lt;&gt;"",IF(E21="FAT.OGGI",SUM(K21:L21)*(1/(1-$M$14)-1),L21*(1/(1-$M$14)-1)),0)</f>
        <v>3144.4296600943499</v>
      </c>
      <c r="N21" s="622">
        <f t="shared" si="2"/>
        <v>18144.429660094349</v>
      </c>
      <c r="O21" s="1131" t="s">
        <v>653</v>
      </c>
      <c r="P21" s="1132" t="s">
        <v>655</v>
      </c>
      <c r="Q21" s="1133" t="s">
        <v>662</v>
      </c>
      <c r="T21" s="648">
        <f t="shared" si="3"/>
        <v>1</v>
      </c>
      <c r="U21" s="649">
        <f t="shared" si="3"/>
        <v>1</v>
      </c>
      <c r="V21" s="626">
        <v>16000</v>
      </c>
      <c r="W21" s="626">
        <v>0</v>
      </c>
      <c r="X21" s="627">
        <f t="shared" si="11"/>
        <v>15000</v>
      </c>
      <c r="Y21" s="1134">
        <f t="shared" si="12"/>
        <v>0</v>
      </c>
      <c r="Z21" s="629">
        <f t="shared" si="13"/>
        <v>0</v>
      </c>
      <c r="AA21" s="629">
        <f t="shared" si="14"/>
        <v>0</v>
      </c>
      <c r="AB21" s="630">
        <f t="shared" si="9"/>
        <v>3144.4296600943499</v>
      </c>
      <c r="AC21" s="631">
        <f>IF(T21&lt;&gt;"", IFERROR(X21/K21, 0), 0)</f>
        <v>1</v>
      </c>
      <c r="AD21" s="632" t="e">
        <f t="shared" si="10"/>
        <v>#DIV/0!</v>
      </c>
      <c r="AN21" s="1703">
        <f t="shared" si="15"/>
        <v>0</v>
      </c>
      <c r="AO21" s="1713"/>
    </row>
    <row r="22" spans="1:41" ht="150" customHeight="1" x14ac:dyDescent="0.7">
      <c r="A22" s="654">
        <v>8</v>
      </c>
      <c r="B22" s="608" t="s">
        <v>236</v>
      </c>
      <c r="C22" s="655" t="s">
        <v>175</v>
      </c>
      <c r="D22" s="633" t="s">
        <v>168</v>
      </c>
      <c r="E22" s="633" t="s">
        <v>179</v>
      </c>
      <c r="F22" s="1128" t="s">
        <v>257</v>
      </c>
      <c r="G22" s="1129" t="s">
        <v>1319</v>
      </c>
      <c r="H22" s="1130">
        <v>1</v>
      </c>
      <c r="I22" s="1130">
        <v>1</v>
      </c>
      <c r="J22" s="695">
        <v>10000</v>
      </c>
      <c r="K22" s="1140">
        <f t="shared" si="0"/>
        <v>10000</v>
      </c>
      <c r="L22" s="1140">
        <f t="shared" si="1"/>
        <v>0</v>
      </c>
      <c r="M22" s="1140">
        <f>IF(K22&lt;&gt;"",IF(E22="FAT.OGGI",SUM(K22:L22)*(1/(1-$M$14)-1),L22*(1/(1-$M$14)-1)),0)</f>
        <v>2096.2864400629001</v>
      </c>
      <c r="N22" s="657">
        <f t="shared" si="2"/>
        <v>12096.286440062901</v>
      </c>
      <c r="O22" s="1141" t="s">
        <v>653</v>
      </c>
      <c r="P22" s="1135" t="s">
        <v>623</v>
      </c>
      <c r="Q22" s="1142" t="s">
        <v>625</v>
      </c>
      <c r="T22" s="658">
        <f t="shared" si="3"/>
        <v>1</v>
      </c>
      <c r="U22" s="659">
        <f t="shared" si="3"/>
        <v>1</v>
      </c>
      <c r="V22" s="626">
        <v>12200</v>
      </c>
      <c r="W22" s="626">
        <v>0</v>
      </c>
      <c r="X22" s="627">
        <f t="shared" si="11"/>
        <v>10000</v>
      </c>
      <c r="Y22" s="1134">
        <f t="shared" si="12"/>
        <v>0</v>
      </c>
      <c r="Z22" s="629">
        <f t="shared" si="13"/>
        <v>0</v>
      </c>
      <c r="AA22" s="629">
        <f t="shared" si="14"/>
        <v>0</v>
      </c>
      <c r="AB22" s="664">
        <f t="shared" si="9"/>
        <v>2096.2864400629001</v>
      </c>
      <c r="AC22" s="631">
        <f>IFERROR(IF(T22&lt;&gt;"",X22/K22,""),0)</f>
        <v>1</v>
      </c>
      <c r="AD22" s="632" t="e">
        <f t="shared" si="10"/>
        <v>#DIV/0!</v>
      </c>
      <c r="AN22" s="1703">
        <f t="shared" si="15"/>
        <v>0</v>
      </c>
      <c r="AO22" s="1713"/>
    </row>
    <row r="23" spans="1:41" ht="150" customHeight="1" x14ac:dyDescent="0.7">
      <c r="A23" s="633">
        <v>9</v>
      </c>
      <c r="B23" s="608" t="s">
        <v>251</v>
      </c>
      <c r="C23" s="634" t="s">
        <v>175</v>
      </c>
      <c r="D23" s="633" t="s">
        <v>168</v>
      </c>
      <c r="E23" s="633" t="s">
        <v>179</v>
      </c>
      <c r="F23" s="1128" t="s">
        <v>259</v>
      </c>
      <c r="G23" s="1129" t="s">
        <v>1399</v>
      </c>
      <c r="H23" s="1130">
        <v>1</v>
      </c>
      <c r="I23" s="1130">
        <v>1</v>
      </c>
      <c r="J23" s="695">
        <v>10000</v>
      </c>
      <c r="K23" s="1140">
        <f t="shared" si="0"/>
        <v>10000</v>
      </c>
      <c r="L23" s="1140">
        <f t="shared" si="1"/>
        <v>0</v>
      </c>
      <c r="M23" s="1140">
        <f>IF(K23&lt;&gt;"",IF(E23="FAT.OGGI",SUM(K23:L23)*(1/(1-$M$14)-1),L23*(1/(1-$M$14)-1)),"")</f>
        <v>2096.2864400629001</v>
      </c>
      <c r="N23" s="657">
        <f t="shared" si="2"/>
        <v>12096.286440062901</v>
      </c>
      <c r="O23" s="1131" t="s">
        <v>653</v>
      </c>
      <c r="P23" s="1132" t="s">
        <v>655</v>
      </c>
      <c r="Q23" s="1133" t="s">
        <v>663</v>
      </c>
      <c r="T23" s="665">
        <f t="shared" si="3"/>
        <v>1</v>
      </c>
      <c r="U23" s="666">
        <f t="shared" si="3"/>
        <v>1</v>
      </c>
      <c r="V23" s="626">
        <v>4000</v>
      </c>
      <c r="W23" s="626">
        <v>0</v>
      </c>
      <c r="X23" s="627">
        <f t="shared" si="11"/>
        <v>10000</v>
      </c>
      <c r="Y23" s="1134">
        <f t="shared" si="12"/>
        <v>0</v>
      </c>
      <c r="Z23" s="629">
        <f t="shared" si="13"/>
        <v>0</v>
      </c>
      <c r="AA23" s="629">
        <f t="shared" si="14"/>
        <v>0</v>
      </c>
      <c r="AB23" s="664">
        <f t="shared" si="9"/>
        <v>2096.2864400629001</v>
      </c>
      <c r="AC23" s="631">
        <f>IFERROR(IF(T23&lt;&gt;"",X23/K23,""),0)</f>
        <v>1</v>
      </c>
      <c r="AD23" s="632" t="e">
        <f t="shared" si="10"/>
        <v>#DIV/0!</v>
      </c>
      <c r="AN23" s="1703">
        <f t="shared" si="15"/>
        <v>0</v>
      </c>
      <c r="AO23" s="1713"/>
    </row>
    <row r="24" spans="1:41" ht="150" customHeight="1" x14ac:dyDescent="0.7">
      <c r="A24" s="584">
        <v>10</v>
      </c>
      <c r="B24" s="608" t="s">
        <v>252</v>
      </c>
      <c r="C24" s="609" t="s">
        <v>175</v>
      </c>
      <c r="D24" s="584" t="s">
        <v>168</v>
      </c>
      <c r="E24" s="584" t="s">
        <v>179</v>
      </c>
      <c r="F24" s="1128" t="s">
        <v>258</v>
      </c>
      <c r="G24" s="1129" t="s">
        <v>1321</v>
      </c>
      <c r="H24" s="1130">
        <v>1</v>
      </c>
      <c r="I24" s="1130">
        <v>1</v>
      </c>
      <c r="J24" s="695">
        <v>7000</v>
      </c>
      <c r="K24" s="621">
        <f t="shared" si="0"/>
        <v>7000</v>
      </c>
      <c r="L24" s="621">
        <f t="shared" si="1"/>
        <v>0</v>
      </c>
      <c r="M24" s="621">
        <f>IF(K24&lt;&gt;"",IF(E24="FAT.OGGI",SUM(K24:L24)*(1/(1-$M$14)-1),L24*(1/(1-$M$14)-1)),"")</f>
        <v>1467.4005080440299</v>
      </c>
      <c r="N24" s="622">
        <f t="shared" si="2"/>
        <v>8467.4005080440293</v>
      </c>
      <c r="O24" s="1141" t="s">
        <v>653</v>
      </c>
      <c r="P24" s="1145" t="s">
        <v>926</v>
      </c>
      <c r="Q24" s="1146"/>
      <c r="T24" s="624">
        <f t="shared" si="3"/>
        <v>1</v>
      </c>
      <c r="U24" s="625">
        <f t="shared" si="3"/>
        <v>1</v>
      </c>
      <c r="V24" s="626">
        <v>0</v>
      </c>
      <c r="W24" s="626">
        <f t="shared" ref="W24" si="16">IF(T24&lt;&gt;"",T24*U24*V24,"")</f>
        <v>0</v>
      </c>
      <c r="X24" s="627">
        <f t="shared" si="11"/>
        <v>7000</v>
      </c>
      <c r="Y24" s="1134">
        <f t="shared" si="12"/>
        <v>0</v>
      </c>
      <c r="Z24" s="629">
        <f t="shared" si="13"/>
        <v>0</v>
      </c>
      <c r="AA24" s="629">
        <f t="shared" si="14"/>
        <v>0</v>
      </c>
      <c r="AB24" s="630">
        <f t="shared" si="9"/>
        <v>1467.4005080440299</v>
      </c>
      <c r="AC24" s="631">
        <f>IFERROR(IF(T24&lt;&gt;"",X24/K24,""),0)</f>
        <v>1</v>
      </c>
      <c r="AD24" s="632" t="e">
        <f t="shared" si="10"/>
        <v>#DIV/0!</v>
      </c>
      <c r="AN24" s="1703">
        <f t="shared" si="15"/>
        <v>0</v>
      </c>
      <c r="AO24" s="1713"/>
    </row>
    <row r="25" spans="1:41" ht="50.1" customHeight="1" thickBot="1" x14ac:dyDescent="0.75">
      <c r="A25" s="646">
        <v>11</v>
      </c>
      <c r="B25" s="608"/>
      <c r="C25" s="647" t="s">
        <v>184</v>
      </c>
      <c r="D25" s="646"/>
      <c r="E25" s="646"/>
      <c r="F25" s="1375" t="s">
        <v>238</v>
      </c>
      <c r="G25" s="1376"/>
      <c r="H25" s="1376"/>
      <c r="I25" s="1376"/>
      <c r="J25" s="1376"/>
      <c r="K25" s="1147">
        <f>SUM(K17:K24)</f>
        <v>76000</v>
      </c>
      <c r="L25" s="1147">
        <f>SUM(L17:L24)</f>
        <v>0</v>
      </c>
      <c r="M25" s="1147">
        <f>SUM(M17:M24)</f>
        <v>15931.776944478039</v>
      </c>
      <c r="N25" s="1148">
        <f>SUM(N17:N24)</f>
        <v>91931.776944478042</v>
      </c>
      <c r="T25" s="1415">
        <f>SUM(T17:T24)</f>
        <v>8</v>
      </c>
      <c r="U25" s="1416"/>
      <c r="V25" s="1417"/>
      <c r="W25" s="1149">
        <f>SUM(W17:W24)</f>
        <v>0</v>
      </c>
      <c r="X25" s="674">
        <f>SUM(X17:X24)</f>
        <v>76000</v>
      </c>
      <c r="Y25" s="1150"/>
      <c r="Z25" s="676"/>
      <c r="AA25" s="677">
        <f>SUM(AA17:AA24)</f>
        <v>0</v>
      </c>
      <c r="AB25" s="678">
        <f t="shared" si="9"/>
        <v>15931.776944478039</v>
      </c>
      <c r="AC25" s="679"/>
      <c r="AN25" s="1703"/>
      <c r="AO25" s="1713"/>
    </row>
    <row r="26" spans="1:41" ht="50.1" customHeight="1" thickBot="1" x14ac:dyDescent="0.75">
      <c r="A26" s="633">
        <v>12</v>
      </c>
      <c r="B26" s="608"/>
      <c r="C26" s="634" t="s">
        <v>183</v>
      </c>
      <c r="D26" s="633"/>
      <c r="E26" s="633"/>
      <c r="F26" s="1401" t="s">
        <v>185</v>
      </c>
      <c r="G26" s="1402"/>
      <c r="H26" s="1402"/>
      <c r="I26" s="1402"/>
      <c r="J26" s="1402"/>
      <c r="K26" s="1151">
        <f>SUM(K17:K24)</f>
        <v>76000</v>
      </c>
      <c r="L26" s="1151">
        <f>SUM(L17:L24)</f>
        <v>0</v>
      </c>
      <c r="M26" s="1151">
        <f>SUM(M17:M24)</f>
        <v>15931.776944478039</v>
      </c>
      <c r="N26" s="1152">
        <f>SUM(N17:N24)</f>
        <v>91931.776944478042</v>
      </c>
      <c r="T26" s="1418">
        <f>SUM(T17:T24)</f>
        <v>8</v>
      </c>
      <c r="U26" s="1419"/>
      <c r="V26" s="1419"/>
      <c r="W26" s="1153">
        <f>SUM(W17:W24)</f>
        <v>0</v>
      </c>
      <c r="X26" s="684">
        <f>SUM(X17:X24)</f>
        <v>76000</v>
      </c>
      <c r="Y26" s="1154"/>
      <c r="Z26" s="686"/>
      <c r="AA26" s="687">
        <f>SUM(AA17:AA24)</f>
        <v>0</v>
      </c>
      <c r="AB26" s="688">
        <f t="shared" si="9"/>
        <v>15931.776944478039</v>
      </c>
      <c r="AC26" s="689"/>
      <c r="AN26" s="1703"/>
      <c r="AO26" s="1713"/>
    </row>
    <row r="27" spans="1:41" ht="50.1" customHeight="1" thickBot="1" x14ac:dyDescent="0.75">
      <c r="A27" s="654">
        <v>13</v>
      </c>
      <c r="B27" s="608">
        <v>2</v>
      </c>
      <c r="C27" s="634" t="s">
        <v>167</v>
      </c>
      <c r="D27" s="633"/>
      <c r="E27" s="633"/>
      <c r="F27" s="1380" t="s">
        <v>260</v>
      </c>
      <c r="G27" s="1381"/>
      <c r="H27" s="1381"/>
      <c r="I27" s="1381"/>
      <c r="J27" s="1381"/>
      <c r="K27" s="1381"/>
      <c r="L27" s="1381"/>
      <c r="M27" s="1381"/>
      <c r="N27" s="1382"/>
      <c r="T27" s="1387" t="str">
        <f>IF(F27&lt;&gt;"",F27,"")</f>
        <v>STAFF</v>
      </c>
      <c r="U27" s="1388"/>
      <c r="V27" s="1388"/>
      <c r="W27" s="1388"/>
      <c r="X27" s="1388"/>
      <c r="Y27" s="1388"/>
      <c r="Z27" s="1388"/>
      <c r="AA27" s="1388"/>
      <c r="AB27" s="1389"/>
      <c r="AN27" s="1703"/>
      <c r="AO27" s="1713"/>
    </row>
    <row r="28" spans="1:41" ht="50.1" customHeight="1" x14ac:dyDescent="0.7">
      <c r="A28" s="646">
        <v>14</v>
      </c>
      <c r="B28" s="608" t="s">
        <v>180</v>
      </c>
      <c r="C28" s="609" t="s">
        <v>169</v>
      </c>
      <c r="D28" s="584"/>
      <c r="E28" s="584"/>
      <c r="F28" s="1403" t="s">
        <v>260</v>
      </c>
      <c r="G28" s="1404"/>
      <c r="H28" s="1404"/>
      <c r="I28" s="1404"/>
      <c r="J28" s="1404"/>
      <c r="K28" s="1405"/>
      <c r="L28" s="612" t="s">
        <v>171</v>
      </c>
      <c r="M28" s="613" t="s">
        <v>172</v>
      </c>
      <c r="N28" s="971" t="s">
        <v>129</v>
      </c>
      <c r="O28" s="1126" t="s">
        <v>651</v>
      </c>
      <c r="P28" s="1127" t="s">
        <v>652</v>
      </c>
      <c r="Q28" s="1127" t="s">
        <v>666</v>
      </c>
      <c r="T28" s="1406" t="str">
        <f>IF(F28&lt;&gt;"",F28,"")</f>
        <v>STAFF</v>
      </c>
      <c r="U28" s="1407"/>
      <c r="V28" s="1407"/>
      <c r="W28" s="1407"/>
      <c r="X28" s="1407"/>
      <c r="Y28" s="1407"/>
      <c r="Z28" s="1407"/>
      <c r="AA28" s="1407"/>
      <c r="AB28" s="1408"/>
      <c r="AC28" s="616" t="s">
        <v>173</v>
      </c>
      <c r="AD28" s="617" t="s">
        <v>130</v>
      </c>
      <c r="AN28" s="1703"/>
      <c r="AO28" s="1713"/>
    </row>
    <row r="29" spans="1:41" ht="150" customHeight="1" x14ac:dyDescent="0.7">
      <c r="A29" s="584">
        <v>15</v>
      </c>
      <c r="B29" s="608" t="s">
        <v>181</v>
      </c>
      <c r="C29" s="609" t="s">
        <v>175</v>
      </c>
      <c r="D29" s="584" t="s">
        <v>182</v>
      </c>
      <c r="E29" s="584" t="s">
        <v>179</v>
      </c>
      <c r="F29" s="1128" t="s">
        <v>278</v>
      </c>
      <c r="G29" s="1129" t="s">
        <v>1400</v>
      </c>
      <c r="H29" s="1155">
        <v>1</v>
      </c>
      <c r="I29" s="1155">
        <v>1</v>
      </c>
      <c r="J29" s="695">
        <v>3800</v>
      </c>
      <c r="K29" s="695">
        <f t="shared" ref="K29:K43" si="17">IF(F29&lt;&gt;"",H29*I29*J29,"")</f>
        <v>3800</v>
      </c>
      <c r="L29" s="695">
        <f t="shared" ref="L29:L43" si="18">IF(K29&lt;&gt;"",IF(D29="INTERNO",0,K29*$L$14),"")</f>
        <v>304</v>
      </c>
      <c r="M29" s="695">
        <f>IF(K29&lt;&gt;"",IF(E29="FAT.OGGI",SUM(K29:L29)*(1/(1-$M$14)-1),L29*(1/(1-$M$14)-1)),"")</f>
        <v>860.31595500181413</v>
      </c>
      <c r="N29" s="635">
        <f t="shared" ref="N29:N43" si="19">SUM(K29:M29)</f>
        <v>4964.3159550018145</v>
      </c>
      <c r="O29" s="1131" t="s">
        <v>653</v>
      </c>
      <c r="P29" s="1135" t="s">
        <v>623</v>
      </c>
      <c r="Q29" s="1156" t="s">
        <v>627</v>
      </c>
      <c r="T29" s="636">
        <v>1</v>
      </c>
      <c r="U29" s="696">
        <f t="shared" ref="U29:U42" si="20">IF(I29&lt;&gt;"",I29,"")</f>
        <v>1</v>
      </c>
      <c r="V29" s="626">
        <v>3800</v>
      </c>
      <c r="W29" s="638">
        <v>0</v>
      </c>
      <c r="X29" s="720">
        <f t="shared" ref="X29:X43" si="21">IF(T29&lt;&gt;"",K29-W29,"")</f>
        <v>3800</v>
      </c>
      <c r="Y29" s="1137">
        <f t="shared" ref="Y29:Y43" si="22">IF(T29&lt;&gt;"",0%,"")</f>
        <v>0</v>
      </c>
      <c r="Z29" s="701">
        <f t="shared" ref="Z29:Z43" si="23">IF(T29&lt;&gt;"",Y29*X29,"")</f>
        <v>0</v>
      </c>
      <c r="AA29" s="701">
        <f t="shared" ref="AA29:AA43" si="24">IF(T29&lt;&gt;"",Z29+W29,"")</f>
        <v>0</v>
      </c>
      <c r="AB29" s="639">
        <f t="shared" ref="AB29:AB45" si="25">IF(T29&lt;&gt;"",AA29+M29,"")</f>
        <v>860.31595500181413</v>
      </c>
      <c r="AC29" s="631">
        <f>IFERROR(IF(T29&lt;&gt;"",X29/K29,""),0)</f>
        <v>1</v>
      </c>
      <c r="AD29" s="632">
        <f t="shared" ref="AD29:AD43" si="26">W29/$W$44</f>
        <v>0</v>
      </c>
      <c r="AN29" s="1703">
        <f t="shared" si="15"/>
        <v>0</v>
      </c>
      <c r="AO29" s="1713"/>
    </row>
    <row r="30" spans="1:41" ht="150" customHeight="1" x14ac:dyDescent="0.7">
      <c r="A30" s="584">
        <v>16</v>
      </c>
      <c r="B30" s="608" t="s">
        <v>261</v>
      </c>
      <c r="C30" s="609" t="s">
        <v>175</v>
      </c>
      <c r="D30" s="584" t="s">
        <v>182</v>
      </c>
      <c r="E30" s="584" t="s">
        <v>179</v>
      </c>
      <c r="F30" s="1128" t="s">
        <v>279</v>
      </c>
      <c r="G30" s="1129" t="s">
        <v>1401</v>
      </c>
      <c r="H30" s="1130">
        <v>1</v>
      </c>
      <c r="I30" s="1130">
        <v>1</v>
      </c>
      <c r="J30" s="695">
        <v>3800</v>
      </c>
      <c r="K30" s="695">
        <f t="shared" si="17"/>
        <v>3800</v>
      </c>
      <c r="L30" s="695">
        <f t="shared" si="18"/>
        <v>304</v>
      </c>
      <c r="M30" s="695">
        <f t="shared" ref="M30:M43" si="27">IF(K30&lt;&gt;"",IF(E30="FAT.OGGI",SUM(K30:L30)*(1/(1-$M$14)-1),L30*(1/(1-$M$14)-1)),0)</f>
        <v>860.31595500181413</v>
      </c>
      <c r="N30" s="695">
        <f t="shared" si="19"/>
        <v>4964.3159550018145</v>
      </c>
      <c r="O30" s="1131" t="s">
        <v>653</v>
      </c>
      <c r="P30" s="1135" t="s">
        <v>623</v>
      </c>
      <c r="Q30" s="1142" t="s">
        <v>962</v>
      </c>
      <c r="T30" s="696">
        <f t="shared" ref="T30:T43" si="28">IF(H30&lt;&gt;"",H30,"")</f>
        <v>1</v>
      </c>
      <c r="U30" s="696">
        <f t="shared" si="20"/>
        <v>1</v>
      </c>
      <c r="V30" s="626">
        <v>3800</v>
      </c>
      <c r="W30" s="697">
        <v>0</v>
      </c>
      <c r="X30" s="698">
        <f t="shared" si="21"/>
        <v>3800</v>
      </c>
      <c r="Y30" s="1138">
        <f t="shared" si="22"/>
        <v>0</v>
      </c>
      <c r="Z30" s="700">
        <f t="shared" si="23"/>
        <v>0</v>
      </c>
      <c r="AA30" s="700">
        <f t="shared" si="24"/>
        <v>0</v>
      </c>
      <c r="AB30" s="701">
        <f t="shared" si="25"/>
        <v>860.31595500181413</v>
      </c>
      <c r="AC30" s="632">
        <f t="shared" ref="AC30:AC43" si="29">IF(T30&lt;&gt;"", IFERROR(X30/K30, 0), 0)</f>
        <v>1</v>
      </c>
      <c r="AD30" s="632">
        <f t="shared" si="26"/>
        <v>0</v>
      </c>
      <c r="AN30" s="1703">
        <f t="shared" si="15"/>
        <v>0</v>
      </c>
      <c r="AO30" s="1713"/>
    </row>
    <row r="31" spans="1:41" ht="150" customHeight="1" x14ac:dyDescent="0.7">
      <c r="A31" s="584">
        <v>17</v>
      </c>
      <c r="B31" s="608" t="s">
        <v>262</v>
      </c>
      <c r="C31" s="609" t="s">
        <v>175</v>
      </c>
      <c r="D31" s="584" t="s">
        <v>182</v>
      </c>
      <c r="E31" s="584" t="s">
        <v>179</v>
      </c>
      <c r="F31" s="1128" t="s">
        <v>280</v>
      </c>
      <c r="G31" s="692" t="s">
        <v>1323</v>
      </c>
      <c r="H31" s="693">
        <v>1</v>
      </c>
      <c r="I31" s="693">
        <v>1</v>
      </c>
      <c r="J31" s="695">
        <v>3800</v>
      </c>
      <c r="K31" s="695">
        <f t="shared" si="17"/>
        <v>3800</v>
      </c>
      <c r="L31" s="695">
        <f t="shared" si="18"/>
        <v>304</v>
      </c>
      <c r="M31" s="695">
        <f t="shared" si="27"/>
        <v>860.31595500181413</v>
      </c>
      <c r="N31" s="695">
        <f t="shared" si="19"/>
        <v>4964.3159550018145</v>
      </c>
      <c r="O31" s="1131" t="s">
        <v>653</v>
      </c>
      <c r="P31" s="1135" t="s">
        <v>623</v>
      </c>
      <c r="Q31" s="1145" t="s">
        <v>961</v>
      </c>
      <c r="T31" s="696">
        <f t="shared" si="28"/>
        <v>1</v>
      </c>
      <c r="U31" s="696">
        <f t="shared" si="20"/>
        <v>1</v>
      </c>
      <c r="V31" s="626">
        <v>2800</v>
      </c>
      <c r="W31" s="697">
        <v>0</v>
      </c>
      <c r="X31" s="698">
        <f t="shared" si="21"/>
        <v>3800</v>
      </c>
      <c r="Y31" s="1138">
        <f t="shared" si="22"/>
        <v>0</v>
      </c>
      <c r="Z31" s="700">
        <f t="shared" si="23"/>
        <v>0</v>
      </c>
      <c r="AA31" s="700">
        <f t="shared" si="24"/>
        <v>0</v>
      </c>
      <c r="AB31" s="701">
        <f t="shared" si="25"/>
        <v>860.31595500181413</v>
      </c>
      <c r="AC31" s="632">
        <f t="shared" si="29"/>
        <v>1</v>
      </c>
      <c r="AD31" s="632">
        <f t="shared" si="26"/>
        <v>0</v>
      </c>
      <c r="AN31" s="1703">
        <f t="shared" si="15"/>
        <v>0</v>
      </c>
      <c r="AO31" s="1713"/>
    </row>
    <row r="32" spans="1:41" ht="150" customHeight="1" x14ac:dyDescent="0.7">
      <c r="A32" s="584">
        <v>18</v>
      </c>
      <c r="B32" s="608" t="s">
        <v>263</v>
      </c>
      <c r="C32" s="609" t="s">
        <v>175</v>
      </c>
      <c r="D32" s="584" t="s">
        <v>182</v>
      </c>
      <c r="E32" s="584" t="s">
        <v>179</v>
      </c>
      <c r="F32" s="1128" t="s">
        <v>284</v>
      </c>
      <c r="G32" s="1157" t="s">
        <v>1402</v>
      </c>
      <c r="H32" s="1155">
        <v>4</v>
      </c>
      <c r="I32" s="830">
        <v>1</v>
      </c>
      <c r="J32" s="832">
        <v>850</v>
      </c>
      <c r="K32" s="695">
        <f t="shared" si="17"/>
        <v>3400</v>
      </c>
      <c r="L32" s="695">
        <f t="shared" si="18"/>
        <v>272</v>
      </c>
      <c r="M32" s="695">
        <f t="shared" si="27"/>
        <v>769.75638079109683</v>
      </c>
      <c r="N32" s="695">
        <f t="shared" si="19"/>
        <v>4441.7563807910965</v>
      </c>
      <c r="O32" s="1131" t="s">
        <v>653</v>
      </c>
      <c r="P32" s="1132" t="s">
        <v>655</v>
      </c>
      <c r="Q32" s="1133"/>
      <c r="T32" s="696">
        <f t="shared" si="28"/>
        <v>4</v>
      </c>
      <c r="U32" s="696">
        <f t="shared" si="20"/>
        <v>1</v>
      </c>
      <c r="V32" s="626">
        <v>750</v>
      </c>
      <c r="W32" s="697">
        <v>0</v>
      </c>
      <c r="X32" s="698">
        <f t="shared" si="21"/>
        <v>3400</v>
      </c>
      <c r="Y32" s="1138">
        <f t="shared" si="22"/>
        <v>0</v>
      </c>
      <c r="Z32" s="700">
        <f t="shared" si="23"/>
        <v>0</v>
      </c>
      <c r="AA32" s="700">
        <f t="shared" si="24"/>
        <v>0</v>
      </c>
      <c r="AB32" s="701">
        <f t="shared" si="25"/>
        <v>769.75638079109683</v>
      </c>
      <c r="AC32" s="632">
        <f t="shared" si="29"/>
        <v>1</v>
      </c>
      <c r="AD32" s="632">
        <f t="shared" si="26"/>
        <v>0</v>
      </c>
      <c r="AN32" s="1703">
        <f t="shared" si="15"/>
        <v>0</v>
      </c>
      <c r="AO32" s="1713"/>
    </row>
    <row r="33" spans="1:42" ht="150" customHeight="1" x14ac:dyDescent="0.7">
      <c r="A33" s="584">
        <v>19</v>
      </c>
      <c r="B33" s="608" t="s">
        <v>264</v>
      </c>
      <c r="C33" s="609" t="s">
        <v>175</v>
      </c>
      <c r="D33" s="584" t="s">
        <v>182</v>
      </c>
      <c r="E33" s="584" t="s">
        <v>179</v>
      </c>
      <c r="F33" s="1128" t="s">
        <v>285</v>
      </c>
      <c r="G33" s="1157" t="s">
        <v>1403</v>
      </c>
      <c r="H33" s="1155">
        <v>4</v>
      </c>
      <c r="I33" s="1155">
        <v>1</v>
      </c>
      <c r="J33" s="695">
        <v>450</v>
      </c>
      <c r="K33" s="695">
        <f t="shared" si="17"/>
        <v>1800</v>
      </c>
      <c r="L33" s="695">
        <f t="shared" si="18"/>
        <v>144</v>
      </c>
      <c r="M33" s="695">
        <f t="shared" si="27"/>
        <v>407.51808394822774</v>
      </c>
      <c r="N33" s="695">
        <f t="shared" si="19"/>
        <v>2351.5180839482277</v>
      </c>
      <c r="O33" s="1131" t="s">
        <v>653</v>
      </c>
      <c r="P33" s="1158" t="s">
        <v>151</v>
      </c>
      <c r="Q33" s="1133"/>
      <c r="T33" s="696">
        <f t="shared" si="28"/>
        <v>4</v>
      </c>
      <c r="U33" s="696">
        <f t="shared" si="20"/>
        <v>1</v>
      </c>
      <c r="V33" s="626">
        <v>370</v>
      </c>
      <c r="W33" s="697">
        <v>0</v>
      </c>
      <c r="X33" s="698">
        <f t="shared" si="21"/>
        <v>1800</v>
      </c>
      <c r="Y33" s="1138">
        <f t="shared" si="22"/>
        <v>0</v>
      </c>
      <c r="Z33" s="700">
        <f t="shared" si="23"/>
        <v>0</v>
      </c>
      <c r="AA33" s="700">
        <f t="shared" si="24"/>
        <v>0</v>
      </c>
      <c r="AB33" s="701">
        <f t="shared" si="25"/>
        <v>407.51808394822774</v>
      </c>
      <c r="AC33" s="632">
        <f t="shared" si="29"/>
        <v>1</v>
      </c>
      <c r="AD33" s="632">
        <f t="shared" si="26"/>
        <v>0</v>
      </c>
      <c r="AN33" s="1703">
        <f t="shared" si="15"/>
        <v>0</v>
      </c>
      <c r="AO33" s="1713"/>
    </row>
    <row r="34" spans="1:42" ht="150" customHeight="1" x14ac:dyDescent="0.7">
      <c r="A34" s="584">
        <v>20</v>
      </c>
      <c r="B34" s="608" t="s">
        <v>265</v>
      </c>
      <c r="C34" s="609" t="s">
        <v>175</v>
      </c>
      <c r="D34" s="584" t="s">
        <v>182</v>
      </c>
      <c r="E34" s="584" t="s">
        <v>179</v>
      </c>
      <c r="F34" s="1128" t="s">
        <v>286</v>
      </c>
      <c r="G34" s="703" t="s">
        <v>1404</v>
      </c>
      <c r="H34" s="1159">
        <v>6</v>
      </c>
      <c r="I34" s="1159">
        <v>1</v>
      </c>
      <c r="J34" s="694">
        <v>450</v>
      </c>
      <c r="K34" s="695">
        <f t="shared" si="17"/>
        <v>2700</v>
      </c>
      <c r="L34" s="695">
        <f t="shared" si="18"/>
        <v>216</v>
      </c>
      <c r="M34" s="695">
        <f t="shared" si="27"/>
        <v>611.27712592234161</v>
      </c>
      <c r="N34" s="695">
        <f t="shared" si="19"/>
        <v>3527.2771259223418</v>
      </c>
      <c r="O34" s="1131" t="s">
        <v>653</v>
      </c>
      <c r="P34" s="1158" t="s">
        <v>151</v>
      </c>
      <c r="Q34" s="1133" t="s">
        <v>1065</v>
      </c>
      <c r="T34" s="696">
        <v>1</v>
      </c>
      <c r="U34" s="696">
        <f t="shared" si="20"/>
        <v>1</v>
      </c>
      <c r="V34" s="626">
        <f>3200</f>
        <v>3200</v>
      </c>
      <c r="W34" s="697">
        <f t="shared" ref="W34:W43" si="30">IF(T34&lt;&gt;"",T34*U34*V34,"")</f>
        <v>3200</v>
      </c>
      <c r="X34" s="698">
        <f t="shared" si="21"/>
        <v>-500</v>
      </c>
      <c r="Y34" s="1138">
        <f t="shared" si="22"/>
        <v>0</v>
      </c>
      <c r="Z34" s="700">
        <f t="shared" si="23"/>
        <v>0</v>
      </c>
      <c r="AA34" s="700">
        <f t="shared" si="24"/>
        <v>3200</v>
      </c>
      <c r="AB34" s="701">
        <f t="shared" si="25"/>
        <v>3811.2771259223418</v>
      </c>
      <c r="AC34" s="632">
        <f t="shared" si="29"/>
        <v>-0.18518518518518517</v>
      </c>
      <c r="AD34" s="632">
        <f t="shared" si="26"/>
        <v>0.27586206896551724</v>
      </c>
      <c r="AN34" s="1703">
        <f t="shared" si="15"/>
        <v>0</v>
      </c>
      <c r="AO34" s="1713">
        <v>3200</v>
      </c>
      <c r="AP34" s="1709" t="s">
        <v>1545</v>
      </c>
    </row>
    <row r="35" spans="1:42" ht="150" customHeight="1" x14ac:dyDescent="0.7">
      <c r="A35" s="584">
        <v>21</v>
      </c>
      <c r="B35" s="608" t="s">
        <v>266</v>
      </c>
      <c r="C35" s="609" t="s">
        <v>175</v>
      </c>
      <c r="D35" s="584" t="s">
        <v>182</v>
      </c>
      <c r="E35" s="584" t="s">
        <v>179</v>
      </c>
      <c r="F35" s="1128" t="s">
        <v>287</v>
      </c>
      <c r="G35" s="1129" t="s">
        <v>1405</v>
      </c>
      <c r="H35" s="1155">
        <v>4</v>
      </c>
      <c r="I35" s="1155">
        <v>1</v>
      </c>
      <c r="J35" s="695">
        <v>350</v>
      </c>
      <c r="K35" s="695">
        <f t="shared" si="17"/>
        <v>1400</v>
      </c>
      <c r="L35" s="695">
        <f t="shared" si="18"/>
        <v>112</v>
      </c>
      <c r="M35" s="695">
        <f t="shared" si="27"/>
        <v>316.9585097375105</v>
      </c>
      <c r="N35" s="695">
        <f t="shared" si="19"/>
        <v>1828.9585097375104</v>
      </c>
      <c r="O35" s="1131" t="s">
        <v>653</v>
      </c>
      <c r="P35" s="1135" t="s">
        <v>623</v>
      </c>
      <c r="Q35" s="1135" t="s">
        <v>936</v>
      </c>
      <c r="T35" s="696">
        <v>4</v>
      </c>
      <c r="U35" s="696">
        <f t="shared" si="20"/>
        <v>1</v>
      </c>
      <c r="V35" s="626">
        <v>300</v>
      </c>
      <c r="W35" s="697">
        <v>0</v>
      </c>
      <c r="X35" s="698">
        <f t="shared" si="21"/>
        <v>1400</v>
      </c>
      <c r="Y35" s="1138">
        <f t="shared" si="22"/>
        <v>0</v>
      </c>
      <c r="Z35" s="700">
        <f t="shared" si="23"/>
        <v>0</v>
      </c>
      <c r="AA35" s="700">
        <f t="shared" si="24"/>
        <v>0</v>
      </c>
      <c r="AB35" s="701">
        <f t="shared" si="25"/>
        <v>316.9585097375105</v>
      </c>
      <c r="AC35" s="632">
        <f t="shared" si="29"/>
        <v>1</v>
      </c>
      <c r="AD35" s="632">
        <f t="shared" si="26"/>
        <v>0</v>
      </c>
      <c r="AN35" s="1703">
        <f t="shared" si="15"/>
        <v>0</v>
      </c>
      <c r="AO35" s="1713"/>
    </row>
    <row r="36" spans="1:42" ht="150" customHeight="1" x14ac:dyDescent="0.7">
      <c r="A36" s="584">
        <v>22</v>
      </c>
      <c r="B36" s="608" t="s">
        <v>267</v>
      </c>
      <c r="C36" s="609" t="s">
        <v>175</v>
      </c>
      <c r="D36" s="584" t="s">
        <v>182</v>
      </c>
      <c r="E36" s="584" t="s">
        <v>179</v>
      </c>
      <c r="F36" s="1160" t="s">
        <v>288</v>
      </c>
      <c r="G36" s="1010" t="s">
        <v>1406</v>
      </c>
      <c r="H36" s="1161">
        <v>6</v>
      </c>
      <c r="I36" s="1161">
        <v>1</v>
      </c>
      <c r="J36" s="1007">
        <v>380</v>
      </c>
      <c r="K36" s="1007">
        <f t="shared" si="17"/>
        <v>2280</v>
      </c>
      <c r="L36" s="1007">
        <f t="shared" si="18"/>
        <v>182.4</v>
      </c>
      <c r="M36" s="1007">
        <f t="shared" si="27"/>
        <v>516.18957300108855</v>
      </c>
      <c r="N36" s="1007">
        <f t="shared" si="19"/>
        <v>2978.5895730010889</v>
      </c>
      <c r="O36" s="1131" t="s">
        <v>653</v>
      </c>
      <c r="P36" s="1135" t="s">
        <v>623</v>
      </c>
      <c r="Q36" s="1135" t="s">
        <v>936</v>
      </c>
      <c r="T36" s="696">
        <f t="shared" si="28"/>
        <v>6</v>
      </c>
      <c r="U36" s="696">
        <f t="shared" si="20"/>
        <v>1</v>
      </c>
      <c r="V36" s="626">
        <v>300</v>
      </c>
      <c r="W36" s="697">
        <v>0</v>
      </c>
      <c r="X36" s="698">
        <f t="shared" si="21"/>
        <v>2280</v>
      </c>
      <c r="Y36" s="1138">
        <f t="shared" si="22"/>
        <v>0</v>
      </c>
      <c r="Z36" s="700">
        <f t="shared" si="23"/>
        <v>0</v>
      </c>
      <c r="AA36" s="700">
        <f t="shared" si="24"/>
        <v>0</v>
      </c>
      <c r="AB36" s="701">
        <f t="shared" si="25"/>
        <v>516.18957300108855</v>
      </c>
      <c r="AC36" s="632">
        <f t="shared" si="29"/>
        <v>1</v>
      </c>
      <c r="AD36" s="632">
        <f t="shared" si="26"/>
        <v>0</v>
      </c>
      <c r="AN36" s="1703">
        <f t="shared" si="15"/>
        <v>0</v>
      </c>
      <c r="AO36" s="1713"/>
    </row>
    <row r="37" spans="1:42" ht="150" customHeight="1" x14ac:dyDescent="0.7">
      <c r="A37" s="584">
        <v>23</v>
      </c>
      <c r="B37" s="608" t="s">
        <v>268</v>
      </c>
      <c r="C37" s="609" t="s">
        <v>175</v>
      </c>
      <c r="D37" s="584" t="s">
        <v>182</v>
      </c>
      <c r="E37" s="584" t="s">
        <v>179</v>
      </c>
      <c r="F37" s="1160" t="s">
        <v>289</v>
      </c>
      <c r="G37" s="1010" t="s">
        <v>1407</v>
      </c>
      <c r="H37" s="893">
        <v>2</v>
      </c>
      <c r="I37" s="893">
        <v>1</v>
      </c>
      <c r="J37" s="1007">
        <v>420</v>
      </c>
      <c r="K37" s="1007">
        <f t="shared" si="17"/>
        <v>840</v>
      </c>
      <c r="L37" s="1007">
        <f t="shared" si="18"/>
        <v>67.2</v>
      </c>
      <c r="M37" s="1007">
        <f t="shared" si="27"/>
        <v>190.1751058425063</v>
      </c>
      <c r="N37" s="1007">
        <f t="shared" si="19"/>
        <v>1097.3751058425064</v>
      </c>
      <c r="O37" s="1131" t="s">
        <v>653</v>
      </c>
      <c r="P37" s="1135" t="s">
        <v>623</v>
      </c>
      <c r="Q37" s="1135" t="s">
        <v>940</v>
      </c>
      <c r="T37" s="696">
        <f t="shared" si="28"/>
        <v>2</v>
      </c>
      <c r="U37" s="696">
        <f t="shared" si="20"/>
        <v>1</v>
      </c>
      <c r="V37" s="626">
        <v>420</v>
      </c>
      <c r="W37" s="697">
        <v>0</v>
      </c>
      <c r="X37" s="698">
        <f t="shared" si="21"/>
        <v>840</v>
      </c>
      <c r="Y37" s="1138">
        <f t="shared" si="22"/>
        <v>0</v>
      </c>
      <c r="Z37" s="700">
        <f t="shared" si="23"/>
        <v>0</v>
      </c>
      <c r="AA37" s="700">
        <f t="shared" si="24"/>
        <v>0</v>
      </c>
      <c r="AB37" s="701">
        <f t="shared" si="25"/>
        <v>190.1751058425063</v>
      </c>
      <c r="AC37" s="632">
        <f t="shared" si="29"/>
        <v>1</v>
      </c>
      <c r="AD37" s="632">
        <f t="shared" si="26"/>
        <v>0</v>
      </c>
      <c r="AN37" s="1703">
        <f t="shared" si="15"/>
        <v>0</v>
      </c>
      <c r="AO37" s="1713"/>
    </row>
    <row r="38" spans="1:42" ht="150" customHeight="1" x14ac:dyDescent="0.7">
      <c r="A38" s="584">
        <v>24</v>
      </c>
      <c r="B38" s="608" t="s">
        <v>269</v>
      </c>
      <c r="C38" s="609" t="s">
        <v>175</v>
      </c>
      <c r="D38" s="584" t="s">
        <v>182</v>
      </c>
      <c r="E38" s="584" t="s">
        <v>179</v>
      </c>
      <c r="F38" s="1128" t="s">
        <v>290</v>
      </c>
      <c r="G38" s="1129" t="s">
        <v>1376</v>
      </c>
      <c r="H38" s="830">
        <v>2</v>
      </c>
      <c r="I38" s="830">
        <v>1</v>
      </c>
      <c r="J38" s="695">
        <v>450</v>
      </c>
      <c r="K38" s="695">
        <f t="shared" si="17"/>
        <v>900</v>
      </c>
      <c r="L38" s="695">
        <f t="shared" si="18"/>
        <v>72</v>
      </c>
      <c r="M38" s="695">
        <f t="shared" si="27"/>
        <v>203.75904197411387</v>
      </c>
      <c r="N38" s="695">
        <f t="shared" si="19"/>
        <v>1175.7590419741139</v>
      </c>
      <c r="O38" s="1131" t="s">
        <v>653</v>
      </c>
      <c r="P38" s="1135" t="s">
        <v>623</v>
      </c>
      <c r="Q38" s="1135" t="s">
        <v>943</v>
      </c>
      <c r="T38" s="696">
        <f t="shared" si="28"/>
        <v>2</v>
      </c>
      <c r="U38" s="696">
        <f t="shared" si="20"/>
        <v>1</v>
      </c>
      <c r="V38" s="626">
        <v>420</v>
      </c>
      <c r="W38" s="697">
        <v>0</v>
      </c>
      <c r="X38" s="698">
        <f t="shared" si="21"/>
        <v>900</v>
      </c>
      <c r="Y38" s="1138">
        <f t="shared" si="22"/>
        <v>0</v>
      </c>
      <c r="Z38" s="700">
        <f t="shared" si="23"/>
        <v>0</v>
      </c>
      <c r="AA38" s="700">
        <f t="shared" si="24"/>
        <v>0</v>
      </c>
      <c r="AB38" s="701">
        <f t="shared" si="25"/>
        <v>203.75904197411387</v>
      </c>
      <c r="AC38" s="632">
        <f t="shared" si="29"/>
        <v>1</v>
      </c>
      <c r="AD38" s="632">
        <f t="shared" si="26"/>
        <v>0</v>
      </c>
      <c r="AN38" s="1703">
        <f t="shared" si="15"/>
        <v>0</v>
      </c>
      <c r="AO38" s="1713"/>
    </row>
    <row r="39" spans="1:42" ht="150" customHeight="1" x14ac:dyDescent="0.7">
      <c r="A39" s="584">
        <v>25</v>
      </c>
      <c r="B39" s="608" t="s">
        <v>270</v>
      </c>
      <c r="C39" s="609" t="s">
        <v>175</v>
      </c>
      <c r="D39" s="584" t="s">
        <v>182</v>
      </c>
      <c r="E39" s="584" t="s">
        <v>179</v>
      </c>
      <c r="F39" s="1128" t="s">
        <v>291</v>
      </c>
      <c r="G39" s="1053" t="s">
        <v>1408</v>
      </c>
      <c r="H39" s="830">
        <v>1</v>
      </c>
      <c r="I39" s="830">
        <v>1</v>
      </c>
      <c r="J39" s="695">
        <v>15500</v>
      </c>
      <c r="K39" s="695">
        <f t="shared" si="17"/>
        <v>15500</v>
      </c>
      <c r="L39" s="695">
        <f t="shared" si="18"/>
        <v>1240</v>
      </c>
      <c r="M39" s="695">
        <f t="shared" si="27"/>
        <v>3509.1835006652946</v>
      </c>
      <c r="N39" s="695">
        <f t="shared" si="19"/>
        <v>20249.183500665295</v>
      </c>
      <c r="O39" s="1131" t="s">
        <v>653</v>
      </c>
      <c r="P39" s="1135" t="s">
        <v>623</v>
      </c>
      <c r="Q39" s="1162" t="s">
        <v>945</v>
      </c>
      <c r="T39" s="696">
        <f t="shared" si="28"/>
        <v>1</v>
      </c>
      <c r="U39" s="696">
        <f t="shared" si="20"/>
        <v>1</v>
      </c>
      <c r="V39" s="626">
        <v>13767</v>
      </c>
      <c r="W39" s="697">
        <v>8400</v>
      </c>
      <c r="X39" s="698">
        <f t="shared" si="21"/>
        <v>7100</v>
      </c>
      <c r="Y39" s="1138">
        <f t="shared" si="22"/>
        <v>0</v>
      </c>
      <c r="Z39" s="700">
        <f t="shared" si="23"/>
        <v>0</v>
      </c>
      <c r="AA39" s="700">
        <f t="shared" si="24"/>
        <v>8400</v>
      </c>
      <c r="AB39" s="701">
        <f t="shared" si="25"/>
        <v>11909.183500665295</v>
      </c>
      <c r="AC39" s="632">
        <f t="shared" si="29"/>
        <v>0.45806451612903226</v>
      </c>
      <c r="AD39" s="632">
        <f t="shared" si="26"/>
        <v>0.72413793103448276</v>
      </c>
      <c r="AN39" s="1703">
        <f t="shared" si="15"/>
        <v>0</v>
      </c>
      <c r="AO39" s="1713">
        <f>8400</f>
        <v>8400</v>
      </c>
      <c r="AP39" s="1709" t="s">
        <v>1644</v>
      </c>
    </row>
    <row r="40" spans="1:42" ht="150" customHeight="1" x14ac:dyDescent="0.7">
      <c r="A40" s="584">
        <v>26</v>
      </c>
      <c r="B40" s="608" t="s">
        <v>271</v>
      </c>
      <c r="C40" s="609" t="s">
        <v>175</v>
      </c>
      <c r="D40" s="584" t="s">
        <v>182</v>
      </c>
      <c r="E40" s="584" t="s">
        <v>179</v>
      </c>
      <c r="F40" s="1128" t="s">
        <v>292</v>
      </c>
      <c r="G40" s="1053" t="s">
        <v>1409</v>
      </c>
      <c r="H40" s="830">
        <v>1</v>
      </c>
      <c r="I40" s="830">
        <v>1</v>
      </c>
      <c r="J40" s="695">
        <v>6850</v>
      </c>
      <c r="K40" s="695">
        <f t="shared" si="17"/>
        <v>6850</v>
      </c>
      <c r="L40" s="695">
        <f t="shared" si="18"/>
        <v>548</v>
      </c>
      <c r="M40" s="695">
        <f t="shared" si="27"/>
        <v>1550.8327083585334</v>
      </c>
      <c r="N40" s="695">
        <f t="shared" si="19"/>
        <v>8948.8327083585336</v>
      </c>
      <c r="O40" s="1131" t="s">
        <v>653</v>
      </c>
      <c r="P40" s="1135"/>
      <c r="Q40" s="1136"/>
      <c r="T40" s="696">
        <f t="shared" si="28"/>
        <v>1</v>
      </c>
      <c r="U40" s="696">
        <v>0</v>
      </c>
      <c r="V40" s="626">
        <v>4838.3999999999996</v>
      </c>
      <c r="W40" s="697">
        <f t="shared" si="30"/>
        <v>0</v>
      </c>
      <c r="X40" s="698">
        <f t="shared" si="21"/>
        <v>6850</v>
      </c>
      <c r="Y40" s="1138">
        <f t="shared" si="22"/>
        <v>0</v>
      </c>
      <c r="Z40" s="700">
        <f t="shared" si="23"/>
        <v>0</v>
      </c>
      <c r="AA40" s="700">
        <f t="shared" si="24"/>
        <v>0</v>
      </c>
      <c r="AB40" s="701">
        <f t="shared" si="25"/>
        <v>1550.8327083585334</v>
      </c>
      <c r="AC40" s="632">
        <f t="shared" si="29"/>
        <v>1</v>
      </c>
      <c r="AD40" s="632">
        <f t="shared" si="26"/>
        <v>0</v>
      </c>
      <c r="AN40" s="1703">
        <f t="shared" si="15"/>
        <v>0</v>
      </c>
      <c r="AO40" s="1713"/>
    </row>
    <row r="41" spans="1:42" ht="150" customHeight="1" x14ac:dyDescent="0.7">
      <c r="A41" s="584">
        <v>27</v>
      </c>
      <c r="B41" s="608" t="s">
        <v>272</v>
      </c>
      <c r="C41" s="609" t="s">
        <v>175</v>
      </c>
      <c r="D41" s="584" t="s">
        <v>182</v>
      </c>
      <c r="E41" s="584" t="s">
        <v>179</v>
      </c>
      <c r="F41" s="1128" t="s">
        <v>293</v>
      </c>
      <c r="G41" s="868" t="s">
        <v>1410</v>
      </c>
      <c r="H41" s="830">
        <v>1</v>
      </c>
      <c r="I41" s="830">
        <v>1</v>
      </c>
      <c r="J41" s="695">
        <v>17000</v>
      </c>
      <c r="K41" s="695">
        <f t="shared" si="17"/>
        <v>17000</v>
      </c>
      <c r="L41" s="695">
        <f t="shared" si="18"/>
        <v>1360</v>
      </c>
      <c r="M41" s="695">
        <f t="shared" si="27"/>
        <v>3848.7819039554843</v>
      </c>
      <c r="N41" s="695">
        <f t="shared" si="19"/>
        <v>22208.781903955485</v>
      </c>
      <c r="O41" s="1131" t="s">
        <v>653</v>
      </c>
      <c r="P41" s="1135" t="s">
        <v>623</v>
      </c>
      <c r="Q41" s="1162" t="s">
        <v>948</v>
      </c>
      <c r="T41" s="696">
        <f t="shared" si="28"/>
        <v>1</v>
      </c>
      <c r="U41" s="696">
        <f t="shared" si="20"/>
        <v>1</v>
      </c>
      <c r="V41" s="626">
        <v>17000</v>
      </c>
      <c r="W41" s="697">
        <v>0</v>
      </c>
      <c r="X41" s="698">
        <f t="shared" si="21"/>
        <v>17000</v>
      </c>
      <c r="Y41" s="1138">
        <f t="shared" si="22"/>
        <v>0</v>
      </c>
      <c r="Z41" s="700">
        <f t="shared" si="23"/>
        <v>0</v>
      </c>
      <c r="AA41" s="700">
        <f t="shared" si="24"/>
        <v>0</v>
      </c>
      <c r="AB41" s="701">
        <f t="shared" si="25"/>
        <v>3848.7819039554843</v>
      </c>
      <c r="AC41" s="632">
        <f t="shared" si="29"/>
        <v>1</v>
      </c>
      <c r="AD41" s="632">
        <f t="shared" si="26"/>
        <v>0</v>
      </c>
      <c r="AN41" s="1703">
        <f t="shared" si="15"/>
        <v>0</v>
      </c>
      <c r="AO41" s="1713"/>
    </row>
    <row r="42" spans="1:42" ht="150" customHeight="1" x14ac:dyDescent="0.7">
      <c r="A42" s="584">
        <v>28</v>
      </c>
      <c r="B42" s="608" t="s">
        <v>273</v>
      </c>
      <c r="C42" s="609" t="s">
        <v>175</v>
      </c>
      <c r="D42" s="584" t="s">
        <v>182</v>
      </c>
      <c r="E42" s="584" t="s">
        <v>179</v>
      </c>
      <c r="F42" s="838" t="s">
        <v>294</v>
      </c>
      <c r="G42" s="1157" t="s">
        <v>1411</v>
      </c>
      <c r="H42" s="1163">
        <v>1</v>
      </c>
      <c r="I42" s="1163">
        <v>1</v>
      </c>
      <c r="J42" s="695">
        <v>3000</v>
      </c>
      <c r="K42" s="695">
        <f t="shared" si="17"/>
        <v>3000</v>
      </c>
      <c r="L42" s="695">
        <f t="shared" si="18"/>
        <v>240</v>
      </c>
      <c r="M42" s="695">
        <f t="shared" si="27"/>
        <v>679.19680658037964</v>
      </c>
      <c r="N42" s="695">
        <f t="shared" si="19"/>
        <v>3919.1968065803794</v>
      </c>
      <c r="O42" s="1131" t="s">
        <v>653</v>
      </c>
      <c r="P42" s="1135" t="s">
        <v>623</v>
      </c>
      <c r="Q42" s="1162" t="s">
        <v>949</v>
      </c>
      <c r="T42" s="696">
        <f t="shared" si="28"/>
        <v>1</v>
      </c>
      <c r="U42" s="696">
        <f t="shared" si="20"/>
        <v>1</v>
      </c>
      <c r="V42" s="626">
        <v>800</v>
      </c>
      <c r="W42" s="697">
        <v>0</v>
      </c>
      <c r="X42" s="698">
        <f t="shared" si="21"/>
        <v>3000</v>
      </c>
      <c r="Y42" s="1138">
        <f t="shared" si="22"/>
        <v>0</v>
      </c>
      <c r="Z42" s="700">
        <f t="shared" si="23"/>
        <v>0</v>
      </c>
      <c r="AA42" s="700">
        <f t="shared" si="24"/>
        <v>0</v>
      </c>
      <c r="AB42" s="701">
        <f t="shared" si="25"/>
        <v>679.19680658037964</v>
      </c>
      <c r="AC42" s="632">
        <f t="shared" si="29"/>
        <v>1</v>
      </c>
      <c r="AD42" s="632">
        <f t="shared" si="26"/>
        <v>0</v>
      </c>
      <c r="AN42" s="1703">
        <f t="shared" si="15"/>
        <v>0</v>
      </c>
      <c r="AO42" s="1713"/>
    </row>
    <row r="43" spans="1:42" ht="150" customHeight="1" x14ac:dyDescent="0.7">
      <c r="A43" s="646">
        <v>29</v>
      </c>
      <c r="B43" s="608" t="s">
        <v>274</v>
      </c>
      <c r="C43" s="647" t="s">
        <v>175</v>
      </c>
      <c r="D43" s="584" t="s">
        <v>182</v>
      </c>
      <c r="E43" s="584" t="s">
        <v>179</v>
      </c>
      <c r="F43" s="1128" t="s">
        <v>295</v>
      </c>
      <c r="G43" s="1157" t="s">
        <v>1412</v>
      </c>
      <c r="H43" s="951">
        <v>1</v>
      </c>
      <c r="I43" s="951">
        <v>1</v>
      </c>
      <c r="J43" s="695">
        <v>20000</v>
      </c>
      <c r="K43" s="621">
        <f t="shared" si="17"/>
        <v>20000</v>
      </c>
      <c r="L43" s="621">
        <f t="shared" si="18"/>
        <v>1600</v>
      </c>
      <c r="M43" s="621">
        <f t="shared" si="27"/>
        <v>4527.9787105358637</v>
      </c>
      <c r="N43" s="621">
        <f t="shared" si="19"/>
        <v>26127.978710535863</v>
      </c>
      <c r="O43" s="1131" t="s">
        <v>653</v>
      </c>
      <c r="P43" s="1135" t="s">
        <v>623</v>
      </c>
      <c r="Q43" s="1162" t="s">
        <v>953</v>
      </c>
      <c r="R43" s="1164" t="s">
        <v>966</v>
      </c>
      <c r="T43" s="649">
        <f t="shared" si="28"/>
        <v>1</v>
      </c>
      <c r="U43" s="649">
        <v>0</v>
      </c>
      <c r="V43" s="626">
        <v>16000</v>
      </c>
      <c r="W43" s="650">
        <f t="shared" si="30"/>
        <v>0</v>
      </c>
      <c r="X43" s="651">
        <f t="shared" si="21"/>
        <v>20000</v>
      </c>
      <c r="Y43" s="1139">
        <f t="shared" si="22"/>
        <v>0</v>
      </c>
      <c r="Z43" s="653">
        <f t="shared" si="23"/>
        <v>0</v>
      </c>
      <c r="AA43" s="653">
        <f t="shared" si="24"/>
        <v>0</v>
      </c>
      <c r="AB43" s="629">
        <f t="shared" si="25"/>
        <v>4527.9787105358637</v>
      </c>
      <c r="AC43" s="632">
        <f t="shared" si="29"/>
        <v>1</v>
      </c>
      <c r="AD43" s="632">
        <f t="shared" si="26"/>
        <v>0</v>
      </c>
      <c r="AN43" s="1703">
        <f t="shared" si="15"/>
        <v>0</v>
      </c>
      <c r="AO43" s="1713"/>
    </row>
    <row r="44" spans="1:42" ht="50.1" customHeight="1" thickBot="1" x14ac:dyDescent="0.75">
      <c r="A44" s="584">
        <v>30</v>
      </c>
      <c r="B44" s="608"/>
      <c r="C44" s="609" t="s">
        <v>184</v>
      </c>
      <c r="D44" s="584"/>
      <c r="E44" s="584"/>
      <c r="F44" s="1375" t="s">
        <v>368</v>
      </c>
      <c r="G44" s="1376"/>
      <c r="H44" s="1376"/>
      <c r="I44" s="1376"/>
      <c r="J44" s="1377"/>
      <c r="K44" s="1165">
        <f>SUM(K29:K43)</f>
        <v>87070</v>
      </c>
      <c r="L44" s="1165">
        <f>SUM(L29:L43)</f>
        <v>6965.6</v>
      </c>
      <c r="M44" s="1165">
        <f>SUM(M29:M43)</f>
        <v>19712.555316317885</v>
      </c>
      <c r="N44" s="1165">
        <f>SUM(N29:N43)</f>
        <v>113748.15531631789</v>
      </c>
      <c r="T44" s="1383">
        <f>SUM(T29:T43)</f>
        <v>31</v>
      </c>
      <c r="U44" s="1384"/>
      <c r="V44" s="1384"/>
      <c r="W44" s="1149">
        <f>SUM(W29:W43)</f>
        <v>11600</v>
      </c>
      <c r="X44" s="674">
        <f>SUM(X29:X43)</f>
        <v>75470</v>
      </c>
      <c r="Y44" s="1150"/>
      <c r="Z44" s="676"/>
      <c r="AA44" s="677">
        <f>SUM(AA29:AA43)</f>
        <v>11600</v>
      </c>
      <c r="AB44" s="678">
        <f t="shared" si="25"/>
        <v>31312.555316317885</v>
      </c>
      <c r="AC44" s="709"/>
      <c r="AD44" s="710"/>
      <c r="AN44" s="1703"/>
      <c r="AO44" s="1713"/>
    </row>
    <row r="45" spans="1:42" ht="50.1" customHeight="1" thickBot="1" x14ac:dyDescent="0.75">
      <c r="A45" s="584">
        <v>31</v>
      </c>
      <c r="B45" s="608"/>
      <c r="C45" s="609" t="s">
        <v>183</v>
      </c>
      <c r="D45" s="584"/>
      <c r="E45" s="584"/>
      <c r="F45" s="1378" t="s">
        <v>260</v>
      </c>
      <c r="G45" s="1379"/>
      <c r="H45" s="1379"/>
      <c r="I45" s="1379"/>
      <c r="J45" s="1379"/>
      <c r="K45" s="1166">
        <f>SUM(K29:K43)</f>
        <v>87070</v>
      </c>
      <c r="L45" s="1166">
        <f>SUM(L29:L43)</f>
        <v>6965.6</v>
      </c>
      <c r="M45" s="1166">
        <f>SUM(M29:M43)</f>
        <v>19712.555316317885</v>
      </c>
      <c r="N45" s="1166">
        <f>SUM(N29:N43)</f>
        <v>113748.15531631789</v>
      </c>
      <c r="T45" s="1385">
        <f>SUM(T29:T43)</f>
        <v>31</v>
      </c>
      <c r="U45" s="1386"/>
      <c r="V45" s="1386"/>
      <c r="W45" s="1166">
        <f>SUM(W29:W43)</f>
        <v>11600</v>
      </c>
      <c r="X45" s="1167">
        <f>SUM(X29:X43)</f>
        <v>75470</v>
      </c>
      <c r="Y45" s="1168"/>
      <c r="Z45" s="1169"/>
      <c r="AA45" s="1170">
        <f>SUM(AA29:AA43)</f>
        <v>11600</v>
      </c>
      <c r="AB45" s="783">
        <f t="shared" si="25"/>
        <v>31312.555316317885</v>
      </c>
      <c r="AN45" s="1703"/>
      <c r="AO45" s="1713"/>
    </row>
    <row r="46" spans="1:42" ht="50.1" customHeight="1" thickBot="1" x14ac:dyDescent="0.75">
      <c r="A46" s="584">
        <v>32</v>
      </c>
      <c r="B46" s="608">
        <v>3</v>
      </c>
      <c r="C46" s="609" t="s">
        <v>167</v>
      </c>
      <c r="D46" s="584"/>
      <c r="E46" s="584"/>
      <c r="F46" s="1380" t="s">
        <v>257</v>
      </c>
      <c r="G46" s="1381"/>
      <c r="H46" s="1381"/>
      <c r="I46" s="1381"/>
      <c r="J46" s="1381"/>
      <c r="K46" s="1381"/>
      <c r="L46" s="1381"/>
      <c r="M46" s="1381"/>
      <c r="N46" s="1382"/>
      <c r="T46" s="1387" t="str">
        <f>IF(F46&lt;&gt;"",F46,"")</f>
        <v>LOGÍSTICA</v>
      </c>
      <c r="U46" s="1388"/>
      <c r="V46" s="1388"/>
      <c r="W46" s="1388"/>
      <c r="X46" s="1388"/>
      <c r="Y46" s="1388"/>
      <c r="Z46" s="1388"/>
      <c r="AA46" s="1388"/>
      <c r="AB46" s="1389"/>
      <c r="AN46" s="1703"/>
      <c r="AO46" s="1713"/>
    </row>
    <row r="47" spans="1:42" ht="50.1" customHeight="1" x14ac:dyDescent="0.7">
      <c r="A47" s="633">
        <v>33</v>
      </c>
      <c r="B47" s="608" t="s">
        <v>192</v>
      </c>
      <c r="C47" s="634" t="s">
        <v>169</v>
      </c>
      <c r="D47" s="633"/>
      <c r="E47" s="633"/>
      <c r="F47" s="1406" t="s">
        <v>297</v>
      </c>
      <c r="G47" s="1407"/>
      <c r="H47" s="1407"/>
      <c r="I47" s="1407"/>
      <c r="J47" s="1407"/>
      <c r="K47" s="1407"/>
      <c r="L47" s="716" t="s">
        <v>171</v>
      </c>
      <c r="M47" s="716" t="s">
        <v>172</v>
      </c>
      <c r="N47" s="717" t="s">
        <v>129</v>
      </c>
      <c r="O47" s="1126" t="s">
        <v>651</v>
      </c>
      <c r="P47" s="1127" t="s">
        <v>652</v>
      </c>
      <c r="Q47" s="1127" t="s">
        <v>666</v>
      </c>
      <c r="T47" s="1406" t="str">
        <f>IF(F47&lt;&gt;"",F47,"")</f>
        <v xml:space="preserve">LOGÍSTICA TERRESTRE </v>
      </c>
      <c r="U47" s="1407"/>
      <c r="V47" s="1407"/>
      <c r="W47" s="1407"/>
      <c r="X47" s="1407"/>
      <c r="Y47" s="1407"/>
      <c r="Z47" s="1407"/>
      <c r="AA47" s="1407"/>
      <c r="AB47" s="1408"/>
      <c r="AC47" s="616" t="s">
        <v>173</v>
      </c>
      <c r="AD47" s="617" t="s">
        <v>130</v>
      </c>
      <c r="AN47" s="1703"/>
      <c r="AO47" s="1713"/>
    </row>
    <row r="48" spans="1:42" ht="150" customHeight="1" x14ac:dyDescent="0.7">
      <c r="A48" s="633">
        <v>34</v>
      </c>
      <c r="B48" s="608" t="s">
        <v>193</v>
      </c>
      <c r="C48" s="634" t="s">
        <v>175</v>
      </c>
      <c r="D48" s="633" t="s">
        <v>182</v>
      </c>
      <c r="E48" s="633" t="s">
        <v>331</v>
      </c>
      <c r="F48" s="838" t="s">
        <v>688</v>
      </c>
      <c r="G48" s="940" t="s">
        <v>1413</v>
      </c>
      <c r="H48" s="830">
        <v>2</v>
      </c>
      <c r="I48" s="830">
        <v>1</v>
      </c>
      <c r="J48" s="1171">
        <v>2000</v>
      </c>
      <c r="K48" s="621">
        <f>IF(F48&lt;&gt;"",H48*I48*J48,"")</f>
        <v>4000</v>
      </c>
      <c r="L48" s="621">
        <v>0</v>
      </c>
      <c r="M48" s="621">
        <f>L48*(1/(1-M14)-1)</f>
        <v>0</v>
      </c>
      <c r="N48" s="622">
        <f>SUM(K48:M48)</f>
        <v>4000</v>
      </c>
      <c r="O48" s="1172" t="s">
        <v>151</v>
      </c>
      <c r="P48" s="1158" t="s">
        <v>151</v>
      </c>
      <c r="Q48" s="1133"/>
      <c r="T48" s="624">
        <f t="shared" ref="T48:U52" si="31">IF(H48&lt;&gt;"",H48,"")</f>
        <v>2</v>
      </c>
      <c r="U48" s="625">
        <f t="shared" si="31"/>
        <v>1</v>
      </c>
      <c r="V48" s="626">
        <v>1500</v>
      </c>
      <c r="W48" s="626">
        <v>0</v>
      </c>
      <c r="X48" s="627">
        <f>IF(T48&lt;&gt;"",K48-W48,"")</f>
        <v>4000</v>
      </c>
      <c r="Y48" s="1134">
        <f>IF(T48&lt;&gt;"",0%,"")</f>
        <v>0</v>
      </c>
      <c r="Z48" s="629">
        <f>IF(T48&lt;&gt;"",Y48*X48,"")</f>
        <v>0</v>
      </c>
      <c r="AA48" s="629">
        <f>IF(T48&lt;&gt;"",Z48+W48,"")</f>
        <v>0</v>
      </c>
      <c r="AB48" s="630">
        <f t="shared" ref="AB48:AB54" si="32">IF(T48&lt;&gt;"",AA48+M48,"")</f>
        <v>0</v>
      </c>
      <c r="AC48" s="631">
        <f>IF(T48&lt;&gt;"", IFERROR(X48/K48, 0), 0)</f>
        <v>1</v>
      </c>
      <c r="AD48" s="632" t="e">
        <f>W48/$W$53</f>
        <v>#DIV/0!</v>
      </c>
      <c r="AN48" s="1703">
        <f t="shared" si="15"/>
        <v>0</v>
      </c>
      <c r="AO48" s="1713"/>
    </row>
    <row r="49" spans="1:42" ht="150" customHeight="1" x14ac:dyDescent="0.7">
      <c r="A49" s="646">
        <v>35</v>
      </c>
      <c r="B49" s="608" t="s">
        <v>194</v>
      </c>
      <c r="C49" s="647" t="s">
        <v>175</v>
      </c>
      <c r="D49" s="633" t="s">
        <v>182</v>
      </c>
      <c r="E49" s="633" t="s">
        <v>331</v>
      </c>
      <c r="F49" s="838" t="s">
        <v>638</v>
      </c>
      <c r="G49" s="940" t="s">
        <v>1414</v>
      </c>
      <c r="H49" s="830">
        <v>1</v>
      </c>
      <c r="I49" s="830">
        <v>1</v>
      </c>
      <c r="J49" s="1171">
        <v>3750</v>
      </c>
      <c r="K49" s="621">
        <f>IF(F49&lt;&gt;"",H49*I49*J49,"")</f>
        <v>3750</v>
      </c>
      <c r="L49" s="621">
        <f>IF(K49&lt;&gt;"",IF(D49="INTERNO",0,K49*$L$14),"")</f>
        <v>300</v>
      </c>
      <c r="M49" s="621">
        <f>IF(K49&lt;&gt;"",IF(E49="FAT.OGGI",SUM(K49:L49)*(1/(1-$M$14)-1),L49*(1/(1-$M$14)-1)),0)</f>
        <v>62.888593201886998</v>
      </c>
      <c r="N49" s="622">
        <f>SUM(K49:M49)</f>
        <v>4112.8885932018866</v>
      </c>
      <c r="O49" s="1172" t="s">
        <v>151</v>
      </c>
      <c r="P49" s="1158" t="s">
        <v>151</v>
      </c>
      <c r="Q49" s="1133"/>
      <c r="T49" s="624">
        <f t="shared" si="31"/>
        <v>1</v>
      </c>
      <c r="U49" s="625">
        <f t="shared" si="31"/>
        <v>1</v>
      </c>
      <c r="V49" s="626">
        <v>3000</v>
      </c>
      <c r="W49" s="626">
        <v>0</v>
      </c>
      <c r="X49" s="627">
        <f>IF(T49&lt;&gt;"",K49-W49,"")</f>
        <v>3750</v>
      </c>
      <c r="Y49" s="1134">
        <f>IF(T49&lt;&gt;"",0%,"")</f>
        <v>0</v>
      </c>
      <c r="Z49" s="629">
        <f>IF(T49&lt;&gt;"",Y49*X49,"")</f>
        <v>0</v>
      </c>
      <c r="AA49" s="629">
        <f>IF(T49&lt;&gt;"",Z49+W49,"")</f>
        <v>0</v>
      </c>
      <c r="AB49" s="630">
        <f t="shared" si="32"/>
        <v>62.888593201886998</v>
      </c>
      <c r="AC49" s="631">
        <f>IF(T49&lt;&gt;"", IFERROR(X49/K49, 0), 0)</f>
        <v>1</v>
      </c>
      <c r="AD49" s="632" t="e">
        <f>W49/$W$53</f>
        <v>#DIV/0!</v>
      </c>
      <c r="AN49" s="1703">
        <f t="shared" si="15"/>
        <v>0</v>
      </c>
      <c r="AO49" s="1713"/>
    </row>
    <row r="50" spans="1:42" ht="150" customHeight="1" x14ac:dyDescent="0.7">
      <c r="A50" s="646">
        <v>36</v>
      </c>
      <c r="B50" s="608" t="s">
        <v>298</v>
      </c>
      <c r="C50" s="647" t="s">
        <v>175</v>
      </c>
      <c r="D50" s="633" t="s">
        <v>182</v>
      </c>
      <c r="E50" s="633" t="s">
        <v>331</v>
      </c>
      <c r="F50" s="838" t="s">
        <v>639</v>
      </c>
      <c r="G50" s="940" t="s">
        <v>1415</v>
      </c>
      <c r="H50" s="830">
        <v>1</v>
      </c>
      <c r="I50" s="830">
        <v>1</v>
      </c>
      <c r="J50" s="1171">
        <v>3750</v>
      </c>
      <c r="K50" s="621">
        <f>IF(F50&lt;&gt;"",H50*I50*J50,"")</f>
        <v>3750</v>
      </c>
      <c r="L50" s="621">
        <f>IF(K50&lt;&gt;"",IF(D50="INTERNO",0,K50*$L$14),"")</f>
        <v>300</v>
      </c>
      <c r="M50" s="621">
        <f>IF(K50&lt;&gt;"",IF(E50="FAT.OGGI",SUM(K50:L50)*(1/(1-$M$14)-1),L50*(1/(1-$M$14)-1)),0)</f>
        <v>62.888593201886998</v>
      </c>
      <c r="N50" s="622">
        <f>SUM(K50:M50)</f>
        <v>4112.8885932018866</v>
      </c>
      <c r="O50" s="1172" t="s">
        <v>151</v>
      </c>
      <c r="P50" s="1158" t="s">
        <v>151</v>
      </c>
      <c r="Q50" s="1133"/>
      <c r="T50" s="624">
        <f t="shared" si="31"/>
        <v>1</v>
      </c>
      <c r="U50" s="625">
        <f t="shared" si="31"/>
        <v>1</v>
      </c>
      <c r="V50" s="626">
        <v>3000</v>
      </c>
      <c r="W50" s="626">
        <v>0</v>
      </c>
      <c r="X50" s="627">
        <f>IF(T50&lt;&gt;"",K50-W50,"")</f>
        <v>3750</v>
      </c>
      <c r="Y50" s="1134">
        <f>IF(T50&lt;&gt;"",0%,"")</f>
        <v>0</v>
      </c>
      <c r="Z50" s="629">
        <f>IF(T50&lt;&gt;"",Y50*X50,"")</f>
        <v>0</v>
      </c>
      <c r="AA50" s="629">
        <f>IF(T50&lt;&gt;"",Z50+W50,"")</f>
        <v>0</v>
      </c>
      <c r="AB50" s="630">
        <f t="shared" si="32"/>
        <v>62.888593201886998</v>
      </c>
      <c r="AC50" s="631">
        <f>IF(T50&lt;&gt;"", IFERROR(X50/K50, 0), 0)</f>
        <v>1</v>
      </c>
      <c r="AD50" s="632" t="e">
        <f>W50/$W$53</f>
        <v>#DIV/0!</v>
      </c>
      <c r="AN50" s="1703">
        <f t="shared" si="15"/>
        <v>0</v>
      </c>
      <c r="AO50" s="1713"/>
    </row>
    <row r="51" spans="1:42" ht="150" customHeight="1" x14ac:dyDescent="0.7">
      <c r="A51" s="633">
        <v>37</v>
      </c>
      <c r="B51" s="608" t="s">
        <v>299</v>
      </c>
      <c r="C51" s="634" t="s">
        <v>175</v>
      </c>
      <c r="D51" s="633" t="s">
        <v>182</v>
      </c>
      <c r="E51" s="633" t="s">
        <v>331</v>
      </c>
      <c r="F51" s="838" t="s">
        <v>640</v>
      </c>
      <c r="G51" s="868" t="s">
        <v>1416</v>
      </c>
      <c r="H51" s="830">
        <v>50</v>
      </c>
      <c r="I51" s="830">
        <v>0</v>
      </c>
      <c r="J51" s="1171">
        <v>100</v>
      </c>
      <c r="K51" s="621">
        <f>IF(F51&lt;&gt;"",H51*I51*J51,"")</f>
        <v>0</v>
      </c>
      <c r="L51" s="621">
        <f>IF(K51&lt;&gt;"",IF(D51="INTERNO",0,K51*$L$14),"")</f>
        <v>0</v>
      </c>
      <c r="M51" s="621">
        <f>IF(K51&lt;&gt;"",IF(E51="FAT.OGGI",SUM(K51:L51)*(1/(1-$M$14)-1),L51*(1/(1-$M$14)-1)),"")</f>
        <v>0</v>
      </c>
      <c r="N51" s="622">
        <f>SUM(K51:M51)</f>
        <v>0</v>
      </c>
      <c r="O51" s="1172"/>
      <c r="P51" s="1158"/>
      <c r="Q51" s="1133"/>
      <c r="T51" s="624">
        <f t="shared" si="31"/>
        <v>50</v>
      </c>
      <c r="U51" s="625">
        <f t="shared" si="31"/>
        <v>0</v>
      </c>
      <c r="V51" s="626">
        <v>75</v>
      </c>
      <c r="W51" s="626">
        <f>IF(T51&lt;&gt;"",T51*U51*V51,"")</f>
        <v>0</v>
      </c>
      <c r="X51" s="627">
        <f>IF(T51&lt;&gt;"",K51-W51,"")</f>
        <v>0</v>
      </c>
      <c r="Y51" s="1134">
        <f>IF(T51&lt;&gt;"",0%,"")</f>
        <v>0</v>
      </c>
      <c r="Z51" s="629">
        <f>IF(T51&lt;&gt;"",Y51*X51,"")</f>
        <v>0</v>
      </c>
      <c r="AA51" s="629">
        <f>IF(T51&lt;&gt;"",Z51+W51,"")</f>
        <v>0</v>
      </c>
      <c r="AB51" s="630">
        <f t="shared" si="32"/>
        <v>0</v>
      </c>
      <c r="AC51" s="631">
        <f>IFERROR(IF(T51&lt;&gt;"",X51/K51,""),0)</f>
        <v>0</v>
      </c>
      <c r="AD51" s="632" t="e">
        <f>W51/$W$53</f>
        <v>#DIV/0!</v>
      </c>
      <c r="AN51" s="1703">
        <f t="shared" si="15"/>
        <v>0</v>
      </c>
      <c r="AO51" s="1713"/>
    </row>
    <row r="52" spans="1:42" ht="150" customHeight="1" x14ac:dyDescent="0.7">
      <c r="A52" s="633">
        <v>38</v>
      </c>
      <c r="B52" s="608" t="s">
        <v>300</v>
      </c>
      <c r="C52" s="634" t="s">
        <v>175</v>
      </c>
      <c r="D52" s="633" t="s">
        <v>182</v>
      </c>
      <c r="E52" s="633" t="s">
        <v>331</v>
      </c>
      <c r="F52" s="838" t="s">
        <v>598</v>
      </c>
      <c r="G52" s="940" t="s">
        <v>1417</v>
      </c>
      <c r="H52" s="830">
        <v>1</v>
      </c>
      <c r="I52" s="830">
        <v>1</v>
      </c>
      <c r="J52" s="1171">
        <v>1600</v>
      </c>
      <c r="K52" s="621">
        <f>IF(F52&lt;&gt;"",H52*I52*J52,"")</f>
        <v>1600</v>
      </c>
      <c r="L52" s="621">
        <f>IF(K52&lt;&gt;"",IF(D52="INTERNO",0,K52*$L$14),"")</f>
        <v>128</v>
      </c>
      <c r="M52" s="621">
        <f>IF(K52&lt;&gt;"",IF(E52="FAT.OGGI",SUM(K52:L52)*(1/(1-$M$14)-1),L52*(1/(1-$M$14)-1)),"")</f>
        <v>26.83246643280512</v>
      </c>
      <c r="N52" s="622">
        <f>SUM(K52:M52)</f>
        <v>1754.8324664328052</v>
      </c>
      <c r="O52" s="1172" t="s">
        <v>151</v>
      </c>
      <c r="P52" s="1158" t="s">
        <v>151</v>
      </c>
      <c r="Q52" s="1133"/>
      <c r="T52" s="624">
        <f t="shared" si="31"/>
        <v>1</v>
      </c>
      <c r="U52" s="625">
        <v>0</v>
      </c>
      <c r="V52" s="626">
        <v>1000</v>
      </c>
      <c r="W52" s="626">
        <f>IF(T52&lt;&gt;"",T52*U52*V52,"")</f>
        <v>0</v>
      </c>
      <c r="X52" s="627">
        <f>IF(T52&lt;&gt;"",K52-W52,"")</f>
        <v>1600</v>
      </c>
      <c r="Y52" s="1134">
        <f>IF(T52&lt;&gt;"",0%,"")</f>
        <v>0</v>
      </c>
      <c r="Z52" s="629">
        <f>IF(T52&lt;&gt;"",Y52*X52,"")</f>
        <v>0</v>
      </c>
      <c r="AA52" s="629">
        <f>IF(T52&lt;&gt;"",Z52+W52,"")</f>
        <v>0</v>
      </c>
      <c r="AB52" s="630">
        <f t="shared" si="32"/>
        <v>26.83246643280512</v>
      </c>
      <c r="AC52" s="645">
        <f>IFERROR(IF(T52&lt;&gt;"",X52/K52,""),0)</f>
        <v>1</v>
      </c>
      <c r="AD52" s="953" t="e">
        <f>W52/$W$53</f>
        <v>#DIV/0!</v>
      </c>
      <c r="AN52" s="1703">
        <f t="shared" si="15"/>
        <v>0</v>
      </c>
      <c r="AO52" s="1713"/>
    </row>
    <row r="53" spans="1:42" ht="50.1" customHeight="1" thickBot="1" x14ac:dyDescent="0.75">
      <c r="A53" s="584">
        <v>39</v>
      </c>
      <c r="B53" s="608"/>
      <c r="C53" s="609" t="s">
        <v>184</v>
      </c>
      <c r="D53" s="584"/>
      <c r="E53" s="584"/>
      <c r="F53" s="1420" t="s">
        <v>375</v>
      </c>
      <c r="G53" s="1421"/>
      <c r="H53" s="1421"/>
      <c r="I53" s="1421"/>
      <c r="J53" s="1421"/>
      <c r="K53" s="1173">
        <f>SUM(K48:K52)</f>
        <v>13100</v>
      </c>
      <c r="L53" s="1173">
        <f>SUM(L48:L52)</f>
        <v>728</v>
      </c>
      <c r="M53" s="1173">
        <f>SUM(M48:M52)</f>
        <v>152.60965283657913</v>
      </c>
      <c r="N53" s="1174">
        <f>SUM(N48:N52)</f>
        <v>13980.609652836578</v>
      </c>
      <c r="T53" s="1422">
        <f>SUM(T48:T52)</f>
        <v>55</v>
      </c>
      <c r="U53" s="1423"/>
      <c r="V53" s="1423"/>
      <c r="W53" s="1175">
        <f>SUM(W48:W52)</f>
        <v>0</v>
      </c>
      <c r="X53" s="1176">
        <f>SUM(X48:X52)</f>
        <v>13100</v>
      </c>
      <c r="Y53" s="1177"/>
      <c r="Z53" s="1178"/>
      <c r="AA53" s="1179">
        <f>SUM(AA48:AA52)</f>
        <v>0</v>
      </c>
      <c r="AB53" s="1180">
        <f t="shared" si="32"/>
        <v>152.60965283657913</v>
      </c>
      <c r="AN53" s="1703"/>
      <c r="AO53" s="1713"/>
    </row>
    <row r="54" spans="1:42" ht="50.1" customHeight="1" thickBot="1" x14ac:dyDescent="0.75">
      <c r="A54" s="584">
        <v>40</v>
      </c>
      <c r="B54" s="608"/>
      <c r="C54" s="609" t="s">
        <v>183</v>
      </c>
      <c r="D54" s="584"/>
      <c r="E54" s="584"/>
      <c r="F54" s="1378" t="s">
        <v>376</v>
      </c>
      <c r="G54" s="1379"/>
      <c r="H54" s="1379"/>
      <c r="I54" s="1379"/>
      <c r="J54" s="1379"/>
      <c r="K54" s="1166">
        <f>SUM(K48:K52)</f>
        <v>13100</v>
      </c>
      <c r="L54" s="1166">
        <f>SUM(L48:L52)</f>
        <v>728</v>
      </c>
      <c r="M54" s="1166">
        <f>SUM(M48:M52)</f>
        <v>152.60965283657913</v>
      </c>
      <c r="N54" s="1166">
        <f>SUM(N48:N52)</f>
        <v>13980.609652836578</v>
      </c>
      <c r="T54" s="1424">
        <f>SUM(T48:T52)</f>
        <v>55</v>
      </c>
      <c r="U54" s="1425"/>
      <c r="V54" s="1425"/>
      <c r="W54" s="1166">
        <f>SUM(W48:W52)</f>
        <v>0</v>
      </c>
      <c r="X54" s="1181">
        <f>SUM(X48:X52)</f>
        <v>13100</v>
      </c>
      <c r="Y54" s="1182"/>
      <c r="Z54" s="1183"/>
      <c r="AA54" s="1184">
        <f>SUM(AA48:AA52)</f>
        <v>0</v>
      </c>
      <c r="AB54" s="1185">
        <f t="shared" si="32"/>
        <v>152.60965283657913</v>
      </c>
      <c r="AN54" s="1703"/>
      <c r="AO54" s="1713"/>
    </row>
    <row r="55" spans="1:42" ht="50.1" customHeight="1" thickBot="1" x14ac:dyDescent="0.75">
      <c r="A55" s="584">
        <v>41</v>
      </c>
      <c r="B55" s="608">
        <v>4</v>
      </c>
      <c r="C55" s="609" t="s">
        <v>167</v>
      </c>
      <c r="D55" s="584"/>
      <c r="E55" s="584"/>
      <c r="F55" s="1380" t="s">
        <v>377</v>
      </c>
      <c r="G55" s="1381"/>
      <c r="H55" s="1381"/>
      <c r="I55" s="1381"/>
      <c r="J55" s="1381"/>
      <c r="K55" s="1381"/>
      <c r="L55" s="1381"/>
      <c r="M55" s="1381"/>
      <c r="N55" s="1382"/>
      <c r="T55" s="1387" t="str">
        <f>IF(F55&lt;&gt;"",F55,"")</f>
        <v>HOTEL</v>
      </c>
      <c r="U55" s="1388"/>
      <c r="V55" s="1388"/>
      <c r="W55" s="1388"/>
      <c r="X55" s="1388"/>
      <c r="Y55" s="1388"/>
      <c r="Z55" s="1388"/>
      <c r="AA55" s="1388"/>
      <c r="AB55" s="1389"/>
      <c r="AN55" s="1703"/>
      <c r="AO55" s="1713"/>
    </row>
    <row r="56" spans="1:42" ht="50.1" customHeight="1" x14ac:dyDescent="0.7">
      <c r="A56" s="584">
        <v>42</v>
      </c>
      <c r="B56" s="608" t="s">
        <v>203</v>
      </c>
      <c r="C56" s="609" t="s">
        <v>169</v>
      </c>
      <c r="D56" s="584"/>
      <c r="E56" s="584"/>
      <c r="F56" s="1406" t="s">
        <v>378</v>
      </c>
      <c r="G56" s="1407"/>
      <c r="H56" s="1407"/>
      <c r="I56" s="1407"/>
      <c r="J56" s="1407"/>
      <c r="K56" s="1407"/>
      <c r="L56" s="716" t="s">
        <v>171</v>
      </c>
      <c r="M56" s="716" t="s">
        <v>172</v>
      </c>
      <c r="N56" s="717" t="s">
        <v>129</v>
      </c>
      <c r="O56" s="1126" t="s">
        <v>651</v>
      </c>
      <c r="P56" s="1127" t="s">
        <v>652</v>
      </c>
      <c r="Q56" s="1127" t="s">
        <v>666</v>
      </c>
      <c r="T56" s="1406" t="str">
        <f>IF(F56&lt;&gt;"",F56,"")</f>
        <v>HOSPEDAGEM</v>
      </c>
      <c r="U56" s="1407"/>
      <c r="V56" s="1407"/>
      <c r="W56" s="1407"/>
      <c r="X56" s="1407"/>
      <c r="Y56" s="1407"/>
      <c r="Z56" s="1407"/>
      <c r="AA56" s="1407"/>
      <c r="AB56" s="1408"/>
      <c r="AC56" s="616" t="s">
        <v>173</v>
      </c>
      <c r="AD56" s="617" t="s">
        <v>130</v>
      </c>
      <c r="AN56" s="1703"/>
      <c r="AO56" s="1713"/>
    </row>
    <row r="57" spans="1:42" ht="150" customHeight="1" x14ac:dyDescent="0.7">
      <c r="A57" s="584">
        <v>43</v>
      </c>
      <c r="B57" s="608" t="s">
        <v>204</v>
      </c>
      <c r="C57" s="609" t="s">
        <v>175</v>
      </c>
      <c r="D57" s="584" t="s">
        <v>182</v>
      </c>
      <c r="E57" s="584" t="s">
        <v>331</v>
      </c>
      <c r="F57" s="838" t="s">
        <v>380</v>
      </c>
      <c r="G57" s="940" t="s">
        <v>1418</v>
      </c>
      <c r="H57" s="830">
        <v>50</v>
      </c>
      <c r="I57" s="830">
        <v>1</v>
      </c>
      <c r="J57" s="1171">
        <v>850</v>
      </c>
      <c r="K57" s="621">
        <f>IF(F57&lt;&gt;"",H57*I57*J57,"")</f>
        <v>42500</v>
      </c>
      <c r="L57" s="621">
        <f>IF(K57&lt;&gt;"",IF(D57="INTERNO",0,K57*$L$13),"")</f>
        <v>2125</v>
      </c>
      <c r="M57" s="621">
        <f>IF(K57&lt;&gt;"",IF(E57="FAT.OGGI",SUM(K57:L57)*(1/(1-$M$14)-1),L57*(1/(1-$M$14)-1)),"")</f>
        <v>445.46086851336622</v>
      </c>
      <c r="N57" s="622">
        <f>SUM(K57:M57)</f>
        <v>45070.460868513364</v>
      </c>
      <c r="O57" s="1172" t="s">
        <v>151</v>
      </c>
      <c r="P57" s="1158" t="s">
        <v>151</v>
      </c>
      <c r="Q57" s="1133"/>
      <c r="T57" s="624">
        <f>IF(H57&lt;&gt;"",H57,"")</f>
        <v>50</v>
      </c>
      <c r="U57" s="625">
        <f>IF(I57&lt;&gt;"",I57,"")</f>
        <v>1</v>
      </c>
      <c r="V57" s="626">
        <v>850</v>
      </c>
      <c r="W57" s="626">
        <v>49089.599999999999</v>
      </c>
      <c r="X57" s="627">
        <f>IF(T57&lt;&gt;"",K57-W57,"")</f>
        <v>-6589.5999999999985</v>
      </c>
      <c r="Y57" s="1134">
        <f>IF(T57&lt;&gt;"",0%,"")</f>
        <v>0</v>
      </c>
      <c r="Z57" s="629">
        <f>IF(T57&lt;&gt;"",Y57*X57,"")</f>
        <v>0</v>
      </c>
      <c r="AA57" s="629">
        <f>IF(T57&lt;&gt;"",Z57+W57,"")</f>
        <v>49089.599999999999</v>
      </c>
      <c r="AB57" s="630">
        <f>IF(T57&lt;&gt;"",AA57+M57,"")</f>
        <v>49535.060868513363</v>
      </c>
      <c r="AC57" s="631">
        <f>IFERROR(IF(T57&lt;&gt;"",X57/K57,""),0)</f>
        <v>-0.15504941176470585</v>
      </c>
      <c r="AD57" s="632">
        <f>W57/$W$59</f>
        <v>1.3816546415387017E-2</v>
      </c>
      <c r="AE57" s="1186">
        <f>W57*0.1</f>
        <v>4908.96</v>
      </c>
      <c r="AN57" s="1703">
        <f t="shared" si="15"/>
        <v>0</v>
      </c>
      <c r="AO57" s="1713">
        <f>17089.6+2000+2400+4600+3000+20000</f>
        <v>49089.599999999999</v>
      </c>
      <c r="AP57" s="1709" t="s">
        <v>1645</v>
      </c>
    </row>
    <row r="58" spans="1:42" ht="150" customHeight="1" x14ac:dyDescent="0.7">
      <c r="A58" s="633">
        <v>44</v>
      </c>
      <c r="B58" s="608" t="s">
        <v>205</v>
      </c>
      <c r="C58" s="634" t="s">
        <v>175</v>
      </c>
      <c r="D58" s="633" t="s">
        <v>182</v>
      </c>
      <c r="E58" s="633" t="s">
        <v>331</v>
      </c>
      <c r="F58" s="838" t="s">
        <v>609</v>
      </c>
      <c r="G58" s="940" t="s">
        <v>1419</v>
      </c>
      <c r="H58" s="830">
        <v>2</v>
      </c>
      <c r="I58" s="830">
        <v>1</v>
      </c>
      <c r="J58" s="719">
        <v>900</v>
      </c>
      <c r="K58" s="621">
        <f>IF(F58&lt;&gt;"",H58*I58*J58,"")</f>
        <v>1800</v>
      </c>
      <c r="L58" s="621">
        <f>IF(K58&lt;&gt;"",IF(D58="INTERNO",0,K58*$L$13),"")</f>
        <v>90</v>
      </c>
      <c r="M58" s="621">
        <f>IF(K58&lt;&gt;"",IF(E58="FAT.OGGI",SUM(K58:L58)*(1/(1-$M$14)-1),L58*(1/(1-$M$14)-1)),0)</f>
        <v>18.866577960566101</v>
      </c>
      <c r="N58" s="622">
        <f>SUM(K58:M58)</f>
        <v>1908.866577960566</v>
      </c>
      <c r="O58" s="1172" t="s">
        <v>151</v>
      </c>
      <c r="P58" s="1158" t="s">
        <v>151</v>
      </c>
      <c r="Q58" s="1133"/>
      <c r="T58" s="624">
        <f>IF(H58&lt;&gt;"",H58,"")</f>
        <v>2</v>
      </c>
      <c r="U58" s="625">
        <f>IF(I58&lt;&gt;"",I58,"")</f>
        <v>1</v>
      </c>
      <c r="V58" s="626">
        <v>900</v>
      </c>
      <c r="W58" s="626">
        <f>3008048.06+476186.18+19633.5</f>
        <v>3503867.74</v>
      </c>
      <c r="X58" s="627">
        <f>IF(T58&lt;&gt;"",K58-W58,"")</f>
        <v>-3502067.74</v>
      </c>
      <c r="Y58" s="1134">
        <f>IF(T58&lt;&gt;"",0%,"")</f>
        <v>0</v>
      </c>
      <c r="Z58" s="629">
        <f>IF(T58&lt;&gt;"",Y58*X58,"")</f>
        <v>0</v>
      </c>
      <c r="AA58" s="629">
        <f>IF(T58&lt;&gt;"",Z58+W58,"")</f>
        <v>3503867.74</v>
      </c>
      <c r="AB58" s="630">
        <f>IF(T58&lt;&gt;"",AA58+M58,"")</f>
        <v>3503886.6065779608</v>
      </c>
      <c r="AC58" s="631">
        <f>IF(T58&lt;&gt;"", IFERROR(X58/K58, 0), 0)</f>
        <v>-1945.593188888889</v>
      </c>
      <c r="AD58" s="632">
        <f>W58/$W$59</f>
        <v>0.9861834535846129</v>
      </c>
      <c r="AE58" s="1186">
        <f>W58*0.1</f>
        <v>350386.77400000003</v>
      </c>
      <c r="AN58" s="1703">
        <f>AA58-AO58</f>
        <v>0</v>
      </c>
      <c r="AO58" s="1713">
        <f>162671.55+583516.51+67671.55+46000+50000+45000+200000+242516.51+95000+333516.51+250000+162671.55+250000+162671.55+333516.51+476186.18+19633.5+23295.82</f>
        <v>3503867.74</v>
      </c>
      <c r="AP58" s="1709" t="s">
        <v>1660</v>
      </c>
    </row>
    <row r="59" spans="1:42" ht="50.1" customHeight="1" thickBot="1" x14ac:dyDescent="0.75">
      <c r="A59" s="584">
        <v>45</v>
      </c>
      <c r="B59" s="608"/>
      <c r="C59" s="609" t="s">
        <v>184</v>
      </c>
      <c r="D59" s="584"/>
      <c r="E59" s="584"/>
      <c r="F59" s="1420" t="s">
        <v>383</v>
      </c>
      <c r="G59" s="1421"/>
      <c r="H59" s="1421"/>
      <c r="I59" s="1421"/>
      <c r="J59" s="1421"/>
      <c r="K59" s="1173">
        <f>SUM(K57:K58)</f>
        <v>44300</v>
      </c>
      <c r="L59" s="1173">
        <f>SUM(L57:L58)</f>
        <v>2215</v>
      </c>
      <c r="M59" s="1173">
        <f>SUM(M57:M58)</f>
        <v>464.3274464739323</v>
      </c>
      <c r="N59" s="1174">
        <f>SUM(N57:N58)</f>
        <v>46979.32744647393</v>
      </c>
      <c r="T59" s="1383">
        <f>SUM(T57:T58)</f>
        <v>52</v>
      </c>
      <c r="U59" s="1421"/>
      <c r="V59" s="1421"/>
      <c r="W59" s="1187">
        <f>SUM(W57:W58)</f>
        <v>3552957.3400000003</v>
      </c>
      <c r="X59" s="1188">
        <f>SUM(X57:X58)</f>
        <v>-3508657.3400000003</v>
      </c>
      <c r="Y59" s="1189"/>
      <c r="Z59" s="1190"/>
      <c r="AA59" s="1191">
        <f>SUM(AA57:AA58)</f>
        <v>3552957.3400000003</v>
      </c>
      <c r="AB59" s="678">
        <f>IF(T59&lt;&gt;"",AA59+M59,"")</f>
        <v>3553421.6674464741</v>
      </c>
      <c r="AE59" s="1192">
        <f>SUM(AE57:AE58)</f>
        <v>355295.73400000005</v>
      </c>
      <c r="AN59" s="1703">
        <v>0</v>
      </c>
      <c r="AO59" s="1713"/>
    </row>
    <row r="60" spans="1:42" ht="50.1" customHeight="1" x14ac:dyDescent="0.7">
      <c r="A60" s="584">
        <v>46</v>
      </c>
      <c r="B60" s="608" t="s">
        <v>206</v>
      </c>
      <c r="C60" s="609" t="s">
        <v>169</v>
      </c>
      <c r="D60" s="584"/>
      <c r="E60" s="584"/>
      <c r="F60" s="1430" t="s">
        <v>384</v>
      </c>
      <c r="G60" s="1431"/>
      <c r="H60" s="1431"/>
      <c r="I60" s="1431"/>
      <c r="J60" s="1431"/>
      <c r="K60" s="1432"/>
      <c r="L60" s="1193" t="s">
        <v>171</v>
      </c>
      <c r="M60" s="1194" t="s">
        <v>172</v>
      </c>
      <c r="N60" s="1195" t="s">
        <v>129</v>
      </c>
      <c r="O60" s="1126" t="s">
        <v>651</v>
      </c>
      <c r="P60" s="1127" t="s">
        <v>652</v>
      </c>
      <c r="Q60" s="1127" t="s">
        <v>666</v>
      </c>
      <c r="T60" s="1403" t="str">
        <f>IF(F60&lt;&gt;"",F60,"")</f>
        <v>SALAS DE EVENTOS</v>
      </c>
      <c r="U60" s="1404"/>
      <c r="V60" s="1404"/>
      <c r="W60" s="1404"/>
      <c r="X60" s="1404"/>
      <c r="Y60" s="1404"/>
      <c r="Z60" s="1404"/>
      <c r="AA60" s="1404"/>
      <c r="AB60" s="1435"/>
      <c r="AC60" s="616" t="s">
        <v>173</v>
      </c>
      <c r="AD60" s="617" t="s">
        <v>130</v>
      </c>
      <c r="AN60" s="1703">
        <f t="shared" si="15"/>
        <v>0</v>
      </c>
      <c r="AO60" s="1713"/>
    </row>
    <row r="61" spans="1:42" ht="150" customHeight="1" x14ac:dyDescent="0.7">
      <c r="A61" s="584">
        <v>47</v>
      </c>
      <c r="B61" s="608" t="s">
        <v>207</v>
      </c>
      <c r="C61" s="609" t="s">
        <v>175</v>
      </c>
      <c r="D61" s="584" t="s">
        <v>182</v>
      </c>
      <c r="E61" s="584" t="s">
        <v>331</v>
      </c>
      <c r="F61" s="718" t="s">
        <v>394</v>
      </c>
      <c r="G61" s="736" t="s">
        <v>1420</v>
      </c>
      <c r="H61" s="702">
        <v>1</v>
      </c>
      <c r="I61" s="702">
        <v>0</v>
      </c>
      <c r="J61" s="719">
        <v>7000</v>
      </c>
      <c r="K61" s="694">
        <f>IF(F61&lt;&gt;"",H61*I61*J61,"")</f>
        <v>0</v>
      </c>
      <c r="L61" s="694">
        <f>K61*L14</f>
        <v>0</v>
      </c>
      <c r="M61" s="694">
        <f>L61*(1/(1-M14)-1)</f>
        <v>0</v>
      </c>
      <c r="N61" s="694">
        <f>SUM(K61:M61)</f>
        <v>0</v>
      </c>
      <c r="O61" s="1196" t="s">
        <v>664</v>
      </c>
      <c r="P61" s="1133" t="s">
        <v>664</v>
      </c>
      <c r="Q61" s="1133" t="s">
        <v>664</v>
      </c>
      <c r="T61" s="624">
        <f>IF(H61&lt;&gt;"",H61,"")</f>
        <v>1</v>
      </c>
      <c r="U61" s="625">
        <f>IF(I61&lt;&gt;"",I61,"")</f>
        <v>0</v>
      </c>
      <c r="V61" s="626">
        <v>2000</v>
      </c>
      <c r="W61" s="626">
        <f>IF(T61&lt;&gt;"",T61*U61*V61,"")</f>
        <v>0</v>
      </c>
      <c r="X61" s="627">
        <f>IF(T61&lt;&gt;"",K61-W61,"")</f>
        <v>0</v>
      </c>
      <c r="Y61" s="1134">
        <f>IF(T61&lt;&gt;"",0%,"")</f>
        <v>0</v>
      </c>
      <c r="Z61" s="629">
        <f>IF(T61&lt;&gt;"",Y61*X61,"")</f>
        <v>0</v>
      </c>
      <c r="AA61" s="629">
        <f>IF(T61&lt;&gt;"",Z61+W61,"")</f>
        <v>0</v>
      </c>
      <c r="AB61" s="630">
        <f>IF(T61&lt;&gt;"",AA61+M61,"")</f>
        <v>0</v>
      </c>
      <c r="AC61" s="631">
        <f>IF(T61&lt;&gt;"", IFERROR(X61/K61, 0), 0)</f>
        <v>0</v>
      </c>
      <c r="AD61" s="632" t="e">
        <f>W61/$W$62</f>
        <v>#DIV/0!</v>
      </c>
      <c r="AN61" s="1703">
        <f t="shared" si="15"/>
        <v>0</v>
      </c>
      <c r="AO61" s="1713"/>
    </row>
    <row r="62" spans="1:42" ht="50.1" customHeight="1" thickBot="1" x14ac:dyDescent="0.75">
      <c r="A62" s="584">
        <v>48</v>
      </c>
      <c r="B62" s="608"/>
      <c r="C62" s="609" t="s">
        <v>184</v>
      </c>
      <c r="D62" s="584"/>
      <c r="E62" s="584"/>
      <c r="F62" s="1433" t="s">
        <v>385</v>
      </c>
      <c r="G62" s="1434"/>
      <c r="H62" s="1434"/>
      <c r="I62" s="1434"/>
      <c r="J62" s="1434"/>
      <c r="K62" s="1197">
        <f>SUM(K61:K61)</f>
        <v>0</v>
      </c>
      <c r="L62" s="1197">
        <f>SUM(L61:L61)</f>
        <v>0</v>
      </c>
      <c r="M62" s="1197">
        <f>SUM(M61:M61)</f>
        <v>0</v>
      </c>
      <c r="N62" s="1198">
        <f>SUM(N61:N61)</f>
        <v>0</v>
      </c>
      <c r="T62" s="1415">
        <f>SUM(T61:T61)</f>
        <v>1</v>
      </c>
      <c r="U62" s="1434"/>
      <c r="V62" s="1436"/>
      <c r="W62" s="1187">
        <f>SUM(W61:W61)</f>
        <v>0</v>
      </c>
      <c r="X62" s="1188">
        <f>SUM(X61:X61)</f>
        <v>0</v>
      </c>
      <c r="Y62" s="1189"/>
      <c r="Z62" s="1190"/>
      <c r="AA62" s="1191">
        <f>SUM(AA61:AA61)</f>
        <v>0</v>
      </c>
      <c r="AB62" s="678">
        <f>IF(T62&lt;&gt;"",AA62+M62,"")</f>
        <v>0</v>
      </c>
      <c r="AN62" s="1703">
        <f t="shared" si="15"/>
        <v>0</v>
      </c>
      <c r="AO62" s="1713"/>
    </row>
    <row r="63" spans="1:42" ht="50.1" customHeight="1" x14ac:dyDescent="0.7">
      <c r="A63" s="584">
        <v>49</v>
      </c>
      <c r="B63" s="608" t="s">
        <v>213</v>
      </c>
      <c r="C63" s="609" t="s">
        <v>169</v>
      </c>
      <c r="D63" s="584"/>
      <c r="E63" s="584"/>
      <c r="F63" s="1406" t="s">
        <v>395</v>
      </c>
      <c r="G63" s="1407"/>
      <c r="H63" s="1407"/>
      <c r="I63" s="1407"/>
      <c r="J63" s="1407"/>
      <c r="K63" s="1407"/>
      <c r="L63" s="716" t="s">
        <v>171</v>
      </c>
      <c r="M63" s="716" t="s">
        <v>172</v>
      </c>
      <c r="N63" s="717" t="s">
        <v>129</v>
      </c>
      <c r="O63" s="1126" t="s">
        <v>651</v>
      </c>
      <c r="P63" s="1127" t="s">
        <v>652</v>
      </c>
      <c r="Q63" s="1127" t="s">
        <v>666</v>
      </c>
      <c r="T63" s="1437" t="str">
        <f>IF(F63&lt;&gt;"",F63,"")</f>
        <v>SERVIÇOS E TAXAS DIVERSAS</v>
      </c>
      <c r="U63" s="1438"/>
      <c r="V63" s="1438"/>
      <c r="W63" s="1438"/>
      <c r="X63" s="1438"/>
      <c r="Y63" s="1438"/>
      <c r="Z63" s="1438"/>
      <c r="AA63" s="1438"/>
      <c r="AB63" s="1439"/>
      <c r="AC63" s="616" t="s">
        <v>173</v>
      </c>
      <c r="AD63" s="617" t="s">
        <v>130</v>
      </c>
      <c r="AN63" s="1703">
        <f t="shared" si="15"/>
        <v>0</v>
      </c>
      <c r="AO63" s="1713"/>
    </row>
    <row r="64" spans="1:42" ht="150" customHeight="1" x14ac:dyDescent="0.7">
      <c r="A64" s="584">
        <v>50</v>
      </c>
      <c r="B64" s="608" t="s">
        <v>214</v>
      </c>
      <c r="C64" s="609" t="s">
        <v>175</v>
      </c>
      <c r="D64" s="584" t="s">
        <v>182</v>
      </c>
      <c r="E64" s="584" t="s">
        <v>331</v>
      </c>
      <c r="F64" s="718" t="s">
        <v>396</v>
      </c>
      <c r="G64" s="736" t="s">
        <v>1421</v>
      </c>
      <c r="H64" s="702">
        <v>1</v>
      </c>
      <c r="I64" s="702">
        <v>1</v>
      </c>
      <c r="J64" s="738">
        <v>2300</v>
      </c>
      <c r="K64" s="620">
        <f>IF(F64&lt;&gt;"",H64*I64*J64,"")</f>
        <v>2300</v>
      </c>
      <c r="L64" s="620">
        <f>IF(K64&lt;&gt;"",IF(D64="INTERNO",0,K64*$L$14),"")</f>
        <v>184</v>
      </c>
      <c r="M64" s="620">
        <f>IF(K64&lt;&gt;"",IF(E64="FAT.OGGI",SUM(K64:L64)*(1/(1-$M$14)-1),L64*(1/(1-$M$14)-1)),"")</f>
        <v>38.571670497157356</v>
      </c>
      <c r="N64" s="894">
        <f>SUM(K64:M64)</f>
        <v>2522.5716704971574</v>
      </c>
      <c r="O64" s="1131" t="s">
        <v>653</v>
      </c>
      <c r="P64" s="1132" t="s">
        <v>655</v>
      </c>
      <c r="Q64" s="1133"/>
      <c r="T64" s="624">
        <f>IF(H64&lt;&gt;"",H64,"")</f>
        <v>1</v>
      </c>
      <c r="U64" s="625">
        <f>IF(I64&lt;&gt;"",I64,"")</f>
        <v>1</v>
      </c>
      <c r="V64" s="626">
        <v>2300</v>
      </c>
      <c r="W64" s="626">
        <v>0</v>
      </c>
      <c r="X64" s="627">
        <f>IF(T64&lt;&gt;"",K64-W64,"")</f>
        <v>2300</v>
      </c>
      <c r="Y64" s="1134">
        <f>IF(T64&lt;&gt;"",0%,"")</f>
        <v>0</v>
      </c>
      <c r="Z64" s="629">
        <f>IF(T64&lt;&gt;"",Y64*X64,"")</f>
        <v>0</v>
      </c>
      <c r="AA64" s="629">
        <f>IF(T64&lt;&gt;"",Z64+W64,"")</f>
        <v>0</v>
      </c>
      <c r="AB64" s="630">
        <f>IF(T64&lt;&gt;"",AA64+M64,"")</f>
        <v>38.571670497157356</v>
      </c>
      <c r="AC64" s="631">
        <f>IFERROR(IF(T64&lt;&gt;"",X64/K64,""),0)</f>
        <v>1</v>
      </c>
      <c r="AD64" s="632" t="e">
        <f>W64/$W$65</f>
        <v>#DIV/0!</v>
      </c>
      <c r="AN64" s="1703">
        <f t="shared" si="15"/>
        <v>0</v>
      </c>
      <c r="AO64" s="1713"/>
    </row>
    <row r="65" spans="1:41" ht="50.1" customHeight="1" thickBot="1" x14ac:dyDescent="0.75">
      <c r="A65" s="584">
        <v>51</v>
      </c>
      <c r="B65" s="608"/>
      <c r="C65" s="609" t="s">
        <v>184</v>
      </c>
      <c r="D65" s="584"/>
      <c r="E65" s="584"/>
      <c r="F65" s="1420" t="s">
        <v>397</v>
      </c>
      <c r="G65" s="1421"/>
      <c r="H65" s="1421"/>
      <c r="I65" s="1421"/>
      <c r="J65" s="1421"/>
      <c r="K65" s="1173">
        <f>SUM(K64:K64)</f>
        <v>2300</v>
      </c>
      <c r="L65" s="1173">
        <f>SUM(L64:L64)</f>
        <v>184</v>
      </c>
      <c r="M65" s="1173">
        <f>SUM(M64:M64)</f>
        <v>38.571670497157356</v>
      </c>
      <c r="N65" s="1174">
        <f>SUM(N64:N64)</f>
        <v>2522.5716704971574</v>
      </c>
      <c r="T65" s="1428">
        <f>SUM(T64:T64)</f>
        <v>1</v>
      </c>
      <c r="U65" s="1429"/>
      <c r="V65" s="1429"/>
      <c r="W65" s="1199">
        <f>SUM(W64:W64)</f>
        <v>0</v>
      </c>
      <c r="X65" s="1167">
        <f>SUM(X64:X64)</f>
        <v>2300</v>
      </c>
      <c r="Y65" s="1168"/>
      <c r="Z65" s="1169"/>
      <c r="AA65" s="1170">
        <f>SUM(AA64:AA64)</f>
        <v>0</v>
      </c>
      <c r="AB65" s="783">
        <f>IF(T65&lt;&gt;"",AA65+M65,"")</f>
        <v>38.571670497157356</v>
      </c>
      <c r="AN65" s="1703">
        <f t="shared" ref="AN65:AN70" si="33">AA65-AO65</f>
        <v>0</v>
      </c>
      <c r="AO65" s="1713"/>
    </row>
    <row r="66" spans="1:41" ht="50.1" customHeight="1" x14ac:dyDescent="0.7">
      <c r="A66" s="584">
        <v>52</v>
      </c>
      <c r="B66" s="608" t="s">
        <v>215</v>
      </c>
      <c r="C66" s="609" t="s">
        <v>169</v>
      </c>
      <c r="D66" s="584"/>
      <c r="E66" s="584"/>
      <c r="F66" s="1403" t="s">
        <v>189</v>
      </c>
      <c r="G66" s="1404"/>
      <c r="H66" s="1404"/>
      <c r="I66" s="1404"/>
      <c r="J66" s="1404"/>
      <c r="K66" s="1405"/>
      <c r="L66" s="612" t="s">
        <v>171</v>
      </c>
      <c r="M66" s="613" t="s">
        <v>172</v>
      </c>
      <c r="N66" s="971" t="s">
        <v>129</v>
      </c>
      <c r="O66" s="1126" t="s">
        <v>651</v>
      </c>
      <c r="P66" s="1127" t="s">
        <v>652</v>
      </c>
      <c r="Q66" s="1127" t="s">
        <v>666</v>
      </c>
      <c r="T66" s="1406" t="str">
        <f>IF(F66&lt;&gt;"",F66,"")</f>
        <v xml:space="preserve">A&amp;B </v>
      </c>
      <c r="U66" s="1407"/>
      <c r="V66" s="1407"/>
      <c r="W66" s="1407"/>
      <c r="X66" s="1407"/>
      <c r="Y66" s="1407"/>
      <c r="Z66" s="1407"/>
      <c r="AA66" s="1407"/>
      <c r="AB66" s="1408"/>
      <c r="AC66" s="616" t="s">
        <v>173</v>
      </c>
      <c r="AD66" s="617" t="s">
        <v>130</v>
      </c>
      <c r="AN66" s="1703">
        <f t="shared" si="33"/>
        <v>0</v>
      </c>
      <c r="AO66" s="1713"/>
    </row>
    <row r="67" spans="1:41" ht="150" customHeight="1" x14ac:dyDescent="0.7">
      <c r="A67" s="646">
        <v>53</v>
      </c>
      <c r="B67" s="608" t="s">
        <v>216</v>
      </c>
      <c r="C67" s="647" t="s">
        <v>175</v>
      </c>
      <c r="D67" s="584" t="s">
        <v>182</v>
      </c>
      <c r="E67" s="584" t="s">
        <v>331</v>
      </c>
      <c r="F67" s="691" t="s">
        <v>641</v>
      </c>
      <c r="G67" s="618" t="s">
        <v>399</v>
      </c>
      <c r="H67" s="1200">
        <v>50</v>
      </c>
      <c r="I67" s="1200">
        <v>1</v>
      </c>
      <c r="J67" s="1201">
        <v>192</v>
      </c>
      <c r="K67" s="620">
        <f>IF(F67&lt;&gt;"",H67*I67*J67,"")</f>
        <v>9600</v>
      </c>
      <c r="L67" s="694">
        <f>IF(K67&lt;&gt;"",IF(D67="INTERNO",0,K67*$L$13),"")</f>
        <v>480</v>
      </c>
      <c r="M67" s="694">
        <f>IF(K67&lt;&gt;"",IF(E67="FAT.OGGI",SUM(K67:L67)*(1/(1-$M$14)-1),L67*(1/(1-$M$14)-1)),0)</f>
        <v>100.6217491230192</v>
      </c>
      <c r="N67" s="894">
        <f>SUM(K67:M67)</f>
        <v>10180.62174912302</v>
      </c>
      <c r="O67" s="1131" t="s">
        <v>653</v>
      </c>
      <c r="P67" s="1132" t="s">
        <v>655</v>
      </c>
      <c r="Q67" s="1133"/>
      <c r="T67" s="648">
        <f t="shared" ref="T67:U70" si="34">IF(H67&lt;&gt;"",H67,"")</f>
        <v>50</v>
      </c>
      <c r="U67" s="649">
        <f t="shared" si="34"/>
        <v>1</v>
      </c>
      <c r="V67" s="650">
        <v>192</v>
      </c>
      <c r="W67" s="650">
        <v>0</v>
      </c>
      <c r="X67" s="651">
        <f>IF(T67&lt;&gt;"",K67-W67,"")</f>
        <v>9600</v>
      </c>
      <c r="Y67" s="1139">
        <f>IF(T67&lt;&gt;"",0%,"")</f>
        <v>0</v>
      </c>
      <c r="Z67" s="653">
        <f>IF(T67&lt;&gt;"",Y67*X67,"")</f>
        <v>0</v>
      </c>
      <c r="AA67" s="653">
        <f>IF(T67&lt;&gt;"",Z67+W67,"")</f>
        <v>0</v>
      </c>
      <c r="AB67" s="630">
        <f t="shared" ref="AB67:AB72" si="35">IF(T67&lt;&gt;"",AA67+M67,"")</f>
        <v>100.6217491230192</v>
      </c>
      <c r="AC67" s="631">
        <f>IF(T67&lt;&gt;"", IFERROR(X67/K67, 0), 0)</f>
        <v>1</v>
      </c>
      <c r="AD67" s="632" t="e">
        <f>W67/$W$71</f>
        <v>#DIV/0!</v>
      </c>
      <c r="AN67" s="1703">
        <f t="shared" si="33"/>
        <v>0</v>
      </c>
      <c r="AO67" s="1713"/>
    </row>
    <row r="68" spans="1:41" ht="150" customHeight="1" x14ac:dyDescent="0.7">
      <c r="A68" s="646">
        <v>54</v>
      </c>
      <c r="B68" s="608" t="s">
        <v>409</v>
      </c>
      <c r="C68" s="647" t="s">
        <v>175</v>
      </c>
      <c r="D68" s="584" t="s">
        <v>182</v>
      </c>
      <c r="E68" s="584" t="s">
        <v>331</v>
      </c>
      <c r="F68" s="1160" t="s">
        <v>642</v>
      </c>
      <c r="G68" s="963" t="s">
        <v>1422</v>
      </c>
      <c r="H68" s="1202">
        <v>50</v>
      </c>
      <c r="I68" s="1202">
        <v>1</v>
      </c>
      <c r="J68" s="1203">
        <v>192</v>
      </c>
      <c r="K68" s="621">
        <f>IF(F68&lt;&gt;"",H68*I68*J68,"")</f>
        <v>9600</v>
      </c>
      <c r="L68" s="695">
        <f>IF(K68&lt;&gt;"",IF(D68="INTERNO",0,K68*$L$13),"")</f>
        <v>480</v>
      </c>
      <c r="M68" s="695">
        <f>IF(K68&lt;&gt;"",IF(E68="FAT.OGGI",SUM(K68:L68)*(1/(1-$M$14)-1),L68*(1/(1-$M$14)-1)),0)</f>
        <v>100.6217491230192</v>
      </c>
      <c r="N68" s="622">
        <f>SUM(K68:M68)</f>
        <v>10180.62174912302</v>
      </c>
      <c r="O68" s="1172"/>
      <c r="P68" s="1158"/>
      <c r="Q68" s="1133" t="s">
        <v>1061</v>
      </c>
      <c r="T68" s="648">
        <f t="shared" si="34"/>
        <v>50</v>
      </c>
      <c r="U68" s="649">
        <f t="shared" si="34"/>
        <v>1</v>
      </c>
      <c r="V68" s="650">
        <v>192</v>
      </c>
      <c r="W68" s="650">
        <v>0</v>
      </c>
      <c r="X68" s="651">
        <f>IF(T68&lt;&gt;"",K68-W68,"")</f>
        <v>9600</v>
      </c>
      <c r="Y68" s="1139">
        <f>IF(T68&lt;&gt;"",0%,"")</f>
        <v>0</v>
      </c>
      <c r="Z68" s="653">
        <f>IF(T68&lt;&gt;"",Y68*X68,"")</f>
        <v>0</v>
      </c>
      <c r="AA68" s="653">
        <f>IF(T68&lt;&gt;"",Z68+W68,"")</f>
        <v>0</v>
      </c>
      <c r="AB68" s="630">
        <f t="shared" si="35"/>
        <v>100.6217491230192</v>
      </c>
      <c r="AC68" s="631">
        <f>IF(T68&lt;&gt;"", IFERROR(X68/K68, 0), 0)</f>
        <v>1</v>
      </c>
      <c r="AD68" s="632" t="e">
        <f>W68/$W$71</f>
        <v>#DIV/0!</v>
      </c>
      <c r="AN68" s="1703">
        <f t="shared" si="33"/>
        <v>0</v>
      </c>
      <c r="AO68" s="1713"/>
    </row>
    <row r="69" spans="1:41" ht="150" customHeight="1" x14ac:dyDescent="0.7">
      <c r="A69" s="646">
        <v>55</v>
      </c>
      <c r="B69" s="608" t="s">
        <v>410</v>
      </c>
      <c r="C69" s="647" t="s">
        <v>175</v>
      </c>
      <c r="D69" s="584" t="s">
        <v>182</v>
      </c>
      <c r="E69" s="584" t="s">
        <v>331</v>
      </c>
      <c r="F69" s="838" t="s">
        <v>643</v>
      </c>
      <c r="G69" s="940" t="s">
        <v>1423</v>
      </c>
      <c r="H69" s="1204">
        <v>1</v>
      </c>
      <c r="I69" s="1204">
        <v>1</v>
      </c>
      <c r="J69" s="1205">
        <v>5660</v>
      </c>
      <c r="K69" s="621">
        <f>IF(F69&lt;&gt;"",H69*I69*J69,"")</f>
        <v>5660</v>
      </c>
      <c r="L69" s="695">
        <f>IF(K69&lt;&gt;"",IF(D69="INTERNO",0,K69*$L$14),"")</f>
        <v>452.8</v>
      </c>
      <c r="M69" s="695">
        <f>IF(K69&lt;&gt;"",IF(E69="FAT.OGGI",SUM(K69:L69)*(1/(1-$M$14)-1),L69*(1/(1-$M$14)-1)),0)</f>
        <v>94.919850006048108</v>
      </c>
      <c r="N69" s="622">
        <f>SUM(K69:M69)</f>
        <v>6207.7198500060485</v>
      </c>
      <c r="O69" s="1131" t="s">
        <v>653</v>
      </c>
      <c r="P69" s="1132" t="s">
        <v>655</v>
      </c>
      <c r="Q69" s="1133"/>
      <c r="T69" s="648">
        <f t="shared" si="34"/>
        <v>1</v>
      </c>
      <c r="U69" s="649">
        <f t="shared" si="34"/>
        <v>1</v>
      </c>
      <c r="V69" s="650">
        <v>5660</v>
      </c>
      <c r="W69" s="650">
        <v>0</v>
      </c>
      <c r="X69" s="651">
        <f>IF(T69&lt;&gt;"",K69-W69,"")</f>
        <v>5660</v>
      </c>
      <c r="Y69" s="1139">
        <f>IF(T69&lt;&gt;"",0%,"")</f>
        <v>0</v>
      </c>
      <c r="Z69" s="653">
        <f>IF(T69&lt;&gt;"",Y69*X69,"")</f>
        <v>0</v>
      </c>
      <c r="AA69" s="653">
        <f>IF(T69&lt;&gt;"",Z69+W69,"")</f>
        <v>0</v>
      </c>
      <c r="AB69" s="630">
        <f t="shared" si="35"/>
        <v>94.919850006048108</v>
      </c>
      <c r="AC69" s="631">
        <f>IF(T69&lt;&gt;"", IFERROR(X69/K69, 0), 0)</f>
        <v>1</v>
      </c>
      <c r="AD69" s="632" t="e">
        <f>W69/$W$71</f>
        <v>#DIV/0!</v>
      </c>
      <c r="AN69" s="1703">
        <f t="shared" si="33"/>
        <v>0</v>
      </c>
      <c r="AO69" s="1713"/>
    </row>
    <row r="70" spans="1:41" ht="150" customHeight="1" x14ac:dyDescent="0.7">
      <c r="A70" s="633">
        <v>56</v>
      </c>
      <c r="B70" s="608" t="s">
        <v>411</v>
      </c>
      <c r="C70" s="634" t="s">
        <v>175</v>
      </c>
      <c r="D70" s="584" t="s">
        <v>182</v>
      </c>
      <c r="E70" s="584" t="s">
        <v>331</v>
      </c>
      <c r="F70" s="1206" t="s">
        <v>405</v>
      </c>
      <c r="G70" s="1207" t="s">
        <v>1424</v>
      </c>
      <c r="H70" s="1208">
        <v>150</v>
      </c>
      <c r="I70" s="1208">
        <v>1</v>
      </c>
      <c r="J70" s="1209">
        <v>55</v>
      </c>
      <c r="K70" s="621">
        <f>IF(F70&lt;&gt;"",H70*I70*J70,"")</f>
        <v>8250</v>
      </c>
      <c r="L70" s="695">
        <f>IF(K70&lt;&gt;"",IF(D70="INTERNO",0,K70*$L$13),"")</f>
        <v>412.5</v>
      </c>
      <c r="M70" s="695">
        <f>IF(K70&lt;&gt;"",IF(E70="FAT.OGGI",SUM(K70:L70)*(1/(1-$M$14)-1),L70*(1/(1-$M$14)-1)),0)</f>
        <v>86.471815652594628</v>
      </c>
      <c r="N70" s="641">
        <f>SUM(K70:M70)</f>
        <v>8748.9718156525942</v>
      </c>
      <c r="O70" s="1131" t="s">
        <v>653</v>
      </c>
      <c r="P70" s="1132" t="s">
        <v>655</v>
      </c>
      <c r="Q70" s="1133"/>
      <c r="T70" s="1210">
        <f t="shared" si="34"/>
        <v>150</v>
      </c>
      <c r="U70" s="1211">
        <f t="shared" si="34"/>
        <v>1</v>
      </c>
      <c r="V70" s="643">
        <v>55</v>
      </c>
      <c r="W70" s="1212">
        <v>0</v>
      </c>
      <c r="X70" s="1213">
        <f>IF(T70&lt;&gt;"",K70-W70,"")</f>
        <v>8250</v>
      </c>
      <c r="Y70" s="1214">
        <f>IF(T70&lt;&gt;"",0%,"")</f>
        <v>0</v>
      </c>
      <c r="Z70" s="1215">
        <f>IF(T70&lt;&gt;"",Y70*X70,"")</f>
        <v>0</v>
      </c>
      <c r="AA70" s="1215">
        <f>IF(T70&lt;&gt;"",Z70+W70,"")</f>
        <v>0</v>
      </c>
      <c r="AB70" s="644">
        <f t="shared" si="35"/>
        <v>86.471815652594628</v>
      </c>
      <c r="AC70" s="631">
        <f>IFERROR(IF(T70&lt;&gt;"",X70/K70,""),0)</f>
        <v>1</v>
      </c>
      <c r="AD70" s="632" t="e">
        <f>W70/$W$71</f>
        <v>#DIV/0!</v>
      </c>
      <c r="AN70" s="1703">
        <f t="shared" si="33"/>
        <v>0</v>
      </c>
      <c r="AO70" s="1713"/>
    </row>
    <row r="71" spans="1:41" ht="50.1" customHeight="1" thickBot="1" x14ac:dyDescent="0.75">
      <c r="A71" s="584">
        <v>57</v>
      </c>
      <c r="B71" s="608"/>
      <c r="C71" s="609" t="s">
        <v>184</v>
      </c>
      <c r="D71" s="584"/>
      <c r="E71" s="584"/>
      <c r="F71" s="1375" t="s">
        <v>407</v>
      </c>
      <c r="G71" s="1376"/>
      <c r="H71" s="1376"/>
      <c r="I71" s="1376"/>
      <c r="J71" s="1376"/>
      <c r="K71" s="1216">
        <f>SUM(K67:K70)</f>
        <v>33110</v>
      </c>
      <c r="L71" s="1216">
        <f>SUM(L67:L70)</f>
        <v>1825.3</v>
      </c>
      <c r="M71" s="1216">
        <f>SUM(M67:M70)</f>
        <v>382.63516390468112</v>
      </c>
      <c r="N71" s="1217">
        <f>SUM(N67:N70)</f>
        <v>35317.93516390468</v>
      </c>
      <c r="T71" s="1383">
        <f>SUM(T67:T70)</f>
        <v>251</v>
      </c>
      <c r="U71" s="1421"/>
      <c r="V71" s="1421"/>
      <c r="W71" s="1187">
        <f>SUM(W67:W70)</f>
        <v>0</v>
      </c>
      <c r="X71" s="1188">
        <f>SUM(X67:X70)</f>
        <v>33110</v>
      </c>
      <c r="Y71" s="1189"/>
      <c r="Z71" s="1190"/>
      <c r="AA71" s="1191">
        <f>SUM(AA67:AA70)</f>
        <v>0</v>
      </c>
      <c r="AB71" s="678">
        <f t="shared" si="35"/>
        <v>382.63516390468112</v>
      </c>
      <c r="AN71" s="1703"/>
      <c r="AO71" s="1713"/>
    </row>
    <row r="72" spans="1:41" ht="50.1" customHeight="1" thickBot="1" x14ac:dyDescent="0.75">
      <c r="A72" s="584">
        <v>58</v>
      </c>
      <c r="B72" s="608"/>
      <c r="C72" s="609" t="s">
        <v>183</v>
      </c>
      <c r="D72" s="584"/>
      <c r="E72" s="584"/>
      <c r="F72" s="1426" t="s">
        <v>408</v>
      </c>
      <c r="G72" s="1427"/>
      <c r="H72" s="1427"/>
      <c r="I72" s="1427"/>
      <c r="J72" s="1427"/>
      <c r="K72" s="1166">
        <f>SUM(K57:K58)+SUM(K61:K61)+SUM(K64:K64)+SUM(K67:K70)</f>
        <v>79710</v>
      </c>
      <c r="L72" s="1166">
        <f>SUM(L57:L58)+SUM(L61:L61)+SUM(L64:L64)+SUM(L67:L70)</f>
        <v>4224.3</v>
      </c>
      <c r="M72" s="1166">
        <f>SUM(M57:M58)+SUM(M61:M61)+SUM(M64:M64)+SUM(M67:M70)</f>
        <v>885.53428087577072</v>
      </c>
      <c r="N72" s="1166">
        <f>SUM(N57:N58)+SUM(N61:N61)+SUM(N64:N64)+SUM(N67:N70)</f>
        <v>84819.834280875773</v>
      </c>
      <c r="T72" s="1385">
        <f>SUM(T57:T58)+SUM(T61:T61)+SUM(T64:T64)+SUM(T67:T70)</f>
        <v>305</v>
      </c>
      <c r="U72" s="1386"/>
      <c r="V72" s="1386"/>
      <c r="W72" s="1166">
        <f>SUM(W57:W58)+SUM(W61:W61)+SUM(W64:W64)+SUM(W67:W70)</f>
        <v>3552957.3400000003</v>
      </c>
      <c r="X72" s="1167">
        <f>SUM(X57:X58)+SUM(X61:X61)+SUM(X64:X64)+SUM(X67:X70)</f>
        <v>-3473247.3400000003</v>
      </c>
      <c r="Y72" s="1168"/>
      <c r="Z72" s="1169"/>
      <c r="AA72" s="1170">
        <f>SUM(AA57:AA58)+SUM(AA61:AA61)+SUM(AA64:AA64)+SUM(AA67:AA70)</f>
        <v>3552957.3400000003</v>
      </c>
      <c r="AB72" s="1180">
        <f t="shared" si="35"/>
        <v>3553842.874280876</v>
      </c>
      <c r="AN72" s="1703"/>
      <c r="AO72" s="1713"/>
    </row>
    <row r="73" spans="1:41" ht="50.1" customHeight="1" thickBot="1" x14ac:dyDescent="0.75">
      <c r="A73" s="584">
        <v>59</v>
      </c>
      <c r="B73" s="608">
        <v>5</v>
      </c>
      <c r="C73" s="609" t="s">
        <v>167</v>
      </c>
      <c r="D73" s="584"/>
      <c r="E73" s="584"/>
      <c r="F73" s="1380" t="s">
        <v>188</v>
      </c>
      <c r="G73" s="1381"/>
      <c r="H73" s="1381"/>
      <c r="I73" s="1381"/>
      <c r="J73" s="1381"/>
      <c r="K73" s="1381"/>
      <c r="L73" s="1381"/>
      <c r="M73" s="1381"/>
      <c r="N73" s="1382"/>
      <c r="T73" s="1442" t="str">
        <f>IF(F73&lt;&gt;"",F73,"")</f>
        <v>ARTÍSTICO</v>
      </c>
      <c r="U73" s="1443"/>
      <c r="V73" s="1443"/>
      <c r="W73" s="1443"/>
      <c r="X73" s="1443"/>
      <c r="Y73" s="1443"/>
      <c r="Z73" s="1443"/>
      <c r="AA73" s="1443"/>
      <c r="AB73" s="1444"/>
      <c r="AN73" s="1703"/>
      <c r="AO73" s="1713"/>
    </row>
    <row r="74" spans="1:41" ht="50.1" customHeight="1" x14ac:dyDescent="0.7">
      <c r="A74" s="584">
        <v>60</v>
      </c>
      <c r="B74" s="608" t="s">
        <v>217</v>
      </c>
      <c r="C74" s="609" t="s">
        <v>169</v>
      </c>
      <c r="D74" s="584"/>
      <c r="E74" s="584"/>
      <c r="F74" s="1403" t="s">
        <v>68</v>
      </c>
      <c r="G74" s="1404"/>
      <c r="H74" s="1404"/>
      <c r="I74" s="1404"/>
      <c r="J74" s="1404"/>
      <c r="K74" s="1405"/>
      <c r="L74" s="612" t="s">
        <v>171</v>
      </c>
      <c r="M74" s="613" t="s">
        <v>172</v>
      </c>
      <c r="N74" s="971" t="s">
        <v>129</v>
      </c>
      <c r="O74" s="1126" t="s">
        <v>651</v>
      </c>
      <c r="P74" s="1127" t="s">
        <v>652</v>
      </c>
      <c r="Q74" s="1127" t="s">
        <v>666</v>
      </c>
      <c r="T74" s="1440" t="str">
        <f>IF(F74&lt;&gt;"",F74,"")</f>
        <v>ARTISTICO</v>
      </c>
      <c r="U74" s="1423"/>
      <c r="V74" s="1423"/>
      <c r="W74" s="1423"/>
      <c r="X74" s="1423"/>
      <c r="Y74" s="1423"/>
      <c r="Z74" s="1423"/>
      <c r="AA74" s="1423"/>
      <c r="AB74" s="1441"/>
      <c r="AC74" s="616" t="s">
        <v>173</v>
      </c>
      <c r="AD74" s="617" t="s">
        <v>130</v>
      </c>
      <c r="AN74" s="1703"/>
      <c r="AO74" s="1713"/>
    </row>
    <row r="75" spans="1:41" ht="150" customHeight="1" x14ac:dyDescent="0.7">
      <c r="A75" s="584">
        <v>61</v>
      </c>
      <c r="B75" s="608" t="s">
        <v>218</v>
      </c>
      <c r="C75" s="609" t="s">
        <v>175</v>
      </c>
      <c r="D75" s="584" t="s">
        <v>182</v>
      </c>
      <c r="E75" s="1218" t="s">
        <v>331</v>
      </c>
      <c r="F75" s="838" t="s">
        <v>617</v>
      </c>
      <c r="G75" s="868" t="s">
        <v>1425</v>
      </c>
      <c r="H75" s="830">
        <v>1</v>
      </c>
      <c r="I75" s="830">
        <v>1</v>
      </c>
      <c r="J75" s="1171">
        <v>13000</v>
      </c>
      <c r="K75" s="695">
        <f>IF(F75&lt;&gt;"",H75*I75*J75,"")</f>
        <v>13000</v>
      </c>
      <c r="L75" s="695">
        <f>IF(K75&lt;&gt;"",IF(D75="INTERNO",0,K75*$L$14),"")</f>
        <v>1040</v>
      </c>
      <c r="M75" s="695">
        <f>IF(K75&lt;&gt;"",IF(E75="FAT.OGGI",SUM(K75:L75)*(1/(1-$M$14)-1),L75*(1/(1-$M$14)-1)),0)</f>
        <v>218.01378976654161</v>
      </c>
      <c r="N75" s="635">
        <f>SUM(K75:M75)</f>
        <v>14258.013789766541</v>
      </c>
      <c r="O75" s="1131" t="s">
        <v>653</v>
      </c>
      <c r="P75" s="1132" t="s">
        <v>655</v>
      </c>
      <c r="Q75" s="1133" t="s">
        <v>667</v>
      </c>
      <c r="T75" s="696">
        <f>IF(H75&lt;&gt;"",H75,"")</f>
        <v>1</v>
      </c>
      <c r="U75" s="625">
        <v>0</v>
      </c>
      <c r="V75" s="626">
        <v>10000</v>
      </c>
      <c r="W75" s="697">
        <f>IF(T75&lt;&gt;"",T75*U75*V75,"")</f>
        <v>0</v>
      </c>
      <c r="X75" s="698">
        <f>IF(T75&lt;&gt;"",K75-W75,"")</f>
        <v>13000</v>
      </c>
      <c r="Y75" s="1138">
        <f>IF(T75&lt;&gt;"",0%,"")</f>
        <v>0</v>
      </c>
      <c r="Z75" s="700">
        <f>IF(T75&lt;&gt;"",Y75*X75,"")</f>
        <v>0</v>
      </c>
      <c r="AA75" s="700">
        <f>IF(T75&lt;&gt;"",Z75+W75,"")</f>
        <v>0</v>
      </c>
      <c r="AB75" s="701">
        <f>IF(T75&lt;&gt;"",AA75+M75,"")</f>
        <v>218.01378976654161</v>
      </c>
      <c r="AC75" s="632">
        <f>IF(T75&lt;&gt;"", IFERROR(X75/K75, 0), 0)</f>
        <v>1</v>
      </c>
      <c r="AD75" s="632" t="e">
        <f>W75/$W$78</f>
        <v>#DIV/0!</v>
      </c>
      <c r="AN75" s="1703">
        <f t="shared" si="15"/>
        <v>0</v>
      </c>
      <c r="AO75" s="1713"/>
    </row>
    <row r="76" spans="1:41" ht="150" customHeight="1" x14ac:dyDescent="0.7">
      <c r="A76" s="584">
        <v>62</v>
      </c>
      <c r="B76" s="608" t="s">
        <v>219</v>
      </c>
      <c r="C76" s="609" t="s">
        <v>175</v>
      </c>
      <c r="D76" s="584" t="s">
        <v>182</v>
      </c>
      <c r="E76" s="760" t="s">
        <v>179</v>
      </c>
      <c r="F76" s="838" t="s">
        <v>824</v>
      </c>
      <c r="G76" s="868" t="s">
        <v>1426</v>
      </c>
      <c r="H76" s="830">
        <v>1</v>
      </c>
      <c r="I76" s="830">
        <v>1</v>
      </c>
      <c r="J76" s="1171">
        <v>27302.47</v>
      </c>
      <c r="K76" s="695">
        <f>IF(F76&lt;&gt;"",H76*I76*J76,"")</f>
        <v>27302.47</v>
      </c>
      <c r="L76" s="695">
        <f>IF(K76&lt;&gt;"",IF(D76="INTERNO",0,K76*$L$14),"")</f>
        <v>2184.1976</v>
      </c>
      <c r="M76" s="695">
        <f>IF(K76&lt;&gt;"",IF(E76="FAT.OGGI",SUM(K76:L76)*(1/(1-$M$14)-1),L76*(1/(1-$M$14)-1)),0)</f>
        <v>6181.2501452522056</v>
      </c>
      <c r="N76" s="635">
        <f>SUM(K76:M76)</f>
        <v>35667.917745252205</v>
      </c>
      <c r="O76" s="1133"/>
      <c r="P76" s="1135" t="s">
        <v>623</v>
      </c>
      <c r="Q76" s="1135" t="s">
        <v>1014</v>
      </c>
      <c r="R76" s="1117" t="s">
        <v>1015</v>
      </c>
      <c r="T76" s="1219">
        <f>IF(H76&lt;&gt;"",H76,"")</f>
        <v>1</v>
      </c>
      <c r="U76" s="625">
        <f>IF(I76&lt;&gt;"",I76,"")</f>
        <v>1</v>
      </c>
      <c r="V76" s="1220">
        <v>22720</v>
      </c>
      <c r="W76" s="697">
        <v>0</v>
      </c>
      <c r="X76" s="698">
        <f>IF(T76&lt;&gt;"",K76-W76,"")</f>
        <v>27302.47</v>
      </c>
      <c r="Y76" s="1138">
        <f>IF(T76&lt;&gt;"",0%,"")</f>
        <v>0</v>
      </c>
      <c r="Z76" s="700">
        <f>IF(T76&lt;&gt;"",Y76*X76,"")</f>
        <v>0</v>
      </c>
      <c r="AA76" s="700">
        <f>IF(T76&lt;&gt;"",Z76+W76,"")</f>
        <v>0</v>
      </c>
      <c r="AB76" s="701">
        <f>IF(T76&lt;&gt;"",AA76+M76,"")</f>
        <v>6181.2501452522056</v>
      </c>
      <c r="AC76" s="632">
        <f>IF(T76&lt;&gt;"", IFERROR(X76/K76, 0), 0)</f>
        <v>1</v>
      </c>
      <c r="AD76" s="632" t="e">
        <f>W76/$W$78</f>
        <v>#DIV/0!</v>
      </c>
      <c r="AN76" s="1703">
        <f t="shared" si="15"/>
        <v>0</v>
      </c>
      <c r="AO76" s="1713"/>
    </row>
    <row r="77" spans="1:41" ht="150" customHeight="1" x14ac:dyDescent="0.7">
      <c r="A77" s="584">
        <v>63</v>
      </c>
      <c r="B77" s="608" t="s">
        <v>805</v>
      </c>
      <c r="C77" s="609" t="s">
        <v>175</v>
      </c>
      <c r="D77" s="584" t="s">
        <v>182</v>
      </c>
      <c r="E77" s="760" t="s">
        <v>179</v>
      </c>
      <c r="F77" s="838" t="s">
        <v>825</v>
      </c>
      <c r="G77" s="868" t="s">
        <v>1427</v>
      </c>
      <c r="H77" s="830">
        <v>1</v>
      </c>
      <c r="I77" s="830">
        <v>1</v>
      </c>
      <c r="J77" s="1171">
        <v>11888</v>
      </c>
      <c r="K77" s="695">
        <f>IF(F77&lt;&gt;"",H77*I77*J77,"")</f>
        <v>11888</v>
      </c>
      <c r="L77" s="695">
        <f>IF(K77&lt;&gt;"",IF(D77="INTERNO",0,K77*$L$14),"")</f>
        <v>951.04</v>
      </c>
      <c r="M77" s="695">
        <f>IF(K77&lt;&gt;"",IF(E77="FAT.OGGI",SUM(K77:L77)*(1/(1-$M$14)-1),L77*(1/(1-$M$14)-1)),0)</f>
        <v>2691.4305455425178</v>
      </c>
      <c r="N77" s="635">
        <f>SUM(K77:M77)</f>
        <v>15530.470545542519</v>
      </c>
      <c r="O77" s="1133"/>
      <c r="P77" s="1135" t="s">
        <v>623</v>
      </c>
      <c r="Q77" s="1221" t="s">
        <v>1016</v>
      </c>
      <c r="T77" s="1219">
        <f>IF(H77&lt;&gt;"",H77,"")</f>
        <v>1</v>
      </c>
      <c r="U77" s="625">
        <v>0</v>
      </c>
      <c r="V77" s="626">
        <v>11888</v>
      </c>
      <c r="W77" s="697">
        <f>IF(T77&lt;&gt;"",T77*U77*V77,"")</f>
        <v>0</v>
      </c>
      <c r="X77" s="698">
        <f>IF(T77&lt;&gt;"",K77-W77,"")</f>
        <v>11888</v>
      </c>
      <c r="Y77" s="1138">
        <f>IF(T77&lt;&gt;"",0%,"")</f>
        <v>0</v>
      </c>
      <c r="Z77" s="700">
        <f>IF(T77&lt;&gt;"",Y77*X77,"")</f>
        <v>0</v>
      </c>
      <c r="AA77" s="700">
        <f>IF(T77&lt;&gt;"",Z77+W77,"")</f>
        <v>0</v>
      </c>
      <c r="AB77" s="701">
        <f>IF(T77&lt;&gt;"",AA77+M77,"")</f>
        <v>2691.4305455425178</v>
      </c>
      <c r="AC77" s="632">
        <f>IF(T77&lt;&gt;"", IFERROR(X77/K77, 0), 0)</f>
        <v>1</v>
      </c>
      <c r="AD77" s="632" t="e">
        <f>W77/$W$78</f>
        <v>#DIV/0!</v>
      </c>
      <c r="AN77" s="1703">
        <f t="shared" si="15"/>
        <v>0</v>
      </c>
      <c r="AO77" s="1713"/>
    </row>
    <row r="78" spans="1:41" ht="50.1" customHeight="1" thickBot="1" x14ac:dyDescent="0.75">
      <c r="A78" s="584">
        <v>64</v>
      </c>
      <c r="B78" s="608"/>
      <c r="C78" s="609" t="s">
        <v>184</v>
      </c>
      <c r="D78" s="584"/>
      <c r="E78" s="584"/>
      <c r="F78" s="1375" t="s">
        <v>823</v>
      </c>
      <c r="G78" s="1376"/>
      <c r="H78" s="1376"/>
      <c r="I78" s="1376"/>
      <c r="J78" s="1376"/>
      <c r="K78" s="1216">
        <f>SUM(K75:K77)</f>
        <v>52190.47</v>
      </c>
      <c r="L78" s="1216">
        <f>SUM(L75:L77)</f>
        <v>4175.2376000000004</v>
      </c>
      <c r="M78" s="1216">
        <f>SUM(M75:M77)</f>
        <v>9090.6944805612657</v>
      </c>
      <c r="N78" s="1217">
        <f>SUM(N75:N77)</f>
        <v>65456.402080561267</v>
      </c>
      <c r="T78" s="1428">
        <f>SUM(T75:T77)</f>
        <v>3</v>
      </c>
      <c r="U78" s="1429"/>
      <c r="V78" s="1429"/>
      <c r="W78" s="1199">
        <f>SUM(W75:W75)</f>
        <v>0</v>
      </c>
      <c r="X78" s="1167">
        <f>SUM(X75:X77)</f>
        <v>52190.47</v>
      </c>
      <c r="Y78" s="1168"/>
      <c r="Z78" s="1169"/>
      <c r="AA78" s="1170">
        <f>SUM(AA75:AA75)</f>
        <v>0</v>
      </c>
      <c r="AB78" s="783">
        <f>IF(T78&lt;&gt;"",AA78+M78,"")</f>
        <v>9090.6944805612657</v>
      </c>
      <c r="AN78" s="1703"/>
      <c r="AO78" s="1713"/>
    </row>
    <row r="79" spans="1:41" ht="50.1" customHeight="1" thickBot="1" x14ac:dyDescent="0.75">
      <c r="A79" s="584">
        <v>65</v>
      </c>
      <c r="B79" s="608"/>
      <c r="C79" s="609" t="s">
        <v>183</v>
      </c>
      <c r="D79" s="584"/>
      <c r="E79" s="584"/>
      <c r="F79" s="1426" t="s">
        <v>190</v>
      </c>
      <c r="G79" s="1427"/>
      <c r="H79" s="1427"/>
      <c r="I79" s="1427"/>
      <c r="J79" s="1427"/>
      <c r="K79" s="1166">
        <f>SUM(K75:K77)</f>
        <v>52190.47</v>
      </c>
      <c r="L79" s="1166">
        <f>SUM(L75:L77)</f>
        <v>4175.2376000000004</v>
      </c>
      <c r="M79" s="1166">
        <f>SUM(M75:M77)</f>
        <v>9090.6944805612657</v>
      </c>
      <c r="N79" s="1166">
        <f>SUM(N75:N77)</f>
        <v>65456.402080561267</v>
      </c>
      <c r="T79" s="1385">
        <f>SUM(T75:T77)</f>
        <v>3</v>
      </c>
      <c r="U79" s="1386"/>
      <c r="V79" s="1386"/>
      <c r="W79" s="1166">
        <f>SUM(W75:W75)</f>
        <v>0</v>
      </c>
      <c r="X79" s="1167">
        <f>SUM(X75:X77)</f>
        <v>52190.47</v>
      </c>
      <c r="Y79" s="1168"/>
      <c r="Z79" s="1169"/>
      <c r="AA79" s="1170">
        <f>SUM(AA75:AA75)</f>
        <v>0</v>
      </c>
      <c r="AB79" s="919">
        <f>IF(T79&lt;&gt;"",AA79+M79,"")</f>
        <v>9090.6944805612657</v>
      </c>
      <c r="AN79" s="1703"/>
      <c r="AO79" s="1713"/>
    </row>
    <row r="80" spans="1:41" ht="50.1" customHeight="1" thickBot="1" x14ac:dyDescent="0.75">
      <c r="A80" s="584">
        <v>66</v>
      </c>
      <c r="B80" s="608">
        <v>6</v>
      </c>
      <c r="C80" s="609" t="s">
        <v>167</v>
      </c>
      <c r="D80" s="584"/>
      <c r="E80" s="584"/>
      <c r="F80" s="1380" t="s">
        <v>422</v>
      </c>
      <c r="G80" s="1381"/>
      <c r="H80" s="1381"/>
      <c r="I80" s="1381"/>
      <c r="J80" s="1381"/>
      <c r="K80" s="1381"/>
      <c r="L80" s="1381"/>
      <c r="M80" s="1381"/>
      <c r="N80" s="1382"/>
      <c r="T80" s="1387" t="str">
        <f>IF(F80&lt;&gt;"",F80,"")</f>
        <v>TÉCNICA</v>
      </c>
      <c r="U80" s="1388"/>
      <c r="V80" s="1388"/>
      <c r="W80" s="1388"/>
      <c r="X80" s="1388"/>
      <c r="Y80" s="1388"/>
      <c r="Z80" s="1388"/>
      <c r="AA80" s="1388"/>
      <c r="AB80" s="1389"/>
      <c r="AN80" s="1703"/>
      <c r="AO80" s="1713"/>
    </row>
    <row r="81" spans="1:41" ht="50.1" customHeight="1" x14ac:dyDescent="0.7">
      <c r="A81" s="584">
        <v>67</v>
      </c>
      <c r="B81" s="608" t="s">
        <v>227</v>
      </c>
      <c r="C81" s="609" t="s">
        <v>169</v>
      </c>
      <c r="D81" s="584"/>
      <c r="E81" s="584"/>
      <c r="F81" s="1406" t="s">
        <v>239</v>
      </c>
      <c r="G81" s="1407"/>
      <c r="H81" s="1407"/>
      <c r="I81" s="1407"/>
      <c r="J81" s="1407"/>
      <c r="K81" s="1407"/>
      <c r="L81" s="716" t="s">
        <v>171</v>
      </c>
      <c r="M81" s="716" t="s">
        <v>172</v>
      </c>
      <c r="N81" s="717" t="s">
        <v>129</v>
      </c>
      <c r="O81" s="1126" t="s">
        <v>651</v>
      </c>
      <c r="P81" s="1127" t="s">
        <v>652</v>
      </c>
      <c r="Q81" s="1127" t="s">
        <v>666</v>
      </c>
      <c r="T81" s="1406" t="str">
        <f>IF(F81&lt;&gt;"",F81,"")</f>
        <v>Serviços e materiais de custo único para todas as praças</v>
      </c>
      <c r="U81" s="1407"/>
      <c r="V81" s="1407"/>
      <c r="W81" s="1407"/>
      <c r="X81" s="1407"/>
      <c r="Y81" s="1407"/>
      <c r="Z81" s="1407"/>
      <c r="AA81" s="1407"/>
      <c r="AB81" s="1408"/>
      <c r="AC81" s="616" t="s">
        <v>173</v>
      </c>
      <c r="AD81" s="617" t="s">
        <v>130</v>
      </c>
      <c r="AN81" s="1703"/>
      <c r="AO81" s="1713"/>
    </row>
    <row r="82" spans="1:41" ht="150" customHeight="1" x14ac:dyDescent="0.7">
      <c r="A82" s="584">
        <v>68</v>
      </c>
      <c r="B82" s="608" t="s">
        <v>228</v>
      </c>
      <c r="C82" s="609" t="s">
        <v>175</v>
      </c>
      <c r="D82" s="584" t="s">
        <v>182</v>
      </c>
      <c r="E82" s="1218" t="s">
        <v>331</v>
      </c>
      <c r="F82" s="838" t="s">
        <v>423</v>
      </c>
      <c r="G82" s="868" t="s">
        <v>1428</v>
      </c>
      <c r="H82" s="951">
        <v>1</v>
      </c>
      <c r="I82" s="951">
        <v>1</v>
      </c>
      <c r="J82" s="1075">
        <v>11680</v>
      </c>
      <c r="K82" s="621">
        <f>IF(F82&lt;&gt;"",H82*I82*J82,"")</f>
        <v>11680</v>
      </c>
      <c r="L82" s="621">
        <f>IF(K82&lt;&gt;"",IF(D82="INTERNO",0,K82*$L$14),"")</f>
        <v>934.4</v>
      </c>
      <c r="M82" s="621">
        <f>IF(K82&lt;&gt;"",IF(E82="FAT.OGGI",SUM(K82:L82)*(1/(1-$M$14)-1),L82*(1/(1-$M$14)-1)),"")</f>
        <v>195.87700495947738</v>
      </c>
      <c r="N82" s="622">
        <f>SUM(K82:M82)</f>
        <v>12810.277004959476</v>
      </c>
      <c r="O82" s="1131" t="s">
        <v>653</v>
      </c>
      <c r="P82" s="1158" t="s">
        <v>151</v>
      </c>
      <c r="Q82" s="1133"/>
      <c r="T82" s="624">
        <f t="shared" ref="T82:U85" si="36">IF(H82&lt;&gt;"",H82,"")</f>
        <v>1</v>
      </c>
      <c r="U82" s="625">
        <f t="shared" si="36"/>
        <v>1</v>
      </c>
      <c r="V82" s="626">
        <v>11680</v>
      </c>
      <c r="W82" s="626">
        <v>0</v>
      </c>
      <c r="X82" s="627">
        <f>IF(T82&lt;&gt;"",K82-W82,"")</f>
        <v>11680</v>
      </c>
      <c r="Y82" s="1134">
        <f>IF(T82&lt;&gt;"",0%,"")</f>
        <v>0</v>
      </c>
      <c r="Z82" s="629">
        <f>IF(T82&lt;&gt;"",Y82*X82,"")</f>
        <v>0</v>
      </c>
      <c r="AA82" s="629">
        <f>IF(T82&lt;&gt;"",Z82+W82,"")</f>
        <v>0</v>
      </c>
      <c r="AB82" s="630">
        <f t="shared" ref="AB82:AB87" si="37">IF(T82&lt;&gt;"",AA82+M82,"")</f>
        <v>195.87700495947738</v>
      </c>
      <c r="AC82" s="631">
        <f>IFERROR(IF(T82&lt;&gt;"",X82/K82,""),0)</f>
        <v>1</v>
      </c>
      <c r="AD82" s="632" t="e">
        <f>W82/$W$86</f>
        <v>#DIV/0!</v>
      </c>
      <c r="AN82" s="1703">
        <f t="shared" ref="AN82:AN130" si="38">AA82-AO82</f>
        <v>0</v>
      </c>
      <c r="AO82" s="1713"/>
    </row>
    <row r="83" spans="1:41" ht="150" customHeight="1" x14ac:dyDescent="0.7">
      <c r="A83" s="584">
        <v>69</v>
      </c>
      <c r="B83" s="608" t="s">
        <v>229</v>
      </c>
      <c r="C83" s="609" t="s">
        <v>175</v>
      </c>
      <c r="D83" s="584" t="s">
        <v>182</v>
      </c>
      <c r="E83" s="1218" t="s">
        <v>331</v>
      </c>
      <c r="F83" s="838" t="s">
        <v>425</v>
      </c>
      <c r="G83" s="886" t="s">
        <v>1429</v>
      </c>
      <c r="H83" s="830">
        <v>1</v>
      </c>
      <c r="I83" s="830">
        <v>1</v>
      </c>
      <c r="J83" s="1171">
        <v>10300</v>
      </c>
      <c r="K83" s="621">
        <f>IF(F83&lt;&gt;"",H83*I83*J83,"")</f>
        <v>10300</v>
      </c>
      <c r="L83" s="621">
        <f>IF(K83&lt;&gt;"",IF(D83="INTERNO",0,K83*$L$14),"")</f>
        <v>824</v>
      </c>
      <c r="M83" s="621">
        <f>IF(K83&lt;&gt;"",IF(E83="FAT.OGGI",SUM(K83:L83)*(1/(1-$M$14)-1),L83*(1/(1-$M$14)-1)),0)</f>
        <v>172.73400266118296</v>
      </c>
      <c r="N83" s="622">
        <f>SUM(K83:M83)</f>
        <v>11296.734002661184</v>
      </c>
      <c r="O83" s="1131" t="s">
        <v>653</v>
      </c>
      <c r="P83" s="1135" t="s">
        <v>974</v>
      </c>
      <c r="Q83" s="1135" t="s">
        <v>812</v>
      </c>
      <c r="T83" s="624">
        <f t="shared" si="36"/>
        <v>1</v>
      </c>
      <c r="U83" s="625">
        <v>0</v>
      </c>
      <c r="V83" s="626">
        <v>5000</v>
      </c>
      <c r="W83" s="626">
        <f>IF(T83&lt;&gt;"",T83*U83*V83,"")</f>
        <v>0</v>
      </c>
      <c r="X83" s="627">
        <f>IF(T83&lt;&gt;"",K83-W83,"")</f>
        <v>10300</v>
      </c>
      <c r="Y83" s="1134">
        <f>IF(T83&lt;&gt;"",0%,"")</f>
        <v>0</v>
      </c>
      <c r="Z83" s="629">
        <f>IF(T83&lt;&gt;"",Y83*X83,"")</f>
        <v>0</v>
      </c>
      <c r="AA83" s="629">
        <f>IF(T83&lt;&gt;"",Z83+W83,"")</f>
        <v>0</v>
      </c>
      <c r="AB83" s="630">
        <f t="shared" si="37"/>
        <v>172.73400266118296</v>
      </c>
      <c r="AC83" s="631">
        <f>IF(T83&lt;&gt;"", IFERROR(X83/K83, 0), 0)</f>
        <v>1</v>
      </c>
      <c r="AD83" s="632" t="e">
        <f>W83/$W$86</f>
        <v>#DIV/0!</v>
      </c>
      <c r="AN83" s="1703">
        <f t="shared" si="38"/>
        <v>0</v>
      </c>
      <c r="AO83" s="1713"/>
    </row>
    <row r="84" spans="1:41" ht="150" customHeight="1" x14ac:dyDescent="0.7">
      <c r="A84" s="584">
        <v>70</v>
      </c>
      <c r="B84" s="608" t="s">
        <v>232</v>
      </c>
      <c r="C84" s="609" t="s">
        <v>175</v>
      </c>
      <c r="D84" s="584" t="s">
        <v>182</v>
      </c>
      <c r="E84" s="1218" t="s">
        <v>331</v>
      </c>
      <c r="F84" s="838" t="s">
        <v>426</v>
      </c>
      <c r="G84" s="886" t="s">
        <v>1430</v>
      </c>
      <c r="H84" s="830">
        <v>1</v>
      </c>
      <c r="I84" s="830">
        <v>1</v>
      </c>
      <c r="J84" s="1171">
        <v>20000</v>
      </c>
      <c r="K84" s="621">
        <f>IF(F84&lt;&gt;"",H84*I84*J84,"")</f>
        <v>20000</v>
      </c>
      <c r="L84" s="621">
        <f>IF(K84&lt;&gt;"",IF(D84="INTERNO",0,K84*$L$14),"")</f>
        <v>1600</v>
      </c>
      <c r="M84" s="621">
        <f>IF(K84&lt;&gt;"",IF(E84="FAT.OGGI",SUM(K84:L84)*(1/(1-$M$14)-1),L84*(1/(1-$M$14)-1)),0)</f>
        <v>335.40583041006403</v>
      </c>
      <c r="N84" s="622">
        <f>SUM(K84:M84)</f>
        <v>21935.405830410065</v>
      </c>
      <c r="O84" s="1131" t="s">
        <v>653</v>
      </c>
      <c r="P84" s="1135" t="s">
        <v>974</v>
      </c>
      <c r="Q84" s="1135" t="s">
        <v>1017</v>
      </c>
      <c r="T84" s="636">
        <f t="shared" si="36"/>
        <v>1</v>
      </c>
      <c r="U84" s="637">
        <v>0</v>
      </c>
      <c r="V84" s="638">
        <v>15000</v>
      </c>
      <c r="W84" s="638">
        <f>IF(T84&lt;&gt;"",T84*U84*V84,"")</f>
        <v>0</v>
      </c>
      <c r="X84" s="720">
        <f>IF(T84&lt;&gt;"",K84-W84,"")</f>
        <v>20000</v>
      </c>
      <c r="Y84" s="1137">
        <f>IF(T84&lt;&gt;"",0%,"")</f>
        <v>0</v>
      </c>
      <c r="Z84" s="701">
        <f>IF(T84&lt;&gt;"",Y84*X84,"")</f>
        <v>0</v>
      </c>
      <c r="AA84" s="701">
        <f>IF(T84&lt;&gt;"",Z84+W84,"")</f>
        <v>0</v>
      </c>
      <c r="AB84" s="639">
        <f t="shared" si="37"/>
        <v>335.40583041006403</v>
      </c>
      <c r="AC84" s="631">
        <f>IF(T84&lt;&gt;"", IFERROR(X84/K84, 0), 0)</f>
        <v>1</v>
      </c>
      <c r="AD84" s="632" t="e">
        <f>W84/$W$86</f>
        <v>#DIV/0!</v>
      </c>
      <c r="AN84" s="1703">
        <f t="shared" si="38"/>
        <v>0</v>
      </c>
      <c r="AO84" s="1713"/>
    </row>
    <row r="85" spans="1:41" ht="150" customHeight="1" x14ac:dyDescent="0.7">
      <c r="A85" s="584">
        <v>71</v>
      </c>
      <c r="B85" s="608" t="s">
        <v>233</v>
      </c>
      <c r="C85" s="647" t="s">
        <v>175</v>
      </c>
      <c r="D85" s="584" t="s">
        <v>182</v>
      </c>
      <c r="E85" s="1218" t="s">
        <v>331</v>
      </c>
      <c r="F85" s="691" t="s">
        <v>591</v>
      </c>
      <c r="G85" s="703" t="s">
        <v>1431</v>
      </c>
      <c r="H85" s="737">
        <v>1</v>
      </c>
      <c r="I85" s="737">
        <v>0</v>
      </c>
      <c r="J85" s="738">
        <v>5800</v>
      </c>
      <c r="K85" s="620">
        <f>IF(F85&lt;&gt;"",H85*I85*J85,"")</f>
        <v>0</v>
      </c>
      <c r="L85" s="620">
        <f>IF(K85&lt;&gt;"",IF(D85="INTERNO",0,K85*$L$14),"")</f>
        <v>0</v>
      </c>
      <c r="M85" s="620">
        <f>IF(K85&lt;&gt;"",IF(E85="FAT.OGGI",SUM(K85:L85)*(1/(1-$M$14)-1),L85*(1/(1-$M$14)-1)),0)</f>
        <v>0</v>
      </c>
      <c r="N85" s="894">
        <f>SUM(K85:M85)</f>
        <v>0</v>
      </c>
      <c r="O85" s="1131" t="s">
        <v>664</v>
      </c>
      <c r="P85" s="1133" t="s">
        <v>664</v>
      </c>
      <c r="Q85" s="1133" t="s">
        <v>664</v>
      </c>
      <c r="T85" s="648">
        <f t="shared" si="36"/>
        <v>1</v>
      </c>
      <c r="U85" s="649">
        <f t="shared" si="36"/>
        <v>0</v>
      </c>
      <c r="V85" s="650">
        <v>0</v>
      </c>
      <c r="W85" s="650">
        <f>IF(T85&lt;&gt;"",T85*U85*V85,"")</f>
        <v>0</v>
      </c>
      <c r="X85" s="651">
        <f>IF(T85&lt;&gt;"",K85-W85,"")</f>
        <v>0</v>
      </c>
      <c r="Y85" s="1139">
        <f>IF(T85&lt;&gt;"",0%,"")</f>
        <v>0</v>
      </c>
      <c r="Z85" s="653">
        <f>IF(T85&lt;&gt;"",Y85*X85,"")</f>
        <v>0</v>
      </c>
      <c r="AA85" s="653">
        <f>IF(T85&lt;&gt;"",Z85+W85,"")</f>
        <v>0</v>
      </c>
      <c r="AB85" s="630">
        <f t="shared" si="37"/>
        <v>0</v>
      </c>
      <c r="AC85" s="631">
        <f>IF(T85&lt;&gt;"", IFERROR(X85/K85, 0), 0)</f>
        <v>0</v>
      </c>
      <c r="AD85" s="632" t="e">
        <f>W85/$W$86</f>
        <v>#DIV/0!</v>
      </c>
      <c r="AN85" s="1703">
        <f t="shared" si="38"/>
        <v>0</v>
      </c>
      <c r="AO85" s="1713"/>
    </row>
    <row r="86" spans="1:41" ht="50.1" customHeight="1" thickBot="1" x14ac:dyDescent="0.75">
      <c r="A86" s="584">
        <v>72</v>
      </c>
      <c r="B86" s="608"/>
      <c r="C86" s="609" t="s">
        <v>184</v>
      </c>
      <c r="D86" s="584"/>
      <c r="E86" s="584"/>
      <c r="F86" s="1445" t="s">
        <v>440</v>
      </c>
      <c r="G86" s="1446"/>
      <c r="H86" s="1446"/>
      <c r="I86" s="1446"/>
      <c r="J86" s="1446"/>
      <c r="K86" s="1222">
        <f>SUM(K82:K85)</f>
        <v>41980</v>
      </c>
      <c r="L86" s="1222">
        <f>SUM(L82:L85)</f>
        <v>3358.4</v>
      </c>
      <c r="M86" s="1222">
        <f>SUM(M82:M85)</f>
        <v>704.01683803072433</v>
      </c>
      <c r="N86" s="1223">
        <f>SUM(N82:N85)</f>
        <v>46042.416838030724</v>
      </c>
      <c r="T86" s="1447">
        <f>SUM(T82:T85)</f>
        <v>4</v>
      </c>
      <c r="U86" s="1446"/>
      <c r="V86" s="1446"/>
      <c r="W86" s="1224">
        <f>SUM(W82:W85)</f>
        <v>0</v>
      </c>
      <c r="X86" s="1225">
        <f>SUM(X82:X85)</f>
        <v>41980</v>
      </c>
      <c r="Y86" s="1226"/>
      <c r="Z86" s="1227"/>
      <c r="AA86" s="1228">
        <f>SUM(AA82:AA85)</f>
        <v>0</v>
      </c>
      <c r="AB86" s="688">
        <f t="shared" si="37"/>
        <v>704.01683803072433</v>
      </c>
      <c r="AN86" s="1703"/>
      <c r="AO86" s="1713"/>
    </row>
    <row r="87" spans="1:41" ht="50.1" customHeight="1" thickBot="1" x14ac:dyDescent="0.75">
      <c r="A87" s="584">
        <v>73</v>
      </c>
      <c r="B87" s="608"/>
      <c r="C87" s="609" t="s">
        <v>183</v>
      </c>
      <c r="D87" s="584"/>
      <c r="E87" s="584"/>
      <c r="F87" s="1378" t="s">
        <v>440</v>
      </c>
      <c r="G87" s="1379"/>
      <c r="H87" s="1379"/>
      <c r="I87" s="1379"/>
      <c r="J87" s="1379"/>
      <c r="K87" s="1166">
        <f>SUM(K82:K85)</f>
        <v>41980</v>
      </c>
      <c r="L87" s="1166">
        <f>SUM(L82:L85)</f>
        <v>3358.4</v>
      </c>
      <c r="M87" s="1166">
        <f>SUM(M82:M85)</f>
        <v>704.01683803072433</v>
      </c>
      <c r="N87" s="1229">
        <f>SUM(N82:N85)</f>
        <v>46042.416838030724</v>
      </c>
      <c r="T87" s="1424">
        <f>SUM(T82:T85)</f>
        <v>4</v>
      </c>
      <c r="U87" s="1425"/>
      <c r="V87" s="1425"/>
      <c r="W87" s="1230">
        <f>SUM(W82:W85)</f>
        <v>0</v>
      </c>
      <c r="X87" s="1181">
        <f>SUM(X82:X85)</f>
        <v>41980</v>
      </c>
      <c r="Y87" s="1182"/>
      <c r="Z87" s="1183"/>
      <c r="AA87" s="1184">
        <f>SUM(AA82:AA85)</f>
        <v>0</v>
      </c>
      <c r="AB87" s="1185">
        <f t="shared" si="37"/>
        <v>704.01683803072433</v>
      </c>
      <c r="AC87" s="1231" t="s">
        <v>235</v>
      </c>
      <c r="AN87" s="1703"/>
      <c r="AO87" s="1713"/>
    </row>
    <row r="88" spans="1:41" ht="50.1" customHeight="1" thickBot="1" x14ac:dyDescent="0.75">
      <c r="A88" s="584">
        <v>74</v>
      </c>
      <c r="B88" s="608">
        <v>7</v>
      </c>
      <c r="C88" s="609" t="s">
        <v>167</v>
      </c>
      <c r="D88" s="584"/>
      <c r="E88" s="584"/>
      <c r="F88" s="1380" t="s">
        <v>441</v>
      </c>
      <c r="G88" s="1381"/>
      <c r="H88" s="1381"/>
      <c r="I88" s="1381"/>
      <c r="J88" s="1381"/>
      <c r="K88" s="1381"/>
      <c r="L88" s="1381"/>
      <c r="M88" s="1381"/>
      <c r="N88" s="1382"/>
      <c r="T88" s="1442" t="str">
        <f>IF(F88&lt;&gt;"",F88,"")</f>
        <v>CONTEÚDO</v>
      </c>
      <c r="U88" s="1443"/>
      <c r="V88" s="1443"/>
      <c r="W88" s="1443"/>
      <c r="X88" s="1443"/>
      <c r="Y88" s="1443"/>
      <c r="Z88" s="1443"/>
      <c r="AA88" s="1443"/>
      <c r="AB88" s="1444"/>
      <c r="AN88" s="1703"/>
      <c r="AO88" s="1713"/>
    </row>
    <row r="89" spans="1:41" ht="50.1" customHeight="1" x14ac:dyDescent="0.7">
      <c r="A89" s="584">
        <v>75</v>
      </c>
      <c r="B89" s="608" t="s">
        <v>442</v>
      </c>
      <c r="C89" s="609" t="s">
        <v>169</v>
      </c>
      <c r="D89" s="584"/>
      <c r="E89" s="584"/>
      <c r="F89" s="1403" t="s">
        <v>441</v>
      </c>
      <c r="G89" s="1404"/>
      <c r="H89" s="1404"/>
      <c r="I89" s="1404"/>
      <c r="J89" s="1404"/>
      <c r="K89" s="1405"/>
      <c r="L89" s="612" t="s">
        <v>171</v>
      </c>
      <c r="M89" s="613" t="s">
        <v>172</v>
      </c>
      <c r="N89" s="971" t="s">
        <v>129</v>
      </c>
      <c r="O89" s="1126" t="s">
        <v>651</v>
      </c>
      <c r="P89" s="1127" t="s">
        <v>652</v>
      </c>
      <c r="Q89" s="1127" t="s">
        <v>666</v>
      </c>
      <c r="T89" s="1440" t="str">
        <f>IF(F89&lt;&gt;"",F89,"")</f>
        <v>CONTEÚDO</v>
      </c>
      <c r="U89" s="1423"/>
      <c r="V89" s="1423"/>
      <c r="W89" s="1423"/>
      <c r="X89" s="1423"/>
      <c r="Y89" s="1423"/>
      <c r="Z89" s="1423"/>
      <c r="AA89" s="1423"/>
      <c r="AB89" s="1441"/>
      <c r="AC89" s="616" t="s">
        <v>173</v>
      </c>
      <c r="AD89" s="617" t="s">
        <v>130</v>
      </c>
      <c r="AN89" s="1703"/>
      <c r="AO89" s="1713"/>
    </row>
    <row r="90" spans="1:41" ht="150" customHeight="1" x14ac:dyDescent="0.7">
      <c r="A90" s="584">
        <v>76</v>
      </c>
      <c r="B90" s="608" t="s">
        <v>443</v>
      </c>
      <c r="C90" s="609" t="s">
        <v>175</v>
      </c>
      <c r="D90" s="584" t="s">
        <v>182</v>
      </c>
      <c r="E90" s="1218" t="s">
        <v>331</v>
      </c>
      <c r="F90" s="1128" t="s">
        <v>446</v>
      </c>
      <c r="G90" s="963" t="s">
        <v>1432</v>
      </c>
      <c r="H90" s="893">
        <v>1</v>
      </c>
      <c r="I90" s="893">
        <v>1</v>
      </c>
      <c r="J90" s="1232">
        <v>40550</v>
      </c>
      <c r="K90" s="695">
        <f>IF(F90&lt;&gt;"",H90*I90*J90,"")</f>
        <v>40550</v>
      </c>
      <c r="L90" s="695">
        <f>IF(K90&lt;&gt;"",IF(D90="INTERNO",0,K90*$L$14),"")</f>
        <v>3244</v>
      </c>
      <c r="M90" s="695">
        <f>IF(K90&lt;&gt;"",IF(E90="FAT.OGGI",SUM(K90:L90)*(1/(1-$M$14)-1),L90*(1/(1-$M$14)-1)),0)</f>
        <v>680.03532115640473</v>
      </c>
      <c r="N90" s="635">
        <f>SUM(K90:M90)</f>
        <v>44474.035321156407</v>
      </c>
      <c r="O90" s="1172" t="s">
        <v>151</v>
      </c>
      <c r="P90" s="1136" t="s">
        <v>974</v>
      </c>
      <c r="Q90" s="1145" t="s">
        <v>1006</v>
      </c>
      <c r="T90" s="624">
        <f t="shared" ref="T90:U92" si="39">IF(H90&lt;&gt;"",H90,"")</f>
        <v>1</v>
      </c>
      <c r="U90" s="625">
        <f t="shared" si="39"/>
        <v>1</v>
      </c>
      <c r="V90" s="626">
        <v>0</v>
      </c>
      <c r="W90" s="626">
        <f>IF(T90&lt;&gt;"",T90*U90*V90,"")</f>
        <v>0</v>
      </c>
      <c r="X90" s="627">
        <f>IF(T90&lt;&gt;"",K90-W90,"")</f>
        <v>40550</v>
      </c>
      <c r="Y90" s="1134">
        <f>IF(T90&lt;&gt;"",0%,"")</f>
        <v>0</v>
      </c>
      <c r="Z90" s="629">
        <f>IF(T90&lt;&gt;"",Y90*X90,"")</f>
        <v>0</v>
      </c>
      <c r="AA90" s="629">
        <f>IF(T90&lt;&gt;"",Z90+W90,"")</f>
        <v>0</v>
      </c>
      <c r="AB90" s="630">
        <f>IF(T90&lt;&gt;"",AA90+M90,"")</f>
        <v>680.03532115640473</v>
      </c>
      <c r="AC90" s="631">
        <f>IF(T90&lt;&gt;"", IFERROR(X90/K90, 0), 0)</f>
        <v>1</v>
      </c>
      <c r="AD90" s="632" t="e">
        <f>W90/$W$93</f>
        <v>#DIV/0!</v>
      </c>
      <c r="AN90" s="1703">
        <f t="shared" si="38"/>
        <v>0</v>
      </c>
      <c r="AO90" s="1713"/>
    </row>
    <row r="91" spans="1:41" ht="150" customHeight="1" x14ac:dyDescent="0.7">
      <c r="A91" s="584">
        <v>77</v>
      </c>
      <c r="B91" s="608" t="s">
        <v>444</v>
      </c>
      <c r="C91" s="609" t="s">
        <v>175</v>
      </c>
      <c r="D91" s="584" t="s">
        <v>182</v>
      </c>
      <c r="E91" s="1218" t="s">
        <v>331</v>
      </c>
      <c r="F91" s="1128" t="s">
        <v>447</v>
      </c>
      <c r="G91" s="940" t="s">
        <v>1433</v>
      </c>
      <c r="H91" s="951">
        <v>1</v>
      </c>
      <c r="I91" s="951">
        <v>1</v>
      </c>
      <c r="J91" s="695">
        <v>16500</v>
      </c>
      <c r="K91" s="695">
        <f>IF(F91&lt;&gt;"",H91*I91*J91,"")</f>
        <v>16500</v>
      </c>
      <c r="L91" s="695">
        <f>IF(K91&lt;&gt;"",IF(D91="INTERNO",0,K91*$L$14),"")</f>
        <v>1320</v>
      </c>
      <c r="M91" s="695">
        <f>IF(K91&lt;&gt;"",IF(E91="FAT.OGGI",SUM(K91:L91)*(1/(1-$M$14)-1),L91*(1/(1-$M$14)-1)),0)</f>
        <v>276.70981008830279</v>
      </c>
      <c r="N91" s="635">
        <f>SUM(K91:M91)</f>
        <v>18096.709810088301</v>
      </c>
      <c r="O91" s="1172" t="s">
        <v>151</v>
      </c>
      <c r="P91" s="1158" t="s">
        <v>151</v>
      </c>
      <c r="Q91" s="1233" t="s">
        <v>1007</v>
      </c>
      <c r="T91" s="624">
        <f t="shared" si="39"/>
        <v>1</v>
      </c>
      <c r="U91" s="625">
        <f t="shared" si="39"/>
        <v>1</v>
      </c>
      <c r="V91" s="626">
        <v>13000</v>
      </c>
      <c r="W91" s="626">
        <v>0</v>
      </c>
      <c r="X91" s="627">
        <f>IF(T91&lt;&gt;"",K91-W91,"")</f>
        <v>16500</v>
      </c>
      <c r="Y91" s="1134">
        <f>IF(T91&lt;&gt;"",0%,"")</f>
        <v>0</v>
      </c>
      <c r="Z91" s="629">
        <f>IF(T91&lt;&gt;"",Y91*X91,"")</f>
        <v>0</v>
      </c>
      <c r="AA91" s="629">
        <f>IF(T91&lt;&gt;"",Z91+W91,"")</f>
        <v>0</v>
      </c>
      <c r="AB91" s="630">
        <f>IF(T91&lt;&gt;"",AA91+M91,"")</f>
        <v>276.70981008830279</v>
      </c>
      <c r="AC91" s="631">
        <f>IF(T91&lt;&gt;"", IFERROR(X91/K91, 0), 0)</f>
        <v>1</v>
      </c>
      <c r="AD91" s="632" t="e">
        <f>W91/$W$93</f>
        <v>#DIV/0!</v>
      </c>
      <c r="AN91" s="1703">
        <f t="shared" si="38"/>
        <v>0</v>
      </c>
      <c r="AO91" s="1713"/>
    </row>
    <row r="92" spans="1:41" ht="150" customHeight="1" x14ac:dyDescent="0.7">
      <c r="A92" s="584">
        <v>78</v>
      </c>
      <c r="B92" s="608" t="s">
        <v>445</v>
      </c>
      <c r="C92" s="609" t="s">
        <v>175</v>
      </c>
      <c r="D92" s="584" t="s">
        <v>182</v>
      </c>
      <c r="E92" s="1218" t="s">
        <v>331</v>
      </c>
      <c r="F92" s="1128" t="s">
        <v>448</v>
      </c>
      <c r="G92" s="940" t="s">
        <v>1434</v>
      </c>
      <c r="H92" s="951">
        <v>1</v>
      </c>
      <c r="I92" s="951">
        <v>1</v>
      </c>
      <c r="J92" s="695">
        <v>2800</v>
      </c>
      <c r="K92" s="695">
        <f>IF(F92&lt;&gt;"",H92*I92*J92,"")</f>
        <v>2800</v>
      </c>
      <c r="L92" s="695">
        <f>IF(K92&lt;&gt;"",IF(D92="INTERNO",0,K92*$L$14),"")</f>
        <v>224</v>
      </c>
      <c r="M92" s="695">
        <f>IF(K92&lt;&gt;"",IF(E92="FAT.OGGI",SUM(K92:L92)*(1/(1-$M$14)-1),L92*(1/(1-$M$14)-1)),0)</f>
        <v>46.95681625740896</v>
      </c>
      <c r="N92" s="635">
        <f>SUM(K92:M92)</f>
        <v>3070.9568162574092</v>
      </c>
      <c r="O92" s="1172" t="s">
        <v>151</v>
      </c>
      <c r="P92" s="1136" t="s">
        <v>974</v>
      </c>
      <c r="Q92" s="1133"/>
      <c r="T92" s="624">
        <f t="shared" si="39"/>
        <v>1</v>
      </c>
      <c r="U92" s="625">
        <v>0</v>
      </c>
      <c r="V92" s="626">
        <v>2000</v>
      </c>
      <c r="W92" s="626">
        <f>IF(T92&lt;&gt;"",T92*U92*V92,"")</f>
        <v>0</v>
      </c>
      <c r="X92" s="627">
        <f>IF(T92&lt;&gt;"",K92-W92,"")</f>
        <v>2800</v>
      </c>
      <c r="Y92" s="1134">
        <f>IF(T92&lt;&gt;"",0%,"")</f>
        <v>0</v>
      </c>
      <c r="Z92" s="629">
        <f>IF(T92&lt;&gt;"",Y92*X92,"")</f>
        <v>0</v>
      </c>
      <c r="AA92" s="629">
        <f>IF(T92&lt;&gt;"",Z92+W92,"")</f>
        <v>0</v>
      </c>
      <c r="AB92" s="630">
        <f>IF(T92&lt;&gt;"",AA92+M92,"")</f>
        <v>46.95681625740896</v>
      </c>
      <c r="AC92" s="631">
        <f>IF(T92&lt;&gt;"", IFERROR(X92/K92, 0), 0)</f>
        <v>1</v>
      </c>
      <c r="AD92" s="632" t="e">
        <f>W92/$W$93</f>
        <v>#DIV/0!</v>
      </c>
      <c r="AN92" s="1703">
        <f t="shared" si="38"/>
        <v>0</v>
      </c>
      <c r="AO92" s="1713"/>
    </row>
    <row r="93" spans="1:41" ht="50.1" customHeight="1" thickBot="1" x14ac:dyDescent="0.75">
      <c r="A93" s="584">
        <v>79</v>
      </c>
      <c r="B93" s="608"/>
      <c r="C93" s="609" t="s">
        <v>184</v>
      </c>
      <c r="D93" s="584"/>
      <c r="E93" s="584"/>
      <c r="F93" s="1375" t="s">
        <v>450</v>
      </c>
      <c r="G93" s="1376"/>
      <c r="H93" s="1376"/>
      <c r="I93" s="1376"/>
      <c r="J93" s="1376"/>
      <c r="K93" s="1216">
        <f>SUM(K90:K92)</f>
        <v>59850</v>
      </c>
      <c r="L93" s="1216">
        <f>SUM(L90:L92)</f>
        <v>4788</v>
      </c>
      <c r="M93" s="1216">
        <f>SUM(M90:M92)</f>
        <v>1003.7019475021165</v>
      </c>
      <c r="N93" s="1217">
        <f>SUM(N90:N92)</f>
        <v>65641.701947502122</v>
      </c>
      <c r="T93" s="1422">
        <f>SUM(T90:T92)</f>
        <v>3</v>
      </c>
      <c r="U93" s="1423"/>
      <c r="V93" s="1423"/>
      <c r="W93" s="1175">
        <f>SUM(W90:W92)</f>
        <v>0</v>
      </c>
      <c r="X93" s="1176">
        <f>SUM(X90:X92)</f>
        <v>59850</v>
      </c>
      <c r="Y93" s="1177"/>
      <c r="Z93" s="1178"/>
      <c r="AA93" s="1179">
        <f>SUM(AA90:AA92)</f>
        <v>0</v>
      </c>
      <c r="AB93" s="1180">
        <f>IF(T93&lt;&gt;"",AA93+M93,"")</f>
        <v>1003.7019475021165</v>
      </c>
      <c r="AN93" s="1703"/>
      <c r="AO93" s="1713"/>
    </row>
    <row r="94" spans="1:41" ht="50.1" customHeight="1" thickBot="1" x14ac:dyDescent="0.75">
      <c r="A94" s="584">
        <v>80</v>
      </c>
      <c r="B94" s="608"/>
      <c r="C94" s="609" t="s">
        <v>183</v>
      </c>
      <c r="D94" s="584"/>
      <c r="E94" s="584"/>
      <c r="F94" s="1426" t="s">
        <v>450</v>
      </c>
      <c r="G94" s="1427"/>
      <c r="H94" s="1427"/>
      <c r="I94" s="1427"/>
      <c r="J94" s="1427"/>
      <c r="K94" s="1166">
        <f>SUM(K90:K92)</f>
        <v>59850</v>
      </c>
      <c r="L94" s="1166">
        <f>SUM(L90:L92)</f>
        <v>4788</v>
      </c>
      <c r="M94" s="1166">
        <f>SUM(M90:M92)</f>
        <v>1003.7019475021165</v>
      </c>
      <c r="N94" s="1229">
        <f>SUM(N90:N92)</f>
        <v>65641.701947502122</v>
      </c>
      <c r="T94" s="1385">
        <f>SUM(T90:T92)</f>
        <v>3</v>
      </c>
      <c r="U94" s="1386"/>
      <c r="V94" s="1386"/>
      <c r="W94" s="1230">
        <f>SUM(W90:W92)</f>
        <v>0</v>
      </c>
      <c r="X94" s="1167">
        <f>SUM(X90:X92)</f>
        <v>59850</v>
      </c>
      <c r="Y94" s="1168"/>
      <c r="Z94" s="1169"/>
      <c r="AA94" s="1170">
        <f>SUM(AA90:AA92)</f>
        <v>0</v>
      </c>
      <c r="AB94" s="783">
        <f>IF(T94&lt;&gt;"",AA94+M94,"")</f>
        <v>1003.7019475021165</v>
      </c>
      <c r="AN94" s="1703"/>
      <c r="AO94" s="1713"/>
    </row>
    <row r="95" spans="1:41" ht="50.1" customHeight="1" thickBot="1" x14ac:dyDescent="0.75">
      <c r="A95" s="584">
        <v>81</v>
      </c>
      <c r="B95" s="608">
        <v>8</v>
      </c>
      <c r="C95" s="609" t="s">
        <v>167</v>
      </c>
      <c r="D95" s="584"/>
      <c r="E95" s="584"/>
      <c r="F95" s="1380" t="s">
        <v>452</v>
      </c>
      <c r="G95" s="1381"/>
      <c r="H95" s="1381"/>
      <c r="I95" s="1381"/>
      <c r="J95" s="1381"/>
      <c r="K95" s="1381"/>
      <c r="L95" s="1381"/>
      <c r="M95" s="1381"/>
      <c r="N95" s="1382"/>
      <c r="T95" s="1442" t="str">
        <f>IF(F95&lt;&gt;"",F95,"")</f>
        <v>CENOGRAFIA</v>
      </c>
      <c r="U95" s="1443"/>
      <c r="V95" s="1443"/>
      <c r="W95" s="1443"/>
      <c r="X95" s="1443"/>
      <c r="Y95" s="1443"/>
      <c r="Z95" s="1443"/>
      <c r="AA95" s="1443"/>
      <c r="AB95" s="1444"/>
      <c r="AN95" s="1703"/>
      <c r="AO95" s="1713"/>
    </row>
    <row r="96" spans="1:41" ht="50.1" customHeight="1" x14ac:dyDescent="0.7">
      <c r="A96" s="584">
        <v>82</v>
      </c>
      <c r="B96" s="608" t="s">
        <v>451</v>
      </c>
      <c r="C96" s="609" t="s">
        <v>169</v>
      </c>
      <c r="D96" s="584"/>
      <c r="E96" s="584"/>
      <c r="F96" s="1406" t="s">
        <v>458</v>
      </c>
      <c r="G96" s="1407"/>
      <c r="H96" s="1407"/>
      <c r="I96" s="1407"/>
      <c r="J96" s="1407"/>
      <c r="K96" s="1407"/>
      <c r="L96" s="716" t="s">
        <v>171</v>
      </c>
      <c r="M96" s="716" t="s">
        <v>172</v>
      </c>
      <c r="N96" s="717" t="s">
        <v>129</v>
      </c>
      <c r="O96" s="1126" t="s">
        <v>651</v>
      </c>
      <c r="P96" s="1127" t="s">
        <v>652</v>
      </c>
      <c r="Q96" s="1127" t="s">
        <v>666</v>
      </c>
      <c r="T96" s="1440" t="str">
        <f>IF(F96&lt;&gt;"",F96,"")</f>
        <v xml:space="preserve">CENOGRAFIA </v>
      </c>
      <c r="U96" s="1423"/>
      <c r="V96" s="1423"/>
      <c r="W96" s="1423"/>
      <c r="X96" s="1423"/>
      <c r="Y96" s="1423"/>
      <c r="Z96" s="1423"/>
      <c r="AA96" s="1423"/>
      <c r="AB96" s="1441"/>
      <c r="AC96" s="616" t="s">
        <v>173</v>
      </c>
      <c r="AD96" s="617" t="s">
        <v>130</v>
      </c>
      <c r="AN96" s="1703"/>
      <c r="AO96" s="1713"/>
    </row>
    <row r="97" spans="1:41" ht="150" customHeight="1" x14ac:dyDescent="0.7">
      <c r="A97" s="584">
        <v>83</v>
      </c>
      <c r="B97" s="608" t="s">
        <v>453</v>
      </c>
      <c r="C97" s="609" t="s">
        <v>175</v>
      </c>
      <c r="D97" s="584" t="s">
        <v>182</v>
      </c>
      <c r="E97" s="1218" t="s">
        <v>331</v>
      </c>
      <c r="F97" s="718" t="s">
        <v>465</v>
      </c>
      <c r="G97" s="1234" t="s">
        <v>465</v>
      </c>
      <c r="H97" s="702">
        <v>2</v>
      </c>
      <c r="I97" s="702">
        <v>0</v>
      </c>
      <c r="J97" s="719">
        <v>750</v>
      </c>
      <c r="K97" s="620">
        <f t="shared" ref="K97:K102" si="40">IF(F97&lt;&gt;"",H97*I97*J97,"")</f>
        <v>0</v>
      </c>
      <c r="L97" s="620">
        <f t="shared" ref="L97:L102" si="41">IF(K97&lt;&gt;"",IF(D97="INTERNO",0,K97*$L$14),"")</f>
        <v>0</v>
      </c>
      <c r="M97" s="620">
        <f t="shared" ref="M97:M102" si="42">IF(K97&lt;&gt;"",IF(E97="FAT.OGGI",SUM(K97:L97)*(1/(1-$M$14)-1),L97*(1/(1-$M$14)-1)),0)</f>
        <v>0</v>
      </c>
      <c r="N97" s="894">
        <f t="shared" ref="N97:N102" si="43">SUM(K97:M97)</f>
        <v>0</v>
      </c>
      <c r="O97" s="1131" t="s">
        <v>827</v>
      </c>
      <c r="P97" s="1145" t="s">
        <v>655</v>
      </c>
      <c r="Q97" s="1146" t="s">
        <v>657</v>
      </c>
      <c r="T97" s="624">
        <f t="shared" ref="T97:U102" si="44">IF(H97&lt;&gt;"",H97,"")</f>
        <v>2</v>
      </c>
      <c r="U97" s="625">
        <f t="shared" si="44"/>
        <v>0</v>
      </c>
      <c r="V97" s="626">
        <v>700</v>
      </c>
      <c r="W97" s="626">
        <f t="shared" ref="W97:W102" si="45">IF(T97&lt;&gt;"",T97*U97*V97,"")</f>
        <v>0</v>
      </c>
      <c r="X97" s="627">
        <f t="shared" ref="X97:X102" si="46">IF(T97&lt;&gt;"",K97-W97,"")</f>
        <v>0</v>
      </c>
      <c r="Y97" s="1134">
        <f t="shared" ref="Y97:Y102" si="47">IF(T97&lt;&gt;"",0%,"")</f>
        <v>0</v>
      </c>
      <c r="Z97" s="629">
        <f t="shared" ref="Z97:Z102" si="48">IF(T97&lt;&gt;"",Y97*X97,"")</f>
        <v>0</v>
      </c>
      <c r="AA97" s="629">
        <f t="shared" ref="AA97:AA102" si="49">IF(T97&lt;&gt;"",Z97+W97,"")</f>
        <v>0</v>
      </c>
      <c r="AB97" s="630">
        <f t="shared" ref="AB97:AB104" si="50">IF(T97&lt;&gt;"",AA97+M97,"")</f>
        <v>0</v>
      </c>
      <c r="AC97" s="631">
        <f t="shared" ref="AC97:AC102" si="51">IF(T97&lt;&gt;"", IFERROR(X97/K97, 0), 0)</f>
        <v>0</v>
      </c>
      <c r="AD97" s="632" t="e">
        <f>W97/$W$103</f>
        <v>#DIV/0!</v>
      </c>
      <c r="AN97" s="1703">
        <f t="shared" si="38"/>
        <v>0</v>
      </c>
      <c r="AO97" s="1713"/>
    </row>
    <row r="98" spans="1:41" ht="150" customHeight="1" x14ac:dyDescent="0.7">
      <c r="A98" s="584">
        <v>84</v>
      </c>
      <c r="B98" s="608" t="s">
        <v>454</v>
      </c>
      <c r="C98" s="609" t="s">
        <v>175</v>
      </c>
      <c r="D98" s="584" t="s">
        <v>182</v>
      </c>
      <c r="E98" s="1218" t="s">
        <v>331</v>
      </c>
      <c r="F98" s="838" t="s">
        <v>466</v>
      </c>
      <c r="G98" s="886" t="s">
        <v>1435</v>
      </c>
      <c r="H98" s="830">
        <v>1</v>
      </c>
      <c r="I98" s="830">
        <v>1</v>
      </c>
      <c r="J98" s="1171">
        <v>1200</v>
      </c>
      <c r="K98" s="621">
        <f t="shared" si="40"/>
        <v>1200</v>
      </c>
      <c r="L98" s="621">
        <f t="shared" si="41"/>
        <v>96</v>
      </c>
      <c r="M98" s="621">
        <f t="shared" si="42"/>
        <v>20.12434982460384</v>
      </c>
      <c r="N98" s="622">
        <f t="shared" si="43"/>
        <v>1316.1243498246038</v>
      </c>
      <c r="O98" s="1131" t="s">
        <v>653</v>
      </c>
      <c r="P98" s="1145" t="s">
        <v>655</v>
      </c>
      <c r="Q98" s="1146" t="s">
        <v>657</v>
      </c>
      <c r="T98" s="624">
        <f t="shared" si="44"/>
        <v>1</v>
      </c>
      <c r="U98" s="625">
        <v>0</v>
      </c>
      <c r="V98" s="626">
        <v>800</v>
      </c>
      <c r="W98" s="626">
        <f t="shared" si="45"/>
        <v>0</v>
      </c>
      <c r="X98" s="627">
        <f t="shared" si="46"/>
        <v>1200</v>
      </c>
      <c r="Y98" s="1134">
        <f t="shared" si="47"/>
        <v>0</v>
      </c>
      <c r="Z98" s="629">
        <f t="shared" si="48"/>
        <v>0</v>
      </c>
      <c r="AA98" s="629">
        <f t="shared" si="49"/>
        <v>0</v>
      </c>
      <c r="AB98" s="630">
        <f t="shared" si="50"/>
        <v>20.12434982460384</v>
      </c>
      <c r="AC98" s="631">
        <f t="shared" si="51"/>
        <v>1</v>
      </c>
      <c r="AD98" s="632" t="e">
        <f>W98/$W$103</f>
        <v>#DIV/0!</v>
      </c>
      <c r="AN98" s="1703">
        <f t="shared" si="38"/>
        <v>0</v>
      </c>
      <c r="AO98" s="1713"/>
    </row>
    <row r="99" spans="1:41" ht="150" customHeight="1" x14ac:dyDescent="0.7">
      <c r="A99" s="584">
        <v>85</v>
      </c>
      <c r="B99" s="608" t="s">
        <v>455</v>
      </c>
      <c r="C99" s="609" t="s">
        <v>175</v>
      </c>
      <c r="D99" s="584" t="s">
        <v>182</v>
      </c>
      <c r="E99" s="1218" t="s">
        <v>331</v>
      </c>
      <c r="F99" s="838" t="s">
        <v>597</v>
      </c>
      <c r="G99" s="886" t="s">
        <v>1436</v>
      </c>
      <c r="H99" s="830">
        <v>1</v>
      </c>
      <c r="I99" s="830">
        <v>1</v>
      </c>
      <c r="J99" s="1171">
        <v>1200</v>
      </c>
      <c r="K99" s="621">
        <f t="shared" si="40"/>
        <v>1200</v>
      </c>
      <c r="L99" s="621">
        <f t="shared" si="41"/>
        <v>96</v>
      </c>
      <c r="M99" s="621">
        <f t="shared" si="42"/>
        <v>20.12434982460384</v>
      </c>
      <c r="N99" s="622">
        <f t="shared" si="43"/>
        <v>1316.1243498246038</v>
      </c>
      <c r="O99" s="1131" t="s">
        <v>653</v>
      </c>
      <c r="P99" s="1145" t="s">
        <v>655</v>
      </c>
      <c r="Q99" s="1146" t="s">
        <v>657</v>
      </c>
      <c r="T99" s="636">
        <f t="shared" si="44"/>
        <v>1</v>
      </c>
      <c r="U99" s="637">
        <v>0</v>
      </c>
      <c r="V99" s="638">
        <v>800</v>
      </c>
      <c r="W99" s="638">
        <f t="shared" si="45"/>
        <v>0</v>
      </c>
      <c r="X99" s="720">
        <f t="shared" si="46"/>
        <v>1200</v>
      </c>
      <c r="Y99" s="1137">
        <f t="shared" si="47"/>
        <v>0</v>
      </c>
      <c r="Z99" s="701">
        <f t="shared" si="48"/>
        <v>0</v>
      </c>
      <c r="AA99" s="701">
        <f t="shared" si="49"/>
        <v>0</v>
      </c>
      <c r="AB99" s="639">
        <f t="shared" si="50"/>
        <v>20.12434982460384</v>
      </c>
      <c r="AC99" s="631">
        <f t="shared" si="51"/>
        <v>1</v>
      </c>
      <c r="AD99" s="632" t="e">
        <f>W99/$W$103</f>
        <v>#DIV/0!</v>
      </c>
      <c r="AN99" s="1703">
        <f t="shared" si="38"/>
        <v>0</v>
      </c>
      <c r="AO99" s="1713"/>
    </row>
    <row r="100" spans="1:41" ht="150" customHeight="1" x14ac:dyDescent="0.7">
      <c r="A100" s="584">
        <v>86</v>
      </c>
      <c r="B100" s="608" t="s">
        <v>456</v>
      </c>
      <c r="C100" s="647" t="s">
        <v>175</v>
      </c>
      <c r="D100" s="584" t="s">
        <v>182</v>
      </c>
      <c r="E100" s="1218" t="s">
        <v>331</v>
      </c>
      <c r="F100" s="838" t="s">
        <v>618</v>
      </c>
      <c r="G100" s="1235" t="s">
        <v>1437</v>
      </c>
      <c r="H100" s="830">
        <v>1</v>
      </c>
      <c r="I100" s="830">
        <v>1</v>
      </c>
      <c r="J100" s="1205">
        <v>10000</v>
      </c>
      <c r="K100" s="621">
        <f t="shared" si="40"/>
        <v>10000</v>
      </c>
      <c r="L100" s="621">
        <f t="shared" si="41"/>
        <v>800</v>
      </c>
      <c r="M100" s="621">
        <f t="shared" si="42"/>
        <v>167.70291520503201</v>
      </c>
      <c r="N100" s="622">
        <f t="shared" si="43"/>
        <v>10967.702915205033</v>
      </c>
      <c r="O100" s="1131" t="s">
        <v>653</v>
      </c>
      <c r="P100" s="1145" t="s">
        <v>655</v>
      </c>
      <c r="Q100" s="1146" t="s">
        <v>657</v>
      </c>
      <c r="T100" s="624">
        <f t="shared" si="44"/>
        <v>1</v>
      </c>
      <c r="U100" s="625">
        <v>0</v>
      </c>
      <c r="V100" s="650">
        <v>8000</v>
      </c>
      <c r="W100" s="650">
        <f t="shared" si="45"/>
        <v>0</v>
      </c>
      <c r="X100" s="651">
        <f t="shared" si="46"/>
        <v>10000</v>
      </c>
      <c r="Y100" s="1139">
        <f t="shared" si="47"/>
        <v>0</v>
      </c>
      <c r="Z100" s="653">
        <f t="shared" si="48"/>
        <v>0</v>
      </c>
      <c r="AA100" s="653">
        <f t="shared" si="49"/>
        <v>0</v>
      </c>
      <c r="AB100" s="630">
        <f t="shared" si="50"/>
        <v>167.70291520503201</v>
      </c>
      <c r="AC100" s="632">
        <f t="shared" si="51"/>
        <v>1</v>
      </c>
      <c r="AD100" s="632"/>
      <c r="AN100" s="1703">
        <f t="shared" si="38"/>
        <v>0</v>
      </c>
      <c r="AO100" s="1713"/>
    </row>
    <row r="101" spans="1:41" ht="150" customHeight="1" x14ac:dyDescent="0.7">
      <c r="A101" s="584">
        <v>87</v>
      </c>
      <c r="B101" s="608" t="s">
        <v>457</v>
      </c>
      <c r="C101" s="634" t="s">
        <v>175</v>
      </c>
      <c r="D101" s="633" t="s">
        <v>182</v>
      </c>
      <c r="E101" s="1218" t="s">
        <v>331</v>
      </c>
      <c r="F101" s="718" t="s">
        <v>689</v>
      </c>
      <c r="G101" s="1234" t="s">
        <v>1438</v>
      </c>
      <c r="H101" s="702">
        <v>1</v>
      </c>
      <c r="I101" s="702">
        <v>1</v>
      </c>
      <c r="J101" s="719">
        <v>7312.5</v>
      </c>
      <c r="K101" s="620">
        <f t="shared" si="40"/>
        <v>7312.5</v>
      </c>
      <c r="L101" s="620">
        <f t="shared" si="41"/>
        <v>585</v>
      </c>
      <c r="M101" s="620">
        <f t="shared" si="42"/>
        <v>122.63275674367965</v>
      </c>
      <c r="N101" s="894">
        <f t="shared" si="43"/>
        <v>8020.1327567436792</v>
      </c>
      <c r="O101" s="1131" t="s">
        <v>653</v>
      </c>
      <c r="P101" s="1145" t="s">
        <v>655</v>
      </c>
      <c r="Q101" s="1146" t="s">
        <v>657</v>
      </c>
      <c r="T101" s="665">
        <f t="shared" si="44"/>
        <v>1</v>
      </c>
      <c r="U101" s="666">
        <f t="shared" si="44"/>
        <v>1</v>
      </c>
      <c r="V101" s="626">
        <v>5850</v>
      </c>
      <c r="W101" s="643">
        <v>0</v>
      </c>
      <c r="X101" s="667">
        <f t="shared" si="46"/>
        <v>7312.5</v>
      </c>
      <c r="Y101" s="1144">
        <f t="shared" si="47"/>
        <v>0</v>
      </c>
      <c r="Z101" s="669">
        <f t="shared" si="48"/>
        <v>0</v>
      </c>
      <c r="AA101" s="669">
        <f t="shared" si="49"/>
        <v>0</v>
      </c>
      <c r="AB101" s="664">
        <f t="shared" si="50"/>
        <v>122.63275674367965</v>
      </c>
      <c r="AC101" s="631">
        <f t="shared" si="51"/>
        <v>1</v>
      </c>
      <c r="AD101" s="632" t="e">
        <f>W101/$W$103</f>
        <v>#DIV/0!</v>
      </c>
      <c r="AN101" s="1703">
        <f t="shared" si="38"/>
        <v>0</v>
      </c>
      <c r="AO101" s="1713"/>
    </row>
    <row r="102" spans="1:41" ht="150" customHeight="1" thickBot="1" x14ac:dyDescent="0.75">
      <c r="A102" s="584">
        <v>88</v>
      </c>
      <c r="B102" s="608" t="s">
        <v>459</v>
      </c>
      <c r="C102" s="634" t="s">
        <v>175</v>
      </c>
      <c r="D102" s="633" t="s">
        <v>182</v>
      </c>
      <c r="E102" s="1218" t="s">
        <v>331</v>
      </c>
      <c r="F102" s="1236" t="s">
        <v>472</v>
      </c>
      <c r="G102" s="1237" t="s">
        <v>1439</v>
      </c>
      <c r="H102" s="1238">
        <v>1</v>
      </c>
      <c r="I102" s="1238">
        <v>1</v>
      </c>
      <c r="J102" s="1239">
        <v>5100</v>
      </c>
      <c r="K102" s="1240">
        <f t="shared" si="40"/>
        <v>5100</v>
      </c>
      <c r="L102" s="1240">
        <f t="shared" si="41"/>
        <v>408</v>
      </c>
      <c r="M102" s="1240">
        <f t="shared" si="42"/>
        <v>85.528486754566316</v>
      </c>
      <c r="N102" s="1241">
        <f t="shared" si="43"/>
        <v>5593.5284867545661</v>
      </c>
      <c r="O102" s="1131" t="s">
        <v>653</v>
      </c>
      <c r="P102" s="1145" t="s">
        <v>655</v>
      </c>
      <c r="Q102" s="1146" t="s">
        <v>657</v>
      </c>
      <c r="T102" s="665">
        <f t="shared" si="44"/>
        <v>1</v>
      </c>
      <c r="U102" s="666">
        <v>0</v>
      </c>
      <c r="V102" s="1057">
        <v>2500</v>
      </c>
      <c r="W102" s="643">
        <f t="shared" si="45"/>
        <v>0</v>
      </c>
      <c r="X102" s="667">
        <f t="shared" si="46"/>
        <v>5100</v>
      </c>
      <c r="Y102" s="1144">
        <f t="shared" si="47"/>
        <v>0</v>
      </c>
      <c r="Z102" s="669">
        <f t="shared" si="48"/>
        <v>0</v>
      </c>
      <c r="AA102" s="669">
        <f t="shared" si="49"/>
        <v>0</v>
      </c>
      <c r="AB102" s="664">
        <f t="shared" si="50"/>
        <v>85.528486754566316</v>
      </c>
      <c r="AC102" s="631">
        <f t="shared" si="51"/>
        <v>1</v>
      </c>
      <c r="AD102" s="632" t="e">
        <f>W102/$W$103</f>
        <v>#DIV/0!</v>
      </c>
      <c r="AN102" s="1703">
        <f t="shared" si="38"/>
        <v>0</v>
      </c>
      <c r="AO102" s="1713"/>
    </row>
    <row r="103" spans="1:41" ht="50.1" customHeight="1" thickBot="1" x14ac:dyDescent="0.75">
      <c r="A103" s="584">
        <v>89</v>
      </c>
      <c r="B103" s="608"/>
      <c r="C103" s="609" t="s">
        <v>184</v>
      </c>
      <c r="D103" s="584"/>
      <c r="E103" s="584"/>
      <c r="F103" s="1375" t="s">
        <v>473</v>
      </c>
      <c r="G103" s="1376"/>
      <c r="H103" s="1376"/>
      <c r="I103" s="1376"/>
      <c r="J103" s="1376"/>
      <c r="K103" s="1216">
        <f>SUM(K97:K102)</f>
        <v>24812.5</v>
      </c>
      <c r="L103" s="1216">
        <f>SUM(L97:L102)</f>
        <v>1985</v>
      </c>
      <c r="M103" s="1216">
        <f>SUM(M97:M102)</f>
        <v>416.11285835248566</v>
      </c>
      <c r="N103" s="1217">
        <f>SUM(N97:N102)</f>
        <v>27213.612858352488</v>
      </c>
      <c r="T103" s="1422">
        <f>SUM(T97:T102)</f>
        <v>7</v>
      </c>
      <c r="U103" s="1423"/>
      <c r="V103" s="1423"/>
      <c r="W103" s="1175">
        <f>SUM(W97:W102)</f>
        <v>0</v>
      </c>
      <c r="X103" s="1176">
        <f>SUM(X97:X102)</f>
        <v>24812.5</v>
      </c>
      <c r="Y103" s="1177"/>
      <c r="Z103" s="1178"/>
      <c r="AA103" s="1179">
        <f>SUM(AA97:AA102)</f>
        <v>0</v>
      </c>
      <c r="AB103" s="1180">
        <f t="shared" si="50"/>
        <v>416.11285835248566</v>
      </c>
      <c r="AN103" s="1703"/>
      <c r="AO103" s="1713"/>
    </row>
    <row r="104" spans="1:41" ht="50.1" customHeight="1" thickBot="1" x14ac:dyDescent="0.75">
      <c r="A104" s="584">
        <v>90</v>
      </c>
      <c r="B104" s="608"/>
      <c r="C104" s="609" t="s">
        <v>183</v>
      </c>
      <c r="D104" s="584"/>
      <c r="E104" s="584"/>
      <c r="F104" s="1426" t="s">
        <v>474</v>
      </c>
      <c r="G104" s="1427"/>
      <c r="H104" s="1427"/>
      <c r="I104" s="1427"/>
      <c r="J104" s="1427"/>
      <c r="K104" s="1166">
        <f>SUM(K97:K102)</f>
        <v>24812.5</v>
      </c>
      <c r="L104" s="1166">
        <f>SUM(L97:L102)</f>
        <v>1985</v>
      </c>
      <c r="M104" s="1166">
        <f>SUM(M97:M102)</f>
        <v>416.11285835248566</v>
      </c>
      <c r="N104" s="1229">
        <f>SUM(N97:N102)</f>
        <v>27213.612858352488</v>
      </c>
      <c r="T104" s="1385">
        <f>SUM(T97:T102)</f>
        <v>7</v>
      </c>
      <c r="U104" s="1386"/>
      <c r="V104" s="1386"/>
      <c r="W104" s="1242">
        <f>SUM(W97:W102)</f>
        <v>0</v>
      </c>
      <c r="X104" s="1167">
        <f>SUM(X97:X102)</f>
        <v>24812.5</v>
      </c>
      <c r="Y104" s="1168"/>
      <c r="Z104" s="1169"/>
      <c r="AA104" s="1170">
        <f>SUM(AA97:AA102)</f>
        <v>0</v>
      </c>
      <c r="AB104" s="783">
        <f t="shared" si="50"/>
        <v>416.11285835248566</v>
      </c>
      <c r="AN104" s="1703"/>
      <c r="AO104" s="1713"/>
    </row>
    <row r="105" spans="1:41" ht="50.1" customHeight="1" thickBot="1" x14ac:dyDescent="0.75">
      <c r="A105" s="584">
        <v>91</v>
      </c>
      <c r="B105" s="608">
        <v>9</v>
      </c>
      <c r="C105" s="609" t="s">
        <v>167</v>
      </c>
      <c r="D105" s="584"/>
      <c r="E105" s="584"/>
      <c r="F105" s="1380" t="s">
        <v>505</v>
      </c>
      <c r="G105" s="1381"/>
      <c r="H105" s="1381"/>
      <c r="I105" s="1381"/>
      <c r="J105" s="1381"/>
      <c r="K105" s="1381"/>
      <c r="L105" s="1381"/>
      <c r="M105" s="1381"/>
      <c r="N105" s="1382"/>
      <c r="T105" s="1442" t="str">
        <f>IF(F105&lt;&gt;"",F105,"")</f>
        <v>ATIVIDADES, BRINDES E MATERIAIS</v>
      </c>
      <c r="U105" s="1443"/>
      <c r="V105" s="1443"/>
      <c r="W105" s="1443"/>
      <c r="X105" s="1443"/>
      <c r="Y105" s="1443"/>
      <c r="Z105" s="1443"/>
      <c r="AA105" s="1443"/>
      <c r="AB105" s="1444"/>
      <c r="AN105" s="1703"/>
      <c r="AO105" s="1713"/>
    </row>
    <row r="106" spans="1:41" ht="50.1" customHeight="1" thickBot="1" x14ac:dyDescent="0.75">
      <c r="A106" s="584">
        <v>92</v>
      </c>
      <c r="B106" s="608" t="s">
        <v>475</v>
      </c>
      <c r="C106" s="609" t="s">
        <v>169</v>
      </c>
      <c r="D106" s="584"/>
      <c r="E106" s="584"/>
      <c r="F106" s="1406" t="s">
        <v>476</v>
      </c>
      <c r="G106" s="1407"/>
      <c r="H106" s="1407"/>
      <c r="I106" s="1407"/>
      <c r="J106" s="1407"/>
      <c r="K106" s="1407"/>
      <c r="L106" s="716" t="s">
        <v>171</v>
      </c>
      <c r="M106" s="716" t="s">
        <v>172</v>
      </c>
      <c r="N106" s="717" t="s">
        <v>129</v>
      </c>
      <c r="O106" s="1126" t="s">
        <v>651</v>
      </c>
      <c r="P106" s="1127" t="s">
        <v>652</v>
      </c>
      <c r="Q106" s="1127" t="s">
        <v>666</v>
      </c>
      <c r="T106" s="1450" t="str">
        <f>IF(F106&lt;&gt;"",F106,"")</f>
        <v>ATIVAÇÕES</v>
      </c>
      <c r="U106" s="1429"/>
      <c r="V106" s="1429"/>
      <c r="W106" s="1429"/>
      <c r="X106" s="1429"/>
      <c r="Y106" s="1429"/>
      <c r="Z106" s="1429"/>
      <c r="AA106" s="1429"/>
      <c r="AB106" s="1451"/>
      <c r="AC106" s="1243" t="s">
        <v>173</v>
      </c>
      <c r="AD106" s="1244" t="s">
        <v>130</v>
      </c>
      <c r="AN106" s="1703"/>
      <c r="AO106" s="1713"/>
    </row>
    <row r="107" spans="1:41" ht="150" customHeight="1" x14ac:dyDescent="0.7">
      <c r="A107" s="584">
        <v>93</v>
      </c>
      <c r="B107" s="608" t="s">
        <v>477</v>
      </c>
      <c r="C107" s="609" t="s">
        <v>175</v>
      </c>
      <c r="D107" s="584" t="s">
        <v>182</v>
      </c>
      <c r="E107" s="584" t="s">
        <v>179</v>
      </c>
      <c r="F107" s="838" t="s">
        <v>558</v>
      </c>
      <c r="G107" s="940" t="s">
        <v>1440</v>
      </c>
      <c r="H107" s="951">
        <v>1</v>
      </c>
      <c r="I107" s="951">
        <v>1</v>
      </c>
      <c r="J107" s="1075">
        <v>3500</v>
      </c>
      <c r="K107" s="621">
        <f>IF(F107&lt;&gt;"",H107*I107*J107,"")</f>
        <v>3500</v>
      </c>
      <c r="L107" s="621">
        <f>IF(K107&lt;&gt;"",IF(D107="INTERNO",0,K107*$L$14),"")</f>
        <v>280</v>
      </c>
      <c r="M107" s="621">
        <f>IF(K107&lt;&gt;"",IF(E107="FAT.OGGI",SUM(K107:L107)*(1/(1-$M$14)-1),L107*(1/(1-$M$14)-1)),0)</f>
        <v>792.39627434377621</v>
      </c>
      <c r="N107" s="622">
        <f>SUM(K107:M107)</f>
        <v>4572.396274343776</v>
      </c>
      <c r="O107" s="1172"/>
      <c r="P107" s="1158"/>
      <c r="Q107" s="1133"/>
      <c r="T107" s="1245">
        <f t="shared" ref="T107:U109" si="52">IF(H107&lt;&gt;"",H107,"")</f>
        <v>1</v>
      </c>
      <c r="U107" s="1246">
        <f t="shared" si="52"/>
        <v>1</v>
      </c>
      <c r="V107" s="1068">
        <v>1500</v>
      </c>
      <c r="W107" s="1068">
        <v>0</v>
      </c>
      <c r="X107" s="1069">
        <f>IF(T107&lt;&gt;"",K107-W107,"")</f>
        <v>3500</v>
      </c>
      <c r="Y107" s="1247">
        <f>IF(T107&lt;&gt;"",0%,"")</f>
        <v>0</v>
      </c>
      <c r="Z107" s="1071">
        <f>IF(T107&lt;&gt;"",Y107*X107,"")</f>
        <v>0</v>
      </c>
      <c r="AA107" s="1071">
        <f>IF(T107&lt;&gt;"",Z107+W107,"")</f>
        <v>0</v>
      </c>
      <c r="AB107" s="1071">
        <f>IF(T107&lt;&gt;"",AA107+M107,"")</f>
        <v>792.39627434377621</v>
      </c>
      <c r="AC107" s="1248">
        <f>IF(T107&lt;&gt;"", IFERROR(X107/K107, 0), 0)</f>
        <v>1</v>
      </c>
      <c r="AD107" s="1249" t="e">
        <f>W107/$W$110</f>
        <v>#DIV/0!</v>
      </c>
      <c r="AN107" s="1703">
        <f t="shared" si="38"/>
        <v>0</v>
      </c>
      <c r="AO107" s="1713"/>
    </row>
    <row r="108" spans="1:41" ht="150" customHeight="1" x14ac:dyDescent="0.7">
      <c r="A108" s="584">
        <v>94</v>
      </c>
      <c r="B108" s="608" t="s">
        <v>478</v>
      </c>
      <c r="C108" s="609" t="s">
        <v>175</v>
      </c>
      <c r="D108" s="584" t="s">
        <v>182</v>
      </c>
      <c r="E108" s="584" t="s">
        <v>179</v>
      </c>
      <c r="F108" s="718" t="s">
        <v>487</v>
      </c>
      <c r="G108" s="618" t="s">
        <v>1441</v>
      </c>
      <c r="H108" s="706">
        <v>1</v>
      </c>
      <c r="I108" s="706">
        <v>1</v>
      </c>
      <c r="J108" s="767">
        <v>5200</v>
      </c>
      <c r="K108" s="620">
        <f>IF(F108&lt;&gt;"",H108*I108*J108,"")</f>
        <v>5200</v>
      </c>
      <c r="L108" s="621">
        <f>IF(K108&lt;&gt;"",IF(D108="INTERNO",0,K108*$L$14),"")</f>
        <v>416</v>
      </c>
      <c r="M108" s="621">
        <f>IF(K108&lt;&gt;"",IF(E108="FAT.OGGI",SUM(K108:L108)*(1/(1-$M$14)-1),L108*(1/(1-$M$14)-1)),0)</f>
        <v>1177.2744647393247</v>
      </c>
      <c r="N108" s="622">
        <f>SUM(K108:M108)</f>
        <v>6793.2744647393247</v>
      </c>
      <c r="O108" s="1131" t="s">
        <v>653</v>
      </c>
      <c r="P108" s="1250" t="s">
        <v>623</v>
      </c>
      <c r="Q108" s="1250" t="s">
        <v>1010</v>
      </c>
      <c r="T108" s="624">
        <f t="shared" si="52"/>
        <v>1</v>
      </c>
      <c r="U108" s="625">
        <v>0</v>
      </c>
      <c r="V108" s="626">
        <v>4800</v>
      </c>
      <c r="W108" s="626">
        <f>IF(T108&lt;&gt;"",T108*U108*V108,"")</f>
        <v>0</v>
      </c>
      <c r="X108" s="627">
        <f>IF(T108&lt;&gt;"",K108-W108,"")</f>
        <v>5200</v>
      </c>
      <c r="Y108" s="1134">
        <f>IF(T108&lt;&gt;"",0%,"")</f>
        <v>0</v>
      </c>
      <c r="Z108" s="629">
        <f>IF(T108&lt;&gt;"",Y108*X108,"")</f>
        <v>0</v>
      </c>
      <c r="AA108" s="629">
        <f>IF(T108&lt;&gt;"",Z108+W108,"")</f>
        <v>0</v>
      </c>
      <c r="AB108" s="629">
        <f>IF(T108&lt;&gt;"",AA108+M108,"")</f>
        <v>1177.2744647393247</v>
      </c>
      <c r="AC108" s="632">
        <f>IF(T108&lt;&gt;"", IFERROR(X108/K108, 0), 0)</f>
        <v>1</v>
      </c>
      <c r="AD108" s="1251" t="e">
        <f>W108/$W$110</f>
        <v>#DIV/0!</v>
      </c>
      <c r="AN108" s="1703">
        <f t="shared" si="38"/>
        <v>0</v>
      </c>
      <c r="AO108" s="1713"/>
    </row>
    <row r="109" spans="1:41" ht="150" customHeight="1" x14ac:dyDescent="0.7">
      <c r="A109" s="584">
        <v>95</v>
      </c>
      <c r="B109" s="608" t="s">
        <v>480</v>
      </c>
      <c r="C109" s="647" t="s">
        <v>175</v>
      </c>
      <c r="D109" s="584" t="s">
        <v>182</v>
      </c>
      <c r="E109" s="584" t="s">
        <v>179</v>
      </c>
      <c r="F109" s="768" t="s">
        <v>553</v>
      </c>
      <c r="G109" s="1052" t="s">
        <v>1442</v>
      </c>
      <c r="H109" s="770">
        <v>1</v>
      </c>
      <c r="I109" s="770">
        <v>0</v>
      </c>
      <c r="J109" s="771">
        <v>5800</v>
      </c>
      <c r="K109" s="771">
        <f>IF(F109&lt;&gt;"",H109*I109*J109,"")</f>
        <v>0</v>
      </c>
      <c r="L109" s="833">
        <f>IF(K109&lt;&gt;"",IF(D109="INTERNO",0,K109*$L$14),"")</f>
        <v>0</v>
      </c>
      <c r="M109" s="833">
        <f>IF(K109&lt;&gt;"",IF(E109="FAT.OGGI",SUM(K109:L109)*(1/(1-$M$14)-1),L109*(1/(1-$M$14)-1)),0)</f>
        <v>0</v>
      </c>
      <c r="N109" s="849">
        <f>SUM(K109:M109)</f>
        <v>0</v>
      </c>
      <c r="O109" s="1131" t="s">
        <v>653</v>
      </c>
      <c r="P109" s="1132" t="s">
        <v>655</v>
      </c>
      <c r="Q109" s="1133"/>
      <c r="T109" s="624">
        <f t="shared" si="52"/>
        <v>1</v>
      </c>
      <c r="U109" s="625">
        <f t="shared" si="52"/>
        <v>0</v>
      </c>
      <c r="V109" s="626">
        <v>3000</v>
      </c>
      <c r="W109" s="626">
        <f>IF(T109&lt;&gt;"",T109*U109*V109,"")</f>
        <v>0</v>
      </c>
      <c r="X109" s="627">
        <f>IF(T109&lt;&gt;"",K109-W109,"")</f>
        <v>0</v>
      </c>
      <c r="Y109" s="1134">
        <f>IF(T109&lt;&gt;"",0%,"")</f>
        <v>0</v>
      </c>
      <c r="Z109" s="629">
        <f>IF(T109&lt;&gt;"",Y109*X109,"")</f>
        <v>0</v>
      </c>
      <c r="AA109" s="629">
        <f>IF(T109&lt;&gt;"",Z109+W109,"")</f>
        <v>0</v>
      </c>
      <c r="AB109" s="629">
        <f>IF(T109&lt;&gt;"",AA109+M109,"")</f>
        <v>0</v>
      </c>
      <c r="AC109" s="632">
        <f>IF(T109&lt;&gt;"", IFERROR(X109/K109, 0), 0)</f>
        <v>0</v>
      </c>
      <c r="AD109" s="1251" t="e">
        <f>W109/$W$110</f>
        <v>#DIV/0!</v>
      </c>
      <c r="AN109" s="1703">
        <f t="shared" si="38"/>
        <v>0</v>
      </c>
      <c r="AO109" s="1713"/>
    </row>
    <row r="110" spans="1:41" ht="50.1" customHeight="1" thickBot="1" x14ac:dyDescent="0.75">
      <c r="A110" s="584">
        <v>96</v>
      </c>
      <c r="B110" s="608"/>
      <c r="C110" s="647" t="s">
        <v>184</v>
      </c>
      <c r="D110" s="646"/>
      <c r="E110" s="646"/>
      <c r="F110" s="1448" t="s">
        <v>502</v>
      </c>
      <c r="G110" s="1449"/>
      <c r="H110" s="1449"/>
      <c r="I110" s="1449"/>
      <c r="J110" s="1449"/>
      <c r="K110" s="1252">
        <f>SUM(K107:K109)</f>
        <v>8700</v>
      </c>
      <c r="L110" s="1253">
        <f>SUM(L107:L109)</f>
        <v>696</v>
      </c>
      <c r="M110" s="1254">
        <f>SUM(M107:M109)</f>
        <v>1969.6707390831009</v>
      </c>
      <c r="N110" s="1255">
        <f>SUM(N107:N109)</f>
        <v>11365.6707390831</v>
      </c>
      <c r="T110" s="1452">
        <f>SUM(T107:T109)</f>
        <v>3</v>
      </c>
      <c r="U110" s="1453"/>
      <c r="V110" s="1453"/>
      <c r="W110" s="1256">
        <f>SUM(W107:W109)</f>
        <v>0</v>
      </c>
      <c r="X110" s="1257">
        <f>SUM(X107:X109)</f>
        <v>8700</v>
      </c>
      <c r="Y110" s="1144"/>
      <c r="Z110" s="669"/>
      <c r="AA110" s="1100">
        <f>SUM(AA107:AA109)</f>
        <v>0</v>
      </c>
      <c r="AB110" s="1258">
        <f>IF(T110&lt;&gt;"",AA110+M110,"")</f>
        <v>1969.6707390831009</v>
      </c>
      <c r="AC110" s="645"/>
      <c r="AN110" s="1703"/>
      <c r="AO110" s="1713"/>
    </row>
    <row r="111" spans="1:41" ht="50.1" customHeight="1" thickBot="1" x14ac:dyDescent="0.75">
      <c r="A111" s="584">
        <v>97</v>
      </c>
      <c r="B111" s="608" t="s">
        <v>493</v>
      </c>
      <c r="C111" s="634" t="s">
        <v>169</v>
      </c>
      <c r="D111" s="633"/>
      <c r="E111" s="633"/>
      <c r="F111" s="1406" t="s">
        <v>501</v>
      </c>
      <c r="G111" s="1407"/>
      <c r="H111" s="1407"/>
      <c r="I111" s="1407"/>
      <c r="J111" s="1407"/>
      <c r="K111" s="1407"/>
      <c r="L111" s="716" t="s">
        <v>171</v>
      </c>
      <c r="M111" s="716" t="s">
        <v>172</v>
      </c>
      <c r="N111" s="717" t="s">
        <v>129</v>
      </c>
      <c r="O111" s="1126" t="s">
        <v>651</v>
      </c>
      <c r="P111" s="1127" t="s">
        <v>652</v>
      </c>
      <c r="Q111" s="1127" t="s">
        <v>666</v>
      </c>
      <c r="T111" s="1450" t="str">
        <f>IF(F111&lt;&gt;"",F111,"")</f>
        <v>BRINDES</v>
      </c>
      <c r="U111" s="1429"/>
      <c r="V111" s="1429"/>
      <c r="W111" s="1429"/>
      <c r="X111" s="1429"/>
      <c r="Y111" s="1429"/>
      <c r="Z111" s="1429"/>
      <c r="AA111" s="1429"/>
      <c r="AB111" s="1451"/>
      <c r="AC111" s="616" t="s">
        <v>173</v>
      </c>
      <c r="AD111" s="617" t="s">
        <v>130</v>
      </c>
      <c r="AN111" s="1703"/>
      <c r="AO111" s="1713"/>
    </row>
    <row r="112" spans="1:41" ht="150" customHeight="1" x14ac:dyDescent="0.7">
      <c r="A112" s="584">
        <v>98</v>
      </c>
      <c r="B112" s="608" t="s">
        <v>494</v>
      </c>
      <c r="C112" s="609" t="s">
        <v>175</v>
      </c>
      <c r="D112" s="584" t="s">
        <v>182</v>
      </c>
      <c r="E112" s="584" t="s">
        <v>179</v>
      </c>
      <c r="F112" s="718" t="s">
        <v>552</v>
      </c>
      <c r="G112" s="618" t="s">
        <v>1443</v>
      </c>
      <c r="H112" s="706">
        <v>50</v>
      </c>
      <c r="I112" s="706">
        <v>0</v>
      </c>
      <c r="J112" s="621">
        <v>15</v>
      </c>
      <c r="K112" s="621">
        <f t="shared" ref="K112:K119" si="53">IF(F112&lt;&gt;"",H112*I112*J112,"")</f>
        <v>0</v>
      </c>
      <c r="L112" s="621">
        <f t="shared" ref="L112:L119" si="54">IF(K112&lt;&gt;"",IF(D112="INTERNO",0,K112*$L$14),"")</f>
        <v>0</v>
      </c>
      <c r="M112" s="621">
        <f t="shared" ref="M112:M119" si="55">IF(K112&lt;&gt;"",IF(E112="FAT.OGGI",SUM(K112:L112)*(1/(1-$M$14)-1),L112*(1/(1-$M$14)-1)),0)</f>
        <v>0</v>
      </c>
      <c r="N112" s="622">
        <f t="shared" ref="N112:N119" si="56">SUM(K112:M112)</f>
        <v>0</v>
      </c>
      <c r="O112" s="1196" t="s">
        <v>658</v>
      </c>
      <c r="P112" s="1133"/>
      <c r="Q112" s="1133"/>
      <c r="T112" s="1245">
        <f t="shared" ref="T112:U119" si="57">IF(H112&lt;&gt;"",H112,"")</f>
        <v>50</v>
      </c>
      <c r="U112" s="1246">
        <f t="shared" si="57"/>
        <v>0</v>
      </c>
      <c r="V112" s="1068">
        <v>8</v>
      </c>
      <c r="W112" s="1068">
        <f t="shared" ref="W112:W119" si="58">IF(T112&lt;&gt;"",T112*U112*V112,"")</f>
        <v>0</v>
      </c>
      <c r="X112" s="1069">
        <f t="shared" ref="X112:X119" si="59">IF(T112&lt;&gt;"",K112-W112,"")</f>
        <v>0</v>
      </c>
      <c r="Y112" s="1247">
        <f t="shared" ref="Y112:Y119" si="60">IF(T112&lt;&gt;"",0%,"")</f>
        <v>0</v>
      </c>
      <c r="Z112" s="1071">
        <f t="shared" ref="Z112:Z119" si="61">IF(T112&lt;&gt;"",Y112*X112,"")</f>
        <v>0</v>
      </c>
      <c r="AA112" s="1071">
        <f t="shared" ref="AA112:AA119" si="62">IF(T112&lt;&gt;"",Z112+W112,"")</f>
        <v>0</v>
      </c>
      <c r="AB112" s="1072">
        <f t="shared" ref="AB112:AB120" si="63">IF(T112&lt;&gt;"",AA112+M112,"")</f>
        <v>0</v>
      </c>
      <c r="AC112" s="631">
        <f t="shared" ref="AC112:AC119" si="64">IF(T112&lt;&gt;"", IFERROR(X112/K112, 0), 0)</f>
        <v>0</v>
      </c>
      <c r="AD112" s="632" t="e">
        <f>W112/$W$120</f>
        <v>#DIV/0!</v>
      </c>
      <c r="AN112" s="1703">
        <f t="shared" si="38"/>
        <v>0</v>
      </c>
      <c r="AO112" s="1713"/>
    </row>
    <row r="113" spans="1:41" ht="150" customHeight="1" x14ac:dyDescent="0.7">
      <c r="A113" s="584">
        <v>99</v>
      </c>
      <c r="B113" s="608" t="s">
        <v>495</v>
      </c>
      <c r="C113" s="609" t="s">
        <v>175</v>
      </c>
      <c r="D113" s="584" t="s">
        <v>182</v>
      </c>
      <c r="E113" s="584" t="s">
        <v>179</v>
      </c>
      <c r="F113" s="838" t="s">
        <v>644</v>
      </c>
      <c r="G113" s="868" t="s">
        <v>1444</v>
      </c>
      <c r="H113" s="1155">
        <v>50</v>
      </c>
      <c r="I113" s="1155">
        <v>0</v>
      </c>
      <c r="J113" s="1259">
        <v>8.8000000000000007</v>
      </c>
      <c r="K113" s="621">
        <f t="shared" si="53"/>
        <v>0</v>
      </c>
      <c r="L113" s="621">
        <f t="shared" si="54"/>
        <v>0</v>
      </c>
      <c r="M113" s="621">
        <f t="shared" si="55"/>
        <v>0</v>
      </c>
      <c r="N113" s="622">
        <f t="shared" si="56"/>
        <v>0</v>
      </c>
      <c r="O113" s="1196" t="s">
        <v>658</v>
      </c>
      <c r="P113" s="1133"/>
      <c r="Q113" s="1133"/>
      <c r="T113" s="624">
        <f t="shared" si="57"/>
        <v>50</v>
      </c>
      <c r="U113" s="625">
        <f t="shared" si="57"/>
        <v>0</v>
      </c>
      <c r="V113" s="638">
        <v>4</v>
      </c>
      <c r="W113" s="626">
        <f t="shared" si="58"/>
        <v>0</v>
      </c>
      <c r="X113" s="627">
        <f t="shared" si="59"/>
        <v>0</v>
      </c>
      <c r="Y113" s="1134">
        <f t="shared" si="60"/>
        <v>0</v>
      </c>
      <c r="Z113" s="629">
        <f t="shared" si="61"/>
        <v>0</v>
      </c>
      <c r="AA113" s="629">
        <f t="shared" si="62"/>
        <v>0</v>
      </c>
      <c r="AB113" s="630">
        <f t="shared" si="63"/>
        <v>0</v>
      </c>
      <c r="AC113" s="631">
        <f t="shared" si="64"/>
        <v>0</v>
      </c>
      <c r="AD113" s="632" t="e">
        <f>W113/$W$120</f>
        <v>#DIV/0!</v>
      </c>
      <c r="AN113" s="1703">
        <f t="shared" si="38"/>
        <v>0</v>
      </c>
      <c r="AO113" s="1713"/>
    </row>
    <row r="114" spans="1:41" ht="150" customHeight="1" x14ac:dyDescent="0.7">
      <c r="A114" s="584">
        <v>100</v>
      </c>
      <c r="B114" s="608" t="s">
        <v>496</v>
      </c>
      <c r="C114" s="609" t="s">
        <v>175</v>
      </c>
      <c r="D114" s="584" t="s">
        <v>182</v>
      </c>
      <c r="E114" s="584" t="s">
        <v>179</v>
      </c>
      <c r="F114" s="838" t="s">
        <v>645</v>
      </c>
      <c r="G114" s="736" t="s">
        <v>1445</v>
      </c>
      <c r="H114" s="1204">
        <v>50</v>
      </c>
      <c r="I114" s="1204">
        <v>0</v>
      </c>
      <c r="J114" s="1205">
        <v>68</v>
      </c>
      <c r="K114" s="621">
        <f t="shared" si="53"/>
        <v>0</v>
      </c>
      <c r="L114" s="621">
        <f t="shared" si="54"/>
        <v>0</v>
      </c>
      <c r="M114" s="621">
        <f t="shared" si="55"/>
        <v>0</v>
      </c>
      <c r="N114" s="622">
        <f t="shared" si="56"/>
        <v>0</v>
      </c>
      <c r="O114" s="1196" t="s">
        <v>658</v>
      </c>
      <c r="P114" s="1133"/>
      <c r="Q114" s="1133"/>
      <c r="T114" s="624">
        <f t="shared" si="57"/>
        <v>50</v>
      </c>
      <c r="U114" s="625">
        <f t="shared" si="57"/>
        <v>0</v>
      </c>
      <c r="V114" s="650">
        <v>58</v>
      </c>
      <c r="W114" s="626">
        <f t="shared" si="58"/>
        <v>0</v>
      </c>
      <c r="X114" s="627">
        <f t="shared" si="59"/>
        <v>0</v>
      </c>
      <c r="Y114" s="1134">
        <f t="shared" si="60"/>
        <v>0</v>
      </c>
      <c r="Z114" s="629">
        <f t="shared" si="61"/>
        <v>0</v>
      </c>
      <c r="AA114" s="629">
        <f t="shared" si="62"/>
        <v>0</v>
      </c>
      <c r="AB114" s="630">
        <f t="shared" si="63"/>
        <v>0</v>
      </c>
      <c r="AC114" s="631">
        <f t="shared" si="64"/>
        <v>0</v>
      </c>
      <c r="AD114" s="632" t="e">
        <f>W114/$W$120</f>
        <v>#DIV/0!</v>
      </c>
      <c r="AN114" s="1703">
        <f t="shared" si="38"/>
        <v>0</v>
      </c>
      <c r="AO114" s="1713"/>
    </row>
    <row r="115" spans="1:41" ht="150" customHeight="1" x14ac:dyDescent="0.7">
      <c r="A115" s="584">
        <v>101</v>
      </c>
      <c r="B115" s="608" t="s">
        <v>497</v>
      </c>
      <c r="C115" s="609" t="s">
        <v>175</v>
      </c>
      <c r="D115" s="584" t="s">
        <v>182</v>
      </c>
      <c r="E115" s="584" t="s">
        <v>179</v>
      </c>
      <c r="F115" s="1260" t="s">
        <v>646</v>
      </c>
      <c r="G115" s="1261" t="s">
        <v>1446</v>
      </c>
      <c r="H115" s="1262">
        <v>50</v>
      </c>
      <c r="I115" s="1262">
        <v>0</v>
      </c>
      <c r="J115" s="1263">
        <v>67</v>
      </c>
      <c r="K115" s="694">
        <f t="shared" si="53"/>
        <v>0</v>
      </c>
      <c r="L115" s="695">
        <f t="shared" si="54"/>
        <v>0</v>
      </c>
      <c r="M115" s="695">
        <f t="shared" si="55"/>
        <v>0</v>
      </c>
      <c r="N115" s="635">
        <f t="shared" si="56"/>
        <v>0</v>
      </c>
      <c r="O115" s="1196" t="s">
        <v>658</v>
      </c>
      <c r="P115" s="1133"/>
      <c r="Q115" s="1133"/>
      <c r="T115" s="636">
        <f t="shared" si="57"/>
        <v>50</v>
      </c>
      <c r="U115" s="637">
        <f t="shared" si="57"/>
        <v>0</v>
      </c>
      <c r="V115" s="1212">
        <v>64.5</v>
      </c>
      <c r="W115" s="638">
        <f t="shared" si="58"/>
        <v>0</v>
      </c>
      <c r="X115" s="720">
        <f t="shared" si="59"/>
        <v>0</v>
      </c>
      <c r="Y115" s="1137">
        <f t="shared" si="60"/>
        <v>0</v>
      </c>
      <c r="Z115" s="701">
        <f t="shared" si="61"/>
        <v>0</v>
      </c>
      <c r="AA115" s="701">
        <f t="shared" si="62"/>
        <v>0</v>
      </c>
      <c r="AB115" s="639">
        <f t="shared" si="63"/>
        <v>0</v>
      </c>
      <c r="AC115" s="631">
        <f t="shared" si="64"/>
        <v>0</v>
      </c>
      <c r="AD115" s="632" t="e">
        <f>W115/$W$120</f>
        <v>#DIV/0!</v>
      </c>
      <c r="AN115" s="1703">
        <f t="shared" si="38"/>
        <v>0</v>
      </c>
      <c r="AO115" s="1713"/>
    </row>
    <row r="116" spans="1:41" ht="150" customHeight="1" x14ac:dyDescent="0.7">
      <c r="A116" s="584">
        <v>102</v>
      </c>
      <c r="B116" s="608" t="s">
        <v>498</v>
      </c>
      <c r="C116" s="647" t="s">
        <v>175</v>
      </c>
      <c r="D116" s="584" t="s">
        <v>182</v>
      </c>
      <c r="E116" s="584" t="s">
        <v>179</v>
      </c>
      <c r="F116" s="691" t="s">
        <v>647</v>
      </c>
      <c r="G116" s="703" t="s">
        <v>1447</v>
      </c>
      <c r="H116" s="1264">
        <v>50</v>
      </c>
      <c r="I116" s="1264">
        <v>0</v>
      </c>
      <c r="J116" s="1201">
        <v>28</v>
      </c>
      <c r="K116" s="620">
        <f t="shared" si="53"/>
        <v>0</v>
      </c>
      <c r="L116" s="621">
        <f t="shared" si="54"/>
        <v>0</v>
      </c>
      <c r="M116" s="621">
        <f t="shared" si="55"/>
        <v>0</v>
      </c>
      <c r="N116" s="622">
        <f t="shared" si="56"/>
        <v>0</v>
      </c>
      <c r="O116" s="1196" t="s">
        <v>658</v>
      </c>
      <c r="P116" s="1133"/>
      <c r="Q116" s="1133"/>
      <c r="T116" s="648">
        <f t="shared" si="57"/>
        <v>50</v>
      </c>
      <c r="U116" s="649">
        <f t="shared" si="57"/>
        <v>0</v>
      </c>
      <c r="V116" s="650">
        <v>22</v>
      </c>
      <c r="W116" s="650">
        <f t="shared" si="58"/>
        <v>0</v>
      </c>
      <c r="X116" s="651">
        <f t="shared" si="59"/>
        <v>0</v>
      </c>
      <c r="Y116" s="1139">
        <f t="shared" si="60"/>
        <v>0</v>
      </c>
      <c r="Z116" s="653">
        <f t="shared" si="61"/>
        <v>0</v>
      </c>
      <c r="AA116" s="653">
        <f t="shared" si="62"/>
        <v>0</v>
      </c>
      <c r="AB116" s="630">
        <f t="shared" si="63"/>
        <v>0</v>
      </c>
      <c r="AC116" s="631">
        <f t="shared" si="64"/>
        <v>0</v>
      </c>
      <c r="AD116" s="632"/>
      <c r="AN116" s="1703">
        <f t="shared" si="38"/>
        <v>0</v>
      </c>
      <c r="AO116" s="1713"/>
    </row>
    <row r="117" spans="1:41" ht="150" customHeight="1" x14ac:dyDescent="0.7">
      <c r="A117" s="584">
        <v>103</v>
      </c>
      <c r="B117" s="608" t="s">
        <v>499</v>
      </c>
      <c r="C117" s="647" t="s">
        <v>175</v>
      </c>
      <c r="D117" s="584" t="s">
        <v>182</v>
      </c>
      <c r="E117" s="584" t="s">
        <v>179</v>
      </c>
      <c r="F117" s="718" t="s">
        <v>648</v>
      </c>
      <c r="G117" s="736" t="s">
        <v>1448</v>
      </c>
      <c r="H117" s="1159">
        <v>50</v>
      </c>
      <c r="I117" s="1159">
        <v>0</v>
      </c>
      <c r="J117" s="1265">
        <v>150</v>
      </c>
      <c r="K117" s="621">
        <f t="shared" si="53"/>
        <v>0</v>
      </c>
      <c r="L117" s="621">
        <f t="shared" si="54"/>
        <v>0</v>
      </c>
      <c r="M117" s="621">
        <f t="shared" si="55"/>
        <v>0</v>
      </c>
      <c r="N117" s="622">
        <f t="shared" si="56"/>
        <v>0</v>
      </c>
      <c r="O117" s="1196" t="s">
        <v>658</v>
      </c>
      <c r="P117" s="1133"/>
      <c r="Q117" s="1133"/>
      <c r="T117" s="648">
        <f t="shared" si="57"/>
        <v>50</v>
      </c>
      <c r="U117" s="649">
        <f t="shared" si="57"/>
        <v>0</v>
      </c>
      <c r="V117" s="626">
        <v>116</v>
      </c>
      <c r="W117" s="650">
        <f t="shared" si="58"/>
        <v>0</v>
      </c>
      <c r="X117" s="651">
        <f t="shared" si="59"/>
        <v>0</v>
      </c>
      <c r="Y117" s="1139">
        <f t="shared" si="60"/>
        <v>0</v>
      </c>
      <c r="Z117" s="653">
        <f t="shared" si="61"/>
        <v>0</v>
      </c>
      <c r="AA117" s="653">
        <f t="shared" si="62"/>
        <v>0</v>
      </c>
      <c r="AB117" s="630">
        <f t="shared" si="63"/>
        <v>0</v>
      </c>
      <c r="AC117" s="631">
        <f t="shared" si="64"/>
        <v>0</v>
      </c>
      <c r="AD117" s="632" t="e">
        <f>W117/$W$120</f>
        <v>#DIV/0!</v>
      </c>
      <c r="AN117" s="1703">
        <f t="shared" si="38"/>
        <v>0</v>
      </c>
      <c r="AO117" s="1713"/>
    </row>
    <row r="118" spans="1:41" ht="150" customHeight="1" x14ac:dyDescent="0.7">
      <c r="A118" s="584">
        <v>104</v>
      </c>
      <c r="B118" s="608" t="s">
        <v>500</v>
      </c>
      <c r="C118" s="655" t="s">
        <v>175</v>
      </c>
      <c r="D118" s="633" t="s">
        <v>182</v>
      </c>
      <c r="E118" s="633" t="s">
        <v>179</v>
      </c>
      <c r="F118" s="838" t="s">
        <v>490</v>
      </c>
      <c r="G118" s="940" t="s">
        <v>1449</v>
      </c>
      <c r="H118" s="951">
        <v>50</v>
      </c>
      <c r="I118" s="951">
        <v>0</v>
      </c>
      <c r="J118" s="1075">
        <v>0.59</v>
      </c>
      <c r="K118" s="621">
        <f t="shared" si="53"/>
        <v>0</v>
      </c>
      <c r="L118" s="621">
        <f t="shared" si="54"/>
        <v>0</v>
      </c>
      <c r="M118" s="621">
        <f t="shared" si="55"/>
        <v>0</v>
      </c>
      <c r="N118" s="622">
        <f t="shared" si="56"/>
        <v>0</v>
      </c>
      <c r="O118" s="1196" t="s">
        <v>658</v>
      </c>
      <c r="P118" s="1158"/>
      <c r="Q118" s="1133"/>
      <c r="T118" s="658">
        <f t="shared" si="57"/>
        <v>50</v>
      </c>
      <c r="U118" s="659">
        <f t="shared" si="57"/>
        <v>0</v>
      </c>
      <c r="V118" s="660">
        <v>0.47</v>
      </c>
      <c r="W118" s="660">
        <f t="shared" si="58"/>
        <v>0</v>
      </c>
      <c r="X118" s="661">
        <f t="shared" si="59"/>
        <v>0</v>
      </c>
      <c r="Y118" s="1143">
        <f t="shared" si="60"/>
        <v>0</v>
      </c>
      <c r="Z118" s="663">
        <f t="shared" si="61"/>
        <v>0</v>
      </c>
      <c r="AA118" s="663">
        <f t="shared" si="62"/>
        <v>0</v>
      </c>
      <c r="AB118" s="664">
        <f t="shared" si="63"/>
        <v>0</v>
      </c>
      <c r="AC118" s="631">
        <f t="shared" si="64"/>
        <v>0</v>
      </c>
      <c r="AD118" s="632" t="e">
        <f>W118/$W$120</f>
        <v>#DIV/0!</v>
      </c>
      <c r="AN118" s="1703">
        <f t="shared" si="38"/>
        <v>0</v>
      </c>
      <c r="AO118" s="1713"/>
    </row>
    <row r="119" spans="1:41" ht="150" customHeight="1" x14ac:dyDescent="0.7">
      <c r="A119" s="584">
        <v>105</v>
      </c>
      <c r="B119" s="608" t="s">
        <v>649</v>
      </c>
      <c r="C119" s="655" t="s">
        <v>175</v>
      </c>
      <c r="D119" s="633" t="s">
        <v>182</v>
      </c>
      <c r="E119" s="633" t="s">
        <v>179</v>
      </c>
      <c r="F119" s="838" t="s">
        <v>650</v>
      </c>
      <c r="G119" s="868" t="s">
        <v>1450</v>
      </c>
      <c r="H119" s="951">
        <v>50</v>
      </c>
      <c r="I119" s="951">
        <v>0</v>
      </c>
      <c r="J119" s="1075">
        <v>336.25</v>
      </c>
      <c r="K119" s="621">
        <f t="shared" si="53"/>
        <v>0</v>
      </c>
      <c r="L119" s="621">
        <f t="shared" si="54"/>
        <v>0</v>
      </c>
      <c r="M119" s="621">
        <f t="shared" si="55"/>
        <v>0</v>
      </c>
      <c r="N119" s="622">
        <f t="shared" si="56"/>
        <v>0</v>
      </c>
      <c r="O119" s="1196" t="s">
        <v>658</v>
      </c>
      <c r="P119" s="1158"/>
      <c r="Q119" s="1133"/>
      <c r="T119" s="658">
        <f t="shared" si="57"/>
        <v>50</v>
      </c>
      <c r="U119" s="659">
        <f t="shared" si="57"/>
        <v>0</v>
      </c>
      <c r="V119" s="660">
        <v>269</v>
      </c>
      <c r="W119" s="660">
        <f t="shared" si="58"/>
        <v>0</v>
      </c>
      <c r="X119" s="661">
        <f t="shared" si="59"/>
        <v>0</v>
      </c>
      <c r="Y119" s="1143">
        <f t="shared" si="60"/>
        <v>0</v>
      </c>
      <c r="Z119" s="663">
        <f t="shared" si="61"/>
        <v>0</v>
      </c>
      <c r="AA119" s="663">
        <f t="shared" si="62"/>
        <v>0</v>
      </c>
      <c r="AB119" s="664">
        <f t="shared" si="63"/>
        <v>0</v>
      </c>
      <c r="AC119" s="631">
        <f t="shared" si="64"/>
        <v>0</v>
      </c>
      <c r="AD119" s="632" t="e">
        <f>W119/$W$120</f>
        <v>#DIV/0!</v>
      </c>
      <c r="AN119" s="1703">
        <f t="shared" si="38"/>
        <v>0</v>
      </c>
      <c r="AO119" s="1713"/>
    </row>
    <row r="120" spans="1:41" ht="50.1" customHeight="1" thickBot="1" x14ac:dyDescent="0.75">
      <c r="A120" s="584">
        <v>106</v>
      </c>
      <c r="B120" s="608"/>
      <c r="C120" s="609" t="s">
        <v>184</v>
      </c>
      <c r="D120" s="584"/>
      <c r="E120" s="584"/>
      <c r="F120" s="1420" t="s">
        <v>503</v>
      </c>
      <c r="G120" s="1421"/>
      <c r="H120" s="1421"/>
      <c r="I120" s="1421"/>
      <c r="J120" s="1421"/>
      <c r="K120" s="1173">
        <f>SUM(K112:K119)</f>
        <v>0</v>
      </c>
      <c r="L120" s="1173">
        <f>SUM(L112:L119)</f>
        <v>0</v>
      </c>
      <c r="M120" s="1173">
        <f>SUM(M112:M119)</f>
        <v>0</v>
      </c>
      <c r="N120" s="1174">
        <f>SUM(N112:N119)</f>
        <v>0</v>
      </c>
      <c r="T120" s="1383">
        <f>SUM(T112:T119)</f>
        <v>400</v>
      </c>
      <c r="U120" s="1421"/>
      <c r="V120" s="1421"/>
      <c r="W120" s="1187">
        <f>SUM(W112:W119)</f>
        <v>0</v>
      </c>
      <c r="X120" s="1188">
        <f>SUM(X112:X119)</f>
        <v>0</v>
      </c>
      <c r="Y120" s="1189"/>
      <c r="Z120" s="1190"/>
      <c r="AA120" s="1191">
        <f>SUM(AA112:AA119)</f>
        <v>0</v>
      </c>
      <c r="AB120" s="678">
        <f t="shared" si="63"/>
        <v>0</v>
      </c>
      <c r="AN120" s="1703"/>
      <c r="AO120" s="1713"/>
    </row>
    <row r="121" spans="1:41" ht="50.1" customHeight="1" x14ac:dyDescent="0.7">
      <c r="A121" s="584">
        <v>107</v>
      </c>
      <c r="B121" s="608" t="s">
        <v>504</v>
      </c>
      <c r="C121" s="609" t="s">
        <v>169</v>
      </c>
      <c r="D121" s="584"/>
      <c r="E121" s="584"/>
      <c r="F121" s="1448" t="s">
        <v>506</v>
      </c>
      <c r="G121" s="1449"/>
      <c r="H121" s="1449"/>
      <c r="I121" s="1449"/>
      <c r="J121" s="1449"/>
      <c r="K121" s="1456"/>
      <c r="L121" s="1193" t="s">
        <v>171</v>
      </c>
      <c r="M121" s="1194" t="s">
        <v>172</v>
      </c>
      <c r="N121" s="1195" t="s">
        <v>129</v>
      </c>
      <c r="O121" s="1126" t="s">
        <v>651</v>
      </c>
      <c r="P121" s="1127" t="s">
        <v>652</v>
      </c>
      <c r="Q121" s="1127" t="s">
        <v>666</v>
      </c>
      <c r="T121" s="1437" t="str">
        <f>IF(F121&lt;&gt;"",F121,"")</f>
        <v>MATERIAIS E IMPRESSOS</v>
      </c>
      <c r="U121" s="1438"/>
      <c r="V121" s="1438"/>
      <c r="W121" s="1438"/>
      <c r="X121" s="1438"/>
      <c r="Y121" s="1438"/>
      <c r="Z121" s="1438"/>
      <c r="AA121" s="1438"/>
      <c r="AB121" s="1439"/>
      <c r="AC121" s="616" t="s">
        <v>173</v>
      </c>
      <c r="AD121" s="617" t="s">
        <v>130</v>
      </c>
      <c r="AN121" s="1703"/>
      <c r="AO121" s="1713"/>
    </row>
    <row r="122" spans="1:41" ht="150" customHeight="1" x14ac:dyDescent="0.7">
      <c r="A122" s="584">
        <v>108</v>
      </c>
      <c r="B122" s="608" t="s">
        <v>507</v>
      </c>
      <c r="C122" s="609" t="s">
        <v>175</v>
      </c>
      <c r="D122" s="584" t="s">
        <v>182</v>
      </c>
      <c r="E122" s="584" t="s">
        <v>179</v>
      </c>
      <c r="F122" s="1128" t="s">
        <v>515</v>
      </c>
      <c r="G122" s="829" t="s">
        <v>1451</v>
      </c>
      <c r="H122" s="830">
        <v>50</v>
      </c>
      <c r="I122" s="830">
        <v>1</v>
      </c>
      <c r="J122" s="1171">
        <v>7.18</v>
      </c>
      <c r="K122" s="695">
        <f>IF(F122&lt;&gt;"",H122*I122*J122,"")</f>
        <v>359</v>
      </c>
      <c r="L122" s="695">
        <f>IF(K122&lt;&gt;"",IF(D122="INTERNO",0,K122*$L$14),"")</f>
        <v>28.72</v>
      </c>
      <c r="M122" s="695">
        <f>IF(K122&lt;&gt;"",IF(E122="FAT.OGGI",SUM(K122:L122)*(1/(1-$M$14)-1),L122*(1/(1-$M$14)-1)),0)</f>
        <v>81.27721785411876</v>
      </c>
      <c r="N122" s="635">
        <f>SUM(K122:M122)</f>
        <v>468.99721785411879</v>
      </c>
      <c r="O122" s="1131" t="s">
        <v>653</v>
      </c>
      <c r="P122" s="1136" t="s">
        <v>623</v>
      </c>
      <c r="Q122" s="1136" t="s">
        <v>1008</v>
      </c>
      <c r="T122" s="624">
        <f t="shared" ref="T122:U125" si="65">IF(H122&lt;&gt;"",H122,"")</f>
        <v>50</v>
      </c>
      <c r="U122" s="625">
        <f t="shared" si="65"/>
        <v>1</v>
      </c>
      <c r="V122" s="626">
        <v>5</v>
      </c>
      <c r="W122" s="626">
        <v>0</v>
      </c>
      <c r="X122" s="627">
        <f>IF(T122&lt;&gt;"",K122-W122,"")</f>
        <v>359</v>
      </c>
      <c r="Y122" s="1134">
        <f>IF(T122&lt;&gt;"",0%,"")</f>
        <v>0</v>
      </c>
      <c r="Z122" s="629">
        <f>IF(T122&lt;&gt;"",Y122*X122,"")</f>
        <v>0</v>
      </c>
      <c r="AA122" s="629">
        <f>IF(T122&lt;&gt;"",Z122+W122,"")</f>
        <v>0</v>
      </c>
      <c r="AB122" s="630">
        <f t="shared" ref="AB122:AB127" si="66">IF(T122&lt;&gt;"",AA122+M122,"")</f>
        <v>81.27721785411876</v>
      </c>
      <c r="AC122" s="631">
        <f>IF(T122&lt;&gt;"", IFERROR(X122/K122, 0), 0)</f>
        <v>1</v>
      </c>
      <c r="AD122" s="632" t="e">
        <f>W122/$W$126</f>
        <v>#DIV/0!</v>
      </c>
      <c r="AN122" s="1703">
        <f t="shared" si="38"/>
        <v>0</v>
      </c>
      <c r="AO122" s="1713"/>
    </row>
    <row r="123" spans="1:41" ht="150" customHeight="1" x14ac:dyDescent="0.7">
      <c r="A123" s="584">
        <v>109</v>
      </c>
      <c r="B123" s="608" t="s">
        <v>508</v>
      </c>
      <c r="C123" s="609" t="s">
        <v>175</v>
      </c>
      <c r="D123" s="584" t="s">
        <v>182</v>
      </c>
      <c r="E123" s="584" t="s">
        <v>179</v>
      </c>
      <c r="F123" s="1128" t="s">
        <v>516</v>
      </c>
      <c r="G123" s="829" t="s">
        <v>1452</v>
      </c>
      <c r="H123" s="830">
        <v>50</v>
      </c>
      <c r="I123" s="830">
        <v>1</v>
      </c>
      <c r="J123" s="1171">
        <v>3.04</v>
      </c>
      <c r="K123" s="695">
        <f>IF(F123&lt;&gt;"",H123*I123*J123,"")</f>
        <v>152</v>
      </c>
      <c r="L123" s="695">
        <f>IF(K123&lt;&gt;"",IF(D123="INTERNO",0,K123*$L$14),"")</f>
        <v>12.16</v>
      </c>
      <c r="M123" s="695">
        <f>IF(K123&lt;&gt;"",IF(E123="FAT.OGGI",SUM(K123:L123)*(1/(1-$M$14)-1),L123*(1/(1-$M$14)-1)),0)</f>
        <v>34.412638200072564</v>
      </c>
      <c r="N123" s="635">
        <f>SUM(K123:M123)</f>
        <v>198.57263820007256</v>
      </c>
      <c r="O123" s="1131" t="s">
        <v>653</v>
      </c>
      <c r="P123" s="1132" t="s">
        <v>655</v>
      </c>
      <c r="Q123" s="1266" t="s">
        <v>1019</v>
      </c>
      <c r="T123" s="624">
        <f t="shared" si="65"/>
        <v>50</v>
      </c>
      <c r="U123" s="625">
        <v>0</v>
      </c>
      <c r="V123" s="626">
        <v>3.7189999999999999</v>
      </c>
      <c r="W123" s="626">
        <v>0</v>
      </c>
      <c r="X123" s="627">
        <f>IF(T123&lt;&gt;"",K123-W123,"")</f>
        <v>152</v>
      </c>
      <c r="Y123" s="1134">
        <f>IF(T123&lt;&gt;"",0%,"")</f>
        <v>0</v>
      </c>
      <c r="Z123" s="629">
        <f>IF(T123&lt;&gt;"",Y123*X123,"")</f>
        <v>0</v>
      </c>
      <c r="AA123" s="629">
        <f>IF(T123&lt;&gt;"",Z123+W123,"")</f>
        <v>0</v>
      </c>
      <c r="AB123" s="630">
        <f t="shared" si="66"/>
        <v>34.412638200072564</v>
      </c>
      <c r="AC123" s="631">
        <f>IF(T123&lt;&gt;"", IFERROR(X123/K123, 0), 0)</f>
        <v>1</v>
      </c>
      <c r="AD123" s="632" t="e">
        <f>W123/$W$126</f>
        <v>#DIV/0!</v>
      </c>
      <c r="AN123" s="1703">
        <f t="shared" si="38"/>
        <v>0</v>
      </c>
      <c r="AO123" s="1713"/>
    </row>
    <row r="124" spans="1:41" ht="150" customHeight="1" x14ac:dyDescent="0.7">
      <c r="A124" s="584">
        <v>110</v>
      </c>
      <c r="B124" s="608" t="s">
        <v>509</v>
      </c>
      <c r="C124" s="609" t="s">
        <v>175</v>
      </c>
      <c r="D124" s="584" t="s">
        <v>182</v>
      </c>
      <c r="E124" s="584" t="s">
        <v>179</v>
      </c>
      <c r="F124" s="1128" t="s">
        <v>517</v>
      </c>
      <c r="G124" s="829" t="s">
        <v>1348</v>
      </c>
      <c r="H124" s="830">
        <v>30</v>
      </c>
      <c r="I124" s="830">
        <v>1</v>
      </c>
      <c r="J124" s="1171">
        <v>5</v>
      </c>
      <c r="K124" s="695">
        <f>IF(F124&lt;&gt;"",H124*I124*J124,"")</f>
        <v>150</v>
      </c>
      <c r="L124" s="695">
        <f>IF(K124&lt;&gt;"",IF(D124="INTERNO",0,K124*$L$14),"")</f>
        <v>12</v>
      </c>
      <c r="M124" s="695">
        <f>IF(K124&lt;&gt;"",IF(E124="FAT.OGGI",SUM(K124:L124)*(1/(1-$M$14)-1),L124*(1/(1-$M$14)-1)),0)</f>
        <v>33.959840329018981</v>
      </c>
      <c r="N124" s="635">
        <f>SUM(K124:M124)</f>
        <v>195.95984032901899</v>
      </c>
      <c r="O124" s="1131" t="s">
        <v>653</v>
      </c>
      <c r="P124" s="1132" t="s">
        <v>655</v>
      </c>
      <c r="Q124" s="1136" t="s">
        <v>1008</v>
      </c>
      <c r="T124" s="624">
        <f t="shared" si="65"/>
        <v>30</v>
      </c>
      <c r="U124" s="625">
        <f t="shared" si="65"/>
        <v>1</v>
      </c>
      <c r="V124" s="626">
        <v>3</v>
      </c>
      <c r="W124" s="626">
        <v>0</v>
      </c>
      <c r="X124" s="627">
        <f>IF(T124&lt;&gt;"",K124-W124,"")</f>
        <v>150</v>
      </c>
      <c r="Y124" s="1134">
        <f>IF(T124&lt;&gt;"",0%,"")</f>
        <v>0</v>
      </c>
      <c r="Z124" s="629">
        <f>IF(T124&lt;&gt;"",Y124*X124,"")</f>
        <v>0</v>
      </c>
      <c r="AA124" s="629">
        <f>IF(T124&lt;&gt;"",Z124+W124,"")</f>
        <v>0</v>
      </c>
      <c r="AB124" s="630">
        <f t="shared" si="66"/>
        <v>33.959840329018981</v>
      </c>
      <c r="AC124" s="631">
        <f>IF(T124&lt;&gt;"", IFERROR(X124/K124, 0), 0)</f>
        <v>1</v>
      </c>
      <c r="AD124" s="632" t="e">
        <f>W124/$W$126</f>
        <v>#DIV/0!</v>
      </c>
      <c r="AN124" s="1703">
        <f t="shared" si="38"/>
        <v>0</v>
      </c>
      <c r="AO124" s="1713"/>
    </row>
    <row r="125" spans="1:41" ht="150" customHeight="1" x14ac:dyDescent="0.7">
      <c r="A125" s="584">
        <v>111</v>
      </c>
      <c r="B125" s="608" t="s">
        <v>510</v>
      </c>
      <c r="C125" s="609" t="s">
        <v>175</v>
      </c>
      <c r="D125" s="584" t="s">
        <v>182</v>
      </c>
      <c r="E125" s="584" t="s">
        <v>179</v>
      </c>
      <c r="F125" s="1128" t="s">
        <v>551</v>
      </c>
      <c r="G125" s="829" t="s">
        <v>1453</v>
      </c>
      <c r="H125" s="830">
        <v>50</v>
      </c>
      <c r="I125" s="830">
        <v>1</v>
      </c>
      <c r="J125" s="1171">
        <v>1.35</v>
      </c>
      <c r="K125" s="695">
        <f>IF(F125&lt;&gt;"",H125*I125*J125,"")</f>
        <v>67.5</v>
      </c>
      <c r="L125" s="695">
        <f>IF(K125&lt;&gt;"",IF(D125="INTERNO",0,K125*$L$14),"")</f>
        <v>5.4</v>
      </c>
      <c r="M125" s="695">
        <f>IF(K125&lt;&gt;"",IF(E125="FAT.OGGI",SUM(K125:L125)*(1/(1-$M$14)-1),L125*(1/(1-$M$14)-1)),0)</f>
        <v>15.281928148058542</v>
      </c>
      <c r="N125" s="635">
        <f>SUM(K125:M125)</f>
        <v>88.181928148058546</v>
      </c>
      <c r="O125" s="1131" t="s">
        <v>653</v>
      </c>
      <c r="P125" s="1136" t="s">
        <v>623</v>
      </c>
      <c r="Q125" s="1133"/>
      <c r="T125" s="624">
        <f t="shared" si="65"/>
        <v>50</v>
      </c>
      <c r="U125" s="625">
        <f t="shared" si="65"/>
        <v>1</v>
      </c>
      <c r="V125" s="626">
        <v>0</v>
      </c>
      <c r="W125" s="626">
        <f>IF(T125&lt;&gt;"",T125*U125*V125,"")</f>
        <v>0</v>
      </c>
      <c r="X125" s="627">
        <f>IF(T125&lt;&gt;"",K125-W125,"")</f>
        <v>67.5</v>
      </c>
      <c r="Y125" s="1134">
        <f>IF(T125&lt;&gt;"",0%,"")</f>
        <v>0</v>
      </c>
      <c r="Z125" s="629">
        <f>IF(T125&lt;&gt;"",Y125*X125,"")</f>
        <v>0</v>
      </c>
      <c r="AA125" s="629">
        <f>IF(T125&lt;&gt;"",Z125+W125,"")</f>
        <v>0</v>
      </c>
      <c r="AB125" s="630">
        <f t="shared" si="66"/>
        <v>15.281928148058542</v>
      </c>
      <c r="AC125" s="631">
        <f>IF(T125&lt;&gt;"", IFERROR(X125/K125, 0), 0)</f>
        <v>1</v>
      </c>
      <c r="AD125" s="632" t="e">
        <f>W125/$W$126</f>
        <v>#DIV/0!</v>
      </c>
      <c r="AN125" s="1703">
        <f t="shared" si="38"/>
        <v>0</v>
      </c>
      <c r="AO125" s="1713"/>
    </row>
    <row r="126" spans="1:41" ht="50.1" customHeight="1" thickBot="1" x14ac:dyDescent="0.75">
      <c r="A126" s="584">
        <v>112</v>
      </c>
      <c r="B126" s="608"/>
      <c r="C126" s="609" t="s">
        <v>184</v>
      </c>
      <c r="D126" s="584"/>
      <c r="E126" s="584"/>
      <c r="F126" s="1375" t="s">
        <v>523</v>
      </c>
      <c r="G126" s="1376"/>
      <c r="H126" s="1376"/>
      <c r="I126" s="1376"/>
      <c r="J126" s="1376"/>
      <c r="K126" s="1216">
        <f>SUM(K122:K125)</f>
        <v>728.5</v>
      </c>
      <c r="L126" s="1216">
        <f>SUM(L122:L125)</f>
        <v>58.279999999999994</v>
      </c>
      <c r="M126" s="1216">
        <f>SUM(M122:M125)</f>
        <v>164.93162453126885</v>
      </c>
      <c r="N126" s="1217">
        <f>SUM(N122:N125)</f>
        <v>951.71162453126897</v>
      </c>
      <c r="T126" s="1422">
        <f>SUM(T122:T125)</f>
        <v>180</v>
      </c>
      <c r="U126" s="1423"/>
      <c r="V126" s="1423"/>
      <c r="W126" s="1175">
        <f>SUM(W122:W125)</f>
        <v>0</v>
      </c>
      <c r="X126" s="1176">
        <f>SUM(X122:X125)</f>
        <v>728.5</v>
      </c>
      <c r="Y126" s="1177"/>
      <c r="Z126" s="1178"/>
      <c r="AA126" s="1179">
        <f>SUM(AA122:AA125)</f>
        <v>0</v>
      </c>
      <c r="AB126" s="1180">
        <f t="shared" si="66"/>
        <v>164.93162453126885</v>
      </c>
      <c r="AN126" s="1703"/>
      <c r="AO126" s="1713"/>
    </row>
    <row r="127" spans="1:41" ht="50.1" customHeight="1" thickBot="1" x14ac:dyDescent="0.75">
      <c r="A127" s="584">
        <v>113</v>
      </c>
      <c r="B127" s="608"/>
      <c r="C127" s="609" t="s">
        <v>183</v>
      </c>
      <c r="D127" s="584"/>
      <c r="E127" s="584"/>
      <c r="F127" s="1426" t="s">
        <v>524</v>
      </c>
      <c r="G127" s="1427"/>
      <c r="H127" s="1427"/>
      <c r="I127" s="1427"/>
      <c r="J127" s="1427"/>
      <c r="K127" s="1166">
        <f>SUM(K107:K109)+SUM(K112:K119)+SUM(K122:K125)</f>
        <v>9428.5</v>
      </c>
      <c r="L127" s="1166">
        <f>SUM(L107:L109)+SUM(L112:L119)+SUM(L122:L125)</f>
        <v>754.28</v>
      </c>
      <c r="M127" s="1166">
        <f>SUM(M107:M109)+SUM(M112:M119)+SUM(M122:M125)</f>
        <v>2134.6023636143696</v>
      </c>
      <c r="N127" s="1229">
        <f>SUM(N107:N109)+SUM(N112:N119)+SUM(N122:N125)</f>
        <v>12317.382363614368</v>
      </c>
      <c r="T127" s="1385">
        <f>SUM(T107:T109)+SUM(T112:T119)+SUM(T122:T125)</f>
        <v>583</v>
      </c>
      <c r="U127" s="1386"/>
      <c r="V127" s="1386"/>
      <c r="W127" s="1242">
        <f>SUM(W107:W109)+SUM(W112:W119)+SUM(W122:W125)</f>
        <v>0</v>
      </c>
      <c r="X127" s="1167">
        <f>SUM(X107:X109)+SUM(X112:X119)+SUM(X122:X125)</f>
        <v>9428.5</v>
      </c>
      <c r="Y127" s="1168"/>
      <c r="Z127" s="1169"/>
      <c r="AA127" s="1170">
        <f>SUM(AA107:AA109)+SUM(AA112:AA119)+SUM(AA122:AA125)</f>
        <v>0</v>
      </c>
      <c r="AB127" s="783">
        <f t="shared" si="66"/>
        <v>2134.6023636143696</v>
      </c>
      <c r="AN127" s="1703"/>
      <c r="AO127" s="1713"/>
    </row>
    <row r="128" spans="1:41" ht="50.1" customHeight="1" thickBot="1" x14ac:dyDescent="0.75">
      <c r="A128" s="584">
        <v>114</v>
      </c>
      <c r="B128" s="608">
        <v>10</v>
      </c>
      <c r="C128" s="609" t="s">
        <v>167</v>
      </c>
      <c r="D128" s="584"/>
      <c r="E128" s="584"/>
      <c r="F128" s="1380" t="s">
        <v>532</v>
      </c>
      <c r="G128" s="1381"/>
      <c r="H128" s="1381"/>
      <c r="I128" s="1381"/>
      <c r="J128" s="1381"/>
      <c r="K128" s="1381"/>
      <c r="L128" s="1381"/>
      <c r="M128" s="1381"/>
      <c r="N128" s="1382"/>
      <c r="T128" s="1387" t="str">
        <f>IF(F128&lt;&gt;"",F128,"")</f>
        <v>OPERAÇÃO</v>
      </c>
      <c r="U128" s="1388"/>
      <c r="V128" s="1388"/>
      <c r="W128" s="1388"/>
      <c r="X128" s="1388"/>
      <c r="Y128" s="1388"/>
      <c r="Z128" s="1388"/>
      <c r="AA128" s="1388"/>
      <c r="AB128" s="1389"/>
      <c r="AN128" s="1703"/>
      <c r="AO128" s="1713"/>
    </row>
    <row r="129" spans="1:42" ht="50.1" customHeight="1" x14ac:dyDescent="0.7">
      <c r="A129" s="584">
        <v>115</v>
      </c>
      <c r="B129" s="608" t="s">
        <v>525</v>
      </c>
      <c r="C129" s="609" t="s">
        <v>169</v>
      </c>
      <c r="D129" s="584"/>
      <c r="E129" s="584"/>
      <c r="F129" s="1403" t="s">
        <v>532</v>
      </c>
      <c r="G129" s="1404"/>
      <c r="H129" s="1404"/>
      <c r="I129" s="1404"/>
      <c r="J129" s="1404"/>
      <c r="K129" s="1405"/>
      <c r="L129" s="612" t="s">
        <v>171</v>
      </c>
      <c r="M129" s="613" t="s">
        <v>172</v>
      </c>
      <c r="N129" s="971" t="s">
        <v>129</v>
      </c>
      <c r="O129" s="1126" t="s">
        <v>651</v>
      </c>
      <c r="P129" s="1127" t="s">
        <v>652</v>
      </c>
      <c r="Q129" s="1127" t="s">
        <v>666</v>
      </c>
      <c r="T129" s="1406" t="str">
        <f>IF(F129&lt;&gt;"",F129,"")</f>
        <v>OPERAÇÃO</v>
      </c>
      <c r="U129" s="1407"/>
      <c r="V129" s="1407"/>
      <c r="W129" s="1407"/>
      <c r="X129" s="1407"/>
      <c r="Y129" s="1407"/>
      <c r="Z129" s="1407"/>
      <c r="AA129" s="1407"/>
      <c r="AB129" s="1408"/>
      <c r="AC129" s="616" t="s">
        <v>173</v>
      </c>
      <c r="AD129" s="617" t="s">
        <v>130</v>
      </c>
      <c r="AN129" s="1703"/>
      <c r="AO129" s="1713"/>
    </row>
    <row r="130" spans="1:42" ht="150" customHeight="1" x14ac:dyDescent="0.7">
      <c r="A130" s="584">
        <v>116</v>
      </c>
      <c r="B130" s="608" t="s">
        <v>526</v>
      </c>
      <c r="C130" s="647" t="s">
        <v>175</v>
      </c>
      <c r="D130" s="584" t="s">
        <v>182</v>
      </c>
      <c r="E130" s="584" t="s">
        <v>179</v>
      </c>
      <c r="F130" s="838" t="s">
        <v>486</v>
      </c>
      <c r="G130" s="868" t="s">
        <v>486</v>
      </c>
      <c r="H130" s="951">
        <v>1</v>
      </c>
      <c r="I130" s="951">
        <v>1</v>
      </c>
      <c r="J130" s="1075">
        <v>600</v>
      </c>
      <c r="K130" s="621">
        <f>IF(F130&lt;&gt;"",H130*I130*J130,"")</f>
        <v>600</v>
      </c>
      <c r="L130" s="621">
        <f>IF(K130&lt;&gt;"",IF(D130="INTERNO",0,K130*$L$14),"")</f>
        <v>48</v>
      </c>
      <c r="M130" s="621">
        <f>IF(K130&lt;&gt;"",IF(E130="FAT.OGGI",SUM(K130:L130)*(1/(1-$M$14)-1),L130*(1/(1-$M$14)-1)),0)</f>
        <v>135.83936131607592</v>
      </c>
      <c r="N130" s="621">
        <f>SUM(K130:M130)</f>
        <v>783.83936131607595</v>
      </c>
      <c r="O130" s="1131" t="s">
        <v>653</v>
      </c>
      <c r="P130" s="1136" t="s">
        <v>974</v>
      </c>
      <c r="Q130" s="1133"/>
      <c r="T130" s="624">
        <f>IF(H130&lt;&gt;"",H130,"")</f>
        <v>1</v>
      </c>
      <c r="U130" s="625">
        <f>IF(I130&lt;&gt;"",I130,"")</f>
        <v>1</v>
      </c>
      <c r="V130" s="626">
        <v>0</v>
      </c>
      <c r="W130" s="650">
        <f>IF(T130&lt;&gt;"",T130*U130*V130,"")</f>
        <v>0</v>
      </c>
      <c r="X130" s="651">
        <f>IF(T130&lt;&gt;"",K130-W130,"")</f>
        <v>600</v>
      </c>
      <c r="Y130" s="1139">
        <f>IF(T130&lt;&gt;"",0%,"")</f>
        <v>0</v>
      </c>
      <c r="Z130" s="653">
        <f>IF(T130&lt;&gt;"",Y130*X130,"")</f>
        <v>0</v>
      </c>
      <c r="AA130" s="653">
        <f>IF(T130&lt;&gt;"",Z130+W130,"")</f>
        <v>0</v>
      </c>
      <c r="AB130" s="630">
        <f>IF(T130&lt;&gt;"",AA130+M130,"")</f>
        <v>135.83936131607592</v>
      </c>
      <c r="AC130" s="631">
        <f>IF(T130&lt;&gt;"", IFERROR(X130/K130, 0), 0)</f>
        <v>1</v>
      </c>
      <c r="AD130" s="632" t="e">
        <f>W130/$W$132</f>
        <v>#DIV/0!</v>
      </c>
      <c r="AN130" s="1703">
        <f t="shared" si="38"/>
        <v>0</v>
      </c>
      <c r="AO130" s="1713"/>
    </row>
    <row r="131" spans="1:42" ht="150" customHeight="1" x14ac:dyDescent="0.7">
      <c r="A131" s="584">
        <v>117</v>
      </c>
      <c r="B131" s="608" t="s">
        <v>527</v>
      </c>
      <c r="C131" s="634" t="s">
        <v>175</v>
      </c>
      <c r="D131" s="633" t="s">
        <v>182</v>
      </c>
      <c r="E131" s="633" t="s">
        <v>179</v>
      </c>
      <c r="F131" s="1128" t="s">
        <v>535</v>
      </c>
      <c r="G131" s="940" t="s">
        <v>1454</v>
      </c>
      <c r="H131" s="951">
        <v>1</v>
      </c>
      <c r="I131" s="951">
        <v>1</v>
      </c>
      <c r="J131" s="1075">
        <v>2000</v>
      </c>
      <c r="K131" s="791">
        <f>IF(F131&lt;&gt;"",H131*I131*J131,"")</f>
        <v>2000</v>
      </c>
      <c r="L131" s="791">
        <f>IF(K131&lt;&gt;"",IF(D131="INTERNO",0,K131*$L$14),"")</f>
        <v>160</v>
      </c>
      <c r="M131" s="791">
        <f>IF(K131&lt;&gt;"",IF(E131="FAT.OGGI",SUM(K131:L131)*(1/(1-$M$14)-1),L131*(1/(1-$M$14)-1)),0)</f>
        <v>452.79787105358639</v>
      </c>
      <c r="N131" s="641">
        <f>SUM(K131:M131)</f>
        <v>2612.7978710535863</v>
      </c>
      <c r="O131" s="1131" t="s">
        <v>653</v>
      </c>
      <c r="P131" s="1133"/>
      <c r="Q131" s="1267" t="s">
        <v>1020</v>
      </c>
      <c r="T131" s="624">
        <f>IF(H131&lt;&gt;"",H131,"")</f>
        <v>1</v>
      </c>
      <c r="U131" s="625">
        <f>IF(I131&lt;&gt;"",I131,"")</f>
        <v>1</v>
      </c>
      <c r="V131" s="626">
        <v>2000</v>
      </c>
      <c r="W131" s="643">
        <v>0</v>
      </c>
      <c r="X131" s="667">
        <f>IF(T131&lt;&gt;"",K131-W131,"")</f>
        <v>2000</v>
      </c>
      <c r="Y131" s="1144">
        <f>IF(T131&lt;&gt;"",0%,"")</f>
        <v>0</v>
      </c>
      <c r="Z131" s="669">
        <f>IF(T131&lt;&gt;"",Y131*X131,"")</f>
        <v>0</v>
      </c>
      <c r="AA131" s="669">
        <f>IF(T131&lt;&gt;"",Z131+W131,"")</f>
        <v>0</v>
      </c>
      <c r="AB131" s="664">
        <f>IF(T131&lt;&gt;"",AA131+M131,"")</f>
        <v>452.79787105358639</v>
      </c>
      <c r="AC131" s="631">
        <f>IF(T131&lt;&gt;"", IFERROR(X131/K131, 0), 0)</f>
        <v>1</v>
      </c>
      <c r="AD131" s="632" t="e">
        <f>W131/$W$132</f>
        <v>#DIV/0!</v>
      </c>
      <c r="AN131" s="1703">
        <f>AA131-AO131</f>
        <v>0</v>
      </c>
      <c r="AO131" s="1713"/>
    </row>
    <row r="132" spans="1:42" ht="50.1" customHeight="1" thickBot="1" x14ac:dyDescent="0.75">
      <c r="A132" s="584">
        <v>118</v>
      </c>
      <c r="B132" s="608"/>
      <c r="C132" s="609" t="s">
        <v>184</v>
      </c>
      <c r="D132" s="584"/>
      <c r="E132" s="584"/>
      <c r="F132" s="1375" t="s">
        <v>538</v>
      </c>
      <c r="G132" s="1376"/>
      <c r="H132" s="1376"/>
      <c r="I132" s="1376"/>
      <c r="J132" s="1376"/>
      <c r="K132" s="1216">
        <f>SUM(K130:K131)</f>
        <v>2600</v>
      </c>
      <c r="L132" s="1216">
        <f>SUM(L130:L131)</f>
        <v>208</v>
      </c>
      <c r="M132" s="1216">
        <f>SUM(M130:M131)</f>
        <v>588.63723236966234</v>
      </c>
      <c r="N132" s="1217">
        <f>SUM(N130:N131)</f>
        <v>3396.6372323696623</v>
      </c>
      <c r="T132" s="1422">
        <f>SUM(T130:T131)</f>
        <v>2</v>
      </c>
      <c r="U132" s="1423"/>
      <c r="V132" s="1423"/>
      <c r="W132" s="1175">
        <f>SUM(W130:W131)</f>
        <v>0</v>
      </c>
      <c r="X132" s="1176">
        <f>SUM(X130:X131)</f>
        <v>2600</v>
      </c>
      <c r="Y132" s="1177"/>
      <c r="Z132" s="1178"/>
      <c r="AA132" s="1179">
        <f>SUM(AA130:AA131)</f>
        <v>0</v>
      </c>
      <c r="AB132" s="1180">
        <f>IF(T132&lt;&gt;"",AA132+M132,"")</f>
        <v>588.63723236966234</v>
      </c>
      <c r="AN132" s="1703"/>
      <c r="AO132" s="1713"/>
    </row>
    <row r="133" spans="1:42" ht="50.1" customHeight="1" thickBot="1" x14ac:dyDescent="0.75">
      <c r="A133" s="584">
        <v>119</v>
      </c>
      <c r="B133" s="608"/>
      <c r="C133" s="609" t="s">
        <v>183</v>
      </c>
      <c r="D133" s="584"/>
      <c r="E133" s="584"/>
      <c r="F133" s="1426" t="s">
        <v>538</v>
      </c>
      <c r="G133" s="1427"/>
      <c r="H133" s="1427"/>
      <c r="I133" s="1427"/>
      <c r="J133" s="1427"/>
      <c r="K133" s="1166">
        <f>SUM(K130:K131)</f>
        <v>2600</v>
      </c>
      <c r="L133" s="1166">
        <f>SUM(L130:L131)</f>
        <v>208</v>
      </c>
      <c r="M133" s="1166">
        <f>SUM(M130:M131)</f>
        <v>588.63723236966234</v>
      </c>
      <c r="N133" s="1229">
        <f>SUM(N130:N131)</f>
        <v>3396.6372323696623</v>
      </c>
      <c r="T133" s="1454">
        <f>SUM(T130:T131)</f>
        <v>2</v>
      </c>
      <c r="U133" s="1455"/>
      <c r="V133" s="1455"/>
      <c r="W133" s="1268">
        <f>SUM(W130:W131)</f>
        <v>0</v>
      </c>
      <c r="X133" s="1188">
        <f>SUM(X130:X131)</f>
        <v>2600</v>
      </c>
      <c r="Y133" s="1189"/>
      <c r="Z133" s="1190"/>
      <c r="AA133" s="1191">
        <f>SUM(AA130:AA131)</f>
        <v>0</v>
      </c>
      <c r="AB133" s="678">
        <f>IF(T133&lt;&gt;"",AA133+M133,"")</f>
        <v>588.63723236966234</v>
      </c>
      <c r="AN133" s="1703"/>
      <c r="AO133" s="1713"/>
    </row>
    <row r="134" spans="1:42" ht="50.1" customHeight="1" thickBot="1" x14ac:dyDescent="0.75">
      <c r="A134" s="584">
        <v>118</v>
      </c>
      <c r="B134" s="815"/>
      <c r="C134" s="609" t="s">
        <v>186</v>
      </c>
      <c r="D134" s="584"/>
      <c r="E134" s="584"/>
      <c r="F134" s="1269" t="s">
        <v>187</v>
      </c>
      <c r="G134" s="1270"/>
      <c r="H134" s="1270"/>
      <c r="I134" s="1270"/>
      <c r="J134" s="1270"/>
      <c r="K134" s="1271">
        <f>SUM(K17:K24)+SUM(K29:K43)+SUM(K48:K52)+SUM(K57:K58)+SUM(K61:K61)+SUM(K64:K64)+SUM(K67:K70)+SUM(K75:K77)+SUM(K82:K85)+SUM(K90:K92)+SUM(K97:K102)+SUM(K107:K109)+SUM(K112:K119)+SUM(K122:K125)+SUM(K130:K131)</f>
        <v>446741.47</v>
      </c>
      <c r="L134" s="1271">
        <f>SUM(L17:L24)+SUM(L29:L43)+SUM(L48:L52)+SUM(L57:L58)+SUM(L61:L61)+SUM(L64:L64)+SUM(L67:L70)+SUM(L75:L77)+SUM(L82:L85)+SUM(L90:L92)+SUM(L97:L102)+SUM(L107:L109)+SUM(L112:L119)+SUM(L122:L125)+SUM(L130:L131)</f>
        <v>27186.817599999998</v>
      </c>
      <c r="M134" s="1271">
        <f>SUM(M17:M24)+SUM(M29:M43)+SUM(M48:M52)+SUM(M57:M58)+SUM(M61:M61)+SUM(M64:M64)+SUM(M67:M70)+SUM(M75:M77)+SUM(M82:M85)+SUM(M90:M92)+SUM(M97:M102)+SUM(M107:M109)+SUM(M112:M119)+SUM(M122:M125)+SUM(M130:M131)</f>
        <v>50620.241914938895</v>
      </c>
      <c r="N134" s="1271">
        <f>SUM(N130:N131,N122:N125,N112:N119,N107:N109,N97:N102,N90:N92,N82:N85,N75:N77,N67:N70,N64,N61,N58,N57,N48:N52)</f>
        <v>318868.59725414298</v>
      </c>
      <c r="T134" s="1272" t="s">
        <v>43</v>
      </c>
      <c r="U134" s="1273"/>
      <c r="V134" s="1270"/>
      <c r="W134" s="1271">
        <f t="shared" ref="W134:AB134" si="67">SUM(W130:W131,W122:W125,W112:W119,W107:W109,W97:W102,W90:W92,W82:W85,W75:W77,W67:W70,W64,W61,W57:W58,W48:W52,W29:W43,W17:W24)</f>
        <v>3564557.3400000003</v>
      </c>
      <c r="X134" s="1271">
        <f t="shared" si="67"/>
        <v>-3117815.87</v>
      </c>
      <c r="Y134" s="1274">
        <f t="shared" si="67"/>
        <v>0</v>
      </c>
      <c r="Z134" s="1271">
        <f t="shared" si="67"/>
        <v>0</v>
      </c>
      <c r="AA134" s="1271">
        <f>SUM(AA130:AA131,AA122:AA125,AA112:AA119,AA107:AA109,AA97:AA102,AA90:AA92,AA82:AA85,AA75:AA77,AA67:AA70,AA64,AA61,AA57:AA58,AA48:AA52,AA29:AA43,AA17:AA24)</f>
        <v>3564557.3400000003</v>
      </c>
      <c r="AB134" s="1271">
        <f t="shared" si="67"/>
        <v>3615177.5819149395</v>
      </c>
      <c r="AC134" s="1275">
        <f>IF(T134&lt;&gt;"",(N134-AB134)/N134,"")</f>
        <v>-10.33751524310056</v>
      </c>
      <c r="AD134" s="1276">
        <f>IF(AC134&lt;&gt;"",(N134-AB134),"")</f>
        <v>-3296308.9846607964</v>
      </c>
      <c r="AN134" s="1703">
        <f>SUM(AN17:AN131)</f>
        <v>0</v>
      </c>
      <c r="AO134" s="1713">
        <f>SUM(AO17:AO131)</f>
        <v>3564557.3400000003</v>
      </c>
    </row>
    <row r="137" spans="1:42" x14ac:dyDescent="0.3">
      <c r="AO137" s="1706">
        <f>AA134</f>
        <v>3564557.3400000003</v>
      </c>
      <c r="AP137" s="1707" t="s">
        <v>1615</v>
      </c>
    </row>
    <row r="138" spans="1:42" x14ac:dyDescent="0.3">
      <c r="AO138" s="1708">
        <f>N134-AA134</f>
        <v>-3245688.7427458572</v>
      </c>
      <c r="AP138" s="1709" t="s">
        <v>799</v>
      </c>
    </row>
    <row r="139" spans="1:42" x14ac:dyDescent="0.3">
      <c r="AO139" s="1714">
        <f>AO138*100%/N134</f>
        <v>-10.178765706925336</v>
      </c>
    </row>
    <row r="142" spans="1:42" x14ac:dyDescent="0.3">
      <c r="W142" s="1186"/>
    </row>
  </sheetData>
  <autoFilter ref="A1:AP85" xr:uid="{107B9E09-8154-459A-AE62-6A4242823A27}">
    <filterColumn colId="5" showButton="0"/>
  </autoFilter>
  <mergeCells count="109">
    <mergeCell ref="F111:K111"/>
    <mergeCell ref="T106:AB106"/>
    <mergeCell ref="T110:V110"/>
    <mergeCell ref="T111:AB111"/>
    <mergeCell ref="T96:AB96"/>
    <mergeCell ref="F132:J132"/>
    <mergeCell ref="T132:V132"/>
    <mergeCell ref="T133:V133"/>
    <mergeCell ref="F120:J120"/>
    <mergeCell ref="T120:V120"/>
    <mergeCell ref="F121:K121"/>
    <mergeCell ref="T121:AB121"/>
    <mergeCell ref="F126:J126"/>
    <mergeCell ref="T126:V126"/>
    <mergeCell ref="F133:J133"/>
    <mergeCell ref="F128:N128"/>
    <mergeCell ref="T128:AB128"/>
    <mergeCell ref="F129:K129"/>
    <mergeCell ref="T129:AB129"/>
    <mergeCell ref="F127:J127"/>
    <mergeCell ref="T127:V127"/>
    <mergeCell ref="F103:J103"/>
    <mergeCell ref="F104:J104"/>
    <mergeCell ref="F105:N105"/>
    <mergeCell ref="T103:V103"/>
    <mergeCell ref="T104:V104"/>
    <mergeCell ref="T105:AB105"/>
    <mergeCell ref="F106:K106"/>
    <mergeCell ref="F110:J110"/>
    <mergeCell ref="F94:J94"/>
    <mergeCell ref="F95:N95"/>
    <mergeCell ref="T95:AB95"/>
    <mergeCell ref="F96:K96"/>
    <mergeCell ref="T89:AB89"/>
    <mergeCell ref="T94:V94"/>
    <mergeCell ref="F87:J87"/>
    <mergeCell ref="T87:V87"/>
    <mergeCell ref="F86:J86"/>
    <mergeCell ref="T86:V86"/>
    <mergeCell ref="F88:N88"/>
    <mergeCell ref="T88:AB88"/>
    <mergeCell ref="F89:K89"/>
    <mergeCell ref="F93:J93"/>
    <mergeCell ref="T93:V93"/>
    <mergeCell ref="F79:J79"/>
    <mergeCell ref="T79:V79"/>
    <mergeCell ref="T81:AB81"/>
    <mergeCell ref="T74:AB74"/>
    <mergeCell ref="F73:N73"/>
    <mergeCell ref="T73:AB73"/>
    <mergeCell ref="F74:K74"/>
    <mergeCell ref="F78:J78"/>
    <mergeCell ref="T78:V78"/>
    <mergeCell ref="F80:N80"/>
    <mergeCell ref="T80:AB80"/>
    <mergeCell ref="F81:K81"/>
    <mergeCell ref="F65:J65"/>
    <mergeCell ref="F66:K66"/>
    <mergeCell ref="F72:J72"/>
    <mergeCell ref="T65:V65"/>
    <mergeCell ref="T66:AB66"/>
    <mergeCell ref="T72:V72"/>
    <mergeCell ref="F60:K60"/>
    <mergeCell ref="F62:J62"/>
    <mergeCell ref="F63:K63"/>
    <mergeCell ref="T60:AB60"/>
    <mergeCell ref="T62:V62"/>
    <mergeCell ref="T63:AB63"/>
    <mergeCell ref="F71:J71"/>
    <mergeCell ref="T71:V71"/>
    <mergeCell ref="F55:N55"/>
    <mergeCell ref="F56:K56"/>
    <mergeCell ref="F59:J59"/>
    <mergeCell ref="T55:AB55"/>
    <mergeCell ref="T56:AB56"/>
    <mergeCell ref="T59:V59"/>
    <mergeCell ref="F47:K47"/>
    <mergeCell ref="F53:J53"/>
    <mergeCell ref="F54:J54"/>
    <mergeCell ref="T47:AB47"/>
    <mergeCell ref="T53:V53"/>
    <mergeCell ref="T54:V54"/>
    <mergeCell ref="F1:G1"/>
    <mergeCell ref="F2:G2"/>
    <mergeCell ref="F26:J26"/>
    <mergeCell ref="F27:N27"/>
    <mergeCell ref="F28:K28"/>
    <mergeCell ref="T27:AB27"/>
    <mergeCell ref="T28:AB28"/>
    <mergeCell ref="F15:N15"/>
    <mergeCell ref="F16:K16"/>
    <mergeCell ref="F25:J25"/>
    <mergeCell ref="T12:W12"/>
    <mergeCell ref="X12:AA12"/>
    <mergeCell ref="T15:AB15"/>
    <mergeCell ref="T16:AB16"/>
    <mergeCell ref="T25:V25"/>
    <mergeCell ref="T26:V26"/>
    <mergeCell ref="F44:J44"/>
    <mergeCell ref="F45:J45"/>
    <mergeCell ref="F46:N46"/>
    <mergeCell ref="T44:V44"/>
    <mergeCell ref="T45:V45"/>
    <mergeCell ref="T46:AB46"/>
    <mergeCell ref="AJ12:AK12"/>
    <mergeCell ref="AN12:AO12"/>
    <mergeCell ref="AF12:AH12"/>
    <mergeCell ref="AN15:AO15"/>
    <mergeCell ref="AN16:AO16"/>
  </mergeCells>
  <dataValidations disablePrompts="1" count="3">
    <dataValidation type="list" allowBlank="1" showInputMessage="1" showErrorMessage="1" sqref="E134" xr:uid="{706FBBCC-F3C7-4402-BE93-CDC09E72D90A}">
      <formula1>"FAT.OGGI,FAT.CLIENTE "</formula1>
    </dataValidation>
    <dataValidation type="list" allowBlank="1" showInputMessage="1" showErrorMessage="1" sqref="D48:D52 D64 D17:D26 D90:D92 D130:D131 D97:D102 D122:D125 D134 D57:D58 D112:D119 D82:D85 D67:D70 D75:D77 D29:D44 D61 D107:D110" xr:uid="{3335519E-66AB-49C9-8E53-5E2CA7A12E5C}">
      <formula1>"INTERNO,OPERACIONAL"</formula1>
    </dataValidation>
    <dataValidation type="list" allowBlank="1" showInputMessage="1" showErrorMessage="1" sqref="E64 E48:E52 E17:E26 E97:E102 E130:E131 E82:E85 E122:E125 E57:E58 E112:E119 E90:E92 E67:E70 E75:E77 E29:E44 E61 E107:E110" xr:uid="{3DEADC67-B39B-42DD-9376-214550700191}">
      <formula1>"FAT.OGGI,FAT.CLIENTE"</formula1>
    </dataValidation>
  </dataValidations>
  <pageMargins left="0.23622047244094491" right="0.23622047244094491" top="0.74803149606299213" bottom="0.74803149606299213" header="0.31496062992125984" footer="0.31496062992125984"/>
  <pageSetup paperSize="9" scale="4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8D9A-61DA-47E1-BE98-16198DB852EC}">
  <sheetPr codeName="Planilha15">
    <pageSetUpPr autoPageBreaks="0"/>
  </sheetPr>
  <dimension ref="A1:AT39"/>
  <sheetViews>
    <sheetView showGridLines="0" topLeftCell="B1" zoomScale="35" zoomScaleNormal="35" workbookViewId="0">
      <pane ySplit="1" topLeftCell="A16" activePane="bottomLeft" state="frozen"/>
      <selection pane="bottomLeft" activeCell="AN1" sqref="AN1:AT1048576"/>
    </sheetView>
  </sheetViews>
  <sheetFormatPr defaultColWidth="8.88671875" defaultRowHeight="36.6" x14ac:dyDescent="0.3"/>
  <cols>
    <col min="1" max="1" width="8.109375" style="1117" hidden="1" customWidth="1"/>
    <col min="2" max="2" width="11.44140625" style="1117" customWidth="1"/>
    <col min="3" max="3" width="15.44140625" style="1117" hidden="1" customWidth="1"/>
    <col min="4" max="4" width="19.5546875" style="1117" hidden="1" customWidth="1"/>
    <col min="5" max="5" width="16.88671875" style="1117" hidden="1" customWidth="1"/>
    <col min="6" max="6" width="61.5546875" style="1117" customWidth="1"/>
    <col min="7" max="7" width="94.88671875" style="1117" customWidth="1"/>
    <col min="8" max="9" width="10.5546875" style="1117" hidden="1" customWidth="1"/>
    <col min="10" max="10" width="18.88671875" style="1117" hidden="1" customWidth="1"/>
    <col min="11" max="11" width="41" style="1117" bestFit="1" customWidth="1"/>
    <col min="12" max="12" width="35.88671875" style="1117" bestFit="1" customWidth="1"/>
    <col min="13" max="13" width="36.88671875" style="1117" bestFit="1" customWidth="1"/>
    <col min="14" max="14" width="41" style="1117" bestFit="1" customWidth="1"/>
    <col min="15" max="15" width="27.44140625" style="1118" hidden="1" customWidth="1"/>
    <col min="16" max="16" width="28.88671875" style="1118" hidden="1" customWidth="1"/>
    <col min="17" max="17" width="42.109375" style="1118" hidden="1" customWidth="1"/>
    <col min="18" max="18" width="10.109375" style="1117" hidden="1" customWidth="1"/>
    <col min="19" max="19" width="1.88671875" style="1117" hidden="1" customWidth="1"/>
    <col min="20" max="20" width="10.5546875" style="1065" customWidth="1"/>
    <col min="21" max="21" width="10.5546875" style="1065" hidden="1" customWidth="1"/>
    <col min="22" max="22" width="20.5546875" style="1117" hidden="1" customWidth="1"/>
    <col min="23" max="23" width="41" style="1117" bestFit="1" customWidth="1"/>
    <col min="24" max="24" width="27.5546875" style="1117" hidden="1" customWidth="1"/>
    <col min="25" max="25" width="12.5546875" style="1117" hidden="1" customWidth="1"/>
    <col min="26" max="26" width="16.109375" style="1117" hidden="1" customWidth="1"/>
    <col min="27" max="27" width="41" style="1117" bestFit="1" customWidth="1"/>
    <col min="28" max="28" width="38.44140625" style="1117" hidden="1" customWidth="1"/>
    <col min="29" max="29" width="19.44140625" style="1117" hidden="1" customWidth="1"/>
    <col min="30" max="30" width="30" style="1117" hidden="1" customWidth="1"/>
    <col min="31" max="31" width="38.109375" style="1117" hidden="1" customWidth="1"/>
    <col min="32" max="32" width="14.109375" style="1117" hidden="1" customWidth="1"/>
    <col min="33" max="33" width="7.5546875" style="1117" hidden="1" customWidth="1"/>
    <col min="34" max="34" width="6.88671875" style="1117" hidden="1" customWidth="1"/>
    <col min="35" max="35" width="1.44140625" style="1117" hidden="1" customWidth="1"/>
    <col min="36" max="36" width="14" style="1117" hidden="1" customWidth="1"/>
    <col min="37" max="37" width="11.5546875" style="1117" hidden="1" customWidth="1"/>
    <col min="38" max="38" width="6.44140625" style="1117" hidden="1" customWidth="1"/>
    <col min="39" max="39" width="12.5546875" style="1117" hidden="1" customWidth="1"/>
    <col min="40" max="40" width="43.44140625" style="1719" customWidth="1"/>
    <col min="41" max="41" width="42" style="1719" customWidth="1"/>
    <col min="42" max="42" width="35.109375" style="1709" bestFit="1" customWidth="1"/>
    <col min="43" max="43" width="21.44140625" style="1719" customWidth="1"/>
    <col min="44" max="46" width="8.88671875" style="1719"/>
    <col min="47" max="16384" width="8.88671875" style="1117"/>
  </cols>
  <sheetData>
    <row r="1" spans="1:41" ht="49.5" customHeight="1" x14ac:dyDescent="0.3">
      <c r="B1" s="560"/>
      <c r="C1" s="561"/>
      <c r="D1" s="561"/>
      <c r="F1" s="1399" t="s">
        <v>128</v>
      </c>
      <c r="G1" s="1399"/>
    </row>
    <row r="2" spans="1:41" ht="24.75" customHeight="1" x14ac:dyDescent="0.3">
      <c r="B2" s="1065"/>
      <c r="D2" s="561"/>
      <c r="F2" s="1400" t="s">
        <v>0</v>
      </c>
      <c r="G2" s="1400"/>
    </row>
    <row r="3" spans="1:41" x14ac:dyDescent="0.3">
      <c r="B3" s="1119"/>
      <c r="F3" s="564"/>
      <c r="G3" s="564"/>
    </row>
    <row r="4" spans="1:41" x14ac:dyDescent="0.3">
      <c r="F4" s="565" t="s">
        <v>245</v>
      </c>
      <c r="G4" s="566"/>
    </row>
    <row r="5" spans="1:41" x14ac:dyDescent="0.3">
      <c r="F5" s="567" t="s">
        <v>224</v>
      </c>
      <c r="G5" s="568"/>
    </row>
    <row r="6" spans="1:41" x14ac:dyDescent="0.3">
      <c r="D6" s="1117" t="s">
        <v>155</v>
      </c>
      <c r="F6" s="567" t="s">
        <v>565</v>
      </c>
      <c r="G6" s="569"/>
    </row>
    <row r="7" spans="1:41" x14ac:dyDescent="0.3">
      <c r="F7" s="567" t="s">
        <v>247</v>
      </c>
      <c r="G7" s="569"/>
      <c r="J7" s="1117" t="s">
        <v>225</v>
      </c>
    </row>
    <row r="8" spans="1:41" x14ac:dyDescent="0.3">
      <c r="F8" s="567" t="s">
        <v>635</v>
      </c>
      <c r="G8" s="570"/>
    </row>
    <row r="9" spans="1:41" x14ac:dyDescent="0.3">
      <c r="F9" s="567" t="s">
        <v>249</v>
      </c>
      <c r="G9" s="569"/>
      <c r="J9" s="1117" t="s">
        <v>155</v>
      </c>
      <c r="M9" s="1117">
        <v>0.80469999999999997</v>
      </c>
    </row>
    <row r="10" spans="1:41" x14ac:dyDescent="0.3">
      <c r="F10" s="567" t="s">
        <v>177</v>
      </c>
      <c r="G10" s="569"/>
      <c r="M10" s="1117">
        <f>1-M9</f>
        <v>0.19530000000000003</v>
      </c>
    </row>
    <row r="11" spans="1:41" x14ac:dyDescent="0.3">
      <c r="F11" s="571" t="s">
        <v>637</v>
      </c>
      <c r="G11" s="572"/>
    </row>
    <row r="12" spans="1:41" ht="15.9" hidden="1" customHeight="1" thickBot="1" x14ac:dyDescent="0.35">
      <c r="B12" s="1120"/>
      <c r="L12" s="1121">
        <v>0</v>
      </c>
      <c r="M12" s="1122">
        <v>0</v>
      </c>
      <c r="T12" s="1409" t="s">
        <v>1</v>
      </c>
      <c r="U12" s="1409"/>
      <c r="V12" s="1409"/>
      <c r="W12" s="1409"/>
      <c r="X12" s="1412" t="s">
        <v>2</v>
      </c>
      <c r="Y12" s="1412"/>
      <c r="Z12" s="1412"/>
      <c r="AA12" s="1412"/>
      <c r="AB12" s="576" t="s">
        <v>56</v>
      </c>
      <c r="AC12" s="1277">
        <f>(1/(1-M14))-1</f>
        <v>0.20962864400629</v>
      </c>
      <c r="AF12" s="1392" t="s">
        <v>3</v>
      </c>
      <c r="AG12" s="1392"/>
      <c r="AH12" s="1392"/>
      <c r="AJ12" s="1390" t="s">
        <v>58</v>
      </c>
      <c r="AK12" s="1390"/>
      <c r="AM12" s="578" t="s">
        <v>71</v>
      </c>
      <c r="AN12" s="1696" t="s">
        <v>70</v>
      </c>
      <c r="AO12" s="1696"/>
    </row>
    <row r="13" spans="1:41" ht="37.200000000000003" thickBot="1" x14ac:dyDescent="0.35">
      <c r="A13" s="1124" t="s">
        <v>4</v>
      </c>
      <c r="B13" s="1125" t="s">
        <v>5</v>
      </c>
      <c r="C13" s="1124" t="s">
        <v>6</v>
      </c>
      <c r="D13" s="1124" t="s">
        <v>7</v>
      </c>
      <c r="E13" s="1124" t="s">
        <v>8</v>
      </c>
      <c r="L13" s="1121">
        <v>0.05</v>
      </c>
      <c r="M13" s="1122">
        <v>0.82669999999999999</v>
      </c>
    </row>
    <row r="14" spans="1:41" ht="87" thickBot="1" x14ac:dyDescent="0.35">
      <c r="A14" s="581">
        <v>0</v>
      </c>
      <c r="B14" s="582"/>
      <c r="C14" s="583"/>
      <c r="D14" s="584"/>
      <c r="E14" s="584"/>
      <c r="F14" s="585" t="s">
        <v>131</v>
      </c>
      <c r="G14" s="586" t="s">
        <v>132</v>
      </c>
      <c r="H14" s="587" t="s">
        <v>133</v>
      </c>
      <c r="I14" s="587" t="s">
        <v>134</v>
      </c>
      <c r="J14" s="588" t="s">
        <v>135</v>
      </c>
      <c r="K14" s="589" t="s">
        <v>9</v>
      </c>
      <c r="L14" s="590">
        <v>0.08</v>
      </c>
      <c r="M14" s="591">
        <f>1-M13</f>
        <v>0.17330000000000001</v>
      </c>
      <c r="N14" s="592" t="s">
        <v>129</v>
      </c>
      <c r="T14" s="594" t="s">
        <v>136</v>
      </c>
      <c r="U14" s="595" t="s">
        <v>137</v>
      </c>
      <c r="V14" s="596" t="s">
        <v>138</v>
      </c>
      <c r="W14" s="597" t="s">
        <v>139</v>
      </c>
      <c r="X14" s="598" t="s">
        <v>140</v>
      </c>
      <c r="Y14" s="599" t="s">
        <v>141</v>
      </c>
      <c r="Z14" s="600" t="s">
        <v>142</v>
      </c>
      <c r="AA14" s="600" t="s">
        <v>143</v>
      </c>
      <c r="AB14" s="601" t="s">
        <v>144</v>
      </c>
      <c r="AC14" s="602" t="s">
        <v>145</v>
      </c>
      <c r="AD14" s="603" t="s">
        <v>130</v>
      </c>
      <c r="AF14" s="604" t="s">
        <v>146</v>
      </c>
      <c r="AG14" s="605" t="s">
        <v>147</v>
      </c>
      <c r="AH14" s="605" t="s">
        <v>33</v>
      </c>
      <c r="AJ14" s="606" t="s">
        <v>148</v>
      </c>
      <c r="AK14" s="607" t="s">
        <v>149</v>
      </c>
      <c r="AL14" s="1117" t="s">
        <v>150</v>
      </c>
      <c r="AM14" s="1117" t="s">
        <v>150</v>
      </c>
      <c r="AN14" s="1698" t="s">
        <v>151</v>
      </c>
      <c r="AO14" s="1712" t="s">
        <v>152</v>
      </c>
    </row>
    <row r="15" spans="1:41" ht="50.1" customHeight="1" thickBot="1" x14ac:dyDescent="0.75">
      <c r="A15" s="584">
        <v>1</v>
      </c>
      <c r="B15" s="608">
        <v>1</v>
      </c>
      <c r="C15" s="609" t="s">
        <v>167</v>
      </c>
      <c r="D15" s="584"/>
      <c r="E15" s="584"/>
      <c r="F15" s="1380" t="s">
        <v>257</v>
      </c>
      <c r="G15" s="1380"/>
      <c r="H15" s="1380"/>
      <c r="I15" s="1380"/>
      <c r="J15" s="1380"/>
      <c r="K15" s="1380"/>
      <c r="L15" s="1380"/>
      <c r="M15" s="1380"/>
      <c r="N15" s="1380"/>
      <c r="T15" s="1387" t="str">
        <f>IF(F15&lt;&gt;"",F15,"")</f>
        <v>LOGÍSTICA</v>
      </c>
      <c r="U15" s="1387"/>
      <c r="V15" s="1387"/>
      <c r="W15" s="1387"/>
      <c r="X15" s="1387"/>
      <c r="Y15" s="1387"/>
      <c r="Z15" s="1387"/>
      <c r="AA15" s="1387"/>
      <c r="AB15" s="1387"/>
      <c r="AN15" s="1699"/>
      <c r="AO15" s="1700"/>
    </row>
    <row r="16" spans="1:41" ht="50.1" customHeight="1" x14ac:dyDescent="0.7">
      <c r="A16" s="633">
        <v>2</v>
      </c>
      <c r="B16" s="608" t="s">
        <v>170</v>
      </c>
      <c r="C16" s="634" t="s">
        <v>169</v>
      </c>
      <c r="D16" s="633"/>
      <c r="E16" s="633"/>
      <c r="F16" s="1406" t="s">
        <v>297</v>
      </c>
      <c r="G16" s="1406"/>
      <c r="H16" s="1406"/>
      <c r="I16" s="1406"/>
      <c r="J16" s="1406"/>
      <c r="K16" s="1406"/>
      <c r="L16" s="716" t="s">
        <v>171</v>
      </c>
      <c r="M16" s="716" t="s">
        <v>172</v>
      </c>
      <c r="N16" s="717" t="s">
        <v>129</v>
      </c>
      <c r="O16" s="1126" t="s">
        <v>651</v>
      </c>
      <c r="P16" s="1127" t="s">
        <v>652</v>
      </c>
      <c r="Q16" s="1127" t="s">
        <v>666</v>
      </c>
      <c r="T16" s="1406" t="str">
        <f>IF(F16&lt;&gt;"",F16,"")</f>
        <v xml:space="preserve">LOGÍSTICA TERRESTRE </v>
      </c>
      <c r="U16" s="1406"/>
      <c r="V16" s="1406"/>
      <c r="W16" s="1406"/>
      <c r="X16" s="1406"/>
      <c r="Y16" s="1406"/>
      <c r="Z16" s="1406"/>
      <c r="AA16" s="1406"/>
      <c r="AB16" s="1406"/>
      <c r="AC16" s="616" t="s">
        <v>173</v>
      </c>
      <c r="AD16" s="617" t="s">
        <v>130</v>
      </c>
      <c r="AN16" s="1701"/>
      <c r="AO16" s="1702"/>
    </row>
    <row r="17" spans="1:42" ht="150" customHeight="1" x14ac:dyDescent="0.7">
      <c r="A17" s="633">
        <v>3</v>
      </c>
      <c r="B17" s="608" t="s">
        <v>176</v>
      </c>
      <c r="C17" s="634" t="s">
        <v>175</v>
      </c>
      <c r="D17" s="633" t="s">
        <v>182</v>
      </c>
      <c r="E17" s="633" t="s">
        <v>331</v>
      </c>
      <c r="F17" s="838" t="s">
        <v>688</v>
      </c>
      <c r="G17" s="940" t="s">
        <v>1455</v>
      </c>
      <c r="H17" s="830">
        <v>1</v>
      </c>
      <c r="I17" s="830">
        <v>1</v>
      </c>
      <c r="J17" s="1171">
        <v>7748.26</v>
      </c>
      <c r="K17" s="621">
        <f>IF(F17&lt;&gt;"",H17*I17*J17,"")</f>
        <v>7748.26</v>
      </c>
      <c r="L17" s="621">
        <v>0</v>
      </c>
      <c r="M17" s="621">
        <f>IF(K17&lt;&gt;"",IF(E17="FAT.OGGI",SUM(K17:L17)*(1/(1-$M$14)-1),L17*(1/(1-$M$14)-1)),0)</f>
        <v>0</v>
      </c>
      <c r="N17" s="622">
        <f>SUM(K17:M17)</f>
        <v>7748.26</v>
      </c>
      <c r="O17" s="1172" t="s">
        <v>151</v>
      </c>
      <c r="P17" s="1158" t="s">
        <v>151</v>
      </c>
      <c r="Q17" s="1133"/>
      <c r="T17" s="624">
        <f>IF(H17&lt;&gt;"",H17,"")</f>
        <v>1</v>
      </c>
      <c r="U17" s="625">
        <f>IF(I17&lt;&gt;"",I17,"")</f>
        <v>1</v>
      </c>
      <c r="V17" s="626">
        <v>1500</v>
      </c>
      <c r="W17" s="626">
        <v>0</v>
      </c>
      <c r="X17" s="627">
        <f>IF(T17&lt;&gt;"",K17-W17,"")</f>
        <v>7748.26</v>
      </c>
      <c r="Y17" s="628">
        <f>IF(T17&lt;&gt;"",0%,"")</f>
        <v>0</v>
      </c>
      <c r="Z17" s="629">
        <f>IF(T17&lt;&gt;"",Y17*X17,"")</f>
        <v>0</v>
      </c>
      <c r="AA17" s="629">
        <f>IF(T17&lt;&gt;"",Z17+W17,"")</f>
        <v>0</v>
      </c>
      <c r="AB17" s="630">
        <f>IF(T17&lt;&gt;"",AA17+M17,"")</f>
        <v>0</v>
      </c>
      <c r="AC17" s="631">
        <f>IF(T17&lt;&gt;"", IFERROR(X17/K17, 0), 0)</f>
        <v>1</v>
      </c>
      <c r="AD17" s="632" t="e">
        <f>W17/$W$18</f>
        <v>#DIV/0!</v>
      </c>
      <c r="AN17" s="1703">
        <f>AA17-AO17</f>
        <v>0</v>
      </c>
      <c r="AO17" s="1713"/>
    </row>
    <row r="18" spans="1:42" ht="50.1" customHeight="1" thickBot="1" x14ac:dyDescent="0.75">
      <c r="A18" s="584">
        <v>4</v>
      </c>
      <c r="B18" s="608"/>
      <c r="C18" s="609" t="s">
        <v>184</v>
      </c>
      <c r="D18" s="584"/>
      <c r="E18" s="584"/>
      <c r="F18" s="1420" t="s">
        <v>375</v>
      </c>
      <c r="G18" s="1420"/>
      <c r="H18" s="1420"/>
      <c r="I18" s="1420"/>
      <c r="J18" s="1420"/>
      <c r="K18" s="1173">
        <f>SUM(K17:K17)</f>
        <v>7748.26</v>
      </c>
      <c r="L18" s="1173">
        <f>SUM(L17:L17)</f>
        <v>0</v>
      </c>
      <c r="M18" s="1173">
        <f>SUM(M17:M17)</f>
        <v>0</v>
      </c>
      <c r="N18" s="1174">
        <f>SUM(N17:N17)</f>
        <v>7748.26</v>
      </c>
      <c r="T18" s="1422">
        <f>SUM(T17:T17)</f>
        <v>1</v>
      </c>
      <c r="U18" s="1422"/>
      <c r="V18" s="1422"/>
      <c r="W18" s="1175">
        <f>SUM(W17:W17)</f>
        <v>0</v>
      </c>
      <c r="X18" s="1176">
        <f>SUM(X17:X17)</f>
        <v>7748.26</v>
      </c>
      <c r="Y18" s="1178"/>
      <c r="Z18" s="1178"/>
      <c r="AA18" s="1179">
        <f>SUM(AA17:AA17)</f>
        <v>0</v>
      </c>
      <c r="AB18" s="1180">
        <f>IF(T18&lt;&gt;"",AA18+M18,"")</f>
        <v>0</v>
      </c>
      <c r="AN18" s="1703"/>
      <c r="AO18" s="1713"/>
    </row>
    <row r="19" spans="1:42" ht="50.1" customHeight="1" thickBot="1" x14ac:dyDescent="0.75">
      <c r="A19" s="584">
        <v>5</v>
      </c>
      <c r="B19" s="608"/>
      <c r="C19" s="609" t="s">
        <v>183</v>
      </c>
      <c r="D19" s="584"/>
      <c r="E19" s="584"/>
      <c r="F19" s="1378" t="s">
        <v>376</v>
      </c>
      <c r="G19" s="1378"/>
      <c r="H19" s="1378"/>
      <c r="I19" s="1378"/>
      <c r="J19" s="1378"/>
      <c r="K19" s="1166">
        <f>SUM(K17:K17)</f>
        <v>7748.26</v>
      </c>
      <c r="L19" s="1166">
        <f>SUM(L17:L17)</f>
        <v>0</v>
      </c>
      <c r="M19" s="1166">
        <f>SUM(M17:M17)</f>
        <v>0</v>
      </c>
      <c r="N19" s="1166">
        <f>SUM(N17:N17)</f>
        <v>7748.26</v>
      </c>
      <c r="T19" s="1424">
        <f>SUM(T17:T17)</f>
        <v>1</v>
      </c>
      <c r="U19" s="1424"/>
      <c r="V19" s="1424"/>
      <c r="W19" s="1166">
        <f>SUM(W17:W17)</f>
        <v>0</v>
      </c>
      <c r="X19" s="1181">
        <f>SUM(X17:X17)</f>
        <v>7748.26</v>
      </c>
      <c r="Y19" s="1183"/>
      <c r="Z19" s="1183"/>
      <c r="AA19" s="1184">
        <f>SUM(AA17:AA17)</f>
        <v>0</v>
      </c>
      <c r="AB19" s="1185">
        <f>IF(T19&lt;&gt;"",AA19+M19,"")</f>
        <v>0</v>
      </c>
      <c r="AN19" s="1703"/>
      <c r="AO19" s="1713"/>
    </row>
    <row r="20" spans="1:42" ht="50.1" customHeight="1" thickBot="1" x14ac:dyDescent="0.75">
      <c r="A20" s="584">
        <v>6</v>
      </c>
      <c r="B20" s="608">
        <v>2</v>
      </c>
      <c r="C20" s="609" t="s">
        <v>167</v>
      </c>
      <c r="D20" s="584"/>
      <c r="E20" s="584"/>
      <c r="F20" s="1380" t="s">
        <v>377</v>
      </c>
      <c r="G20" s="1380"/>
      <c r="H20" s="1380"/>
      <c r="I20" s="1380"/>
      <c r="J20" s="1380"/>
      <c r="K20" s="1380"/>
      <c r="L20" s="1380"/>
      <c r="M20" s="1380"/>
      <c r="N20" s="1380"/>
      <c r="T20" s="1387" t="str">
        <f>IF(F20&lt;&gt;"",F20,"")</f>
        <v>HOTEL</v>
      </c>
      <c r="U20" s="1387"/>
      <c r="V20" s="1387"/>
      <c r="W20" s="1387"/>
      <c r="X20" s="1387"/>
      <c r="Y20" s="1387"/>
      <c r="Z20" s="1387"/>
      <c r="AA20" s="1387"/>
      <c r="AB20" s="1387"/>
      <c r="AN20" s="1703"/>
      <c r="AO20" s="1713"/>
    </row>
    <row r="21" spans="1:42" ht="50.1" customHeight="1" x14ac:dyDescent="0.7">
      <c r="A21" s="584">
        <v>7</v>
      </c>
      <c r="B21" s="608" t="s">
        <v>180</v>
      </c>
      <c r="C21" s="609" t="s">
        <v>169</v>
      </c>
      <c r="D21" s="584"/>
      <c r="E21" s="584"/>
      <c r="F21" s="1430" t="s">
        <v>384</v>
      </c>
      <c r="G21" s="1430"/>
      <c r="H21" s="1430"/>
      <c r="I21" s="1430"/>
      <c r="J21" s="1430"/>
      <c r="K21" s="1430"/>
      <c r="L21" s="1193" t="s">
        <v>171</v>
      </c>
      <c r="M21" s="1194" t="s">
        <v>172</v>
      </c>
      <c r="N21" s="1195" t="s">
        <v>129</v>
      </c>
      <c r="O21" s="1126" t="s">
        <v>651</v>
      </c>
      <c r="P21" s="1127" t="s">
        <v>652</v>
      </c>
      <c r="Q21" s="1127" t="s">
        <v>666</v>
      </c>
      <c r="T21" s="1403" t="str">
        <f>IF(F21&lt;&gt;"",F21,"")</f>
        <v>SALAS DE EVENTOS</v>
      </c>
      <c r="U21" s="1403"/>
      <c r="V21" s="1403"/>
      <c r="W21" s="1403"/>
      <c r="X21" s="1403"/>
      <c r="Y21" s="1403"/>
      <c r="Z21" s="1403"/>
      <c r="AA21" s="1403"/>
      <c r="AB21" s="1403"/>
      <c r="AC21" s="616" t="s">
        <v>173</v>
      </c>
      <c r="AD21" s="617" t="s">
        <v>130</v>
      </c>
      <c r="AN21" s="1703"/>
      <c r="AO21" s="1713"/>
    </row>
    <row r="22" spans="1:42" ht="150" customHeight="1" x14ac:dyDescent="0.7">
      <c r="A22" s="584">
        <v>8</v>
      </c>
      <c r="B22" s="608" t="s">
        <v>181</v>
      </c>
      <c r="C22" s="609" t="s">
        <v>175</v>
      </c>
      <c r="D22" s="584" t="s">
        <v>182</v>
      </c>
      <c r="E22" s="584" t="s">
        <v>331</v>
      </c>
      <c r="F22" s="718" t="s">
        <v>847</v>
      </c>
      <c r="G22" s="736" t="s">
        <v>1456</v>
      </c>
      <c r="H22" s="702">
        <v>1</v>
      </c>
      <c r="I22" s="702">
        <v>1</v>
      </c>
      <c r="J22" s="719">
        <v>2000</v>
      </c>
      <c r="K22" s="694">
        <f>IF(F22&lt;&gt;"",H22*I22*J22,"")</f>
        <v>2000</v>
      </c>
      <c r="L22" s="694">
        <f>IF(K22&lt;&gt;"",IF(D22="INTERNO",0,K22*$L$13),"")</f>
        <v>100</v>
      </c>
      <c r="M22" s="694">
        <f>IF(K22&lt;&gt;"",IF(E22="FAT.OGGI",SUM(K22:L22)*(1/(1-$M$14)-1),L22*(1/(1-$M$14)-1)),0)</f>
        <v>20.962864400629002</v>
      </c>
      <c r="N22" s="694">
        <f>SUM(K22:M22)</f>
        <v>2120.9628644006289</v>
      </c>
      <c r="O22" s="1196" t="s">
        <v>664</v>
      </c>
      <c r="P22" s="1133" t="s">
        <v>664</v>
      </c>
      <c r="Q22" s="1133" t="s">
        <v>664</v>
      </c>
      <c r="T22" s="624">
        <f>IF(H22&lt;&gt;"",H22,"")</f>
        <v>1</v>
      </c>
      <c r="U22" s="625">
        <f>IF(I22&lt;&gt;"",I22,"")</f>
        <v>1</v>
      </c>
      <c r="V22" s="626">
        <v>2000</v>
      </c>
      <c r="W22" s="626">
        <v>0</v>
      </c>
      <c r="X22" s="627">
        <f>IF(T22&lt;&gt;"",K22-W22,"")</f>
        <v>2000</v>
      </c>
      <c r="Y22" s="628">
        <f>IF(T22&lt;&gt;"",0%,"")</f>
        <v>0</v>
      </c>
      <c r="Z22" s="629">
        <f>IF(T22&lt;&gt;"",Y22*X22,"")</f>
        <v>0</v>
      </c>
      <c r="AA22" s="629">
        <f>IF(T22&lt;&gt;"",Z22+W22,"")</f>
        <v>0</v>
      </c>
      <c r="AB22" s="630">
        <f>IF(T22&lt;&gt;"",AA22+M22,"")</f>
        <v>20.962864400629002</v>
      </c>
      <c r="AC22" s="631">
        <f>IF(T22&lt;&gt;"", IFERROR(X22/K22, 0), 0)</f>
        <v>1</v>
      </c>
      <c r="AD22" s="632" t="e">
        <f>W22/$W$23</f>
        <v>#DIV/0!</v>
      </c>
      <c r="AN22" s="1703">
        <f t="shared" ref="AN22:AN31" si="0">AA22-AO22</f>
        <v>0</v>
      </c>
      <c r="AO22" s="1713"/>
    </row>
    <row r="23" spans="1:42" ht="50.1" customHeight="1" thickBot="1" x14ac:dyDescent="0.75">
      <c r="A23" s="584">
        <v>9</v>
      </c>
      <c r="B23" s="608"/>
      <c r="C23" s="609" t="s">
        <v>184</v>
      </c>
      <c r="D23" s="584"/>
      <c r="E23" s="584"/>
      <c r="F23" s="1433" t="s">
        <v>385</v>
      </c>
      <c r="G23" s="1433"/>
      <c r="H23" s="1433"/>
      <c r="I23" s="1433"/>
      <c r="J23" s="1433"/>
      <c r="K23" s="1197">
        <f>SUM(K22:K22)</f>
        <v>2000</v>
      </c>
      <c r="L23" s="1197">
        <f>SUM(L22:L22)</f>
        <v>100</v>
      </c>
      <c r="M23" s="1197">
        <f>SUM(M22:M22)</f>
        <v>20.962864400629002</v>
      </c>
      <c r="N23" s="1198">
        <f>SUM(N22:N22)</f>
        <v>2120.9628644006289</v>
      </c>
      <c r="T23" s="1415">
        <f>SUM(T22:T22)</f>
        <v>1</v>
      </c>
      <c r="U23" s="1415"/>
      <c r="V23" s="1415"/>
      <c r="W23" s="1187">
        <f>SUM(W22:W22)</f>
        <v>0</v>
      </c>
      <c r="X23" s="1188">
        <f>SUM(X22:X22)</f>
        <v>2000</v>
      </c>
      <c r="Y23" s="1190"/>
      <c r="Z23" s="1190"/>
      <c r="AA23" s="1191">
        <f>SUM(AA22:AA22)</f>
        <v>0</v>
      </c>
      <c r="AB23" s="678">
        <f>IF(T23&lt;&gt;"",AA23+M23,"")</f>
        <v>20.962864400629002</v>
      </c>
      <c r="AN23" s="1703"/>
      <c r="AO23" s="1713"/>
    </row>
    <row r="24" spans="1:42" ht="50.1" customHeight="1" x14ac:dyDescent="0.7">
      <c r="A24" s="584">
        <v>10</v>
      </c>
      <c r="B24" s="608" t="s">
        <v>1098</v>
      </c>
      <c r="C24" s="609" t="s">
        <v>169</v>
      </c>
      <c r="D24" s="584"/>
      <c r="E24" s="584"/>
      <c r="F24" s="1403" t="s">
        <v>189</v>
      </c>
      <c r="G24" s="1403"/>
      <c r="H24" s="1403"/>
      <c r="I24" s="1403"/>
      <c r="J24" s="1403"/>
      <c r="K24" s="1403"/>
      <c r="L24" s="612" t="s">
        <v>171</v>
      </c>
      <c r="M24" s="613" t="s">
        <v>172</v>
      </c>
      <c r="N24" s="614" t="s">
        <v>129</v>
      </c>
      <c r="O24" s="1126" t="s">
        <v>651</v>
      </c>
      <c r="P24" s="1127" t="s">
        <v>652</v>
      </c>
      <c r="Q24" s="1127" t="s">
        <v>666</v>
      </c>
      <c r="T24" s="1406" t="str">
        <f>IF(F24&lt;&gt;"",F24,"")</f>
        <v xml:space="preserve">A&amp;B </v>
      </c>
      <c r="U24" s="1406"/>
      <c r="V24" s="1406"/>
      <c r="W24" s="1406"/>
      <c r="X24" s="1406"/>
      <c r="Y24" s="1406"/>
      <c r="Z24" s="1406"/>
      <c r="AA24" s="1406"/>
      <c r="AB24" s="1406"/>
      <c r="AC24" s="616" t="s">
        <v>173</v>
      </c>
      <c r="AD24" s="617" t="s">
        <v>130</v>
      </c>
      <c r="AN24" s="1703"/>
      <c r="AO24" s="1713"/>
    </row>
    <row r="25" spans="1:42" ht="150" customHeight="1" x14ac:dyDescent="0.7">
      <c r="A25" s="646">
        <v>11</v>
      </c>
      <c r="B25" s="608" t="s">
        <v>1099</v>
      </c>
      <c r="C25" s="647" t="s">
        <v>175</v>
      </c>
      <c r="D25" s="584" t="s">
        <v>182</v>
      </c>
      <c r="E25" s="584" t="s">
        <v>331</v>
      </c>
      <c r="F25" s="691" t="s">
        <v>1097</v>
      </c>
      <c r="G25" s="618" t="s">
        <v>1457</v>
      </c>
      <c r="H25" s="1200">
        <v>50</v>
      </c>
      <c r="I25" s="1200">
        <v>1</v>
      </c>
      <c r="J25" s="1201">
        <v>40</v>
      </c>
      <c r="K25" s="620">
        <f>IF(F25&lt;&gt;"",H25*I25*J25,"")</f>
        <v>2000</v>
      </c>
      <c r="L25" s="694">
        <f>IF(K25&lt;&gt;"",IF(D25="INTERNO",0,K25*$L$13),"")</f>
        <v>100</v>
      </c>
      <c r="M25" s="694">
        <f>IF(K25&lt;&gt;"",IF(E25="FAT.OGGI",SUM(K25:L25)*(1/(1-$M$14)-1),L25*(1/(1-$M$14)-1)),0)</f>
        <v>20.962864400629002</v>
      </c>
      <c r="N25" s="894">
        <f>SUM(K25:M25)</f>
        <v>2120.9628644006289</v>
      </c>
      <c r="O25" s="1131" t="s">
        <v>653</v>
      </c>
      <c r="P25" s="1132" t="s">
        <v>655</v>
      </c>
      <c r="Q25" s="1133"/>
      <c r="T25" s="648">
        <f>IF(H25&lt;&gt;"",H25,"")</f>
        <v>50</v>
      </c>
      <c r="U25" s="649">
        <f>IF(I25&lt;&gt;"",I25,"")</f>
        <v>1</v>
      </c>
      <c r="V25" s="650">
        <v>40</v>
      </c>
      <c r="W25" s="626">
        <v>0</v>
      </c>
      <c r="X25" s="651">
        <f>IF(T25&lt;&gt;"",K25-W25,"")</f>
        <v>2000</v>
      </c>
      <c r="Y25" s="652">
        <f>IF(T25&lt;&gt;"",0%,"")</f>
        <v>0</v>
      </c>
      <c r="Z25" s="653">
        <f>IF(T25&lt;&gt;"",Y25*X25,"")</f>
        <v>0</v>
      </c>
      <c r="AA25" s="653">
        <f>IF(T25&lt;&gt;"",Z25+W25,"")</f>
        <v>0</v>
      </c>
      <c r="AB25" s="630">
        <f>IF(T25&lt;&gt;"",AA25+M25,"")</f>
        <v>20.962864400629002</v>
      </c>
      <c r="AC25" s="631">
        <f>IF(T25&lt;&gt;"", IFERROR(X25/K25, 0), 0)</f>
        <v>1</v>
      </c>
      <c r="AD25" s="632" t="e">
        <f>W25/$W$26</f>
        <v>#DIV/0!</v>
      </c>
      <c r="AN25" s="1703">
        <f t="shared" si="0"/>
        <v>0</v>
      </c>
      <c r="AO25" s="1713"/>
    </row>
    <row r="26" spans="1:42" ht="50.1" customHeight="1" thickBot="1" x14ac:dyDescent="0.75">
      <c r="A26" s="584">
        <v>12</v>
      </c>
      <c r="B26" s="608"/>
      <c r="C26" s="609" t="s">
        <v>184</v>
      </c>
      <c r="D26" s="584"/>
      <c r="E26" s="584"/>
      <c r="F26" s="1375" t="s">
        <v>407</v>
      </c>
      <c r="G26" s="1375"/>
      <c r="H26" s="1375"/>
      <c r="I26" s="1375"/>
      <c r="J26" s="1375"/>
      <c r="K26" s="1216">
        <f>SUM(K25:K25)</f>
        <v>2000</v>
      </c>
      <c r="L26" s="1216">
        <f>SUM(L25:L25)</f>
        <v>100</v>
      </c>
      <c r="M26" s="1216">
        <f>SUM(M25:M25)</f>
        <v>20.962864400629002</v>
      </c>
      <c r="N26" s="1278">
        <f>SUM(N25:N25)</f>
        <v>2120.9628644006289</v>
      </c>
      <c r="T26" s="1383">
        <f>SUM(T25:T25)</f>
        <v>50</v>
      </c>
      <c r="U26" s="1383"/>
      <c r="V26" s="1383"/>
      <c r="W26" s="1187">
        <f>SUM(W25:W25)</f>
        <v>0</v>
      </c>
      <c r="X26" s="1188">
        <f>SUM(X25:X25)</f>
        <v>2000</v>
      </c>
      <c r="Y26" s="1190"/>
      <c r="Z26" s="1190"/>
      <c r="AA26" s="1191">
        <f>SUM(AA25:AA25)</f>
        <v>0</v>
      </c>
      <c r="AB26" s="678">
        <f>IF(T26&lt;&gt;"",AA26+M26,"")</f>
        <v>20.962864400629002</v>
      </c>
      <c r="AN26" s="1703"/>
      <c r="AO26" s="1713"/>
    </row>
    <row r="27" spans="1:42" ht="50.1" customHeight="1" thickBot="1" x14ac:dyDescent="0.75">
      <c r="A27" s="584">
        <v>13</v>
      </c>
      <c r="B27" s="608"/>
      <c r="C27" s="609" t="s">
        <v>183</v>
      </c>
      <c r="D27" s="584"/>
      <c r="E27" s="584"/>
      <c r="F27" s="1426" t="s">
        <v>408</v>
      </c>
      <c r="G27" s="1426"/>
      <c r="H27" s="1426"/>
      <c r="I27" s="1426"/>
      <c r="J27" s="1426"/>
      <c r="K27" s="1166">
        <f>SUM(K22:K22)+SUM(K25:K25)</f>
        <v>4000</v>
      </c>
      <c r="L27" s="1166">
        <f>SUM(L22:L22)+SUM(L25:L25)</f>
        <v>200</v>
      </c>
      <c r="M27" s="1166">
        <f>SUM(M22:M22)+SUM(M25:M25)</f>
        <v>41.925728801258003</v>
      </c>
      <c r="N27" s="1166">
        <f>SUM(N22:N22)+SUM(N25:N25)</f>
        <v>4241.9257288012577</v>
      </c>
      <c r="T27" s="1385">
        <f>SUM(T22:T22)+SUM(T25:T25)</f>
        <v>51</v>
      </c>
      <c r="U27" s="1385"/>
      <c r="V27" s="1385"/>
      <c r="W27" s="1166">
        <f>SUM(W25,W22)</f>
        <v>0</v>
      </c>
      <c r="X27" s="1167">
        <f>SUM(X22:X22)+SUM(X25:X25)+SUM(X17)</f>
        <v>11748.26</v>
      </c>
      <c r="Y27" s="1169"/>
      <c r="Z27" s="1169"/>
      <c r="AA27" s="1170">
        <f>SUM(AA25,AA22)</f>
        <v>0</v>
      </c>
      <c r="AB27" s="1180">
        <f>IF(T27&lt;&gt;"",AA27+M27,"")</f>
        <v>41.925728801258003</v>
      </c>
      <c r="AN27" s="1703"/>
      <c r="AO27" s="1713"/>
    </row>
    <row r="28" spans="1:42" ht="50.1" customHeight="1" thickBot="1" x14ac:dyDescent="0.75">
      <c r="A28" s="584">
        <v>14</v>
      </c>
      <c r="B28" s="608">
        <v>3</v>
      </c>
      <c r="C28" s="609" t="s">
        <v>167</v>
      </c>
      <c r="D28" s="584"/>
      <c r="E28" s="584"/>
      <c r="F28" s="1380" t="s">
        <v>505</v>
      </c>
      <c r="G28" s="1381"/>
      <c r="H28" s="1381"/>
      <c r="I28" s="1381"/>
      <c r="J28" s="1381"/>
      <c r="K28" s="1381"/>
      <c r="L28" s="1381"/>
      <c r="M28" s="1381"/>
      <c r="N28" s="1622"/>
      <c r="T28" s="1442" t="str">
        <f>IF(F28&lt;&gt;"",F28,"")</f>
        <v>ATIVIDADES, BRINDES E MATERIAIS</v>
      </c>
      <c r="U28" s="1443"/>
      <c r="V28" s="1443"/>
      <c r="W28" s="1443"/>
      <c r="X28" s="1443"/>
      <c r="Y28" s="1443"/>
      <c r="Z28" s="1443"/>
      <c r="AA28" s="1443"/>
      <c r="AB28" s="1444"/>
      <c r="AN28" s="1703"/>
      <c r="AO28" s="1713"/>
    </row>
    <row r="29" spans="1:42" ht="50.1" customHeight="1" x14ac:dyDescent="0.7">
      <c r="A29" s="584">
        <v>15</v>
      </c>
      <c r="B29" s="608" t="s">
        <v>192</v>
      </c>
      <c r="C29" s="609" t="s">
        <v>169</v>
      </c>
      <c r="D29" s="584"/>
      <c r="E29" s="584"/>
      <c r="F29" s="1406" t="s">
        <v>476</v>
      </c>
      <c r="G29" s="1407"/>
      <c r="H29" s="1407"/>
      <c r="I29" s="1407"/>
      <c r="J29" s="1407"/>
      <c r="K29" s="1407"/>
      <c r="L29" s="716" t="s">
        <v>171</v>
      </c>
      <c r="M29" s="716" t="s">
        <v>172</v>
      </c>
      <c r="N29" s="717" t="s">
        <v>129</v>
      </c>
      <c r="O29" s="1126" t="s">
        <v>651</v>
      </c>
      <c r="P29" s="1127" t="s">
        <v>652</v>
      </c>
      <c r="Q29" s="1127" t="s">
        <v>666</v>
      </c>
      <c r="T29" s="1450" t="str">
        <f>IF(F29&lt;&gt;"",F29,"")</f>
        <v>ATIVAÇÕES</v>
      </c>
      <c r="U29" s="1429"/>
      <c r="V29" s="1429"/>
      <c r="W29" s="1429"/>
      <c r="X29" s="1429"/>
      <c r="Y29" s="1429"/>
      <c r="Z29" s="1429"/>
      <c r="AA29" s="1429"/>
      <c r="AB29" s="1451"/>
      <c r="AC29" s="1243" t="s">
        <v>173</v>
      </c>
      <c r="AD29" s="1244" t="s">
        <v>130</v>
      </c>
      <c r="AN29" s="1703"/>
      <c r="AO29" s="1713"/>
    </row>
    <row r="30" spans="1:42" ht="150" customHeight="1" x14ac:dyDescent="0.7">
      <c r="A30" s="584">
        <v>16</v>
      </c>
      <c r="B30" s="608" t="s">
        <v>193</v>
      </c>
      <c r="C30" s="647" t="s">
        <v>175</v>
      </c>
      <c r="D30" s="584" t="s">
        <v>182</v>
      </c>
      <c r="E30" s="584" t="s">
        <v>179</v>
      </c>
      <c r="F30" s="718" t="s">
        <v>856</v>
      </c>
      <c r="G30" s="736" t="s">
        <v>857</v>
      </c>
      <c r="H30" s="706">
        <v>1</v>
      </c>
      <c r="I30" s="706">
        <v>1</v>
      </c>
      <c r="J30" s="620">
        <v>30227.5</v>
      </c>
      <c r="K30" s="620">
        <f>IF(F30&lt;&gt;"",H30*I30*J30,"")</f>
        <v>30227.5</v>
      </c>
      <c r="L30" s="621">
        <f>IF(K30&lt;&gt;"",IF(D30="INTERNO",0,K30*$L$14),"")</f>
        <v>2418.2000000000003</v>
      </c>
      <c r="M30" s="621">
        <f>IF(K30&lt;&gt;"",IF(E30="FAT.OGGI",SUM(K30:L30)*(1/(1-$M$14)-1),L30*(1/(1-$M$14)-1)),0)</f>
        <v>6843.4738236361418</v>
      </c>
      <c r="N30" s="622">
        <f>SUM(K30:M30)</f>
        <v>39489.173823636142</v>
      </c>
      <c r="O30" s="1131" t="s">
        <v>653</v>
      </c>
      <c r="P30" s="1132" t="s">
        <v>655</v>
      </c>
      <c r="Q30" s="1133"/>
      <c r="T30" s="624">
        <f>IF(H30&lt;&gt;"",H30,"")</f>
        <v>1</v>
      </c>
      <c r="U30" s="625">
        <f>IF(I30&lt;&gt;"",I30,"")</f>
        <v>1</v>
      </c>
      <c r="V30" s="650">
        <v>30227.5</v>
      </c>
      <c r="W30" s="626">
        <f>IF(T30&lt;&gt;"",T30*U30*V30,"")</f>
        <v>30227.5</v>
      </c>
      <c r="X30" s="627">
        <f>IF(T30&lt;&gt;"",K30-W30,"")</f>
        <v>0</v>
      </c>
      <c r="Y30" s="628">
        <f>IF(T30&lt;&gt;"",0%,"")</f>
        <v>0</v>
      </c>
      <c r="Z30" s="629">
        <f>IF(T30&lt;&gt;"",Y30*X30,"")</f>
        <v>0</v>
      </c>
      <c r="AA30" s="629">
        <f>IF(T30&lt;&gt;"",Z30+W30,"")</f>
        <v>30227.5</v>
      </c>
      <c r="AB30" s="629">
        <f>IF(T30&lt;&gt;"",AA30+M30,"")</f>
        <v>37070.973823636145</v>
      </c>
      <c r="AC30" s="632">
        <f>IF(T30&lt;&gt;"", IFERROR(X30/K30, 0), 0)</f>
        <v>0</v>
      </c>
      <c r="AD30" s="1251">
        <f>W30/$W$32</f>
        <v>1</v>
      </c>
      <c r="AN30" s="1703">
        <f t="shared" si="0"/>
        <v>0</v>
      </c>
      <c r="AO30" s="1713">
        <v>30227.5</v>
      </c>
      <c r="AP30" s="1709" t="s">
        <v>1548</v>
      </c>
    </row>
    <row r="31" spans="1:42" ht="150" customHeight="1" x14ac:dyDescent="0.7">
      <c r="A31" s="584">
        <v>17</v>
      </c>
      <c r="B31" s="608" t="s">
        <v>194</v>
      </c>
      <c r="C31" s="647" t="s">
        <v>175</v>
      </c>
      <c r="D31" s="584" t="s">
        <v>182</v>
      </c>
      <c r="E31" s="584" t="s">
        <v>179</v>
      </c>
      <c r="F31" s="768" t="s">
        <v>553</v>
      </c>
      <c r="G31" s="1052" t="s">
        <v>1442</v>
      </c>
      <c r="H31" s="770">
        <v>1</v>
      </c>
      <c r="I31" s="770">
        <v>1</v>
      </c>
      <c r="J31" s="771">
        <v>5800</v>
      </c>
      <c r="K31" s="771">
        <f>IF(F31&lt;&gt;"",H31*I31*J31,"")</f>
        <v>5800</v>
      </c>
      <c r="L31" s="833">
        <f>IF(K31&lt;&gt;"",IF(D31="INTERNO",0,K31*$L$14),"")</f>
        <v>464</v>
      </c>
      <c r="M31" s="833">
        <f>IF(K31&lt;&gt;"",IF(E31="FAT.OGGI",SUM(K31:L31)*(1/(1-$M$14)-1),L31*(1/(1-$M$14)-1)),0)</f>
        <v>1313.1138260554005</v>
      </c>
      <c r="N31" s="849">
        <f>SUM(K31:M31)</f>
        <v>7577.1138260554008</v>
      </c>
      <c r="O31" s="1131" t="s">
        <v>653</v>
      </c>
      <c r="P31" s="1132" t="s">
        <v>655</v>
      </c>
      <c r="Q31" s="1133"/>
      <c r="T31" s="624">
        <f>IF(H31&lt;&gt;"",H31,"")</f>
        <v>1</v>
      </c>
      <c r="U31" s="625">
        <f>IF(I31&lt;&gt;"",I31,"")</f>
        <v>1</v>
      </c>
      <c r="V31" s="650">
        <v>5800</v>
      </c>
      <c r="W31" s="626">
        <v>0</v>
      </c>
      <c r="X31" s="627">
        <f>IF(T31&lt;&gt;"",K31-W31,"")</f>
        <v>5800</v>
      </c>
      <c r="Y31" s="628">
        <f>IF(T31&lt;&gt;"",0%,"")</f>
        <v>0</v>
      </c>
      <c r="Z31" s="629">
        <f>IF(T31&lt;&gt;"",Y31*X31,"")</f>
        <v>0</v>
      </c>
      <c r="AA31" s="629">
        <f>IF(T31&lt;&gt;"",Z31+W31,"")</f>
        <v>0</v>
      </c>
      <c r="AB31" s="629">
        <f>IF(T31&lt;&gt;"",AA31+M31,"")</f>
        <v>1313.1138260554005</v>
      </c>
      <c r="AC31" s="632">
        <f>IF(T31&lt;&gt;"", IFERROR(X31/K31, 0), 0)</f>
        <v>1</v>
      </c>
      <c r="AD31" s="1251">
        <f>W31/$W$32</f>
        <v>0</v>
      </c>
      <c r="AN31" s="1703">
        <f t="shared" si="0"/>
        <v>0</v>
      </c>
      <c r="AO31" s="1713"/>
    </row>
    <row r="32" spans="1:42" ht="50.1" customHeight="1" thickBot="1" x14ac:dyDescent="0.75">
      <c r="A32" s="584">
        <v>18</v>
      </c>
      <c r="B32" s="608"/>
      <c r="C32" s="647" t="s">
        <v>184</v>
      </c>
      <c r="D32" s="646"/>
      <c r="E32" s="646"/>
      <c r="F32" s="1448" t="s">
        <v>502</v>
      </c>
      <c r="G32" s="1449"/>
      <c r="H32" s="1449"/>
      <c r="I32" s="1449"/>
      <c r="J32" s="1449"/>
      <c r="K32" s="1252">
        <f>SUM(K30:K31)</f>
        <v>36027.5</v>
      </c>
      <c r="L32" s="1253">
        <f>SUM(L30:L31)</f>
        <v>2882.2000000000003</v>
      </c>
      <c r="M32" s="1254">
        <f>SUM(M30:M31)</f>
        <v>8156.5876496915425</v>
      </c>
      <c r="N32" s="1255">
        <f>SUM(N30:N31)</f>
        <v>47066.287649691541</v>
      </c>
      <c r="T32" s="1452">
        <f>SUM(T30:T31)</f>
        <v>2</v>
      </c>
      <c r="U32" s="1453"/>
      <c r="V32" s="1453"/>
      <c r="W32" s="1256">
        <f>SUM(W30:W31)</f>
        <v>30227.5</v>
      </c>
      <c r="X32" s="1257">
        <f>SUM(X30:X31)</f>
        <v>5800</v>
      </c>
      <c r="Y32" s="668"/>
      <c r="Z32" s="669"/>
      <c r="AA32" s="1100">
        <f>SUM(AA30:AA31)</f>
        <v>30227.5</v>
      </c>
      <c r="AB32" s="1258">
        <f>IF(T32&lt;&gt;"",AA32+M32,"")</f>
        <v>38384.087649691544</v>
      </c>
      <c r="AC32" s="645"/>
      <c r="AN32" s="1703"/>
      <c r="AO32" s="1713"/>
    </row>
    <row r="33" spans="1:42" ht="50.1" customHeight="1" thickBot="1" x14ac:dyDescent="0.75">
      <c r="A33" s="584">
        <v>19</v>
      </c>
      <c r="B33" s="608"/>
      <c r="C33" s="609" t="s">
        <v>183</v>
      </c>
      <c r="D33" s="584"/>
      <c r="E33" s="584"/>
      <c r="F33" s="1426" t="s">
        <v>524</v>
      </c>
      <c r="G33" s="1427"/>
      <c r="H33" s="1427"/>
      <c r="I33" s="1427"/>
      <c r="J33" s="1427"/>
      <c r="K33" s="1166">
        <f>SUM(K30:K31)</f>
        <v>36027.5</v>
      </c>
      <c r="L33" s="1166">
        <f>SUM(L30:L31)</f>
        <v>2882.2000000000003</v>
      </c>
      <c r="M33" s="1166">
        <f>SUM(M30:M31)</f>
        <v>8156.5876496915425</v>
      </c>
      <c r="N33" s="1229">
        <f>SUM(N30:N31)</f>
        <v>47066.287649691541</v>
      </c>
      <c r="T33" s="1385">
        <f>SUM(T30:T31)</f>
        <v>2</v>
      </c>
      <c r="U33" s="1386"/>
      <c r="V33" s="1386"/>
      <c r="W33" s="1242">
        <f>SUM(W30:W31)</f>
        <v>30227.5</v>
      </c>
      <c r="X33" s="1167">
        <f>SUM(X30:X31)</f>
        <v>5800</v>
      </c>
      <c r="Y33" s="1169"/>
      <c r="Z33" s="1169"/>
      <c r="AA33" s="1170">
        <f>SUM(AA30:AA31)+SUM(AA25)+SUM(AA22)+SUM(AA17)</f>
        <v>30227.5</v>
      </c>
      <c r="AB33" s="783">
        <f>IF(T33&lt;&gt;"",AA33+M33,"")</f>
        <v>38384.087649691544</v>
      </c>
      <c r="AN33" s="1703"/>
      <c r="AO33" s="1713"/>
    </row>
    <row r="34" spans="1:42" ht="50.1" customHeight="1" thickBot="1" x14ac:dyDescent="0.75">
      <c r="A34" s="584">
        <v>20</v>
      </c>
      <c r="B34" s="815"/>
      <c r="C34" s="609" t="s">
        <v>186</v>
      </c>
      <c r="D34" s="584"/>
      <c r="E34" s="584"/>
      <c r="F34" s="1269" t="s">
        <v>187</v>
      </c>
      <c r="G34" s="1270"/>
      <c r="H34" s="1270"/>
      <c r="I34" s="1270"/>
      <c r="J34" s="1270"/>
      <c r="K34" s="1271">
        <f>SUM(K17:K17)+SUM(K22:K22)+SUM(K25:K25)+SUM(K30:K31)</f>
        <v>47775.76</v>
      </c>
      <c r="L34" s="1271">
        <f>SUM(L17:L17)+SUM(L22:L22)+SUM(L25:L25)+SUM(L30:L31)</f>
        <v>3082.2000000000003</v>
      </c>
      <c r="M34" s="1271">
        <f>SUM(M17:M17)+SUM(M22:M22)+SUM(M25:M25)+SUM(M30:M31)</f>
        <v>8198.5133784928003</v>
      </c>
      <c r="N34" s="1271">
        <f>SUM(N17:N17)+SUM(N22:N22)+SUM(N25:N25)+SUM(N30:N31)</f>
        <v>59056.473378492796</v>
      </c>
      <c r="T34" s="1272" t="s">
        <v>43</v>
      </c>
      <c r="U34" s="1273"/>
      <c r="V34" s="1270"/>
      <c r="W34" s="1271">
        <f t="shared" ref="W34:AB34" si="1">SUM(W30:W31,W25,W22,W17)</f>
        <v>30227.5</v>
      </c>
      <c r="X34" s="1271">
        <f t="shared" si="1"/>
        <v>17548.260000000002</v>
      </c>
      <c r="Y34" s="1271">
        <f t="shared" si="1"/>
        <v>0</v>
      </c>
      <c r="Z34" s="1271">
        <f t="shared" si="1"/>
        <v>0</v>
      </c>
      <c r="AA34" s="1271">
        <f t="shared" si="1"/>
        <v>30227.5</v>
      </c>
      <c r="AB34" s="1271">
        <f t="shared" si="1"/>
        <v>38426.013378492804</v>
      </c>
      <c r="AC34" s="1275">
        <f>IF(T34&lt;&gt;"",(N34-AB34)/N34,"")</f>
        <v>0.34933443905089667</v>
      </c>
      <c r="AD34" s="1276">
        <f>IF(AC34&lt;&gt;"",(N34-AB34),"")</f>
        <v>20630.459999999992</v>
      </c>
      <c r="AN34" s="1703">
        <f>SUM(AN17:AN33)</f>
        <v>0</v>
      </c>
      <c r="AO34" s="1713">
        <f>SUM(AO17:AO33)</f>
        <v>30227.5</v>
      </c>
    </row>
    <row r="37" spans="1:42" x14ac:dyDescent="0.3">
      <c r="AO37" s="1706">
        <f>AA34</f>
        <v>30227.5</v>
      </c>
      <c r="AP37" s="1707" t="s">
        <v>1615</v>
      </c>
    </row>
    <row r="38" spans="1:42" x14ac:dyDescent="0.3">
      <c r="AO38" s="1708">
        <f>N34-AA34</f>
        <v>28828.973378492796</v>
      </c>
      <c r="AP38" s="1709" t="s">
        <v>799</v>
      </c>
    </row>
    <row r="39" spans="1:42" x14ac:dyDescent="0.3">
      <c r="AO39" s="1714">
        <f>AO38*100%/N34</f>
        <v>0.48815941300334637</v>
      </c>
    </row>
  </sheetData>
  <autoFilter ref="A1:AP27" xr:uid="{107B9E09-8154-459A-AE62-6A4242823A27}">
    <filterColumn colId="5" showButton="0"/>
  </autoFilter>
  <mergeCells count="37">
    <mergeCell ref="AN16:AO16"/>
    <mergeCell ref="F15:N15"/>
    <mergeCell ref="T15:AB15"/>
    <mergeCell ref="AN12:AO12"/>
    <mergeCell ref="F1:G1"/>
    <mergeCell ref="F2:G2"/>
    <mergeCell ref="T12:W12"/>
    <mergeCell ref="X12:AA12"/>
    <mergeCell ref="AF12:AH12"/>
    <mergeCell ref="AJ12:AK12"/>
    <mergeCell ref="AN15:AO15"/>
    <mergeCell ref="F16:K16"/>
    <mergeCell ref="T16:AB16"/>
    <mergeCell ref="F18:J18"/>
    <mergeCell ref="T18:V18"/>
    <mergeCell ref="F19:J19"/>
    <mergeCell ref="T19:V19"/>
    <mergeCell ref="F21:K21"/>
    <mergeCell ref="T21:AB21"/>
    <mergeCell ref="F23:J23"/>
    <mergeCell ref="T23:V23"/>
    <mergeCell ref="F20:N20"/>
    <mergeCell ref="T20:AB20"/>
    <mergeCell ref="F28:N28"/>
    <mergeCell ref="T28:AB28"/>
    <mergeCell ref="F27:J27"/>
    <mergeCell ref="T27:V27"/>
    <mergeCell ref="F24:K24"/>
    <mergeCell ref="T24:AB24"/>
    <mergeCell ref="F26:J26"/>
    <mergeCell ref="T26:V26"/>
    <mergeCell ref="F33:J33"/>
    <mergeCell ref="T33:V33"/>
    <mergeCell ref="F29:K29"/>
    <mergeCell ref="T29:AB29"/>
    <mergeCell ref="F32:J32"/>
    <mergeCell ref="T32:V32"/>
  </mergeCells>
  <dataValidations disablePrompts="1" count="3">
    <dataValidation type="list" allowBlank="1" showInputMessage="1" showErrorMessage="1" sqref="E17 E25 E22 E30:E32" xr:uid="{46849ED2-B7AC-41AA-AA7F-8D438D40E8D6}">
      <formula1>"FAT.OGGI,FAT.CLIENTE"</formula1>
    </dataValidation>
    <dataValidation type="list" allowBlank="1" showInputMessage="1" showErrorMessage="1" sqref="D17 D34 D25 D22 D30:D32" xr:uid="{5987CB79-2DB4-4CD7-AB3A-B809D825CB8C}">
      <formula1>"INTERNO,OPERACIONAL"</formula1>
    </dataValidation>
    <dataValidation type="list" allowBlank="1" showInputMessage="1" showErrorMessage="1" sqref="E34" xr:uid="{30466EC8-4CE9-46DB-8BAA-3E83686E9ACB}">
      <formula1>"FAT.OGGI,FAT.CLIENTE "</formula1>
    </dataValidation>
  </dataValidations>
  <pageMargins left="0.23622047244094491" right="0.23622047244094491" top="0.74803149606299213" bottom="0.74803149606299213" header="0.31496062992125984" footer="0.31496062992125984"/>
  <pageSetup paperSize="9" scale="4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62181-AA45-4AD0-AB2B-5DAECC5C461F}">
  <sheetPr codeName="Planilha12">
    <pageSetUpPr autoPageBreaks="0"/>
  </sheetPr>
  <dimension ref="A1:AO167"/>
  <sheetViews>
    <sheetView showGridLines="0" topLeftCell="B1" zoomScale="35" zoomScaleNormal="35" workbookViewId="0">
      <pane ySplit="1" topLeftCell="A149" activePane="bottomLeft" state="frozen"/>
      <selection pane="bottomLeft" activeCell="AS157" sqref="AS157"/>
    </sheetView>
  </sheetViews>
  <sheetFormatPr defaultColWidth="8.88671875" defaultRowHeight="36.6" x14ac:dyDescent="0.3"/>
  <cols>
    <col min="1" max="1" width="8.109375" style="1117" hidden="1" customWidth="1"/>
    <col min="2" max="2" width="14.5546875" style="1117" customWidth="1"/>
    <col min="3" max="3" width="15.44140625" style="1117" hidden="1" customWidth="1"/>
    <col min="4" max="4" width="19.109375" style="1117" hidden="1" customWidth="1"/>
    <col min="5" max="5" width="16.88671875" style="1117" hidden="1" customWidth="1"/>
    <col min="6" max="6" width="61.44140625" style="1117" customWidth="1"/>
    <col min="7" max="7" width="95.88671875" style="1117" customWidth="1"/>
    <col min="8" max="9" width="10.5546875" style="1117" hidden="1" customWidth="1"/>
    <col min="10" max="10" width="18.88671875" style="1117" hidden="1" customWidth="1"/>
    <col min="11" max="11" width="47.88671875" style="1117" bestFit="1" customWidth="1"/>
    <col min="12" max="12" width="42.5546875" style="1117" bestFit="1" customWidth="1"/>
    <col min="13" max="13" width="41" style="1117" bestFit="1" customWidth="1"/>
    <col min="14" max="14" width="47.88671875" style="1117" bestFit="1" customWidth="1"/>
    <col min="15" max="16" width="24.109375" style="1279" hidden="1" customWidth="1"/>
    <col min="17" max="17" width="42.88671875" style="1279" hidden="1" customWidth="1"/>
    <col min="18" max="18" width="83.109375" style="1280" hidden="1" customWidth="1"/>
    <col min="19" max="19" width="21.5546875" style="1065" customWidth="1"/>
    <col min="20" max="20" width="10.5546875" style="1065" hidden="1" customWidth="1"/>
    <col min="21" max="21" width="33.88671875" style="1117" hidden="1" customWidth="1"/>
    <col min="22" max="22" width="40.5546875" style="1117" bestFit="1" customWidth="1"/>
    <col min="23" max="23" width="27.5546875" style="1117" hidden="1" customWidth="1"/>
    <col min="24" max="24" width="13" style="1065" hidden="1" customWidth="1"/>
    <col min="25" max="25" width="16.33203125" style="1117" hidden="1" customWidth="1"/>
    <col min="26" max="26" width="40.5546875" style="1117" bestFit="1" customWidth="1"/>
    <col min="27" max="27" width="30.88671875" style="1117" hidden="1" customWidth="1"/>
    <col min="28" max="28" width="19.44140625" style="1117" hidden="1" customWidth="1"/>
    <col min="29" max="29" width="27.88671875" style="1117" hidden="1" customWidth="1"/>
    <col min="30" max="30" width="38.109375" style="1117" hidden="1" customWidth="1"/>
    <col min="31" max="31" width="14.109375" style="1117" hidden="1" customWidth="1"/>
    <col min="32" max="32" width="7.5546875" style="1117" hidden="1" customWidth="1"/>
    <col min="33" max="33" width="6.88671875" style="1117" hidden="1" customWidth="1"/>
    <col min="34" max="34" width="1.44140625" style="1117" hidden="1" customWidth="1"/>
    <col min="35" max="35" width="14" style="1117" hidden="1" customWidth="1"/>
    <col min="36" max="36" width="11.5546875" style="1117" hidden="1" customWidth="1"/>
    <col min="37" max="37" width="6.44140625" style="1117" hidden="1" customWidth="1"/>
    <col min="38" max="38" width="12.5546875" style="1117" hidden="1" customWidth="1"/>
    <col min="39" max="39" width="41.44140625" style="1719" customWidth="1"/>
    <col min="40" max="40" width="47.88671875" style="1719" bestFit="1" customWidth="1"/>
    <col min="41" max="41" width="69.109375" style="1709" bestFit="1" customWidth="1"/>
    <col min="42" max="42" width="21.44140625" style="1117" customWidth="1"/>
    <col min="43" max="16384" width="8.88671875" style="1117"/>
  </cols>
  <sheetData>
    <row r="1" spans="1:40" ht="49.5" customHeight="1" x14ac:dyDescent="0.3">
      <c r="B1" s="560"/>
      <c r="C1" s="561"/>
      <c r="D1" s="561"/>
      <c r="F1" s="1399" t="s">
        <v>128</v>
      </c>
      <c r="G1" s="1399"/>
    </row>
    <row r="2" spans="1:40" ht="24.75" customHeight="1" x14ac:dyDescent="0.3">
      <c r="B2" s="1065"/>
      <c r="D2" s="561"/>
      <c r="F2" s="1400" t="s">
        <v>0</v>
      </c>
      <c r="G2" s="1400"/>
    </row>
    <row r="3" spans="1:40" x14ac:dyDescent="0.3">
      <c r="B3" s="1119"/>
      <c r="F3" s="564"/>
      <c r="G3" s="564"/>
    </row>
    <row r="4" spans="1:40" ht="20.100000000000001" customHeight="1" x14ac:dyDescent="0.3">
      <c r="F4" s="565" t="s">
        <v>245</v>
      </c>
      <c r="G4" s="566"/>
    </row>
    <row r="5" spans="1:40" ht="20.100000000000001" customHeight="1" x14ac:dyDescent="0.3">
      <c r="F5" s="567" t="s">
        <v>224</v>
      </c>
      <c r="G5" s="568"/>
    </row>
    <row r="6" spans="1:40" ht="20.100000000000001" customHeight="1" x14ac:dyDescent="0.3">
      <c r="D6" s="1117" t="s">
        <v>155</v>
      </c>
      <c r="F6" s="567" t="s">
        <v>566</v>
      </c>
      <c r="G6" s="569"/>
    </row>
    <row r="7" spans="1:40" ht="20.100000000000001" customHeight="1" x14ac:dyDescent="0.3">
      <c r="F7" s="567" t="s">
        <v>247</v>
      </c>
      <c r="G7" s="569"/>
      <c r="J7" s="1117" t="s">
        <v>225</v>
      </c>
    </row>
    <row r="8" spans="1:40" ht="20.100000000000001" customHeight="1" x14ac:dyDescent="0.3">
      <c r="F8" s="567" t="s">
        <v>634</v>
      </c>
      <c r="G8" s="570"/>
    </row>
    <row r="9" spans="1:40" ht="20.100000000000001" customHeight="1" x14ac:dyDescent="0.3">
      <c r="F9" s="567" t="s">
        <v>249</v>
      </c>
      <c r="G9" s="569"/>
      <c r="J9" s="1117" t="s">
        <v>155</v>
      </c>
      <c r="M9" s="1117">
        <v>0.80469999999999997</v>
      </c>
    </row>
    <row r="10" spans="1:40" ht="20.100000000000001" customHeight="1" x14ac:dyDescent="0.3">
      <c r="F10" s="567" t="s">
        <v>177</v>
      </c>
      <c r="G10" s="569"/>
      <c r="M10" s="1117">
        <f>1-M9</f>
        <v>0.19530000000000003</v>
      </c>
    </row>
    <row r="11" spans="1:40" ht="20.100000000000001" customHeight="1" x14ac:dyDescent="0.3">
      <c r="F11" s="571" t="s">
        <v>636</v>
      </c>
      <c r="G11" s="572"/>
    </row>
    <row r="12" spans="1:40" ht="15.9" hidden="1" customHeight="1" thickBot="1" x14ac:dyDescent="0.35">
      <c r="B12" s="1120"/>
      <c r="L12" s="1281">
        <v>0</v>
      </c>
      <c r="M12" s="1122">
        <v>0</v>
      </c>
      <c r="S12" s="1409" t="s">
        <v>1</v>
      </c>
      <c r="T12" s="1410"/>
      <c r="U12" s="1410"/>
      <c r="V12" s="1411"/>
      <c r="W12" s="1412" t="s">
        <v>2</v>
      </c>
      <c r="X12" s="1413"/>
      <c r="Y12" s="1413"/>
      <c r="Z12" s="1414"/>
      <c r="AA12" s="576" t="s">
        <v>56</v>
      </c>
      <c r="AB12" s="1123">
        <f>(1/(1-M14))-1</f>
        <v>0.20962864400629</v>
      </c>
      <c r="AE12" s="1392" t="s">
        <v>3</v>
      </c>
      <c r="AF12" s="1393"/>
      <c r="AG12" s="1394"/>
      <c r="AI12" s="1390" t="s">
        <v>58</v>
      </c>
      <c r="AJ12" s="1391"/>
      <c r="AL12" s="578" t="s">
        <v>71</v>
      </c>
      <c r="AM12" s="1696" t="s">
        <v>70</v>
      </c>
      <c r="AN12" s="1697"/>
    </row>
    <row r="13" spans="1:40" ht="37.200000000000003" thickBot="1" x14ac:dyDescent="0.35">
      <c r="A13" s="1124" t="s">
        <v>4</v>
      </c>
      <c r="B13" s="1125" t="s">
        <v>5</v>
      </c>
      <c r="C13" s="1124" t="s">
        <v>6</v>
      </c>
      <c r="D13" s="1124" t="s">
        <v>7</v>
      </c>
      <c r="E13" s="1124" t="s">
        <v>8</v>
      </c>
      <c r="L13" s="1281">
        <v>0.05</v>
      </c>
      <c r="M13" s="1122">
        <v>0.82669999999999999</v>
      </c>
    </row>
    <row r="14" spans="1:40" ht="71.25" customHeight="1" thickBot="1" x14ac:dyDescent="0.35">
      <c r="A14" s="581">
        <v>0</v>
      </c>
      <c r="B14" s="582"/>
      <c r="C14" s="583"/>
      <c r="D14" s="584"/>
      <c r="E14" s="584"/>
      <c r="F14" s="1282" t="s">
        <v>131</v>
      </c>
      <c r="G14" s="1283" t="s">
        <v>132</v>
      </c>
      <c r="H14" s="1284" t="s">
        <v>133</v>
      </c>
      <c r="I14" s="1284" t="s">
        <v>134</v>
      </c>
      <c r="J14" s="1285" t="s">
        <v>135</v>
      </c>
      <c r="K14" s="1286" t="s">
        <v>9</v>
      </c>
      <c r="L14" s="1287">
        <v>0.08</v>
      </c>
      <c r="M14" s="1288">
        <f>1-M13</f>
        <v>0.17330000000000001</v>
      </c>
      <c r="N14" s="1286" t="s">
        <v>129</v>
      </c>
      <c r="S14" s="1289" t="s">
        <v>136</v>
      </c>
      <c r="T14" s="1289" t="s">
        <v>137</v>
      </c>
      <c r="U14" s="1290" t="s">
        <v>138</v>
      </c>
      <c r="V14" s="1291" t="s">
        <v>139</v>
      </c>
      <c r="W14" s="1292" t="s">
        <v>140</v>
      </c>
      <c r="X14" s="1293" t="s">
        <v>141</v>
      </c>
      <c r="Y14" s="1294" t="s">
        <v>142</v>
      </c>
      <c r="Z14" s="1294" t="s">
        <v>143</v>
      </c>
      <c r="AA14" s="1295" t="s">
        <v>144</v>
      </c>
      <c r="AB14" s="1293" t="s">
        <v>145</v>
      </c>
      <c r="AC14" s="1293" t="s">
        <v>130</v>
      </c>
      <c r="AE14" s="604" t="s">
        <v>146</v>
      </c>
      <c r="AF14" s="605" t="s">
        <v>147</v>
      </c>
      <c r="AG14" s="605" t="s">
        <v>33</v>
      </c>
      <c r="AI14" s="606" t="s">
        <v>148</v>
      </c>
      <c r="AJ14" s="607" t="s">
        <v>149</v>
      </c>
      <c r="AK14" s="1117" t="s">
        <v>150</v>
      </c>
      <c r="AL14" s="1117" t="s">
        <v>150</v>
      </c>
      <c r="AM14" s="1698" t="s">
        <v>151</v>
      </c>
      <c r="AN14" s="1712" t="s">
        <v>152</v>
      </c>
    </row>
    <row r="15" spans="1:40" ht="50.1" customHeight="1" thickBot="1" x14ac:dyDescent="0.75">
      <c r="A15" s="584">
        <v>1</v>
      </c>
      <c r="B15" s="608">
        <v>1</v>
      </c>
      <c r="C15" s="609" t="s">
        <v>167</v>
      </c>
      <c r="D15" s="584"/>
      <c r="E15" s="584"/>
      <c r="F15" s="1626" t="s">
        <v>168</v>
      </c>
      <c r="G15" s="1626"/>
      <c r="H15" s="1626"/>
      <c r="I15" s="1626"/>
      <c r="J15" s="1626"/>
      <c r="K15" s="1626"/>
      <c r="L15" s="1626"/>
      <c r="M15" s="1626"/>
      <c r="N15" s="1626"/>
      <c r="S15" s="1626" t="str">
        <f>IF(F15&lt;&gt;"",F15,"")</f>
        <v>INTERNO</v>
      </c>
      <c r="T15" s="1626"/>
      <c r="U15" s="1626"/>
      <c r="V15" s="1626"/>
      <c r="W15" s="1626"/>
      <c r="X15" s="1626"/>
      <c r="Y15" s="1626"/>
      <c r="Z15" s="1626"/>
      <c r="AA15" s="1626"/>
      <c r="AM15" s="1699"/>
      <c r="AN15" s="1700"/>
    </row>
    <row r="16" spans="1:40" ht="50.1" customHeight="1" x14ac:dyDescent="0.7">
      <c r="A16" s="584">
        <v>2</v>
      </c>
      <c r="B16" s="608" t="s">
        <v>170</v>
      </c>
      <c r="C16" s="609" t="s">
        <v>169</v>
      </c>
      <c r="D16" s="584"/>
      <c r="E16" s="584"/>
      <c r="F16" s="1423" t="s">
        <v>174</v>
      </c>
      <c r="G16" s="1423"/>
      <c r="H16" s="1423"/>
      <c r="I16" s="1423"/>
      <c r="J16" s="1423"/>
      <c r="K16" s="1423"/>
      <c r="L16" s="1296" t="s">
        <v>171</v>
      </c>
      <c r="M16" s="1296" t="s">
        <v>172</v>
      </c>
      <c r="N16" s="1296" t="s">
        <v>129</v>
      </c>
      <c r="O16" s="1126" t="s">
        <v>651</v>
      </c>
      <c r="P16" s="1127" t="s">
        <v>652</v>
      </c>
      <c r="Q16" s="1127" t="s">
        <v>666</v>
      </c>
      <c r="S16" s="1423" t="str">
        <f>IF(F16&lt;&gt;"",F16,"")</f>
        <v>EQUIPE INTERNA</v>
      </c>
      <c r="T16" s="1423"/>
      <c r="U16" s="1423"/>
      <c r="V16" s="1423"/>
      <c r="W16" s="1423"/>
      <c r="X16" s="1423"/>
      <c r="Y16" s="1423"/>
      <c r="Z16" s="1423"/>
      <c r="AA16" s="1423"/>
      <c r="AB16" s="616" t="s">
        <v>173</v>
      </c>
      <c r="AC16" s="617" t="s">
        <v>130</v>
      </c>
      <c r="AM16" s="1701"/>
      <c r="AN16" s="1702"/>
    </row>
    <row r="17" spans="1:40" ht="150" customHeight="1" x14ac:dyDescent="0.7">
      <c r="A17" s="584">
        <v>3</v>
      </c>
      <c r="B17" s="608" t="s">
        <v>176</v>
      </c>
      <c r="C17" s="609" t="s">
        <v>175</v>
      </c>
      <c r="D17" s="584" t="s">
        <v>168</v>
      </c>
      <c r="E17" s="584" t="s">
        <v>179</v>
      </c>
      <c r="F17" s="940" t="s">
        <v>253</v>
      </c>
      <c r="G17" s="940" t="s">
        <v>1397</v>
      </c>
      <c r="H17" s="1297">
        <v>1</v>
      </c>
      <c r="I17" s="1297">
        <v>1</v>
      </c>
      <c r="J17" s="621">
        <v>9000</v>
      </c>
      <c r="K17" s="621">
        <f t="shared" ref="K17:K24" si="0">IF(F17&lt;&gt;"",H17*I17*J17,"")</f>
        <v>9000</v>
      </c>
      <c r="L17" s="621">
        <f t="shared" ref="L17:L24" si="1">IF(K17&lt;&gt;"",IF(D17="INTERNO",0,K17*$L$14),"")</f>
        <v>0</v>
      </c>
      <c r="M17" s="621">
        <f>IF(K17&lt;&gt;"",IF(E17="FAT.OGGI",SUM(K17:L17)*(1/(1-$M$14)-1),L17*(1/(1-$M$14)-1)),"")</f>
        <v>1886.6577960566101</v>
      </c>
      <c r="N17" s="621">
        <f t="shared" ref="N17:N24" si="2">SUM(K17:M17)</f>
        <v>10886.65779605661</v>
      </c>
      <c r="O17" s="1131" t="s">
        <v>653</v>
      </c>
      <c r="P17" s="1132" t="s">
        <v>655</v>
      </c>
      <c r="Q17" s="1133" t="s">
        <v>656</v>
      </c>
      <c r="S17" s="625">
        <f t="shared" ref="S17:T24" si="3">IF(H17&lt;&gt;"",H17,"")</f>
        <v>1</v>
      </c>
      <c r="T17" s="625">
        <f t="shared" si="3"/>
        <v>1</v>
      </c>
      <c r="U17" s="626">
        <v>0</v>
      </c>
      <c r="V17" s="626">
        <f t="shared" ref="V17:V23" si="4">IF(S17&lt;&gt;"",S17*T17*U17,"")</f>
        <v>0</v>
      </c>
      <c r="W17" s="627">
        <f t="shared" ref="W17:W24" si="5">IF(S17&lt;&gt;"",K17-V17,"")</f>
        <v>9000</v>
      </c>
      <c r="X17" s="1134">
        <f t="shared" ref="X17:X24" si="6">IF(S17&lt;&gt;"",0%,"")</f>
        <v>0</v>
      </c>
      <c r="Y17" s="629">
        <f t="shared" ref="Y17:Y24" si="7">IF(S17&lt;&gt;"",X17*W17,"")</f>
        <v>0</v>
      </c>
      <c r="Z17" s="629">
        <f t="shared" ref="Z17:Z24" si="8">IF(S17&lt;&gt;"",Y17+V17,"")</f>
        <v>0</v>
      </c>
      <c r="AA17" s="629">
        <f t="shared" ref="AA17:AA26" si="9">IF(S17&lt;&gt;"",Z17+M17,"")</f>
        <v>1886.6577960566101</v>
      </c>
      <c r="AB17" s="631">
        <f>IFERROR(IF(S17&lt;&gt;"",W17/K17,""),0)</f>
        <v>1</v>
      </c>
      <c r="AC17" s="632" t="e">
        <f t="shared" ref="AC17:AC24" si="10">V17/$V$25</f>
        <v>#DIV/0!</v>
      </c>
      <c r="AM17" s="1703">
        <f>Z17-AN17</f>
        <v>0</v>
      </c>
      <c r="AN17" s="1713"/>
    </row>
    <row r="18" spans="1:40" ht="150" customHeight="1" x14ac:dyDescent="0.7">
      <c r="A18" s="584">
        <v>4</v>
      </c>
      <c r="B18" s="608" t="s">
        <v>153</v>
      </c>
      <c r="C18" s="609" t="s">
        <v>175</v>
      </c>
      <c r="D18" s="584" t="s">
        <v>168</v>
      </c>
      <c r="E18" s="584" t="s">
        <v>179</v>
      </c>
      <c r="F18" s="940" t="s">
        <v>254</v>
      </c>
      <c r="G18" s="940" t="s">
        <v>1315</v>
      </c>
      <c r="H18" s="1297">
        <v>1</v>
      </c>
      <c r="I18" s="1297">
        <v>1</v>
      </c>
      <c r="J18" s="621">
        <v>9000</v>
      </c>
      <c r="K18" s="621">
        <f t="shared" si="0"/>
        <v>9000</v>
      </c>
      <c r="L18" s="621">
        <f t="shared" si="1"/>
        <v>0</v>
      </c>
      <c r="M18" s="621">
        <f>IF(K18&lt;&gt;"",IF(E18="FAT.OGGI",SUM(K18:L18)*(1/(1-$M$14)-1),L18*(1/(1-$M$14)-1)),"")</f>
        <v>1886.6577960566101</v>
      </c>
      <c r="N18" s="621">
        <f t="shared" si="2"/>
        <v>10886.65779605661</v>
      </c>
      <c r="O18" s="1131" t="s">
        <v>653</v>
      </c>
      <c r="P18" s="1132" t="s">
        <v>655</v>
      </c>
      <c r="Q18" s="1133" t="s">
        <v>659</v>
      </c>
      <c r="S18" s="625">
        <f t="shared" si="3"/>
        <v>1</v>
      </c>
      <c r="T18" s="625">
        <f t="shared" si="3"/>
        <v>1</v>
      </c>
      <c r="U18" s="626">
        <v>6500</v>
      </c>
      <c r="V18" s="626">
        <v>0</v>
      </c>
      <c r="W18" s="627">
        <f t="shared" si="5"/>
        <v>9000</v>
      </c>
      <c r="X18" s="1134">
        <f t="shared" si="6"/>
        <v>0</v>
      </c>
      <c r="Y18" s="629">
        <f t="shared" si="7"/>
        <v>0</v>
      </c>
      <c r="Z18" s="629">
        <f t="shared" si="8"/>
        <v>0</v>
      </c>
      <c r="AA18" s="629">
        <f t="shared" si="9"/>
        <v>1886.6577960566101</v>
      </c>
      <c r="AB18" s="631">
        <f>IFERROR(IF(S18&lt;&gt;"",W18/K18,""),0)</f>
        <v>1</v>
      </c>
      <c r="AC18" s="632" t="e">
        <f t="shared" si="10"/>
        <v>#DIV/0!</v>
      </c>
      <c r="AM18" s="1703">
        <f t="shared" ref="AM18:AM81" si="11">Z18-AN18</f>
        <v>0</v>
      </c>
      <c r="AN18" s="1713"/>
    </row>
    <row r="19" spans="1:40" ht="150" customHeight="1" x14ac:dyDescent="0.7">
      <c r="A19" s="633">
        <v>5</v>
      </c>
      <c r="B19" s="608" t="s">
        <v>230</v>
      </c>
      <c r="C19" s="634" t="s">
        <v>175</v>
      </c>
      <c r="D19" s="633" t="s">
        <v>168</v>
      </c>
      <c r="E19" s="633" t="s">
        <v>179</v>
      </c>
      <c r="F19" s="940" t="s">
        <v>255</v>
      </c>
      <c r="G19" s="940" t="s">
        <v>1398</v>
      </c>
      <c r="H19" s="1297">
        <v>1</v>
      </c>
      <c r="I19" s="1297">
        <v>1</v>
      </c>
      <c r="J19" s="621">
        <v>9000</v>
      </c>
      <c r="K19" s="621">
        <f t="shared" si="0"/>
        <v>9000</v>
      </c>
      <c r="L19" s="621">
        <f t="shared" si="1"/>
        <v>0</v>
      </c>
      <c r="M19" s="621">
        <f>IF(K19&lt;&gt;"",IF(E19="FAT.OGGI",SUM(K19:L19)*(1/(1-$M$14)-1),L19*(1/(1-$M$14)-1)),"")</f>
        <v>1886.6577960566101</v>
      </c>
      <c r="N19" s="621">
        <f t="shared" si="2"/>
        <v>10886.65779605661</v>
      </c>
      <c r="O19" s="1131" t="s">
        <v>653</v>
      </c>
      <c r="P19" s="1132" t="s">
        <v>655</v>
      </c>
      <c r="Q19" s="1133" t="s">
        <v>660</v>
      </c>
      <c r="S19" s="625">
        <f t="shared" si="3"/>
        <v>1</v>
      </c>
      <c r="T19" s="625">
        <f t="shared" si="3"/>
        <v>1</v>
      </c>
      <c r="U19" s="626">
        <v>3500</v>
      </c>
      <c r="V19" s="626">
        <v>0</v>
      </c>
      <c r="W19" s="627">
        <f t="shared" si="5"/>
        <v>9000</v>
      </c>
      <c r="X19" s="1134">
        <f t="shared" si="6"/>
        <v>0</v>
      </c>
      <c r="Y19" s="629">
        <f t="shared" si="7"/>
        <v>0</v>
      </c>
      <c r="Z19" s="629">
        <f t="shared" si="8"/>
        <v>0</v>
      </c>
      <c r="AA19" s="629">
        <f t="shared" si="9"/>
        <v>1886.6577960566101</v>
      </c>
      <c r="AB19" s="631">
        <f>IFERROR(IF(S19&lt;&gt;"",W19/K19,""),0)</f>
        <v>1</v>
      </c>
      <c r="AC19" s="632" t="e">
        <f t="shared" si="10"/>
        <v>#DIV/0!</v>
      </c>
      <c r="AM19" s="1703">
        <f t="shared" si="11"/>
        <v>0</v>
      </c>
      <c r="AN19" s="1713"/>
    </row>
    <row r="20" spans="1:40" ht="150" customHeight="1" x14ac:dyDescent="0.7">
      <c r="A20" s="584">
        <v>6</v>
      </c>
      <c r="B20" s="608" t="s">
        <v>231</v>
      </c>
      <c r="C20" s="609" t="s">
        <v>175</v>
      </c>
      <c r="D20" s="633" t="s">
        <v>168</v>
      </c>
      <c r="E20" s="633" t="s">
        <v>179</v>
      </c>
      <c r="F20" s="940" t="s">
        <v>256</v>
      </c>
      <c r="G20" s="940" t="s">
        <v>1317</v>
      </c>
      <c r="H20" s="1297">
        <v>1</v>
      </c>
      <c r="I20" s="1297">
        <v>1</v>
      </c>
      <c r="J20" s="621">
        <v>10000</v>
      </c>
      <c r="K20" s="621">
        <f t="shared" si="0"/>
        <v>10000</v>
      </c>
      <c r="L20" s="621">
        <f t="shared" si="1"/>
        <v>0</v>
      </c>
      <c r="M20" s="621">
        <f>IF(K20&lt;&gt;"",IF(E20="FAT.OGGI",SUM(K20:L20)*(1/(1-$M$14)-1),L20*(1/(1-$M$14)-1)),0)</f>
        <v>2096.2864400629001</v>
      </c>
      <c r="N20" s="621">
        <f t="shared" si="2"/>
        <v>12096.286440062901</v>
      </c>
      <c r="O20" s="1131" t="s">
        <v>653</v>
      </c>
      <c r="P20" s="1132" t="s">
        <v>655</v>
      </c>
      <c r="Q20" s="1133" t="s">
        <v>661</v>
      </c>
      <c r="S20" s="625">
        <f t="shared" si="3"/>
        <v>1</v>
      </c>
      <c r="T20" s="625">
        <f t="shared" si="3"/>
        <v>1</v>
      </c>
      <c r="U20" s="626">
        <v>0</v>
      </c>
      <c r="V20" s="626">
        <f t="shared" si="4"/>
        <v>0</v>
      </c>
      <c r="W20" s="627">
        <f t="shared" si="5"/>
        <v>10000</v>
      </c>
      <c r="X20" s="1134">
        <f t="shared" si="6"/>
        <v>0</v>
      </c>
      <c r="Y20" s="629">
        <f t="shared" si="7"/>
        <v>0</v>
      </c>
      <c r="Z20" s="629">
        <f t="shared" si="8"/>
        <v>0</v>
      </c>
      <c r="AA20" s="629">
        <f t="shared" si="9"/>
        <v>2096.2864400629001</v>
      </c>
      <c r="AB20" s="631">
        <f>IF(S20&lt;&gt;"", IFERROR(W20/K20, 0), 0)</f>
        <v>1</v>
      </c>
      <c r="AC20" s="632" t="e">
        <f t="shared" si="10"/>
        <v>#DIV/0!</v>
      </c>
      <c r="AM20" s="1703">
        <f t="shared" si="11"/>
        <v>0</v>
      </c>
      <c r="AN20" s="1713"/>
    </row>
    <row r="21" spans="1:40" ht="150" customHeight="1" x14ac:dyDescent="0.7">
      <c r="A21" s="646">
        <v>7</v>
      </c>
      <c r="B21" s="608" t="s">
        <v>178</v>
      </c>
      <c r="C21" s="647" t="s">
        <v>175</v>
      </c>
      <c r="D21" s="633" t="s">
        <v>168</v>
      </c>
      <c r="E21" s="633" t="s">
        <v>179</v>
      </c>
      <c r="F21" s="940" t="s">
        <v>72</v>
      </c>
      <c r="G21" s="940" t="s">
        <v>1318</v>
      </c>
      <c r="H21" s="1297">
        <v>1</v>
      </c>
      <c r="I21" s="1297">
        <v>1</v>
      </c>
      <c r="J21" s="621">
        <v>15000</v>
      </c>
      <c r="K21" s="621">
        <f t="shared" si="0"/>
        <v>15000</v>
      </c>
      <c r="L21" s="621">
        <f t="shared" si="1"/>
        <v>0</v>
      </c>
      <c r="M21" s="621">
        <f>IF(K21&lt;&gt;"",IF(E21="FAT.OGGI",SUM(K21:L21)*(1/(1-$M$14)-1),L21*(1/(1-$M$14)-1)),0)</f>
        <v>3144.4296600943499</v>
      </c>
      <c r="N21" s="621">
        <f t="shared" si="2"/>
        <v>18144.429660094349</v>
      </c>
      <c r="O21" s="1131" t="s">
        <v>653</v>
      </c>
      <c r="P21" s="1132" t="s">
        <v>655</v>
      </c>
      <c r="Q21" s="1133" t="s">
        <v>662</v>
      </c>
      <c r="S21" s="625">
        <f t="shared" si="3"/>
        <v>1</v>
      </c>
      <c r="T21" s="625">
        <f t="shared" si="3"/>
        <v>1</v>
      </c>
      <c r="U21" s="626">
        <v>15000</v>
      </c>
      <c r="V21" s="626">
        <v>0</v>
      </c>
      <c r="W21" s="627">
        <f t="shared" si="5"/>
        <v>15000</v>
      </c>
      <c r="X21" s="1134">
        <f t="shared" si="6"/>
        <v>0</v>
      </c>
      <c r="Y21" s="629">
        <f t="shared" si="7"/>
        <v>0</v>
      </c>
      <c r="Z21" s="629">
        <f t="shared" si="8"/>
        <v>0</v>
      </c>
      <c r="AA21" s="629">
        <f t="shared" si="9"/>
        <v>3144.4296600943499</v>
      </c>
      <c r="AB21" s="631">
        <f>IF(S21&lt;&gt;"", IFERROR(W21/K21, 0), 0)</f>
        <v>1</v>
      </c>
      <c r="AC21" s="632" t="e">
        <f t="shared" si="10"/>
        <v>#DIV/0!</v>
      </c>
      <c r="AM21" s="1703">
        <f t="shared" si="11"/>
        <v>0</v>
      </c>
      <c r="AN21" s="1713"/>
    </row>
    <row r="22" spans="1:40" ht="150" customHeight="1" x14ac:dyDescent="0.7">
      <c r="A22" s="654">
        <v>8</v>
      </c>
      <c r="B22" s="608" t="s">
        <v>236</v>
      </c>
      <c r="C22" s="655" t="s">
        <v>175</v>
      </c>
      <c r="D22" s="633" t="s">
        <v>168</v>
      </c>
      <c r="E22" s="633" t="s">
        <v>179</v>
      </c>
      <c r="F22" s="940" t="s">
        <v>257</v>
      </c>
      <c r="G22" s="940" t="s">
        <v>1319</v>
      </c>
      <c r="H22" s="1297">
        <v>1</v>
      </c>
      <c r="I22" s="1297">
        <v>1</v>
      </c>
      <c r="J22" s="621">
        <v>11000</v>
      </c>
      <c r="K22" s="621">
        <f t="shared" si="0"/>
        <v>11000</v>
      </c>
      <c r="L22" s="621">
        <f t="shared" si="1"/>
        <v>0</v>
      </c>
      <c r="M22" s="621">
        <f>IF(K22&lt;&gt;"",IF(E22="FAT.OGGI",SUM(K22:L22)*(1/(1-$M$14)-1),L22*(1/(1-$M$14)-1)),0)</f>
        <v>2305.91508406919</v>
      </c>
      <c r="N22" s="621">
        <f t="shared" si="2"/>
        <v>13305.915084069191</v>
      </c>
      <c r="O22" s="1131" t="s">
        <v>653</v>
      </c>
      <c r="P22" s="1132" t="s">
        <v>655</v>
      </c>
      <c r="Q22" s="1298" t="s">
        <v>578</v>
      </c>
      <c r="S22" s="625">
        <f t="shared" si="3"/>
        <v>1</v>
      </c>
      <c r="T22" s="625">
        <f t="shared" si="3"/>
        <v>1</v>
      </c>
      <c r="U22" s="626">
        <v>12500</v>
      </c>
      <c r="V22" s="626">
        <v>0</v>
      </c>
      <c r="W22" s="627">
        <f t="shared" si="5"/>
        <v>11000</v>
      </c>
      <c r="X22" s="1134">
        <f t="shared" si="6"/>
        <v>0</v>
      </c>
      <c r="Y22" s="629">
        <f t="shared" si="7"/>
        <v>0</v>
      </c>
      <c r="Z22" s="629">
        <f t="shared" si="8"/>
        <v>0</v>
      </c>
      <c r="AA22" s="629">
        <f t="shared" si="9"/>
        <v>2305.91508406919</v>
      </c>
      <c r="AB22" s="631">
        <f>IFERROR(IF(S22&lt;&gt;"",W22/K22,""),0)</f>
        <v>1</v>
      </c>
      <c r="AC22" s="632" t="e">
        <f t="shared" si="10"/>
        <v>#DIV/0!</v>
      </c>
      <c r="AM22" s="1703">
        <f t="shared" si="11"/>
        <v>0</v>
      </c>
      <c r="AN22" s="1713"/>
    </row>
    <row r="23" spans="1:40" ht="150" customHeight="1" x14ac:dyDescent="0.7">
      <c r="A23" s="633">
        <v>9</v>
      </c>
      <c r="B23" s="608" t="s">
        <v>251</v>
      </c>
      <c r="C23" s="634" t="s">
        <v>175</v>
      </c>
      <c r="D23" s="633" t="s">
        <v>168</v>
      </c>
      <c r="E23" s="633" t="s">
        <v>179</v>
      </c>
      <c r="F23" s="940" t="s">
        <v>259</v>
      </c>
      <c r="G23" s="940" t="s">
        <v>1399</v>
      </c>
      <c r="H23" s="1297">
        <v>1</v>
      </c>
      <c r="I23" s="1297">
        <v>1</v>
      </c>
      <c r="J23" s="621">
        <v>10000</v>
      </c>
      <c r="K23" s="621">
        <f t="shared" si="0"/>
        <v>10000</v>
      </c>
      <c r="L23" s="621">
        <f t="shared" si="1"/>
        <v>0</v>
      </c>
      <c r="M23" s="621">
        <f>IF(K23&lt;&gt;"",IF(E23="FAT.OGGI",SUM(K23:L23)*(1/(1-$M$14)-1),L23*(1/(1-$M$14)-1)),"")</f>
        <v>2096.2864400629001</v>
      </c>
      <c r="N23" s="621">
        <f t="shared" si="2"/>
        <v>12096.286440062901</v>
      </c>
      <c r="O23" s="1131" t="s">
        <v>653</v>
      </c>
      <c r="P23" s="1299" t="s">
        <v>974</v>
      </c>
      <c r="Q23" s="1300"/>
      <c r="S23" s="625">
        <f t="shared" si="3"/>
        <v>1</v>
      </c>
      <c r="T23" s="625">
        <f t="shared" si="3"/>
        <v>1</v>
      </c>
      <c r="U23" s="626">
        <v>0</v>
      </c>
      <c r="V23" s="626">
        <f t="shared" si="4"/>
        <v>0</v>
      </c>
      <c r="W23" s="627">
        <f t="shared" si="5"/>
        <v>10000</v>
      </c>
      <c r="X23" s="1134">
        <f t="shared" si="6"/>
        <v>0</v>
      </c>
      <c r="Y23" s="629">
        <f t="shared" si="7"/>
        <v>0</v>
      </c>
      <c r="Z23" s="629">
        <f t="shared" si="8"/>
        <v>0</v>
      </c>
      <c r="AA23" s="629">
        <f t="shared" si="9"/>
        <v>2096.2864400629001</v>
      </c>
      <c r="AB23" s="631">
        <f>IFERROR(IF(S23&lt;&gt;"",W23/K23,""),0)</f>
        <v>1</v>
      </c>
      <c r="AC23" s="632" t="e">
        <f t="shared" si="10"/>
        <v>#DIV/0!</v>
      </c>
      <c r="AM23" s="1703">
        <f t="shared" si="11"/>
        <v>0</v>
      </c>
      <c r="AN23" s="1713"/>
    </row>
    <row r="24" spans="1:40" ht="150" customHeight="1" x14ac:dyDescent="0.7">
      <c r="A24" s="584">
        <v>10</v>
      </c>
      <c r="B24" s="608" t="s">
        <v>252</v>
      </c>
      <c r="C24" s="609" t="s">
        <v>175</v>
      </c>
      <c r="D24" s="584" t="s">
        <v>168</v>
      </c>
      <c r="E24" s="584" t="s">
        <v>179</v>
      </c>
      <c r="F24" s="940" t="s">
        <v>258</v>
      </c>
      <c r="G24" s="940" t="s">
        <v>1321</v>
      </c>
      <c r="H24" s="1297">
        <v>1</v>
      </c>
      <c r="I24" s="1297">
        <v>1</v>
      </c>
      <c r="J24" s="621">
        <v>9000</v>
      </c>
      <c r="K24" s="621">
        <f t="shared" si="0"/>
        <v>9000</v>
      </c>
      <c r="L24" s="621">
        <f t="shared" si="1"/>
        <v>0</v>
      </c>
      <c r="M24" s="621">
        <f>IF(K24&lt;&gt;"",IF(E24="FAT.OGGI",SUM(K24:L24)*(1/(1-$M$14)-1),L24*(1/(1-$M$14)-1)),"")</f>
        <v>1886.6577960566101</v>
      </c>
      <c r="N24" s="621">
        <f t="shared" si="2"/>
        <v>10886.65779605661</v>
      </c>
      <c r="O24" s="1141" t="s">
        <v>653</v>
      </c>
      <c r="P24" s="1145" t="s">
        <v>655</v>
      </c>
      <c r="Q24" s="1301" t="s">
        <v>925</v>
      </c>
      <c r="S24" s="625">
        <f t="shared" si="3"/>
        <v>1</v>
      </c>
      <c r="T24" s="625">
        <f t="shared" si="3"/>
        <v>1</v>
      </c>
      <c r="U24" s="626">
        <v>2000</v>
      </c>
      <c r="V24" s="626">
        <v>0</v>
      </c>
      <c r="W24" s="627">
        <f t="shared" si="5"/>
        <v>9000</v>
      </c>
      <c r="X24" s="1134">
        <f t="shared" si="6"/>
        <v>0</v>
      </c>
      <c r="Y24" s="629">
        <f t="shared" si="7"/>
        <v>0</v>
      </c>
      <c r="Z24" s="629">
        <f t="shared" si="8"/>
        <v>0</v>
      </c>
      <c r="AA24" s="629">
        <f t="shared" si="9"/>
        <v>1886.6577960566101</v>
      </c>
      <c r="AB24" s="631">
        <f>IFERROR(IF(S24&lt;&gt;"",W24/K24,""),0)</f>
        <v>1</v>
      </c>
      <c r="AC24" s="632" t="e">
        <f t="shared" si="10"/>
        <v>#DIV/0!</v>
      </c>
      <c r="AM24" s="1703">
        <f t="shared" si="11"/>
        <v>0</v>
      </c>
      <c r="AN24" s="1713"/>
    </row>
    <row r="25" spans="1:40" ht="50.1" customHeight="1" x14ac:dyDescent="0.7">
      <c r="A25" s="646">
        <v>11</v>
      </c>
      <c r="B25" s="608"/>
      <c r="C25" s="647" t="s">
        <v>184</v>
      </c>
      <c r="D25" s="646"/>
      <c r="E25" s="646"/>
      <c r="F25" s="1423" t="s">
        <v>238</v>
      </c>
      <c r="G25" s="1423"/>
      <c r="H25" s="1423"/>
      <c r="I25" s="1423"/>
      <c r="J25" s="1423"/>
      <c r="K25" s="1302">
        <f>SUM(K17:K24)</f>
        <v>82000</v>
      </c>
      <c r="L25" s="1302">
        <f>SUM(L17:L24)</f>
        <v>0</v>
      </c>
      <c r="M25" s="1302">
        <f>SUM(M17:M24)</f>
        <v>17189.548808515781</v>
      </c>
      <c r="N25" s="1302">
        <f>SUM(N17:N24)</f>
        <v>99189.548808515785</v>
      </c>
      <c r="S25" s="1625">
        <f>SUM(S17:S24)</f>
        <v>8</v>
      </c>
      <c r="T25" s="1625"/>
      <c r="U25" s="1625"/>
      <c r="V25" s="1303">
        <f>SUM(V17:V24)</f>
        <v>0</v>
      </c>
      <c r="W25" s="889">
        <f>SUM(W17:W24)</f>
        <v>82000</v>
      </c>
      <c r="X25" s="1134">
        <f>SUM(X17:X24)</f>
        <v>0</v>
      </c>
      <c r="Y25" s="629"/>
      <c r="Z25" s="891">
        <f>SUM(Z17:Z24)</f>
        <v>0</v>
      </c>
      <c r="AA25" s="891">
        <f>IF(S25&lt;&gt;"",Z25+M25,"")</f>
        <v>17189.548808515781</v>
      </c>
      <c r="AB25" s="883"/>
      <c r="AM25" s="1703"/>
      <c r="AN25" s="1713"/>
    </row>
    <row r="26" spans="1:40" ht="50.1" customHeight="1" x14ac:dyDescent="0.7">
      <c r="A26" s="633">
        <v>12</v>
      </c>
      <c r="B26" s="608"/>
      <c r="C26" s="634" t="s">
        <v>183</v>
      </c>
      <c r="D26" s="633"/>
      <c r="E26" s="633"/>
      <c r="F26" s="1623" t="s">
        <v>185</v>
      </c>
      <c r="G26" s="1623"/>
      <c r="H26" s="1623"/>
      <c r="I26" s="1623"/>
      <c r="J26" s="1623"/>
      <c r="K26" s="1304">
        <f>SUM(K17:K24)</f>
        <v>82000</v>
      </c>
      <c r="L26" s="1304">
        <f>SUM(L17:L24)</f>
        <v>0</v>
      </c>
      <c r="M26" s="1304">
        <f>SUM(M17:M24)</f>
        <v>17189.548808515781</v>
      </c>
      <c r="N26" s="1304">
        <f>SUM(N17:N24)</f>
        <v>99189.548808515785</v>
      </c>
      <c r="S26" s="1624">
        <f>SUM(S17:S24)</f>
        <v>8</v>
      </c>
      <c r="T26" s="1624"/>
      <c r="U26" s="1624"/>
      <c r="V26" s="1304">
        <f>SUM(V17:V24)</f>
        <v>0</v>
      </c>
      <c r="W26" s="889">
        <f>SUM(W17:W24)</f>
        <v>82000</v>
      </c>
      <c r="X26" s="1134">
        <f>SUM(X17:X24)</f>
        <v>0</v>
      </c>
      <c r="Y26" s="629"/>
      <c r="Z26" s="891">
        <f>SUM(Z17:Z24)</f>
        <v>0</v>
      </c>
      <c r="AA26" s="891">
        <f t="shared" si="9"/>
        <v>17189.548808515781</v>
      </c>
      <c r="AB26" s="689"/>
      <c r="AM26" s="1703"/>
      <c r="AN26" s="1713"/>
    </row>
    <row r="27" spans="1:40" ht="50.1" customHeight="1" x14ac:dyDescent="0.7">
      <c r="A27" s="654">
        <v>13</v>
      </c>
      <c r="B27" s="608">
        <v>2</v>
      </c>
      <c r="C27" s="634" t="s">
        <v>167</v>
      </c>
      <c r="D27" s="633"/>
      <c r="E27" s="633"/>
      <c r="F27" s="1626" t="s">
        <v>260</v>
      </c>
      <c r="G27" s="1626"/>
      <c r="H27" s="1626"/>
      <c r="I27" s="1626"/>
      <c r="J27" s="1626"/>
      <c r="K27" s="1626"/>
      <c r="L27" s="1626"/>
      <c r="M27" s="1626"/>
      <c r="N27" s="1626"/>
      <c r="S27" s="1626" t="str">
        <f>IF(F27&lt;&gt;"",F27,"")</f>
        <v>STAFF</v>
      </c>
      <c r="T27" s="1626"/>
      <c r="U27" s="1626"/>
      <c r="V27" s="1626"/>
      <c r="W27" s="1626"/>
      <c r="X27" s="1626"/>
      <c r="Y27" s="1626"/>
      <c r="Z27" s="1626"/>
      <c r="AA27" s="1626"/>
      <c r="AM27" s="1703"/>
      <c r="AN27" s="1713"/>
    </row>
    <row r="28" spans="1:40" ht="50.1" customHeight="1" x14ac:dyDescent="0.7">
      <c r="A28" s="646">
        <v>14</v>
      </c>
      <c r="B28" s="608" t="s">
        <v>180</v>
      </c>
      <c r="C28" s="609" t="s">
        <v>169</v>
      </c>
      <c r="D28" s="584"/>
      <c r="E28" s="584"/>
      <c r="F28" s="1423" t="s">
        <v>260</v>
      </c>
      <c r="G28" s="1423"/>
      <c r="H28" s="1423"/>
      <c r="I28" s="1423"/>
      <c r="J28" s="1423"/>
      <c r="K28" s="1423"/>
      <c r="L28" s="1296" t="s">
        <v>171</v>
      </c>
      <c r="M28" s="1296" t="s">
        <v>172</v>
      </c>
      <c r="N28" s="1296" t="s">
        <v>129</v>
      </c>
      <c r="O28" s="1126" t="s">
        <v>651</v>
      </c>
      <c r="P28" s="1127" t="s">
        <v>652</v>
      </c>
      <c r="Q28" s="1127" t="s">
        <v>666</v>
      </c>
      <c r="S28" s="1423" t="str">
        <f>IF(F28&lt;&gt;"",F28,"")</f>
        <v>STAFF</v>
      </c>
      <c r="T28" s="1423"/>
      <c r="U28" s="1423"/>
      <c r="V28" s="1423"/>
      <c r="W28" s="1423"/>
      <c r="X28" s="1423"/>
      <c r="Y28" s="1423"/>
      <c r="Z28" s="1423"/>
      <c r="AA28" s="1423"/>
      <c r="AB28" s="616" t="s">
        <v>173</v>
      </c>
      <c r="AC28" s="617" t="s">
        <v>130</v>
      </c>
      <c r="AM28" s="1703"/>
      <c r="AN28" s="1713"/>
    </row>
    <row r="29" spans="1:40" ht="150" customHeight="1" x14ac:dyDescent="0.7">
      <c r="A29" s="584">
        <v>15</v>
      </c>
      <c r="B29" s="608" t="s">
        <v>181</v>
      </c>
      <c r="C29" s="609" t="s">
        <v>175</v>
      </c>
      <c r="D29" s="584" t="s">
        <v>182</v>
      </c>
      <c r="E29" s="584" t="s">
        <v>179</v>
      </c>
      <c r="F29" s="940" t="s">
        <v>278</v>
      </c>
      <c r="G29" s="940" t="s">
        <v>1458</v>
      </c>
      <c r="H29" s="830">
        <v>1</v>
      </c>
      <c r="I29" s="830">
        <v>1</v>
      </c>
      <c r="J29" s="621">
        <v>5000</v>
      </c>
      <c r="K29" s="621">
        <f t="shared" ref="K29:K45" si="12">IF(F29&lt;&gt;"",H29*I29*J29,"")</f>
        <v>5000</v>
      </c>
      <c r="L29" s="621">
        <f t="shared" ref="L29:L45" si="13">IF(K29&lt;&gt;"",IF(D29="INTERNO",0,K29*$L$14),"")</f>
        <v>400</v>
      </c>
      <c r="M29" s="621">
        <f>IF(K29&lt;&gt;"",IF(E29="FAT.OGGI",SUM(K29:L29)*(1/(1-$M$14)-1),L29*(1/(1-$M$14)-1)),"")</f>
        <v>1131.9946776339659</v>
      </c>
      <c r="N29" s="621">
        <f t="shared" ref="N29:N45" si="14">SUM(K29:M29)</f>
        <v>6531.9946776339657</v>
      </c>
      <c r="O29" s="1305" t="s">
        <v>653</v>
      </c>
      <c r="P29" s="1135" t="s">
        <v>623</v>
      </c>
      <c r="Q29" s="1162" t="s">
        <v>627</v>
      </c>
      <c r="S29" s="625">
        <v>1</v>
      </c>
      <c r="T29" s="625">
        <v>1</v>
      </c>
      <c r="U29" s="626">
        <v>5000</v>
      </c>
      <c r="V29" s="626">
        <v>0</v>
      </c>
      <c r="W29" s="627">
        <f t="shared" ref="W29:W45" si="15">IF(S29&lt;&gt;"",K29-V29,"")</f>
        <v>5000</v>
      </c>
      <c r="X29" s="1134">
        <f t="shared" ref="X29:X45" si="16">IF(S29&lt;&gt;"",0%,"")</f>
        <v>0</v>
      </c>
      <c r="Y29" s="629">
        <f t="shared" ref="Y29:Y45" si="17">IF(S29&lt;&gt;"",X29*W29,"")</f>
        <v>0</v>
      </c>
      <c r="Z29" s="629">
        <f t="shared" ref="Z29:Z45" si="18">IF(S29&lt;&gt;"",Y29+V29,"")</f>
        <v>0</v>
      </c>
      <c r="AA29" s="629">
        <f t="shared" ref="AA29:AA47" si="19">IF(S29&lt;&gt;"",Z29+M29,"")</f>
        <v>1131.9946776339659</v>
      </c>
      <c r="AB29" s="631">
        <f>IFERROR(IF(S29&lt;&gt;"",W29/K29,""),0)</f>
        <v>1</v>
      </c>
      <c r="AC29" s="632" t="e">
        <f t="shared" ref="AC29:AC45" si="20">V29/$V$46</f>
        <v>#DIV/0!</v>
      </c>
      <c r="AM29" s="1703">
        <f t="shared" si="11"/>
        <v>0</v>
      </c>
      <c r="AN29" s="1713"/>
    </row>
    <row r="30" spans="1:40" ht="150" customHeight="1" x14ac:dyDescent="0.7">
      <c r="A30" s="584">
        <v>16</v>
      </c>
      <c r="B30" s="608" t="s">
        <v>261</v>
      </c>
      <c r="C30" s="609" t="s">
        <v>175</v>
      </c>
      <c r="D30" s="584" t="s">
        <v>182</v>
      </c>
      <c r="E30" s="584" t="s">
        <v>179</v>
      </c>
      <c r="F30" s="940" t="s">
        <v>279</v>
      </c>
      <c r="G30" s="940" t="s">
        <v>1459</v>
      </c>
      <c r="H30" s="1297">
        <v>1</v>
      </c>
      <c r="I30" s="1297">
        <v>1</v>
      </c>
      <c r="J30" s="621">
        <v>5000</v>
      </c>
      <c r="K30" s="621">
        <f t="shared" si="12"/>
        <v>5000</v>
      </c>
      <c r="L30" s="621">
        <f t="shared" si="13"/>
        <v>400</v>
      </c>
      <c r="M30" s="621">
        <f t="shared" ref="M30:M45" si="21">IF(K30&lt;&gt;"",IF(E30="FAT.OGGI",SUM(K30:L30)*(1/(1-$M$14)-1),L30*(1/(1-$M$14)-1)),0)</f>
        <v>1131.9946776339659</v>
      </c>
      <c r="N30" s="621">
        <f t="shared" si="14"/>
        <v>6531.9946776339657</v>
      </c>
      <c r="O30" s="1305" t="s">
        <v>653</v>
      </c>
      <c r="P30" s="1135" t="s">
        <v>623</v>
      </c>
      <c r="Q30" s="1162" t="s">
        <v>627</v>
      </c>
      <c r="R30" s="1280" t="s">
        <v>967</v>
      </c>
      <c r="S30" s="625">
        <f t="shared" ref="S30:S44" si="22">IF(H30&lt;&gt;"",H30,"")</f>
        <v>1</v>
      </c>
      <c r="T30" s="625">
        <f t="shared" ref="T30:T43" si="23">IF(I30&lt;&gt;"",I30,"")</f>
        <v>1</v>
      </c>
      <c r="U30" s="626">
        <v>4200</v>
      </c>
      <c r="V30" s="626">
        <v>0</v>
      </c>
      <c r="W30" s="627">
        <f t="shared" si="15"/>
        <v>5000</v>
      </c>
      <c r="X30" s="1134">
        <f t="shared" si="16"/>
        <v>0</v>
      </c>
      <c r="Y30" s="629">
        <f t="shared" si="17"/>
        <v>0</v>
      </c>
      <c r="Z30" s="629">
        <f t="shared" si="18"/>
        <v>0</v>
      </c>
      <c r="AA30" s="629">
        <f t="shared" si="19"/>
        <v>1131.9946776339659</v>
      </c>
      <c r="AB30" s="631">
        <f t="shared" ref="AB30:AB45" si="24">IF(S30&lt;&gt;"", IFERROR(W30/K30, 0), 0)</f>
        <v>1</v>
      </c>
      <c r="AC30" s="632" t="e">
        <f t="shared" si="20"/>
        <v>#DIV/0!</v>
      </c>
      <c r="AM30" s="1703">
        <f t="shared" si="11"/>
        <v>0</v>
      </c>
      <c r="AN30" s="1713"/>
    </row>
    <row r="31" spans="1:40" ht="150" customHeight="1" x14ac:dyDescent="0.7">
      <c r="A31" s="584">
        <v>17</v>
      </c>
      <c r="B31" s="608" t="s">
        <v>262</v>
      </c>
      <c r="C31" s="609" t="s">
        <v>175</v>
      </c>
      <c r="D31" s="584" t="s">
        <v>182</v>
      </c>
      <c r="E31" s="584" t="s">
        <v>179</v>
      </c>
      <c r="F31" s="940" t="s">
        <v>280</v>
      </c>
      <c r="G31" s="940" t="s">
        <v>1323</v>
      </c>
      <c r="H31" s="1297">
        <v>1</v>
      </c>
      <c r="I31" s="1297">
        <v>1</v>
      </c>
      <c r="J31" s="621">
        <v>5000</v>
      </c>
      <c r="K31" s="621">
        <f t="shared" si="12"/>
        <v>5000</v>
      </c>
      <c r="L31" s="621">
        <f t="shared" si="13"/>
        <v>400</v>
      </c>
      <c r="M31" s="621">
        <f t="shared" si="21"/>
        <v>1131.9946776339659</v>
      </c>
      <c r="N31" s="621">
        <f t="shared" si="14"/>
        <v>6531.9946776339657</v>
      </c>
      <c r="O31" s="1305" t="s">
        <v>653</v>
      </c>
      <c r="P31" s="1135" t="s">
        <v>974</v>
      </c>
      <c r="Q31" s="1233"/>
      <c r="S31" s="625">
        <f t="shared" si="22"/>
        <v>1</v>
      </c>
      <c r="T31" s="625">
        <f t="shared" si="23"/>
        <v>1</v>
      </c>
      <c r="U31" s="626">
        <v>0</v>
      </c>
      <c r="V31" s="626">
        <f t="shared" ref="V31:V45" si="25">IF(S31&lt;&gt;"",S31*T31*U31,"")</f>
        <v>0</v>
      </c>
      <c r="W31" s="627">
        <f t="shared" si="15"/>
        <v>5000</v>
      </c>
      <c r="X31" s="1134">
        <f t="shared" si="16"/>
        <v>0</v>
      </c>
      <c r="Y31" s="629">
        <f t="shared" si="17"/>
        <v>0</v>
      </c>
      <c r="Z31" s="629">
        <f t="shared" si="18"/>
        <v>0</v>
      </c>
      <c r="AA31" s="629">
        <f t="shared" si="19"/>
        <v>1131.9946776339659</v>
      </c>
      <c r="AB31" s="631">
        <f t="shared" si="24"/>
        <v>1</v>
      </c>
      <c r="AC31" s="632" t="e">
        <f t="shared" si="20"/>
        <v>#DIV/0!</v>
      </c>
      <c r="AM31" s="1703">
        <f t="shared" si="11"/>
        <v>0</v>
      </c>
      <c r="AN31" s="1713"/>
    </row>
    <row r="32" spans="1:40" ht="150" customHeight="1" x14ac:dyDescent="0.7">
      <c r="A32" s="584">
        <v>18</v>
      </c>
      <c r="B32" s="608" t="s">
        <v>263</v>
      </c>
      <c r="C32" s="609" t="s">
        <v>175</v>
      </c>
      <c r="D32" s="584" t="s">
        <v>182</v>
      </c>
      <c r="E32" s="584" t="s">
        <v>179</v>
      </c>
      <c r="F32" s="940" t="s">
        <v>281</v>
      </c>
      <c r="G32" s="940" t="s">
        <v>1460</v>
      </c>
      <c r="H32" s="1155">
        <v>2</v>
      </c>
      <c r="I32" s="1155">
        <v>4</v>
      </c>
      <c r="J32" s="621">
        <v>850</v>
      </c>
      <c r="K32" s="621">
        <f t="shared" si="12"/>
        <v>6800</v>
      </c>
      <c r="L32" s="621">
        <f t="shared" si="13"/>
        <v>544</v>
      </c>
      <c r="M32" s="621">
        <f t="shared" si="21"/>
        <v>1539.5127615821937</v>
      </c>
      <c r="N32" s="621">
        <f t="shared" si="14"/>
        <v>8883.512761582193</v>
      </c>
      <c r="O32" s="1305" t="s">
        <v>653</v>
      </c>
      <c r="P32" s="1135" t="s">
        <v>623</v>
      </c>
      <c r="Q32" s="1162" t="s">
        <v>929</v>
      </c>
      <c r="S32" s="625">
        <f t="shared" si="22"/>
        <v>2</v>
      </c>
      <c r="T32" s="625">
        <f t="shared" si="23"/>
        <v>4</v>
      </c>
      <c r="U32" s="626">
        <v>800</v>
      </c>
      <c r="V32" s="626">
        <v>0</v>
      </c>
      <c r="W32" s="627">
        <f t="shared" si="15"/>
        <v>6800</v>
      </c>
      <c r="X32" s="1134">
        <f t="shared" si="16"/>
        <v>0</v>
      </c>
      <c r="Y32" s="629">
        <f t="shared" si="17"/>
        <v>0</v>
      </c>
      <c r="Z32" s="629">
        <f t="shared" si="18"/>
        <v>0</v>
      </c>
      <c r="AA32" s="629">
        <f t="shared" si="19"/>
        <v>1539.5127615821937</v>
      </c>
      <c r="AB32" s="631">
        <f t="shared" si="24"/>
        <v>1</v>
      </c>
      <c r="AC32" s="632" t="e">
        <f t="shared" si="20"/>
        <v>#DIV/0!</v>
      </c>
      <c r="AM32" s="1703">
        <f t="shared" si="11"/>
        <v>0</v>
      </c>
      <c r="AN32" s="1713"/>
    </row>
    <row r="33" spans="1:40" ht="150" customHeight="1" x14ac:dyDescent="0.7">
      <c r="A33" s="584">
        <v>19</v>
      </c>
      <c r="B33" s="608" t="s">
        <v>264</v>
      </c>
      <c r="C33" s="609" t="s">
        <v>175</v>
      </c>
      <c r="D33" s="584" t="s">
        <v>182</v>
      </c>
      <c r="E33" s="584" t="s">
        <v>179</v>
      </c>
      <c r="F33" s="940" t="s">
        <v>282</v>
      </c>
      <c r="G33" s="940" t="s">
        <v>1461</v>
      </c>
      <c r="H33" s="1159">
        <v>1</v>
      </c>
      <c r="I33" s="1155">
        <v>2</v>
      </c>
      <c r="J33" s="621">
        <v>850</v>
      </c>
      <c r="K33" s="621">
        <f t="shared" si="12"/>
        <v>1700</v>
      </c>
      <c r="L33" s="621">
        <f t="shared" si="13"/>
        <v>136</v>
      </c>
      <c r="M33" s="621">
        <f t="shared" si="21"/>
        <v>384.87819039554842</v>
      </c>
      <c r="N33" s="621">
        <f t="shared" si="14"/>
        <v>2220.8781903955482</v>
      </c>
      <c r="O33" s="1305" t="s">
        <v>653</v>
      </c>
      <c r="P33" s="1135" t="s">
        <v>623</v>
      </c>
      <c r="Q33" s="1162" t="s">
        <v>1034</v>
      </c>
      <c r="S33" s="625">
        <v>1</v>
      </c>
      <c r="T33" s="625">
        <f t="shared" si="23"/>
        <v>2</v>
      </c>
      <c r="U33" s="626">
        <v>800</v>
      </c>
      <c r="V33" s="626">
        <v>0</v>
      </c>
      <c r="W33" s="1306">
        <f t="shared" si="15"/>
        <v>1700</v>
      </c>
      <c r="X33" s="1134">
        <f t="shared" si="16"/>
        <v>0</v>
      </c>
      <c r="Y33" s="629">
        <f t="shared" si="17"/>
        <v>0</v>
      </c>
      <c r="Z33" s="629">
        <f t="shared" si="18"/>
        <v>0</v>
      </c>
      <c r="AA33" s="629">
        <f t="shared" si="19"/>
        <v>384.87819039554842</v>
      </c>
      <c r="AB33" s="631">
        <f t="shared" si="24"/>
        <v>1</v>
      </c>
      <c r="AC33" s="632" t="e">
        <f t="shared" si="20"/>
        <v>#DIV/0!</v>
      </c>
      <c r="AM33" s="1703">
        <f t="shared" si="11"/>
        <v>0</v>
      </c>
      <c r="AN33" s="1713"/>
    </row>
    <row r="34" spans="1:40" ht="150" customHeight="1" x14ac:dyDescent="0.7">
      <c r="A34" s="584">
        <v>20</v>
      </c>
      <c r="B34" s="608" t="s">
        <v>265</v>
      </c>
      <c r="C34" s="609" t="s">
        <v>175</v>
      </c>
      <c r="D34" s="584" t="s">
        <v>182</v>
      </c>
      <c r="E34" s="584" t="s">
        <v>179</v>
      </c>
      <c r="F34" s="940" t="s">
        <v>283</v>
      </c>
      <c r="G34" s="940" t="s">
        <v>1462</v>
      </c>
      <c r="H34" s="1155">
        <v>2</v>
      </c>
      <c r="I34" s="1155">
        <v>2</v>
      </c>
      <c r="J34" s="621">
        <v>850</v>
      </c>
      <c r="K34" s="621">
        <f t="shared" si="12"/>
        <v>3400</v>
      </c>
      <c r="L34" s="621">
        <f t="shared" si="13"/>
        <v>272</v>
      </c>
      <c r="M34" s="621">
        <f t="shared" si="21"/>
        <v>769.75638079109683</v>
      </c>
      <c r="N34" s="621">
        <f t="shared" si="14"/>
        <v>4441.7563807910965</v>
      </c>
      <c r="O34" s="1305" t="s">
        <v>653</v>
      </c>
      <c r="P34" s="1135" t="s">
        <v>623</v>
      </c>
      <c r="Q34" s="1162" t="s">
        <v>1064</v>
      </c>
      <c r="S34" s="625">
        <v>1</v>
      </c>
      <c r="T34" s="625">
        <f t="shared" si="23"/>
        <v>2</v>
      </c>
      <c r="U34" s="626">
        <v>800</v>
      </c>
      <c r="V34" s="626">
        <v>0</v>
      </c>
      <c r="W34" s="627">
        <f t="shared" si="15"/>
        <v>3400</v>
      </c>
      <c r="X34" s="1134">
        <f t="shared" si="16"/>
        <v>0</v>
      </c>
      <c r="Y34" s="629">
        <f t="shared" si="17"/>
        <v>0</v>
      </c>
      <c r="Z34" s="629">
        <f t="shared" si="18"/>
        <v>0</v>
      </c>
      <c r="AA34" s="629">
        <f t="shared" si="19"/>
        <v>769.75638079109683</v>
      </c>
      <c r="AB34" s="631">
        <f t="shared" si="24"/>
        <v>1</v>
      </c>
      <c r="AC34" s="632" t="e">
        <f t="shared" si="20"/>
        <v>#DIV/0!</v>
      </c>
      <c r="AM34" s="1703">
        <f t="shared" si="11"/>
        <v>0</v>
      </c>
      <c r="AN34" s="1713">
        <v>0</v>
      </c>
    </row>
    <row r="35" spans="1:40" ht="150" customHeight="1" x14ac:dyDescent="0.7">
      <c r="A35" s="584">
        <v>21</v>
      </c>
      <c r="B35" s="608" t="s">
        <v>266</v>
      </c>
      <c r="C35" s="609" t="s">
        <v>175</v>
      </c>
      <c r="D35" s="584" t="s">
        <v>182</v>
      </c>
      <c r="E35" s="584" t="s">
        <v>179</v>
      </c>
      <c r="F35" s="940" t="s">
        <v>284</v>
      </c>
      <c r="G35" s="868" t="s">
        <v>1463</v>
      </c>
      <c r="H35" s="1155">
        <v>4</v>
      </c>
      <c r="I35" s="1155">
        <v>2</v>
      </c>
      <c r="J35" s="621">
        <v>850</v>
      </c>
      <c r="K35" s="621">
        <f t="shared" si="12"/>
        <v>6800</v>
      </c>
      <c r="L35" s="621">
        <f t="shared" si="13"/>
        <v>544</v>
      </c>
      <c r="M35" s="621">
        <f t="shared" si="21"/>
        <v>1539.5127615821937</v>
      </c>
      <c r="N35" s="621">
        <f t="shared" si="14"/>
        <v>8883.512761582193</v>
      </c>
      <c r="O35" s="1305" t="s">
        <v>653</v>
      </c>
      <c r="P35" s="1158" t="s">
        <v>151</v>
      </c>
      <c r="Q35" s="1307" t="s">
        <v>933</v>
      </c>
      <c r="S35" s="625">
        <f t="shared" si="22"/>
        <v>4</v>
      </c>
      <c r="T35" s="625">
        <f t="shared" si="23"/>
        <v>2</v>
      </c>
      <c r="U35" s="626">
        <v>750</v>
      </c>
      <c r="V35" s="626">
        <v>0</v>
      </c>
      <c r="W35" s="627">
        <f t="shared" si="15"/>
        <v>6800</v>
      </c>
      <c r="X35" s="1134">
        <f t="shared" si="16"/>
        <v>0</v>
      </c>
      <c r="Y35" s="629">
        <f t="shared" si="17"/>
        <v>0</v>
      </c>
      <c r="Z35" s="629">
        <f t="shared" si="18"/>
        <v>0</v>
      </c>
      <c r="AA35" s="629">
        <f t="shared" si="19"/>
        <v>1539.5127615821937</v>
      </c>
      <c r="AB35" s="631">
        <f t="shared" si="24"/>
        <v>1</v>
      </c>
      <c r="AC35" s="632" t="e">
        <f t="shared" si="20"/>
        <v>#DIV/0!</v>
      </c>
      <c r="AM35" s="1703">
        <f t="shared" si="11"/>
        <v>0</v>
      </c>
      <c r="AN35" s="1713"/>
    </row>
    <row r="36" spans="1:40" ht="150" customHeight="1" x14ac:dyDescent="0.7">
      <c r="A36" s="584">
        <v>22</v>
      </c>
      <c r="B36" s="608" t="s">
        <v>267</v>
      </c>
      <c r="C36" s="609" t="s">
        <v>175</v>
      </c>
      <c r="D36" s="584" t="s">
        <v>182</v>
      </c>
      <c r="E36" s="584" t="s">
        <v>179</v>
      </c>
      <c r="F36" s="940" t="s">
        <v>286</v>
      </c>
      <c r="G36" s="868" t="s">
        <v>1464</v>
      </c>
      <c r="H36" s="1155">
        <v>6</v>
      </c>
      <c r="I36" s="1155">
        <v>2</v>
      </c>
      <c r="J36" s="621">
        <v>450</v>
      </c>
      <c r="K36" s="621">
        <f t="shared" si="12"/>
        <v>5400</v>
      </c>
      <c r="L36" s="621">
        <f t="shared" si="13"/>
        <v>432</v>
      </c>
      <c r="M36" s="621">
        <f t="shared" si="21"/>
        <v>1222.5542518446832</v>
      </c>
      <c r="N36" s="621">
        <f t="shared" si="14"/>
        <v>7054.5542518446837</v>
      </c>
      <c r="O36" s="1305" t="s">
        <v>653</v>
      </c>
      <c r="P36" s="1158" t="s">
        <v>151</v>
      </c>
      <c r="Q36" s="1233"/>
      <c r="S36" s="625">
        <v>0</v>
      </c>
      <c r="T36" s="625">
        <f t="shared" si="23"/>
        <v>2</v>
      </c>
      <c r="U36" s="626">
        <v>370</v>
      </c>
      <c r="V36" s="626">
        <f t="shared" si="25"/>
        <v>0</v>
      </c>
      <c r="W36" s="627">
        <f t="shared" si="15"/>
        <v>5400</v>
      </c>
      <c r="X36" s="1134">
        <f t="shared" si="16"/>
        <v>0</v>
      </c>
      <c r="Y36" s="629">
        <f t="shared" si="17"/>
        <v>0</v>
      </c>
      <c r="Z36" s="629">
        <f t="shared" si="18"/>
        <v>0</v>
      </c>
      <c r="AA36" s="629">
        <f t="shared" si="19"/>
        <v>1222.5542518446832</v>
      </c>
      <c r="AB36" s="631">
        <f t="shared" si="24"/>
        <v>1</v>
      </c>
      <c r="AC36" s="632" t="e">
        <f t="shared" si="20"/>
        <v>#DIV/0!</v>
      </c>
      <c r="AM36" s="1703">
        <f t="shared" si="11"/>
        <v>0</v>
      </c>
      <c r="AN36" s="1713"/>
    </row>
    <row r="37" spans="1:40" ht="150" customHeight="1" x14ac:dyDescent="0.7">
      <c r="A37" s="584">
        <v>23</v>
      </c>
      <c r="B37" s="608" t="s">
        <v>268</v>
      </c>
      <c r="C37" s="609" t="s">
        <v>175</v>
      </c>
      <c r="D37" s="584" t="s">
        <v>182</v>
      </c>
      <c r="E37" s="584" t="s">
        <v>179</v>
      </c>
      <c r="F37" s="940" t="s">
        <v>287</v>
      </c>
      <c r="G37" s="940" t="s">
        <v>1465</v>
      </c>
      <c r="H37" s="1155">
        <v>4</v>
      </c>
      <c r="I37" s="1155">
        <v>2</v>
      </c>
      <c r="J37" s="621">
        <v>350</v>
      </c>
      <c r="K37" s="621">
        <f t="shared" si="12"/>
        <v>2800</v>
      </c>
      <c r="L37" s="621">
        <f t="shared" si="13"/>
        <v>224</v>
      </c>
      <c r="M37" s="621">
        <f t="shared" si="21"/>
        <v>633.91701947502099</v>
      </c>
      <c r="N37" s="621">
        <f t="shared" si="14"/>
        <v>3657.9170194750209</v>
      </c>
      <c r="O37" s="1305" t="s">
        <v>653</v>
      </c>
      <c r="P37" s="1135" t="s">
        <v>623</v>
      </c>
      <c r="Q37" s="1135" t="s">
        <v>936</v>
      </c>
      <c r="S37" s="625">
        <f t="shared" si="22"/>
        <v>4</v>
      </c>
      <c r="T37" s="625">
        <f t="shared" si="23"/>
        <v>2</v>
      </c>
      <c r="U37" s="626">
        <v>300</v>
      </c>
      <c r="V37" s="626">
        <v>0</v>
      </c>
      <c r="W37" s="627">
        <f t="shared" si="15"/>
        <v>2800</v>
      </c>
      <c r="X37" s="1134">
        <f t="shared" si="16"/>
        <v>0</v>
      </c>
      <c r="Y37" s="629">
        <f t="shared" si="17"/>
        <v>0</v>
      </c>
      <c r="Z37" s="629">
        <f t="shared" si="18"/>
        <v>0</v>
      </c>
      <c r="AA37" s="629">
        <f t="shared" si="19"/>
        <v>633.91701947502099</v>
      </c>
      <c r="AB37" s="631">
        <f t="shared" si="24"/>
        <v>1</v>
      </c>
      <c r="AC37" s="632" t="e">
        <f t="shared" si="20"/>
        <v>#DIV/0!</v>
      </c>
      <c r="AM37" s="1703">
        <f t="shared" si="11"/>
        <v>0</v>
      </c>
      <c r="AN37" s="1713"/>
    </row>
    <row r="38" spans="1:40" ht="150" customHeight="1" x14ac:dyDescent="0.7">
      <c r="A38" s="584">
        <v>24</v>
      </c>
      <c r="B38" s="608" t="s">
        <v>269</v>
      </c>
      <c r="C38" s="609" t="s">
        <v>175</v>
      </c>
      <c r="D38" s="584" t="s">
        <v>182</v>
      </c>
      <c r="E38" s="584" t="s">
        <v>179</v>
      </c>
      <c r="F38" s="963" t="s">
        <v>288</v>
      </c>
      <c r="G38" s="963" t="s">
        <v>1326</v>
      </c>
      <c r="H38" s="1308">
        <v>10</v>
      </c>
      <c r="I38" s="1161">
        <v>1</v>
      </c>
      <c r="J38" s="843">
        <v>380</v>
      </c>
      <c r="K38" s="843">
        <f t="shared" si="12"/>
        <v>3800</v>
      </c>
      <c r="L38" s="843">
        <f t="shared" si="13"/>
        <v>304</v>
      </c>
      <c r="M38" s="843">
        <f t="shared" si="21"/>
        <v>860.31595500181413</v>
      </c>
      <c r="N38" s="843">
        <f t="shared" si="14"/>
        <v>4964.3159550018145</v>
      </c>
      <c r="O38" s="1305" t="s">
        <v>653</v>
      </c>
      <c r="P38" s="1135" t="s">
        <v>623</v>
      </c>
      <c r="Q38" s="1135" t="s">
        <v>936</v>
      </c>
      <c r="R38" s="1309" t="s">
        <v>939</v>
      </c>
      <c r="S38" s="625">
        <f t="shared" si="22"/>
        <v>10</v>
      </c>
      <c r="T38" s="625">
        <f t="shared" si="23"/>
        <v>1</v>
      </c>
      <c r="U38" s="626">
        <v>300</v>
      </c>
      <c r="V38" s="626">
        <v>0</v>
      </c>
      <c r="W38" s="627">
        <f t="shared" si="15"/>
        <v>3800</v>
      </c>
      <c r="X38" s="1134">
        <f t="shared" si="16"/>
        <v>0</v>
      </c>
      <c r="Y38" s="629">
        <f t="shared" si="17"/>
        <v>0</v>
      </c>
      <c r="Z38" s="629">
        <f t="shared" si="18"/>
        <v>0</v>
      </c>
      <c r="AA38" s="629">
        <f t="shared" si="19"/>
        <v>860.31595500181413</v>
      </c>
      <c r="AB38" s="631">
        <f t="shared" si="24"/>
        <v>1</v>
      </c>
      <c r="AC38" s="632" t="e">
        <f t="shared" si="20"/>
        <v>#DIV/0!</v>
      </c>
      <c r="AM38" s="1703">
        <f t="shared" si="11"/>
        <v>0</v>
      </c>
      <c r="AN38" s="1713"/>
    </row>
    <row r="39" spans="1:40" ht="150" customHeight="1" x14ac:dyDescent="0.7">
      <c r="A39" s="584">
        <v>25</v>
      </c>
      <c r="B39" s="608" t="s">
        <v>270</v>
      </c>
      <c r="C39" s="609" t="s">
        <v>175</v>
      </c>
      <c r="D39" s="584" t="s">
        <v>182</v>
      </c>
      <c r="E39" s="584" t="s">
        <v>179</v>
      </c>
      <c r="F39" s="963" t="s">
        <v>289</v>
      </c>
      <c r="G39" s="963" t="s">
        <v>1466</v>
      </c>
      <c r="H39" s="1161">
        <v>2</v>
      </c>
      <c r="I39" s="1161">
        <v>1</v>
      </c>
      <c r="J39" s="843">
        <v>420</v>
      </c>
      <c r="K39" s="843">
        <f t="shared" si="12"/>
        <v>840</v>
      </c>
      <c r="L39" s="843">
        <f t="shared" si="13"/>
        <v>67.2</v>
      </c>
      <c r="M39" s="843">
        <f t="shared" si="21"/>
        <v>190.1751058425063</v>
      </c>
      <c r="N39" s="843">
        <f t="shared" si="14"/>
        <v>1097.3751058425064</v>
      </c>
      <c r="O39" s="1305" t="s">
        <v>653</v>
      </c>
      <c r="P39" s="1135" t="s">
        <v>623</v>
      </c>
      <c r="Q39" s="1135" t="s">
        <v>940</v>
      </c>
      <c r="R39" s="1309" t="s">
        <v>941</v>
      </c>
      <c r="S39" s="625">
        <f t="shared" si="22"/>
        <v>2</v>
      </c>
      <c r="T39" s="625">
        <f t="shared" si="23"/>
        <v>1</v>
      </c>
      <c r="U39" s="626">
        <v>420</v>
      </c>
      <c r="V39" s="626">
        <v>0</v>
      </c>
      <c r="W39" s="627">
        <f t="shared" si="15"/>
        <v>840</v>
      </c>
      <c r="X39" s="1134">
        <f t="shared" si="16"/>
        <v>0</v>
      </c>
      <c r="Y39" s="629">
        <f t="shared" si="17"/>
        <v>0</v>
      </c>
      <c r="Z39" s="629">
        <f t="shared" si="18"/>
        <v>0</v>
      </c>
      <c r="AA39" s="629">
        <f t="shared" si="19"/>
        <v>190.1751058425063</v>
      </c>
      <c r="AB39" s="631">
        <f t="shared" si="24"/>
        <v>1</v>
      </c>
      <c r="AC39" s="632" t="e">
        <f t="shared" si="20"/>
        <v>#DIV/0!</v>
      </c>
      <c r="AM39" s="1703">
        <f t="shared" si="11"/>
        <v>0</v>
      </c>
      <c r="AN39" s="1713"/>
    </row>
    <row r="40" spans="1:40" ht="150" customHeight="1" x14ac:dyDescent="0.7">
      <c r="A40" s="584">
        <v>26</v>
      </c>
      <c r="B40" s="608" t="s">
        <v>271</v>
      </c>
      <c r="C40" s="609" t="s">
        <v>175</v>
      </c>
      <c r="D40" s="584" t="s">
        <v>182</v>
      </c>
      <c r="E40" s="584" t="s">
        <v>179</v>
      </c>
      <c r="F40" s="963" t="s">
        <v>290</v>
      </c>
      <c r="G40" s="963" t="s">
        <v>1467</v>
      </c>
      <c r="H40" s="893">
        <v>2</v>
      </c>
      <c r="I40" s="893">
        <v>3</v>
      </c>
      <c r="J40" s="843">
        <v>450</v>
      </c>
      <c r="K40" s="843">
        <f t="shared" si="12"/>
        <v>2700</v>
      </c>
      <c r="L40" s="843">
        <f t="shared" si="13"/>
        <v>216</v>
      </c>
      <c r="M40" s="843">
        <f t="shared" si="21"/>
        <v>611.27712592234161</v>
      </c>
      <c r="N40" s="843">
        <f t="shared" si="14"/>
        <v>3527.2771259223418</v>
      </c>
      <c r="O40" s="1305" t="s">
        <v>653</v>
      </c>
      <c r="P40" s="1135" t="s">
        <v>623</v>
      </c>
      <c r="Q40" s="1162" t="s">
        <v>942</v>
      </c>
      <c r="R40" s="1280" t="s">
        <v>944</v>
      </c>
      <c r="S40" s="625">
        <v>1</v>
      </c>
      <c r="T40" s="625">
        <v>1</v>
      </c>
      <c r="U40" s="626">
        <f>(400*2)+(420*5)</f>
        <v>2900</v>
      </c>
      <c r="V40" s="626">
        <v>0</v>
      </c>
      <c r="W40" s="1074">
        <f t="shared" si="15"/>
        <v>2700</v>
      </c>
      <c r="X40" s="1134">
        <f t="shared" si="16"/>
        <v>0</v>
      </c>
      <c r="Y40" s="629">
        <f t="shared" si="17"/>
        <v>0</v>
      </c>
      <c r="Z40" s="629">
        <f t="shared" si="18"/>
        <v>0</v>
      </c>
      <c r="AA40" s="629">
        <f t="shared" si="19"/>
        <v>611.27712592234161</v>
      </c>
      <c r="AB40" s="631">
        <f t="shared" si="24"/>
        <v>1</v>
      </c>
      <c r="AC40" s="632" t="e">
        <f t="shared" si="20"/>
        <v>#DIV/0!</v>
      </c>
      <c r="AM40" s="1703">
        <f t="shared" si="11"/>
        <v>0</v>
      </c>
      <c r="AN40" s="1713"/>
    </row>
    <row r="41" spans="1:40" ht="150" customHeight="1" x14ac:dyDescent="0.7">
      <c r="A41" s="584">
        <v>27</v>
      </c>
      <c r="B41" s="608" t="s">
        <v>272</v>
      </c>
      <c r="C41" s="609" t="s">
        <v>175</v>
      </c>
      <c r="D41" s="584" t="s">
        <v>182</v>
      </c>
      <c r="E41" s="584" t="s">
        <v>179</v>
      </c>
      <c r="F41" s="940" t="s">
        <v>291</v>
      </c>
      <c r="G41" s="1053" t="s">
        <v>1468</v>
      </c>
      <c r="H41" s="830">
        <v>1</v>
      </c>
      <c r="I41" s="830">
        <v>1</v>
      </c>
      <c r="J41" s="621">
        <v>16100</v>
      </c>
      <c r="K41" s="621">
        <f t="shared" si="12"/>
        <v>16100</v>
      </c>
      <c r="L41" s="621">
        <f t="shared" si="13"/>
        <v>1288</v>
      </c>
      <c r="M41" s="621">
        <f t="shared" si="21"/>
        <v>3645.0228619813706</v>
      </c>
      <c r="N41" s="621">
        <f t="shared" si="14"/>
        <v>21033.022861981372</v>
      </c>
      <c r="O41" s="1305" t="s">
        <v>653</v>
      </c>
      <c r="P41" s="1135" t="s">
        <v>623</v>
      </c>
      <c r="Q41" s="1162" t="s">
        <v>945</v>
      </c>
      <c r="S41" s="625">
        <f t="shared" si="22"/>
        <v>1</v>
      </c>
      <c r="T41" s="625">
        <f t="shared" si="23"/>
        <v>1</v>
      </c>
      <c r="U41" s="626">
        <v>13098</v>
      </c>
      <c r="V41" s="626">
        <v>0</v>
      </c>
      <c r="W41" s="627">
        <f t="shared" si="15"/>
        <v>16100</v>
      </c>
      <c r="X41" s="1134">
        <f t="shared" si="16"/>
        <v>0</v>
      </c>
      <c r="Y41" s="629">
        <f t="shared" si="17"/>
        <v>0</v>
      </c>
      <c r="Z41" s="629">
        <f t="shared" si="18"/>
        <v>0</v>
      </c>
      <c r="AA41" s="629">
        <f t="shared" si="19"/>
        <v>3645.0228619813706</v>
      </c>
      <c r="AB41" s="631">
        <f t="shared" si="24"/>
        <v>1</v>
      </c>
      <c r="AC41" s="632" t="e">
        <f t="shared" si="20"/>
        <v>#DIV/0!</v>
      </c>
      <c r="AM41" s="1703">
        <f t="shared" si="11"/>
        <v>0</v>
      </c>
      <c r="AN41" s="1713"/>
    </row>
    <row r="42" spans="1:40" ht="150" customHeight="1" x14ac:dyDescent="0.7">
      <c r="A42" s="584">
        <v>28</v>
      </c>
      <c r="B42" s="608" t="s">
        <v>273</v>
      </c>
      <c r="C42" s="609" t="s">
        <v>175</v>
      </c>
      <c r="D42" s="584" t="s">
        <v>182</v>
      </c>
      <c r="E42" s="584" t="s">
        <v>179</v>
      </c>
      <c r="F42" s="940" t="s">
        <v>292</v>
      </c>
      <c r="G42" s="1053" t="s">
        <v>1469</v>
      </c>
      <c r="H42" s="830">
        <v>1</v>
      </c>
      <c r="I42" s="830">
        <v>1</v>
      </c>
      <c r="J42" s="621">
        <v>13850</v>
      </c>
      <c r="K42" s="621">
        <f t="shared" si="12"/>
        <v>13850</v>
      </c>
      <c r="L42" s="621">
        <f t="shared" si="13"/>
        <v>1108</v>
      </c>
      <c r="M42" s="621">
        <f t="shared" si="21"/>
        <v>3135.6252570460856</v>
      </c>
      <c r="N42" s="621">
        <f t="shared" si="14"/>
        <v>18093.625257046086</v>
      </c>
      <c r="O42" s="1305" t="s">
        <v>653</v>
      </c>
      <c r="P42" s="1135" t="s">
        <v>623</v>
      </c>
      <c r="Q42" s="1162" t="s">
        <v>947</v>
      </c>
      <c r="R42" s="1164" t="s">
        <v>966</v>
      </c>
      <c r="S42" s="625">
        <f t="shared" si="22"/>
        <v>1</v>
      </c>
      <c r="T42" s="625">
        <f t="shared" si="23"/>
        <v>1</v>
      </c>
      <c r="U42" s="626">
        <v>10000</v>
      </c>
      <c r="V42" s="626">
        <v>0</v>
      </c>
      <c r="W42" s="627">
        <f t="shared" si="15"/>
        <v>13850</v>
      </c>
      <c r="X42" s="1134">
        <f t="shared" si="16"/>
        <v>0</v>
      </c>
      <c r="Y42" s="629">
        <f t="shared" si="17"/>
        <v>0</v>
      </c>
      <c r="Z42" s="629">
        <f t="shared" si="18"/>
        <v>0</v>
      </c>
      <c r="AA42" s="629">
        <f t="shared" si="19"/>
        <v>3135.6252570460856</v>
      </c>
      <c r="AB42" s="631">
        <f t="shared" si="24"/>
        <v>1</v>
      </c>
      <c r="AC42" s="632" t="e">
        <f t="shared" si="20"/>
        <v>#DIV/0!</v>
      </c>
      <c r="AM42" s="1703">
        <f t="shared" si="11"/>
        <v>0</v>
      </c>
      <c r="AN42" s="1713"/>
    </row>
    <row r="43" spans="1:40" ht="150" customHeight="1" x14ac:dyDescent="0.7">
      <c r="A43" s="584">
        <v>29</v>
      </c>
      <c r="B43" s="608" t="s">
        <v>274</v>
      </c>
      <c r="C43" s="609" t="s">
        <v>175</v>
      </c>
      <c r="D43" s="584" t="s">
        <v>182</v>
      </c>
      <c r="E43" s="584" t="s">
        <v>179</v>
      </c>
      <c r="F43" s="940" t="s">
        <v>293</v>
      </c>
      <c r="G43" s="868" t="s">
        <v>1470</v>
      </c>
      <c r="H43" s="830">
        <v>1</v>
      </c>
      <c r="I43" s="830">
        <v>1</v>
      </c>
      <c r="J43" s="621">
        <v>28000</v>
      </c>
      <c r="K43" s="621">
        <f t="shared" si="12"/>
        <v>28000</v>
      </c>
      <c r="L43" s="621">
        <f t="shared" si="13"/>
        <v>2240</v>
      </c>
      <c r="M43" s="621">
        <f t="shared" si="21"/>
        <v>6339.1701947502097</v>
      </c>
      <c r="N43" s="621">
        <f t="shared" si="14"/>
        <v>36579.170194750208</v>
      </c>
      <c r="O43" s="1305" t="s">
        <v>653</v>
      </c>
      <c r="P43" s="1135" t="s">
        <v>623</v>
      </c>
      <c r="Q43" s="1162" t="s">
        <v>948</v>
      </c>
      <c r="S43" s="625">
        <f t="shared" si="22"/>
        <v>1</v>
      </c>
      <c r="T43" s="625">
        <f t="shared" si="23"/>
        <v>1</v>
      </c>
      <c r="U43" s="626">
        <v>28000</v>
      </c>
      <c r="V43" s="626">
        <v>0</v>
      </c>
      <c r="W43" s="627">
        <f t="shared" si="15"/>
        <v>28000</v>
      </c>
      <c r="X43" s="1134">
        <f t="shared" si="16"/>
        <v>0</v>
      </c>
      <c r="Y43" s="629">
        <f t="shared" si="17"/>
        <v>0</v>
      </c>
      <c r="Z43" s="629">
        <f t="shared" si="18"/>
        <v>0</v>
      </c>
      <c r="AA43" s="629">
        <f t="shared" si="19"/>
        <v>6339.1701947502097</v>
      </c>
      <c r="AB43" s="631">
        <f t="shared" si="24"/>
        <v>1</v>
      </c>
      <c r="AC43" s="632" t="e">
        <f t="shared" si="20"/>
        <v>#DIV/0!</v>
      </c>
      <c r="AM43" s="1703">
        <f t="shared" si="11"/>
        <v>0</v>
      </c>
      <c r="AN43" s="1713"/>
    </row>
    <row r="44" spans="1:40" ht="150" customHeight="1" x14ac:dyDescent="0.7">
      <c r="A44" s="584">
        <v>30</v>
      </c>
      <c r="B44" s="608" t="s">
        <v>275</v>
      </c>
      <c r="C44" s="609" t="s">
        <v>175</v>
      </c>
      <c r="D44" s="584" t="s">
        <v>182</v>
      </c>
      <c r="E44" s="584" t="s">
        <v>179</v>
      </c>
      <c r="F44" s="940" t="s">
        <v>294</v>
      </c>
      <c r="G44" s="868" t="s">
        <v>1411</v>
      </c>
      <c r="H44" s="951">
        <v>1</v>
      </c>
      <c r="I44" s="951">
        <v>1</v>
      </c>
      <c r="J44" s="621">
        <v>4880</v>
      </c>
      <c r="K44" s="621">
        <f t="shared" si="12"/>
        <v>4880</v>
      </c>
      <c r="L44" s="621">
        <f t="shared" si="13"/>
        <v>390.40000000000003</v>
      </c>
      <c r="M44" s="621">
        <f t="shared" si="21"/>
        <v>1104.8268053707507</v>
      </c>
      <c r="N44" s="621">
        <f t="shared" si="14"/>
        <v>6375.2268053707503</v>
      </c>
      <c r="O44" s="1305" t="s">
        <v>653</v>
      </c>
      <c r="P44" s="1135" t="s">
        <v>623</v>
      </c>
      <c r="Q44" s="1162" t="s">
        <v>665</v>
      </c>
      <c r="R44" s="1310" t="s">
        <v>951</v>
      </c>
      <c r="S44" s="625">
        <f t="shared" si="22"/>
        <v>1</v>
      </c>
      <c r="T44" s="625">
        <v>1</v>
      </c>
      <c r="U44" s="626">
        <v>2500</v>
      </c>
      <c r="V44" s="626">
        <v>0</v>
      </c>
      <c r="W44" s="627">
        <f t="shared" si="15"/>
        <v>4880</v>
      </c>
      <c r="X44" s="1134">
        <f t="shared" si="16"/>
        <v>0</v>
      </c>
      <c r="Y44" s="629">
        <f t="shared" si="17"/>
        <v>0</v>
      </c>
      <c r="Z44" s="629">
        <v>0</v>
      </c>
      <c r="AA44" s="629">
        <f t="shared" si="19"/>
        <v>1104.8268053707507</v>
      </c>
      <c r="AB44" s="631">
        <f t="shared" si="24"/>
        <v>1</v>
      </c>
      <c r="AC44" s="632" t="e">
        <f t="shared" si="20"/>
        <v>#DIV/0!</v>
      </c>
      <c r="AM44" s="1703">
        <f t="shared" si="11"/>
        <v>0</v>
      </c>
      <c r="AN44" s="1713"/>
    </row>
    <row r="45" spans="1:40" ht="150" customHeight="1" x14ac:dyDescent="0.7">
      <c r="A45" s="646">
        <v>31</v>
      </c>
      <c r="B45" s="608" t="s">
        <v>276</v>
      </c>
      <c r="C45" s="647" t="s">
        <v>175</v>
      </c>
      <c r="D45" s="584" t="s">
        <v>182</v>
      </c>
      <c r="E45" s="584" t="s">
        <v>179</v>
      </c>
      <c r="F45" s="940" t="s">
        <v>295</v>
      </c>
      <c r="G45" s="868" t="s">
        <v>1412</v>
      </c>
      <c r="H45" s="951">
        <v>1</v>
      </c>
      <c r="I45" s="951">
        <v>1</v>
      </c>
      <c r="J45" s="621">
        <v>16000</v>
      </c>
      <c r="K45" s="621">
        <f t="shared" si="12"/>
        <v>16000</v>
      </c>
      <c r="L45" s="621">
        <f t="shared" si="13"/>
        <v>1280</v>
      </c>
      <c r="M45" s="621">
        <f t="shared" si="21"/>
        <v>3622.3829684286911</v>
      </c>
      <c r="N45" s="621">
        <f t="shared" si="14"/>
        <v>20902.38296842869</v>
      </c>
      <c r="O45" s="1305" t="s">
        <v>653</v>
      </c>
      <c r="P45" s="1135" t="s">
        <v>623</v>
      </c>
      <c r="Q45" s="1162" t="s">
        <v>955</v>
      </c>
      <c r="R45" s="1280" t="s">
        <v>954</v>
      </c>
      <c r="S45" s="625">
        <v>1</v>
      </c>
      <c r="T45" s="625">
        <v>0</v>
      </c>
      <c r="U45" s="626">
        <v>10200</v>
      </c>
      <c r="V45" s="626">
        <f t="shared" si="25"/>
        <v>0</v>
      </c>
      <c r="W45" s="627">
        <f t="shared" si="15"/>
        <v>16000</v>
      </c>
      <c r="X45" s="1134">
        <f t="shared" si="16"/>
        <v>0</v>
      </c>
      <c r="Y45" s="629">
        <f t="shared" si="17"/>
        <v>0</v>
      </c>
      <c r="Z45" s="629">
        <f t="shared" si="18"/>
        <v>0</v>
      </c>
      <c r="AA45" s="629">
        <f t="shared" si="19"/>
        <v>3622.3829684286911</v>
      </c>
      <c r="AB45" s="631">
        <f t="shared" si="24"/>
        <v>1</v>
      </c>
      <c r="AC45" s="632" t="e">
        <f t="shared" si="20"/>
        <v>#DIV/0!</v>
      </c>
      <c r="AM45" s="1703">
        <f t="shared" si="11"/>
        <v>0</v>
      </c>
      <c r="AN45" s="1713"/>
    </row>
    <row r="46" spans="1:40" ht="50.1" customHeight="1" x14ac:dyDescent="0.7">
      <c r="A46" s="584">
        <v>32</v>
      </c>
      <c r="B46" s="608"/>
      <c r="C46" s="609" t="s">
        <v>184</v>
      </c>
      <c r="D46" s="584"/>
      <c r="E46" s="584"/>
      <c r="F46" s="1423" t="s">
        <v>368</v>
      </c>
      <c r="G46" s="1423"/>
      <c r="H46" s="1423"/>
      <c r="I46" s="1423"/>
      <c r="J46" s="1423"/>
      <c r="K46" s="1302">
        <f>SUM(K29:K45)</f>
        <v>128070</v>
      </c>
      <c r="L46" s="1302">
        <f>SUM(L29:L45)</f>
        <v>10245.6</v>
      </c>
      <c r="M46" s="1302">
        <f>SUM(M29:M45)</f>
        <v>28994.911672916402</v>
      </c>
      <c r="N46" s="1302">
        <f>SUM(N29:N45)</f>
        <v>167310.51167291639</v>
      </c>
      <c r="S46" s="1625">
        <f>SUM(S29:S45)</f>
        <v>33</v>
      </c>
      <c r="T46" s="1625"/>
      <c r="U46" s="1625"/>
      <c r="V46" s="1303">
        <f>SUM(V29:V45)</f>
        <v>0</v>
      </c>
      <c r="W46" s="889">
        <f>SUM(W29:W45)</f>
        <v>128070</v>
      </c>
      <c r="X46" s="1134">
        <f>SUM(X29:X45)</f>
        <v>0</v>
      </c>
      <c r="Y46" s="629"/>
      <c r="Z46" s="891">
        <f>SUM(Z29:Z45)</f>
        <v>0</v>
      </c>
      <c r="AA46" s="891">
        <f t="shared" si="19"/>
        <v>28994.911672916402</v>
      </c>
      <c r="AB46" s="631"/>
      <c r="AC46" s="632"/>
      <c r="AM46" s="1703"/>
      <c r="AN46" s="1713"/>
    </row>
    <row r="47" spans="1:40" ht="50.1" customHeight="1" x14ac:dyDescent="0.7">
      <c r="A47" s="584">
        <v>33</v>
      </c>
      <c r="B47" s="608"/>
      <c r="C47" s="609" t="s">
        <v>183</v>
      </c>
      <c r="D47" s="584"/>
      <c r="E47" s="584"/>
      <c r="F47" s="1623" t="s">
        <v>260</v>
      </c>
      <c r="G47" s="1623"/>
      <c r="H47" s="1623"/>
      <c r="I47" s="1623"/>
      <c r="J47" s="1623"/>
      <c r="K47" s="1311">
        <f>SUM(K29:K45)</f>
        <v>128070</v>
      </c>
      <c r="L47" s="1311">
        <f>SUM(L29:L45)</f>
        <v>10245.6</v>
      </c>
      <c r="M47" s="1311">
        <f>SUM(M29:M45)</f>
        <v>28994.911672916402</v>
      </c>
      <c r="N47" s="1311">
        <f>SUM(N29:N45)</f>
        <v>167310.51167291639</v>
      </c>
      <c r="S47" s="1624">
        <f>SUM(S29:S45)</f>
        <v>33</v>
      </c>
      <c r="T47" s="1623"/>
      <c r="U47" s="1623"/>
      <c r="V47" s="1311">
        <f>SUM(V29:V45)</f>
        <v>0</v>
      </c>
      <c r="W47" s="1176">
        <f>SUM(W29:W45)</f>
        <v>128070</v>
      </c>
      <c r="X47" s="1312">
        <f>SUM(X29:X45)</f>
        <v>0</v>
      </c>
      <c r="Y47" s="1178"/>
      <c r="Z47" s="1179">
        <f>SUM(Z29:Z45)</f>
        <v>0</v>
      </c>
      <c r="AA47" s="891">
        <f t="shared" si="19"/>
        <v>28994.911672916402</v>
      </c>
      <c r="AM47" s="1703"/>
      <c r="AN47" s="1713"/>
    </row>
    <row r="48" spans="1:40" ht="50.1" customHeight="1" x14ac:dyDescent="0.7">
      <c r="A48" s="584">
        <v>34</v>
      </c>
      <c r="B48" s="608">
        <v>3</v>
      </c>
      <c r="C48" s="609" t="s">
        <v>167</v>
      </c>
      <c r="D48" s="584"/>
      <c r="E48" s="584"/>
      <c r="F48" s="1626" t="s">
        <v>257</v>
      </c>
      <c r="G48" s="1626"/>
      <c r="H48" s="1626"/>
      <c r="I48" s="1626"/>
      <c r="J48" s="1626"/>
      <c r="K48" s="1626"/>
      <c r="L48" s="1626"/>
      <c r="M48" s="1626"/>
      <c r="N48" s="1626"/>
      <c r="S48" s="1626" t="str">
        <f>IF(F48&lt;&gt;"",F48,"")</f>
        <v>LOGÍSTICA</v>
      </c>
      <c r="T48" s="1626"/>
      <c r="U48" s="1626"/>
      <c r="V48" s="1626"/>
      <c r="W48" s="1626"/>
      <c r="X48" s="1626"/>
      <c r="Y48" s="1626"/>
      <c r="Z48" s="1626"/>
      <c r="AA48" s="1626"/>
      <c r="AM48" s="1703"/>
      <c r="AN48" s="1713"/>
    </row>
    <row r="49" spans="1:41" ht="50.1" customHeight="1" x14ac:dyDescent="0.7">
      <c r="A49" s="584">
        <v>35</v>
      </c>
      <c r="B49" s="608" t="s">
        <v>192</v>
      </c>
      <c r="C49" s="609" t="s">
        <v>169</v>
      </c>
      <c r="D49" s="584"/>
      <c r="E49" s="584"/>
      <c r="F49" s="1423" t="s">
        <v>296</v>
      </c>
      <c r="G49" s="1423"/>
      <c r="H49" s="1423"/>
      <c r="I49" s="1423"/>
      <c r="J49" s="1423"/>
      <c r="K49" s="1423"/>
      <c r="L49" s="1296" t="s">
        <v>171</v>
      </c>
      <c r="M49" s="1296" t="s">
        <v>172</v>
      </c>
      <c r="N49" s="1296" t="s">
        <v>129</v>
      </c>
      <c r="O49" s="1126" t="s">
        <v>651</v>
      </c>
      <c r="P49" s="1127" t="s">
        <v>652</v>
      </c>
      <c r="Q49" s="1127" t="s">
        <v>666</v>
      </c>
      <c r="S49" s="1423" t="str">
        <f>IF(F49&lt;&gt;"",F49,"")</f>
        <v xml:space="preserve">LOGÍSTICA AÉREA </v>
      </c>
      <c r="T49" s="1423"/>
      <c r="U49" s="1423"/>
      <c r="V49" s="1423"/>
      <c r="W49" s="1423"/>
      <c r="X49" s="1423"/>
      <c r="Y49" s="1423"/>
      <c r="Z49" s="1423"/>
      <c r="AA49" s="1423"/>
      <c r="AB49" s="616" t="s">
        <v>173</v>
      </c>
      <c r="AC49" s="617" t="s">
        <v>130</v>
      </c>
      <c r="AM49" s="1703"/>
      <c r="AN49" s="1713"/>
    </row>
    <row r="50" spans="1:41" ht="150" customHeight="1" x14ac:dyDescent="0.7">
      <c r="A50" s="584">
        <v>36</v>
      </c>
      <c r="B50" s="608" t="s">
        <v>193</v>
      </c>
      <c r="C50" s="609" t="s">
        <v>175</v>
      </c>
      <c r="D50" s="584" t="s">
        <v>182</v>
      </c>
      <c r="E50" s="584" t="s">
        <v>331</v>
      </c>
      <c r="F50" s="940" t="s">
        <v>554</v>
      </c>
      <c r="G50" s="1313" t="s">
        <v>1471</v>
      </c>
      <c r="H50" s="830">
        <v>1</v>
      </c>
      <c r="I50" s="830">
        <v>75</v>
      </c>
      <c r="J50" s="1171">
        <v>1600</v>
      </c>
      <c r="K50" s="621">
        <f>IF(F50&lt;&gt;"",H50*I50*J50,"")</f>
        <v>120000</v>
      </c>
      <c r="L50" s="621">
        <f>IF(K50&lt;&gt;"",IF(D50="INTERNO",0,K50*$L$12),"")</f>
        <v>0</v>
      </c>
      <c r="M50" s="621">
        <v>0</v>
      </c>
      <c r="N50" s="621">
        <f>SUM(K50:M50)</f>
        <v>120000</v>
      </c>
      <c r="O50" s="1131" t="s">
        <v>653</v>
      </c>
      <c r="P50" s="1132" t="s">
        <v>655</v>
      </c>
      <c r="Q50" s="1233"/>
      <c r="S50" s="625">
        <f>IF(H50&lt;&gt;"",H50,"")</f>
        <v>1</v>
      </c>
      <c r="T50" s="625">
        <f>IF(I50&lt;&gt;"",I50,"")</f>
        <v>75</v>
      </c>
      <c r="U50" s="626">
        <v>1400</v>
      </c>
      <c r="V50" s="626">
        <v>0</v>
      </c>
      <c r="W50" s="627">
        <f>IF(S50&lt;&gt;"",K50-V50,"")</f>
        <v>120000</v>
      </c>
      <c r="X50" s="1134">
        <f>IF(S50&lt;&gt;"",0%,"")</f>
        <v>0</v>
      </c>
      <c r="Y50" s="629">
        <f>IF(S50&lt;&gt;"",X50*W50,"")</f>
        <v>0</v>
      </c>
      <c r="Z50" s="629">
        <f>IF(S50&lt;&gt;"",Y50+V50,"")</f>
        <v>0</v>
      </c>
      <c r="AA50" s="629">
        <f>IF(S50&lt;&gt;"",Z50+M50,"")</f>
        <v>0</v>
      </c>
      <c r="AB50" s="631">
        <f>IFERROR(IF(S50&lt;&gt;"",W50/K50,""),0)</f>
        <v>1</v>
      </c>
      <c r="AC50" s="632" t="e">
        <f>V50/$V$52</f>
        <v>#DIV/0!</v>
      </c>
      <c r="AM50" s="1703">
        <f t="shared" si="11"/>
        <v>0</v>
      </c>
      <c r="AN50" s="1713"/>
    </row>
    <row r="51" spans="1:41" ht="150" customHeight="1" x14ac:dyDescent="0.7">
      <c r="A51" s="646">
        <v>37</v>
      </c>
      <c r="B51" s="608" t="s">
        <v>194</v>
      </c>
      <c r="C51" s="647" t="s">
        <v>175</v>
      </c>
      <c r="D51" s="584" t="s">
        <v>182</v>
      </c>
      <c r="E51" s="584" t="s">
        <v>331</v>
      </c>
      <c r="F51" s="940" t="s">
        <v>590</v>
      </c>
      <c r="G51" s="940" t="s">
        <v>1472</v>
      </c>
      <c r="H51" s="830">
        <v>1</v>
      </c>
      <c r="I51" s="830">
        <v>1</v>
      </c>
      <c r="J51" s="1171">
        <v>1776.75</v>
      </c>
      <c r="K51" s="621">
        <f>IF(F51&lt;&gt;"",H51*I51*J51,"")</f>
        <v>1776.75</v>
      </c>
      <c r="L51" s="621">
        <v>0</v>
      </c>
      <c r="M51" s="621">
        <f>IF(K51&lt;&gt;"",IF(E51="FAT.OGGI",SUM(K51:L51)*(1/(1-$M$14)-1),L51*(1/(1-$M$14)-1)),0)</f>
        <v>0</v>
      </c>
      <c r="N51" s="621">
        <f>SUM(K51:M51)</f>
        <v>1776.75</v>
      </c>
      <c r="O51" s="1131" t="s">
        <v>653</v>
      </c>
      <c r="P51" s="1132" t="s">
        <v>655</v>
      </c>
      <c r="Q51" s="1233" t="s">
        <v>841</v>
      </c>
      <c r="S51" s="625">
        <f>IF(H51&lt;&gt;"",H51,"")</f>
        <v>1</v>
      </c>
      <c r="T51" s="625">
        <f>IF(I51&lt;&gt;"",I51,"")</f>
        <v>1</v>
      </c>
      <c r="U51" s="626">
        <v>1383.96</v>
      </c>
      <c r="V51" s="626">
        <v>0</v>
      </c>
      <c r="W51" s="627">
        <f>IF(S51&lt;&gt;"",K51-V51,"")</f>
        <v>1776.75</v>
      </c>
      <c r="X51" s="1134">
        <f>IF(S51&lt;&gt;"",0%,"")</f>
        <v>0</v>
      </c>
      <c r="Y51" s="629">
        <f>IF(S51&lt;&gt;"",X51*W51,"")</f>
        <v>0</v>
      </c>
      <c r="Z51" s="629">
        <f>IF(S51&lt;&gt;"",Y51+V51,"")</f>
        <v>0</v>
      </c>
      <c r="AA51" s="629">
        <f>IF(S51&lt;&gt;"",Z51+M51,"")</f>
        <v>0</v>
      </c>
      <c r="AB51" s="631">
        <f>IF(S51&lt;&gt;"", IFERROR(W51/K51, 0), 0)</f>
        <v>1</v>
      </c>
      <c r="AC51" s="632" t="e">
        <f>V51/$V$52</f>
        <v>#DIV/0!</v>
      </c>
      <c r="AM51" s="1703">
        <f t="shared" si="11"/>
        <v>0</v>
      </c>
      <c r="AN51" s="1713"/>
    </row>
    <row r="52" spans="1:41" ht="50.1" customHeight="1" x14ac:dyDescent="0.7">
      <c r="A52" s="654">
        <v>38</v>
      </c>
      <c r="B52" s="608"/>
      <c r="C52" s="655" t="s">
        <v>184</v>
      </c>
      <c r="D52" s="654"/>
      <c r="E52" s="654"/>
      <c r="F52" s="1423" t="s">
        <v>550</v>
      </c>
      <c r="G52" s="1423"/>
      <c r="H52" s="1423"/>
      <c r="I52" s="1423"/>
      <c r="J52" s="1423"/>
      <c r="K52" s="1314">
        <f>SUM(K50:K51)</f>
        <v>121776.75</v>
      </c>
      <c r="L52" s="1314">
        <f>SUM(L50:L51)</f>
        <v>0</v>
      </c>
      <c r="M52" s="1314">
        <f>SUM(M50:M51)</f>
        <v>0</v>
      </c>
      <c r="N52" s="1314">
        <f>SUM(N50:N51)</f>
        <v>121776.75</v>
      </c>
      <c r="S52" s="1625">
        <f>SUM(S50:S51)</f>
        <v>2</v>
      </c>
      <c r="T52" s="1423"/>
      <c r="U52" s="1423"/>
      <c r="V52" s="1175">
        <f>SUM(V50:V51)</f>
        <v>0</v>
      </c>
      <c r="W52" s="1176">
        <f>SUM(W50:W51)</f>
        <v>121776.75</v>
      </c>
      <c r="X52" s="1312">
        <f>SUM(X50:X51)</f>
        <v>0</v>
      </c>
      <c r="Y52" s="1178"/>
      <c r="Z52" s="1179">
        <f>SUM(Z50:Z51)</f>
        <v>0</v>
      </c>
      <c r="AA52" s="891">
        <f>IF(S52&lt;&gt;"",Z52+M52,"")</f>
        <v>0</v>
      </c>
      <c r="AM52" s="1703"/>
      <c r="AN52" s="1713"/>
    </row>
    <row r="53" spans="1:41" ht="50.1" customHeight="1" x14ac:dyDescent="0.7">
      <c r="A53" s="633">
        <v>39</v>
      </c>
      <c r="B53" s="608" t="s">
        <v>195</v>
      </c>
      <c r="C53" s="634" t="s">
        <v>169</v>
      </c>
      <c r="D53" s="633"/>
      <c r="E53" s="633"/>
      <c r="F53" s="1423" t="s">
        <v>297</v>
      </c>
      <c r="G53" s="1423"/>
      <c r="H53" s="1423"/>
      <c r="I53" s="1423"/>
      <c r="J53" s="1423"/>
      <c r="K53" s="1423"/>
      <c r="L53" s="1296" t="s">
        <v>171</v>
      </c>
      <c r="M53" s="1296" t="s">
        <v>172</v>
      </c>
      <c r="N53" s="1296" t="s">
        <v>129</v>
      </c>
      <c r="O53" s="1126" t="s">
        <v>651</v>
      </c>
      <c r="P53" s="1127" t="s">
        <v>652</v>
      </c>
      <c r="Q53" s="1127" t="s">
        <v>666</v>
      </c>
      <c r="S53" s="1423" t="str">
        <f>IF(F53&lt;&gt;"",F53,"")</f>
        <v xml:space="preserve">LOGÍSTICA TERRESTRE </v>
      </c>
      <c r="T53" s="1423"/>
      <c r="U53" s="1423"/>
      <c r="V53" s="1423"/>
      <c r="W53" s="1423"/>
      <c r="X53" s="1423"/>
      <c r="Y53" s="1423"/>
      <c r="Z53" s="1423"/>
      <c r="AA53" s="1423"/>
      <c r="AB53" s="616" t="s">
        <v>173</v>
      </c>
      <c r="AC53" s="617" t="s">
        <v>130</v>
      </c>
      <c r="AM53" s="1703"/>
      <c r="AN53" s="1713"/>
    </row>
    <row r="54" spans="1:41" ht="150" customHeight="1" x14ac:dyDescent="0.7">
      <c r="A54" s="584">
        <v>40</v>
      </c>
      <c r="B54" s="608" t="s">
        <v>196</v>
      </c>
      <c r="C54" s="609" t="s">
        <v>175</v>
      </c>
      <c r="D54" s="584" t="s">
        <v>182</v>
      </c>
      <c r="E54" s="584" t="s">
        <v>331</v>
      </c>
      <c r="F54" s="940" t="s">
        <v>369</v>
      </c>
      <c r="G54" s="940" t="s">
        <v>1473</v>
      </c>
      <c r="H54" s="830">
        <v>1</v>
      </c>
      <c r="I54" s="830">
        <v>1</v>
      </c>
      <c r="J54" s="719">
        <v>40000</v>
      </c>
      <c r="K54" s="621">
        <f t="shared" ref="K54:K59" si="26">IF(F54&lt;&gt;"",H54*I54*J54,"")</f>
        <v>40000</v>
      </c>
      <c r="L54" s="621">
        <f t="shared" ref="L54:L59" si="27">IF(K54&lt;&gt;"",IF(D54="INTERNO",0,K54*$L$14),"")</f>
        <v>3200</v>
      </c>
      <c r="M54" s="621">
        <f t="shared" ref="M54:M59" si="28">IF(K54&lt;&gt;"",IF(E54="FAT.OGGI",SUM(K54:L54)*(1/(1-$M$14)-1),L54*(1/(1-$M$14)-1)),"")</f>
        <v>670.81166082012805</v>
      </c>
      <c r="N54" s="621">
        <f t="shared" ref="N54:N59" si="29">SUM(K54:M54)</f>
        <v>43870.811660820131</v>
      </c>
      <c r="O54" s="1131" t="s">
        <v>653</v>
      </c>
      <c r="P54" s="1132" t="s">
        <v>655</v>
      </c>
      <c r="Q54" s="1233"/>
      <c r="S54" s="1315">
        <f t="shared" ref="S54:T59" si="30">IF(H54&lt;&gt;"",H54,"")</f>
        <v>1</v>
      </c>
      <c r="T54" s="625">
        <f t="shared" si="30"/>
        <v>1</v>
      </c>
      <c r="U54" s="626">
        <v>30000</v>
      </c>
      <c r="V54" s="626">
        <v>26000</v>
      </c>
      <c r="W54" s="627">
        <f t="shared" ref="W54:W59" si="31">IF(S54&lt;&gt;"",K54-V54,"")</f>
        <v>14000</v>
      </c>
      <c r="X54" s="1134">
        <f t="shared" ref="X54:X59" si="32">IF(S54&lt;&gt;"",0%,"")</f>
        <v>0</v>
      </c>
      <c r="Y54" s="629">
        <f t="shared" ref="Y54:Y59" si="33">IF(S54&lt;&gt;"",X54*W54,"")</f>
        <v>0</v>
      </c>
      <c r="Z54" s="629">
        <f t="shared" ref="Z54:Z59" si="34">IF(S54&lt;&gt;"",Y54+V54,"")</f>
        <v>26000</v>
      </c>
      <c r="AA54" s="629">
        <f t="shared" ref="AA54:AA61" si="35">IF(S54&lt;&gt;"",Z54+M54,"")</f>
        <v>26670.811660820127</v>
      </c>
      <c r="AB54" s="631">
        <f>IFERROR(IF(S54&lt;&gt;"",W54/K54,""),0)</f>
        <v>0.35</v>
      </c>
      <c r="AC54" s="632">
        <f t="shared" ref="AC54:AC59" si="36">V54/$V$60</f>
        <v>0.84365184435272433</v>
      </c>
      <c r="AM54" s="1703">
        <f t="shared" si="11"/>
        <v>0</v>
      </c>
      <c r="AN54" s="1713">
        <f>5500+2800+1400+1400+600+2800+2800+2800+2100+3500+300</f>
        <v>26000</v>
      </c>
      <c r="AO54" s="1720" t="s">
        <v>1646</v>
      </c>
    </row>
    <row r="55" spans="1:41" ht="150" customHeight="1" x14ac:dyDescent="0.7">
      <c r="A55" s="584">
        <v>41</v>
      </c>
      <c r="B55" s="608" t="s">
        <v>197</v>
      </c>
      <c r="C55" s="609" t="s">
        <v>175</v>
      </c>
      <c r="D55" s="584" t="s">
        <v>182</v>
      </c>
      <c r="E55" s="584" t="s">
        <v>331</v>
      </c>
      <c r="F55" s="940" t="s">
        <v>370</v>
      </c>
      <c r="G55" s="940" t="s">
        <v>1474</v>
      </c>
      <c r="H55" s="830">
        <v>1</v>
      </c>
      <c r="I55" s="830">
        <v>1</v>
      </c>
      <c r="J55" s="719">
        <v>40000</v>
      </c>
      <c r="K55" s="621">
        <f t="shared" si="26"/>
        <v>40000</v>
      </c>
      <c r="L55" s="621">
        <f t="shared" si="27"/>
        <v>3200</v>
      </c>
      <c r="M55" s="621">
        <f t="shared" si="28"/>
        <v>670.81166082012805</v>
      </c>
      <c r="N55" s="621">
        <f t="shared" si="29"/>
        <v>43870.811660820131</v>
      </c>
      <c r="O55" s="1131" t="s">
        <v>653</v>
      </c>
      <c r="P55" s="1132" t="s">
        <v>655</v>
      </c>
      <c r="Q55" s="1233"/>
      <c r="S55" s="1315">
        <f t="shared" si="30"/>
        <v>1</v>
      </c>
      <c r="T55" s="625">
        <f t="shared" si="30"/>
        <v>1</v>
      </c>
      <c r="U55" s="626">
        <v>30000</v>
      </c>
      <c r="V55" s="626">
        <v>0</v>
      </c>
      <c r="W55" s="627">
        <f t="shared" si="31"/>
        <v>40000</v>
      </c>
      <c r="X55" s="1134">
        <f t="shared" si="32"/>
        <v>0</v>
      </c>
      <c r="Y55" s="629">
        <f t="shared" si="33"/>
        <v>0</v>
      </c>
      <c r="Z55" s="629">
        <f t="shared" si="34"/>
        <v>0</v>
      </c>
      <c r="AA55" s="629">
        <f t="shared" si="35"/>
        <v>670.81166082012805</v>
      </c>
      <c r="AB55" s="631">
        <f>IFERROR(IF(S55&lt;&gt;"",W55/K55,""),0)</f>
        <v>1</v>
      </c>
      <c r="AC55" s="632">
        <f t="shared" si="36"/>
        <v>0</v>
      </c>
      <c r="AM55" s="1703">
        <v>0</v>
      </c>
      <c r="AN55" s="1713">
        <v>0</v>
      </c>
    </row>
    <row r="56" spans="1:41" ht="150" customHeight="1" x14ac:dyDescent="0.7">
      <c r="A56" s="584">
        <v>42</v>
      </c>
      <c r="B56" s="608" t="s">
        <v>198</v>
      </c>
      <c r="C56" s="609" t="s">
        <v>175</v>
      </c>
      <c r="D56" s="584" t="s">
        <v>182</v>
      </c>
      <c r="E56" s="584" t="s">
        <v>331</v>
      </c>
      <c r="F56" s="940" t="s">
        <v>371</v>
      </c>
      <c r="G56" s="940" t="s">
        <v>1475</v>
      </c>
      <c r="H56" s="830">
        <v>2</v>
      </c>
      <c r="I56" s="830">
        <v>2</v>
      </c>
      <c r="J56" s="719">
        <v>1800</v>
      </c>
      <c r="K56" s="621">
        <f t="shared" si="26"/>
        <v>7200</v>
      </c>
      <c r="L56" s="621">
        <f t="shared" si="27"/>
        <v>576</v>
      </c>
      <c r="M56" s="621">
        <f t="shared" si="28"/>
        <v>120.74609894762304</v>
      </c>
      <c r="N56" s="621">
        <f t="shared" si="29"/>
        <v>7896.7460989476231</v>
      </c>
      <c r="O56" s="1131" t="s">
        <v>653</v>
      </c>
      <c r="P56" s="1132" t="s">
        <v>655</v>
      </c>
      <c r="Q56" s="1233"/>
      <c r="S56" s="625">
        <f t="shared" si="30"/>
        <v>2</v>
      </c>
      <c r="T56" s="625">
        <f t="shared" si="30"/>
        <v>2</v>
      </c>
      <c r="U56" s="626">
        <v>1400</v>
      </c>
      <c r="V56" s="626">
        <v>0</v>
      </c>
      <c r="W56" s="627">
        <f t="shared" si="31"/>
        <v>7200</v>
      </c>
      <c r="X56" s="1134">
        <f t="shared" si="32"/>
        <v>0</v>
      </c>
      <c r="Y56" s="629">
        <f t="shared" si="33"/>
        <v>0</v>
      </c>
      <c r="Z56" s="629">
        <f t="shared" si="34"/>
        <v>0</v>
      </c>
      <c r="AA56" s="629">
        <f t="shared" si="35"/>
        <v>120.74609894762304</v>
      </c>
      <c r="AB56" s="631">
        <f>IFERROR(IF(S56&lt;&gt;"",W56/K56,""),0)</f>
        <v>1</v>
      </c>
      <c r="AC56" s="632">
        <f t="shared" si="36"/>
        <v>0</v>
      </c>
      <c r="AM56" s="1703">
        <f t="shared" si="11"/>
        <v>0</v>
      </c>
      <c r="AN56" s="1713"/>
    </row>
    <row r="57" spans="1:41" ht="150" customHeight="1" x14ac:dyDescent="0.7">
      <c r="A57" s="646">
        <v>43</v>
      </c>
      <c r="B57" s="608" t="s">
        <v>199</v>
      </c>
      <c r="C57" s="647" t="s">
        <v>175</v>
      </c>
      <c r="D57" s="584" t="s">
        <v>182</v>
      </c>
      <c r="E57" s="584" t="s">
        <v>331</v>
      </c>
      <c r="F57" s="940" t="s">
        <v>589</v>
      </c>
      <c r="G57" s="940" t="s">
        <v>1476</v>
      </c>
      <c r="H57" s="830">
        <v>1</v>
      </c>
      <c r="I57" s="830">
        <v>2</v>
      </c>
      <c r="J57" s="738">
        <v>1600</v>
      </c>
      <c r="K57" s="621">
        <f t="shared" si="26"/>
        <v>3200</v>
      </c>
      <c r="L57" s="621">
        <f t="shared" si="27"/>
        <v>256</v>
      </c>
      <c r="M57" s="621">
        <f t="shared" si="28"/>
        <v>53.66493286561024</v>
      </c>
      <c r="N57" s="621">
        <f t="shared" si="29"/>
        <v>3509.6649328656104</v>
      </c>
      <c r="O57" s="1131" t="s">
        <v>653</v>
      </c>
      <c r="P57" s="1132" t="s">
        <v>655</v>
      </c>
      <c r="Q57" s="1233"/>
      <c r="S57" s="625">
        <f t="shared" si="30"/>
        <v>1</v>
      </c>
      <c r="T57" s="625">
        <f t="shared" si="30"/>
        <v>2</v>
      </c>
      <c r="U57" s="626">
        <v>800</v>
      </c>
      <c r="V57" s="626">
        <v>0</v>
      </c>
      <c r="W57" s="627">
        <f t="shared" si="31"/>
        <v>3200</v>
      </c>
      <c r="X57" s="1134">
        <f t="shared" si="32"/>
        <v>0</v>
      </c>
      <c r="Y57" s="629">
        <f t="shared" si="33"/>
        <v>0</v>
      </c>
      <c r="Z57" s="629">
        <f t="shared" si="34"/>
        <v>0</v>
      </c>
      <c r="AA57" s="629">
        <f t="shared" si="35"/>
        <v>53.66493286561024</v>
      </c>
      <c r="AB57" s="631">
        <f>IF(S57&lt;&gt;"", IFERROR(W57/K57, 0), 0)</f>
        <v>1</v>
      </c>
      <c r="AC57" s="632">
        <f t="shared" si="36"/>
        <v>0</v>
      </c>
      <c r="AM57" s="1703">
        <f t="shared" si="11"/>
        <v>0</v>
      </c>
      <c r="AN57" s="1713"/>
    </row>
    <row r="58" spans="1:41" ht="150" customHeight="1" x14ac:dyDescent="0.7">
      <c r="A58" s="633">
        <v>44</v>
      </c>
      <c r="B58" s="608" t="s">
        <v>200</v>
      </c>
      <c r="C58" s="634" t="s">
        <v>175</v>
      </c>
      <c r="D58" s="633" t="s">
        <v>182</v>
      </c>
      <c r="E58" s="633" t="s">
        <v>331</v>
      </c>
      <c r="F58" s="940" t="s">
        <v>372</v>
      </c>
      <c r="G58" s="940" t="s">
        <v>1477</v>
      </c>
      <c r="H58" s="830">
        <v>2</v>
      </c>
      <c r="I58" s="830">
        <v>1</v>
      </c>
      <c r="J58" s="719">
        <v>1800</v>
      </c>
      <c r="K58" s="621">
        <f t="shared" si="26"/>
        <v>3600</v>
      </c>
      <c r="L58" s="621">
        <f t="shared" si="27"/>
        <v>288</v>
      </c>
      <c r="M58" s="621">
        <f t="shared" si="28"/>
        <v>60.37304947381152</v>
      </c>
      <c r="N58" s="621">
        <f t="shared" si="29"/>
        <v>3948.3730494738115</v>
      </c>
      <c r="O58" s="1131" t="s">
        <v>653</v>
      </c>
      <c r="P58" s="1132" t="s">
        <v>655</v>
      </c>
      <c r="Q58" s="1233"/>
      <c r="S58" s="625">
        <f t="shared" si="30"/>
        <v>2</v>
      </c>
      <c r="T58" s="625">
        <f t="shared" si="30"/>
        <v>1</v>
      </c>
      <c r="U58" s="626">
        <v>1400</v>
      </c>
      <c r="V58" s="626">
        <v>0</v>
      </c>
      <c r="W58" s="627">
        <f t="shared" si="31"/>
        <v>3600</v>
      </c>
      <c r="X58" s="1134">
        <f t="shared" si="32"/>
        <v>0</v>
      </c>
      <c r="Y58" s="629">
        <f t="shared" si="33"/>
        <v>0</v>
      </c>
      <c r="Z58" s="629">
        <f t="shared" si="34"/>
        <v>0</v>
      </c>
      <c r="AA58" s="629">
        <f t="shared" si="35"/>
        <v>60.37304947381152</v>
      </c>
      <c r="AB58" s="631">
        <f>IFERROR(IF(S58&lt;&gt;"",W58/K58,""),0)</f>
        <v>1</v>
      </c>
      <c r="AC58" s="632">
        <f t="shared" si="36"/>
        <v>0</v>
      </c>
      <c r="AM58" s="1703">
        <f t="shared" si="11"/>
        <v>0</v>
      </c>
      <c r="AN58" s="1713"/>
    </row>
    <row r="59" spans="1:41" ht="150" customHeight="1" x14ac:dyDescent="0.7">
      <c r="A59" s="584">
        <v>45</v>
      </c>
      <c r="B59" s="608" t="s">
        <v>201</v>
      </c>
      <c r="C59" s="609" t="s">
        <v>175</v>
      </c>
      <c r="D59" s="584" t="s">
        <v>182</v>
      </c>
      <c r="E59" s="584" t="s">
        <v>331</v>
      </c>
      <c r="F59" s="940" t="s">
        <v>373</v>
      </c>
      <c r="G59" s="940" t="s">
        <v>1478</v>
      </c>
      <c r="H59" s="830">
        <v>1</v>
      </c>
      <c r="I59" s="830">
        <v>1</v>
      </c>
      <c r="J59" s="719">
        <v>4000</v>
      </c>
      <c r="K59" s="621">
        <f t="shared" si="26"/>
        <v>4000</v>
      </c>
      <c r="L59" s="621">
        <f t="shared" si="27"/>
        <v>320</v>
      </c>
      <c r="M59" s="621">
        <f t="shared" si="28"/>
        <v>67.0811660820128</v>
      </c>
      <c r="N59" s="621">
        <f t="shared" si="29"/>
        <v>4387.0811660820127</v>
      </c>
      <c r="O59" s="1131" t="s">
        <v>653</v>
      </c>
      <c r="P59" s="1132" t="s">
        <v>655</v>
      </c>
      <c r="Q59" s="1233"/>
      <c r="S59" s="625">
        <f t="shared" si="30"/>
        <v>1</v>
      </c>
      <c r="T59" s="625">
        <f t="shared" si="30"/>
        <v>1</v>
      </c>
      <c r="U59" s="626">
        <v>3000</v>
      </c>
      <c r="V59" s="626">
        <v>4818.3999999999996</v>
      </c>
      <c r="W59" s="627">
        <f t="shared" si="31"/>
        <v>-818.39999999999964</v>
      </c>
      <c r="X59" s="1134">
        <f t="shared" si="32"/>
        <v>0</v>
      </c>
      <c r="Y59" s="629">
        <f t="shared" si="33"/>
        <v>0</v>
      </c>
      <c r="Z59" s="629">
        <f t="shared" si="34"/>
        <v>4818.3999999999996</v>
      </c>
      <c r="AA59" s="629">
        <f t="shared" si="35"/>
        <v>4885.4811660820124</v>
      </c>
      <c r="AB59" s="631">
        <f>IFERROR(IF(S59&lt;&gt;"",W59/K59,""),0)</f>
        <v>-0.20459999999999992</v>
      </c>
      <c r="AC59" s="632">
        <f t="shared" si="36"/>
        <v>0.15634815564727564</v>
      </c>
      <c r="AM59" s="1703">
        <f t="shared" si="11"/>
        <v>0</v>
      </c>
      <c r="AN59" s="1713">
        <v>4818.3999999999996</v>
      </c>
      <c r="AO59" s="1709" t="s">
        <v>1568</v>
      </c>
    </row>
    <row r="60" spans="1:41" ht="50.1" customHeight="1" x14ac:dyDescent="0.7">
      <c r="A60" s="584">
        <v>46</v>
      </c>
      <c r="B60" s="608"/>
      <c r="C60" s="609" t="s">
        <v>184</v>
      </c>
      <c r="D60" s="584"/>
      <c r="E60" s="584"/>
      <c r="F60" s="1423" t="s">
        <v>375</v>
      </c>
      <c r="G60" s="1423"/>
      <c r="H60" s="1423"/>
      <c r="I60" s="1423"/>
      <c r="J60" s="1423"/>
      <c r="K60" s="1314">
        <f>SUM(K54:K59)</f>
        <v>98000</v>
      </c>
      <c r="L60" s="1314">
        <f>SUM(L54:L59)</f>
        <v>7840</v>
      </c>
      <c r="M60" s="1314">
        <f>SUM(M54:M59)</f>
        <v>1643.4885690093138</v>
      </c>
      <c r="N60" s="1314">
        <f>SUM(N54:N59)</f>
        <v>107483.48856900932</v>
      </c>
      <c r="S60" s="1625">
        <f>SUM(S54:S59)</f>
        <v>8</v>
      </c>
      <c r="T60" s="1423"/>
      <c r="U60" s="1423"/>
      <c r="V60" s="1175">
        <f>SUM(V54:V59)</f>
        <v>30818.400000000001</v>
      </c>
      <c r="W60" s="1176">
        <f>SUM(W54:W59)</f>
        <v>67181.600000000006</v>
      </c>
      <c r="X60" s="1312">
        <f>SUM(X54:X59)</f>
        <v>0</v>
      </c>
      <c r="Y60" s="1178"/>
      <c r="Z60" s="1179">
        <f>SUM(Z54:Z59)</f>
        <v>30818.400000000001</v>
      </c>
      <c r="AA60" s="891">
        <f t="shared" si="35"/>
        <v>32461.888569009316</v>
      </c>
      <c r="AM60" s="1703"/>
      <c r="AN60" s="1713"/>
    </row>
    <row r="61" spans="1:41" ht="50.1" customHeight="1" x14ac:dyDescent="0.7">
      <c r="A61" s="584">
        <v>47</v>
      </c>
      <c r="B61" s="608"/>
      <c r="C61" s="609" t="s">
        <v>183</v>
      </c>
      <c r="D61" s="584"/>
      <c r="E61" s="584"/>
      <c r="F61" s="1623" t="s">
        <v>376</v>
      </c>
      <c r="G61" s="1623"/>
      <c r="H61" s="1623"/>
      <c r="I61" s="1623"/>
      <c r="J61" s="1623"/>
      <c r="K61" s="1311">
        <f>SUM(K50:K51)+SUM(K54:K59)</f>
        <v>219776.75</v>
      </c>
      <c r="L61" s="1311">
        <f>SUM(L50:L51)+SUM(L54:L59)</f>
        <v>7840</v>
      </c>
      <c r="M61" s="1311">
        <f>SUM(M50:M51)+SUM(M54:M59)</f>
        <v>1643.4885690093138</v>
      </c>
      <c r="N61" s="1311">
        <f>SUM(N50:N51)+SUM(N54:N59)</f>
        <v>229260.23856900932</v>
      </c>
      <c r="S61" s="1624">
        <f>SUM(S50:S51)+SUM(S54:S59)</f>
        <v>10</v>
      </c>
      <c r="T61" s="1623"/>
      <c r="U61" s="1623"/>
      <c r="V61" s="1311">
        <f>SUM(V50:V51)+SUM(V54:V59)</f>
        <v>30818.400000000001</v>
      </c>
      <c r="W61" s="1176">
        <f>SUM(W50:W51)+SUM(W54:W59)</f>
        <v>188958.35</v>
      </c>
      <c r="X61" s="1312">
        <f>SUM(X50:X51)+SUM(X54:X59)</f>
        <v>0</v>
      </c>
      <c r="Y61" s="1178"/>
      <c r="Z61" s="1179">
        <f>SUM(Z50:Z51)+SUM(Z54:Z59)</f>
        <v>30818.400000000001</v>
      </c>
      <c r="AA61" s="891">
        <f t="shared" si="35"/>
        <v>32461.888569009316</v>
      </c>
      <c r="AM61" s="1703"/>
      <c r="AN61" s="1713"/>
    </row>
    <row r="62" spans="1:41" ht="50.1" customHeight="1" x14ac:dyDescent="0.7">
      <c r="A62" s="584">
        <v>48</v>
      </c>
      <c r="B62" s="608">
        <v>4</v>
      </c>
      <c r="C62" s="609" t="s">
        <v>167</v>
      </c>
      <c r="D62" s="584"/>
      <c r="E62" s="584"/>
      <c r="F62" s="1626" t="s">
        <v>377</v>
      </c>
      <c r="G62" s="1626"/>
      <c r="H62" s="1626"/>
      <c r="I62" s="1626"/>
      <c r="J62" s="1626"/>
      <c r="K62" s="1626"/>
      <c r="L62" s="1626"/>
      <c r="M62" s="1626"/>
      <c r="N62" s="1626"/>
      <c r="S62" s="1626" t="str">
        <f>IF(F62&lt;&gt;"",F62,"")</f>
        <v>HOTEL</v>
      </c>
      <c r="T62" s="1626"/>
      <c r="U62" s="1626"/>
      <c r="V62" s="1626"/>
      <c r="W62" s="1626"/>
      <c r="X62" s="1626"/>
      <c r="Y62" s="1626"/>
      <c r="Z62" s="1626"/>
      <c r="AA62" s="1626"/>
      <c r="AM62" s="1703"/>
      <c r="AN62" s="1713"/>
    </row>
    <row r="63" spans="1:41" ht="50.1" customHeight="1" x14ac:dyDescent="0.7">
      <c r="A63" s="584">
        <v>49</v>
      </c>
      <c r="B63" s="608" t="s">
        <v>203</v>
      </c>
      <c r="C63" s="609" t="s">
        <v>169</v>
      </c>
      <c r="D63" s="584"/>
      <c r="E63" s="584"/>
      <c r="F63" s="1423" t="s">
        <v>378</v>
      </c>
      <c r="G63" s="1423"/>
      <c r="H63" s="1423"/>
      <c r="I63" s="1423"/>
      <c r="J63" s="1423"/>
      <c r="K63" s="1423"/>
      <c r="L63" s="1296" t="s">
        <v>171</v>
      </c>
      <c r="M63" s="1296" t="s">
        <v>172</v>
      </c>
      <c r="N63" s="1296" t="s">
        <v>129</v>
      </c>
      <c r="O63" s="1126" t="s">
        <v>651</v>
      </c>
      <c r="P63" s="1127" t="s">
        <v>652</v>
      </c>
      <c r="Q63" s="1127" t="s">
        <v>666</v>
      </c>
      <c r="S63" s="1423" t="str">
        <f>IF(F63&lt;&gt;"",F63,"")</f>
        <v>HOSPEDAGEM</v>
      </c>
      <c r="T63" s="1423"/>
      <c r="U63" s="1423"/>
      <c r="V63" s="1423"/>
      <c r="W63" s="1423"/>
      <c r="X63" s="1423"/>
      <c r="Y63" s="1423"/>
      <c r="Z63" s="1423"/>
      <c r="AA63" s="1423"/>
      <c r="AB63" s="616" t="s">
        <v>173</v>
      </c>
      <c r="AC63" s="617" t="s">
        <v>130</v>
      </c>
      <c r="AM63" s="1703"/>
      <c r="AN63" s="1713"/>
    </row>
    <row r="64" spans="1:41" ht="150" customHeight="1" x14ac:dyDescent="0.7">
      <c r="A64" s="584">
        <v>50</v>
      </c>
      <c r="B64" s="608" t="s">
        <v>204</v>
      </c>
      <c r="C64" s="609" t="s">
        <v>175</v>
      </c>
      <c r="D64" s="584" t="s">
        <v>182</v>
      </c>
      <c r="E64" s="584" t="s">
        <v>331</v>
      </c>
      <c r="F64" s="940" t="s">
        <v>611</v>
      </c>
      <c r="G64" s="940" t="s">
        <v>1479</v>
      </c>
      <c r="H64" s="830">
        <v>120</v>
      </c>
      <c r="I64" s="830">
        <v>1</v>
      </c>
      <c r="J64" s="1171">
        <v>850</v>
      </c>
      <c r="K64" s="621">
        <f>IF(F64&lt;&gt;"",H64*I64*J64,"")</f>
        <v>102000</v>
      </c>
      <c r="L64" s="621">
        <f>IF(K64&lt;&gt;"",IF(D64="INTERNO",0,K64*$L$13),"")</f>
        <v>5100</v>
      </c>
      <c r="M64" s="621">
        <f>IF(K64&lt;&gt;"",IF(E64="FAT.OGGI",SUM(K64:L64)*(1/(1-$M$14)-1),L64*(1/(1-$M$14)-1)),"")</f>
        <v>1069.1060844320789</v>
      </c>
      <c r="N64" s="621">
        <f>SUM(K64:M64)</f>
        <v>108169.10608443207</v>
      </c>
      <c r="O64" s="1131" t="s">
        <v>653</v>
      </c>
      <c r="P64" s="1132" t="s">
        <v>655</v>
      </c>
      <c r="Q64" s="1133"/>
      <c r="S64" s="625">
        <f t="shared" ref="S64:T67" si="37">IF(H64&lt;&gt;"",H64,"")</f>
        <v>120</v>
      </c>
      <c r="T64" s="625">
        <f t="shared" si="37"/>
        <v>1</v>
      </c>
      <c r="U64" s="626">
        <v>850</v>
      </c>
      <c r="V64" s="626">
        <v>0</v>
      </c>
      <c r="W64" s="627">
        <f>IF(S64&lt;&gt;"",K64-V64,"")</f>
        <v>102000</v>
      </c>
      <c r="X64" s="1134">
        <f>IF(S64&lt;&gt;"",0%,"")</f>
        <v>0</v>
      </c>
      <c r="Y64" s="629">
        <f>IF(S64&lt;&gt;"",X64*W64,"")</f>
        <v>0</v>
      </c>
      <c r="Z64" s="629">
        <f>IF(S64&lt;&gt;"",Y64+V64,"")</f>
        <v>0</v>
      </c>
      <c r="AA64" s="629">
        <f t="shared" ref="AA64:AA69" si="38">IF(S64&lt;&gt;"",Z64+M64,"")</f>
        <v>1069.1060844320789</v>
      </c>
      <c r="AB64" s="631">
        <f>IFERROR(IF(S64&lt;&gt;"",W64/K64,""),0)</f>
        <v>1</v>
      </c>
      <c r="AC64" s="632" t="e">
        <f>V64/$V$69</f>
        <v>#DIV/0!</v>
      </c>
      <c r="AD64" s="1186">
        <f>V64*0.1</f>
        <v>0</v>
      </c>
      <c r="AM64" s="1703">
        <f t="shared" si="11"/>
        <v>0</v>
      </c>
      <c r="AN64" s="1713"/>
    </row>
    <row r="65" spans="1:40" ht="150" customHeight="1" x14ac:dyDescent="0.7">
      <c r="A65" s="646">
        <v>51</v>
      </c>
      <c r="B65" s="608" t="s">
        <v>205</v>
      </c>
      <c r="C65" s="647" t="s">
        <v>175</v>
      </c>
      <c r="D65" s="584" t="s">
        <v>182</v>
      </c>
      <c r="E65" s="584" t="s">
        <v>331</v>
      </c>
      <c r="F65" s="940" t="s">
        <v>610</v>
      </c>
      <c r="G65" s="940" t="s">
        <v>1480</v>
      </c>
      <c r="H65" s="830">
        <v>40</v>
      </c>
      <c r="I65" s="830">
        <v>2</v>
      </c>
      <c r="J65" s="1171">
        <v>850</v>
      </c>
      <c r="K65" s="621">
        <f>IF(F65&lt;&gt;"",H65*I65*J65,"")</f>
        <v>68000</v>
      </c>
      <c r="L65" s="621">
        <f>IF(K65&lt;&gt;"",IF(D65="INTERNO",0,K65*$L$13),"")</f>
        <v>3400</v>
      </c>
      <c r="M65" s="621">
        <f>IF(K65&lt;&gt;"",IF(E65="FAT.OGGI",SUM(K65:L65)*(1/(1-$M$14)-1),L65*(1/(1-$M$14)-1)),0)</f>
        <v>712.737389621386</v>
      </c>
      <c r="N65" s="621">
        <f>SUM(K65:M65)</f>
        <v>72112.737389621383</v>
      </c>
      <c r="O65" s="1131" t="s">
        <v>653</v>
      </c>
      <c r="P65" s="1132" t="s">
        <v>655</v>
      </c>
      <c r="Q65" s="1133"/>
      <c r="S65" s="625">
        <f t="shared" si="37"/>
        <v>40</v>
      </c>
      <c r="T65" s="625">
        <f t="shared" si="37"/>
        <v>2</v>
      </c>
      <c r="U65" s="626">
        <v>850</v>
      </c>
      <c r="V65" s="626">
        <v>0</v>
      </c>
      <c r="W65" s="627">
        <f>IF(S65&lt;&gt;"",K65-V65,"")</f>
        <v>68000</v>
      </c>
      <c r="X65" s="1134">
        <f>IF(S65&lt;&gt;"",0%,"")</f>
        <v>0</v>
      </c>
      <c r="Y65" s="629">
        <f>IF(S65&lt;&gt;"",X65*W65,"")</f>
        <v>0</v>
      </c>
      <c r="Z65" s="629">
        <f>IF(S65&lt;&gt;"",Y65+V65,"")</f>
        <v>0</v>
      </c>
      <c r="AA65" s="629">
        <f t="shared" si="38"/>
        <v>712.737389621386</v>
      </c>
      <c r="AB65" s="631">
        <f>IF(S65&lt;&gt;"", IFERROR(W65/K65, 0), 0)</f>
        <v>1</v>
      </c>
      <c r="AC65" s="632" t="e">
        <f>V65/$V$69</f>
        <v>#DIV/0!</v>
      </c>
      <c r="AD65" s="1186">
        <f>V65*0.1</f>
        <v>0</v>
      </c>
      <c r="AM65" s="1703">
        <f t="shared" si="11"/>
        <v>0</v>
      </c>
      <c r="AN65" s="1713"/>
    </row>
    <row r="66" spans="1:40" ht="150" customHeight="1" x14ac:dyDescent="0.7">
      <c r="A66" s="633">
        <v>52</v>
      </c>
      <c r="B66" s="608" t="s">
        <v>379</v>
      </c>
      <c r="C66" s="634" t="s">
        <v>175</v>
      </c>
      <c r="D66" s="633" t="s">
        <v>182</v>
      </c>
      <c r="E66" s="633" t="s">
        <v>331</v>
      </c>
      <c r="F66" s="940" t="s">
        <v>612</v>
      </c>
      <c r="G66" s="940" t="s">
        <v>1481</v>
      </c>
      <c r="H66" s="1204">
        <v>1</v>
      </c>
      <c r="I66" s="1204">
        <v>1</v>
      </c>
      <c r="J66" s="1205">
        <v>850</v>
      </c>
      <c r="K66" s="621">
        <f>IF(F66&lt;&gt;"",H66*I66*J66,"")</f>
        <v>850</v>
      </c>
      <c r="L66" s="621">
        <f>IF(K66&lt;&gt;"",IF(D66="INTERNO",0,K66*$L$13),"")</f>
        <v>42.5</v>
      </c>
      <c r="M66" s="621">
        <f>IF(K66&lt;&gt;"",IF(E66="FAT.OGGI",SUM(K66:L66)*(1/(1-$M$14)-1),L66*(1/(1-$M$14)-1)),0)</f>
        <v>8.9092173702673243</v>
      </c>
      <c r="N66" s="621">
        <f>SUM(K66:M66)</f>
        <v>901.40921737026736</v>
      </c>
      <c r="O66" s="1131" t="s">
        <v>653</v>
      </c>
      <c r="P66" s="1132" t="s">
        <v>655</v>
      </c>
      <c r="Q66" s="1133"/>
      <c r="S66" s="625">
        <f t="shared" si="37"/>
        <v>1</v>
      </c>
      <c r="T66" s="625">
        <f t="shared" si="37"/>
        <v>1</v>
      </c>
      <c r="U66" s="626">
        <v>850</v>
      </c>
      <c r="V66" s="626">
        <v>0</v>
      </c>
      <c r="W66" s="627">
        <f>IF(S66&lt;&gt;"",K66-V66,"")</f>
        <v>850</v>
      </c>
      <c r="X66" s="1134">
        <f>IF(S66&lt;&gt;"",0%,"")</f>
        <v>0</v>
      </c>
      <c r="Y66" s="629">
        <f>IF(S66&lt;&gt;"",X66*W66,"")</f>
        <v>0</v>
      </c>
      <c r="Z66" s="629">
        <f>IF(S66&lt;&gt;"",Y66+V66,"")</f>
        <v>0</v>
      </c>
      <c r="AA66" s="629">
        <f t="shared" si="38"/>
        <v>8.9092173702673243</v>
      </c>
      <c r="AB66" s="631">
        <f>IF(S66&lt;&gt;"", IFERROR(W66/K66, 0), 0)</f>
        <v>1</v>
      </c>
      <c r="AC66" s="632" t="e">
        <f>V66/$V$69</f>
        <v>#DIV/0!</v>
      </c>
      <c r="AD66" s="1186">
        <f>V66*0.1</f>
        <v>0</v>
      </c>
      <c r="AM66" s="1703">
        <f t="shared" si="11"/>
        <v>0</v>
      </c>
      <c r="AN66" s="1713"/>
    </row>
    <row r="67" spans="1:40" ht="150" customHeight="1" x14ac:dyDescent="0.7">
      <c r="A67" s="584">
        <v>53</v>
      </c>
      <c r="B67" s="608" t="s">
        <v>573</v>
      </c>
      <c r="C67" s="609" t="s">
        <v>175</v>
      </c>
      <c r="D67" s="584" t="s">
        <v>182</v>
      </c>
      <c r="E67" s="584" t="s">
        <v>331</v>
      </c>
      <c r="F67" s="940" t="s">
        <v>613</v>
      </c>
      <c r="G67" s="940" t="s">
        <v>1482</v>
      </c>
      <c r="H67" s="1204">
        <v>2</v>
      </c>
      <c r="I67" s="1204">
        <v>1</v>
      </c>
      <c r="J67" s="1205">
        <v>850</v>
      </c>
      <c r="K67" s="621">
        <f>IF(F67&lt;&gt;"",H67*I67*J67,"")</f>
        <v>1700</v>
      </c>
      <c r="L67" s="621">
        <f>IF(K67&lt;&gt;"",IF(D67="INTERNO",0,K67*$L$13),"")</f>
        <v>85</v>
      </c>
      <c r="M67" s="621">
        <f>IF(K67&lt;&gt;"",IF(E67="FAT.OGGI",SUM(K67:L67)*(1/(1-$M$14)-1),L67*(1/(1-$M$14)-1)),0)</f>
        <v>17.818434740534649</v>
      </c>
      <c r="N67" s="621">
        <f>SUM(K67:M67)</f>
        <v>1802.8184347405347</v>
      </c>
      <c r="O67" s="1131" t="s">
        <v>653</v>
      </c>
      <c r="P67" s="1132" t="s">
        <v>655</v>
      </c>
      <c r="Q67" s="1133"/>
      <c r="S67" s="625">
        <f t="shared" si="37"/>
        <v>2</v>
      </c>
      <c r="T67" s="625">
        <f t="shared" si="37"/>
        <v>1</v>
      </c>
      <c r="U67" s="626">
        <v>850</v>
      </c>
      <c r="V67" s="626">
        <v>0</v>
      </c>
      <c r="W67" s="627">
        <f>IF(S67&lt;&gt;"",K67-V67,"")</f>
        <v>1700</v>
      </c>
      <c r="X67" s="1134">
        <f>IF(S67&lt;&gt;"",0%,"")</f>
        <v>0</v>
      </c>
      <c r="Y67" s="629">
        <f>IF(S67&lt;&gt;"",X67*W67,"")</f>
        <v>0</v>
      </c>
      <c r="Z67" s="629">
        <f>IF(S67&lt;&gt;"",Y67+V67,"")</f>
        <v>0</v>
      </c>
      <c r="AA67" s="629">
        <f t="shared" si="38"/>
        <v>17.818434740534649</v>
      </c>
      <c r="AB67" s="631">
        <f>IF(S67&lt;&gt;"", IFERROR(W67/K67, 0), 0)</f>
        <v>1</v>
      </c>
      <c r="AC67" s="632" t="e">
        <f>V67/$V$69</f>
        <v>#DIV/0!</v>
      </c>
      <c r="AD67" s="1186">
        <f>V67*0.1</f>
        <v>0</v>
      </c>
      <c r="AM67" s="1703">
        <f t="shared" si="11"/>
        <v>0</v>
      </c>
      <c r="AN67" s="1713"/>
    </row>
    <row r="68" spans="1:40" ht="150" customHeight="1" x14ac:dyDescent="0.7">
      <c r="A68" s="633">
        <v>54</v>
      </c>
      <c r="B68" s="608" t="s">
        <v>574</v>
      </c>
      <c r="C68" s="634" t="s">
        <v>175</v>
      </c>
      <c r="D68" s="633" t="s">
        <v>182</v>
      </c>
      <c r="E68" s="633" t="s">
        <v>331</v>
      </c>
      <c r="F68" s="940" t="s">
        <v>382</v>
      </c>
      <c r="G68" s="940" t="s">
        <v>1483</v>
      </c>
      <c r="H68" s="830">
        <v>26</v>
      </c>
      <c r="I68" s="830">
        <v>3</v>
      </c>
      <c r="J68" s="1171">
        <v>900</v>
      </c>
      <c r="K68" s="621">
        <f>IF(F68&lt;&gt;"",H68*I68*J68,"")</f>
        <v>70200</v>
      </c>
      <c r="L68" s="621">
        <f>IF(K68&lt;&gt;"",IF(D68="INTERNO",0,K68*$L$13),"")</f>
        <v>3510</v>
      </c>
      <c r="M68" s="621">
        <f>IF(K68&lt;&gt;"",IF(E68="FAT.OGGI",SUM(K68:L68)*(1/(1-$M$14)-1),L68*(1/(1-$M$14)-1)),0)</f>
        <v>735.79654046207793</v>
      </c>
      <c r="N68" s="621">
        <f>SUM(K68:M68)</f>
        <v>74445.796540462077</v>
      </c>
      <c r="O68" s="1131" t="s">
        <v>653</v>
      </c>
      <c r="P68" s="1132" t="s">
        <v>655</v>
      </c>
      <c r="Q68" s="1133"/>
      <c r="S68" s="625">
        <v>1</v>
      </c>
      <c r="T68" s="625">
        <v>1</v>
      </c>
      <c r="U68" s="626">
        <v>900</v>
      </c>
      <c r="V68" s="626">
        <v>0</v>
      </c>
      <c r="W68" s="627">
        <f>IF(S68&lt;&gt;"",K68-V68,"")</f>
        <v>70200</v>
      </c>
      <c r="X68" s="1134">
        <f>IF(S68&lt;&gt;"",0%,"")</f>
        <v>0</v>
      </c>
      <c r="Y68" s="629">
        <f>IF(S68&lt;&gt;"",X68*W68,"")</f>
        <v>0</v>
      </c>
      <c r="Z68" s="629">
        <f>IF(S68&lt;&gt;"",Y68+V68,"")</f>
        <v>0</v>
      </c>
      <c r="AA68" s="629">
        <f t="shared" si="38"/>
        <v>735.79654046207793</v>
      </c>
      <c r="AB68" s="631">
        <f>IF(S68&lt;&gt;"", IFERROR(W68/K68, 0), 0)</f>
        <v>1</v>
      </c>
      <c r="AC68" s="632" t="e">
        <f>V68/$V$69</f>
        <v>#DIV/0!</v>
      </c>
      <c r="AD68" s="1186">
        <f>V68*0.1</f>
        <v>0</v>
      </c>
      <c r="AM68" s="1703">
        <f t="shared" si="11"/>
        <v>0</v>
      </c>
      <c r="AN68" s="1713"/>
    </row>
    <row r="69" spans="1:40" ht="50.1" customHeight="1" x14ac:dyDescent="0.7">
      <c r="A69" s="584">
        <v>55</v>
      </c>
      <c r="B69" s="608"/>
      <c r="C69" s="609" t="s">
        <v>184</v>
      </c>
      <c r="D69" s="584"/>
      <c r="E69" s="584"/>
      <c r="F69" s="1423" t="s">
        <v>383</v>
      </c>
      <c r="G69" s="1423"/>
      <c r="H69" s="1423"/>
      <c r="I69" s="1423"/>
      <c r="J69" s="1423"/>
      <c r="K69" s="1314">
        <f>SUM(K64:K68)</f>
        <v>242750</v>
      </c>
      <c r="L69" s="1314">
        <f>SUM(L64:L68)</f>
        <v>12137.5</v>
      </c>
      <c r="M69" s="1314">
        <f>SUM(M64:M68)</f>
        <v>2544.3676666263445</v>
      </c>
      <c r="N69" s="1314">
        <f>SUM(N64:N68)</f>
        <v>257431.86766662635</v>
      </c>
      <c r="P69" s="1316"/>
      <c r="Q69" s="1316"/>
      <c r="R69" s="1317"/>
      <c r="S69" s="1625">
        <f>SUM(S64:S68)</f>
        <v>164</v>
      </c>
      <c r="T69" s="1423"/>
      <c r="U69" s="1423"/>
      <c r="V69" s="1175">
        <f>SUM(V64:V68)</f>
        <v>0</v>
      </c>
      <c r="W69" s="1176">
        <f>SUM(W64:W68)</f>
        <v>242750</v>
      </c>
      <c r="X69" s="1312">
        <f>SUM(X64:X68)</f>
        <v>0</v>
      </c>
      <c r="Y69" s="1178"/>
      <c r="Z69" s="1179">
        <f>SUM(Z64:Z68)</f>
        <v>0</v>
      </c>
      <c r="AA69" s="891">
        <f t="shared" si="38"/>
        <v>2544.3676666263445</v>
      </c>
      <c r="AD69" s="1192">
        <f>SUM(AD64:AD68)</f>
        <v>0</v>
      </c>
      <c r="AM69" s="1703"/>
      <c r="AN69" s="1713"/>
    </row>
    <row r="70" spans="1:40" ht="50.1" customHeight="1" x14ac:dyDescent="0.7">
      <c r="A70" s="584">
        <v>56</v>
      </c>
      <c r="B70" s="608" t="s">
        <v>206</v>
      </c>
      <c r="C70" s="609" t="s">
        <v>169</v>
      </c>
      <c r="D70" s="584"/>
      <c r="E70" s="584"/>
      <c r="F70" s="1423" t="s">
        <v>384</v>
      </c>
      <c r="G70" s="1423"/>
      <c r="H70" s="1423"/>
      <c r="I70" s="1423"/>
      <c r="J70" s="1423"/>
      <c r="K70" s="1423"/>
      <c r="L70" s="1296" t="s">
        <v>171</v>
      </c>
      <c r="M70" s="1296" t="s">
        <v>172</v>
      </c>
      <c r="N70" s="1296" t="s">
        <v>129</v>
      </c>
      <c r="O70" s="1126" t="s">
        <v>651</v>
      </c>
      <c r="P70" s="1127" t="s">
        <v>652</v>
      </c>
      <c r="Q70" s="1127" t="s">
        <v>666</v>
      </c>
      <c r="S70" s="1423" t="str">
        <f>IF(F70&lt;&gt;"",F70,"")</f>
        <v>SALAS DE EVENTOS</v>
      </c>
      <c r="T70" s="1423"/>
      <c r="U70" s="1423"/>
      <c r="V70" s="1423"/>
      <c r="W70" s="1423"/>
      <c r="X70" s="1423"/>
      <c r="Y70" s="1423"/>
      <c r="Z70" s="1423"/>
      <c r="AA70" s="1423"/>
      <c r="AB70" s="616" t="s">
        <v>173</v>
      </c>
      <c r="AC70" s="617" t="s">
        <v>130</v>
      </c>
      <c r="AM70" s="1703"/>
      <c r="AN70" s="1713"/>
    </row>
    <row r="71" spans="1:40" ht="150" customHeight="1" x14ac:dyDescent="0.7">
      <c r="A71" s="584">
        <v>57</v>
      </c>
      <c r="B71" s="608" t="s">
        <v>207</v>
      </c>
      <c r="C71" s="609" t="s">
        <v>175</v>
      </c>
      <c r="D71" s="584" t="s">
        <v>182</v>
      </c>
      <c r="E71" s="584" t="s">
        <v>331</v>
      </c>
      <c r="F71" s="940" t="s">
        <v>387</v>
      </c>
      <c r="G71" s="868" t="s">
        <v>1484</v>
      </c>
      <c r="H71" s="830">
        <v>1</v>
      </c>
      <c r="I71" s="830">
        <v>1</v>
      </c>
      <c r="J71" s="1171">
        <v>78200</v>
      </c>
      <c r="K71" s="621">
        <f>IF(F71&lt;&gt;"",H71*I71*J71,"")</f>
        <v>78200</v>
      </c>
      <c r="L71" s="621">
        <f>IF(K71&lt;&gt;"",IF(D71="INTERNO",0,K71*$L$13),"")</f>
        <v>3910</v>
      </c>
      <c r="M71" s="621">
        <f>IF(K71&lt;&gt;"",IF(E71="FAT.OGGI",SUM(K71:L71)*(1/(1-$M$14)-1),L71*(1/(1-$M$14)-1)),0)</f>
        <v>819.64799806459393</v>
      </c>
      <c r="N71" s="621">
        <f>SUM(K71:M71)</f>
        <v>82929.647998064596</v>
      </c>
      <c r="O71" s="1131" t="s">
        <v>653</v>
      </c>
      <c r="P71" s="1132" t="s">
        <v>655</v>
      </c>
      <c r="Q71" s="1233"/>
      <c r="S71" s="625">
        <f>IF(H71&lt;&gt;"",H71,"")</f>
        <v>1</v>
      </c>
      <c r="T71" s="625">
        <f>IF(I71&lt;&gt;"",I71,"")</f>
        <v>1</v>
      </c>
      <c r="U71" s="626">
        <v>78200</v>
      </c>
      <c r="V71" s="626">
        <v>0</v>
      </c>
      <c r="W71" s="627">
        <f>IF(S71&lt;&gt;"",K71-V71,"")</f>
        <v>78200</v>
      </c>
      <c r="X71" s="1134">
        <f>IF(S71&lt;&gt;"",0%,"")</f>
        <v>0</v>
      </c>
      <c r="Y71" s="629">
        <f>IF(S71&lt;&gt;"",X71*W71,"")</f>
        <v>0</v>
      </c>
      <c r="Z71" s="629">
        <f>IF(S71&lt;&gt;"",Y71+V71,"")</f>
        <v>0</v>
      </c>
      <c r="AA71" s="629">
        <f>IF(S71&lt;&gt;"",Z71+M71,"")</f>
        <v>819.64799806459393</v>
      </c>
      <c r="AB71" s="631">
        <f>IFERROR(IF(S71&lt;&gt;"",W71/K71,""),0)</f>
        <v>1</v>
      </c>
      <c r="AC71" s="632" t="e">
        <f>V71/$V$73</f>
        <v>#DIV/0!</v>
      </c>
      <c r="AM71" s="1703">
        <f t="shared" si="11"/>
        <v>0</v>
      </c>
      <c r="AN71" s="1713"/>
    </row>
    <row r="72" spans="1:40" ht="150" customHeight="1" x14ac:dyDescent="0.7">
      <c r="A72" s="584">
        <v>58</v>
      </c>
      <c r="B72" s="608" t="s">
        <v>208</v>
      </c>
      <c r="C72" s="609" t="s">
        <v>175</v>
      </c>
      <c r="D72" s="584" t="s">
        <v>182</v>
      </c>
      <c r="E72" s="584" t="s">
        <v>331</v>
      </c>
      <c r="F72" s="940" t="s">
        <v>393</v>
      </c>
      <c r="G72" s="868" t="s">
        <v>1485</v>
      </c>
      <c r="H72" s="830">
        <v>1</v>
      </c>
      <c r="I72" s="830">
        <v>1</v>
      </c>
      <c r="J72" s="1171">
        <v>15395</v>
      </c>
      <c r="K72" s="621">
        <f>IF(F72&lt;&gt;"",H72*I72*J72,"")</f>
        <v>15395</v>
      </c>
      <c r="L72" s="621">
        <f>IF(K72&lt;&gt;"",IF(D72="INTERNO",0,K72*$L$13),"")</f>
        <v>769.75</v>
      </c>
      <c r="M72" s="621">
        <f>IF(K72&lt;&gt;"",IF(E72="FAT.OGGI",SUM(K72:L72)*(1/(1-$M$14)-1),L72*(1/(1-$M$14)-1)),0)</f>
        <v>161.36164872384174</v>
      </c>
      <c r="N72" s="621">
        <f>SUM(K72:M72)</f>
        <v>16326.111648723841</v>
      </c>
      <c r="O72" s="1131" t="s">
        <v>653</v>
      </c>
      <c r="P72" s="1132" t="s">
        <v>655</v>
      </c>
      <c r="Q72" s="1233"/>
      <c r="S72" s="625">
        <f>IF(H72&lt;&gt;"",H72,"")</f>
        <v>1</v>
      </c>
      <c r="T72" s="625">
        <f>IF(I72&lt;&gt;"",I72,"")</f>
        <v>1</v>
      </c>
      <c r="U72" s="626">
        <v>15395</v>
      </c>
      <c r="V72" s="626">
        <v>0</v>
      </c>
      <c r="W72" s="627">
        <f>IF(S72&lt;&gt;"",K72-V72,"")</f>
        <v>15395</v>
      </c>
      <c r="X72" s="1134">
        <f>IF(S72&lt;&gt;"",0%,"")</f>
        <v>0</v>
      </c>
      <c r="Y72" s="629">
        <f>IF(S72&lt;&gt;"",X72*W72,"")</f>
        <v>0</v>
      </c>
      <c r="Z72" s="629">
        <f>IF(S72&lt;&gt;"",Y72+V72,"")</f>
        <v>0</v>
      </c>
      <c r="AA72" s="629">
        <f>IF(S72&lt;&gt;"",Z72+M72,"")</f>
        <v>161.36164872384174</v>
      </c>
      <c r="AB72" s="631">
        <f>IFERROR(IF(S72&lt;&gt;"",W72/K72,""),0)</f>
        <v>1</v>
      </c>
      <c r="AC72" s="632" t="e">
        <f>V72/$V$73</f>
        <v>#DIV/0!</v>
      </c>
      <c r="AM72" s="1703">
        <f t="shared" si="11"/>
        <v>0</v>
      </c>
      <c r="AN72" s="1713"/>
    </row>
    <row r="73" spans="1:40" ht="50.1" customHeight="1" x14ac:dyDescent="0.7">
      <c r="A73" s="584">
        <v>59</v>
      </c>
      <c r="B73" s="608"/>
      <c r="C73" s="609" t="s">
        <v>184</v>
      </c>
      <c r="D73" s="584"/>
      <c r="E73" s="584"/>
      <c r="F73" s="1423" t="s">
        <v>385</v>
      </c>
      <c r="G73" s="1423"/>
      <c r="H73" s="1423"/>
      <c r="I73" s="1423"/>
      <c r="J73" s="1423"/>
      <c r="K73" s="1314">
        <f>SUM(K71:K72)</f>
        <v>93595</v>
      </c>
      <c r="L73" s="1314">
        <f>SUM(L71:L72)</f>
        <v>4679.75</v>
      </c>
      <c r="M73" s="1314">
        <f>SUM(M71:M72)</f>
        <v>981.0096467884357</v>
      </c>
      <c r="N73" s="1314">
        <f>SUM(N71:N72)</f>
        <v>99255.759646788443</v>
      </c>
      <c r="S73" s="1625">
        <f>SUM(S71:S72)</f>
        <v>2</v>
      </c>
      <c r="T73" s="1423"/>
      <c r="U73" s="1423"/>
      <c r="V73" s="1175">
        <f>SUM(V71:V72)</f>
        <v>0</v>
      </c>
      <c r="W73" s="1176">
        <f>SUM(W71:W72)</f>
        <v>93595</v>
      </c>
      <c r="X73" s="1312">
        <f>SUM(X71:X72)</f>
        <v>0</v>
      </c>
      <c r="Y73" s="1178"/>
      <c r="Z73" s="1179">
        <f>SUM(Z71:Z72)</f>
        <v>0</v>
      </c>
      <c r="AA73" s="891">
        <f>IF(S73&lt;&gt;"",Z73+M73,"")</f>
        <v>981.0096467884357</v>
      </c>
      <c r="AM73" s="1703"/>
      <c r="AN73" s="1713"/>
    </row>
    <row r="74" spans="1:40" ht="50.1" customHeight="1" x14ac:dyDescent="0.7">
      <c r="A74" s="584">
        <v>60</v>
      </c>
      <c r="B74" s="608" t="s">
        <v>213</v>
      </c>
      <c r="C74" s="609" t="s">
        <v>169</v>
      </c>
      <c r="D74" s="584"/>
      <c r="E74" s="584"/>
      <c r="F74" s="1423" t="s">
        <v>395</v>
      </c>
      <c r="G74" s="1423"/>
      <c r="H74" s="1423"/>
      <c r="I74" s="1423"/>
      <c r="J74" s="1423"/>
      <c r="K74" s="1423"/>
      <c r="L74" s="1296" t="s">
        <v>171</v>
      </c>
      <c r="M74" s="1296" t="s">
        <v>172</v>
      </c>
      <c r="N74" s="1296" t="s">
        <v>129</v>
      </c>
      <c r="O74" s="1126" t="s">
        <v>651</v>
      </c>
      <c r="P74" s="1127" t="s">
        <v>652</v>
      </c>
      <c r="Q74" s="1127" t="s">
        <v>666</v>
      </c>
      <c r="S74" s="1423" t="str">
        <f>IF(F74&lt;&gt;"",F74,"")</f>
        <v>SERVIÇOS E TAXAS DIVERSAS</v>
      </c>
      <c r="T74" s="1423"/>
      <c r="U74" s="1423"/>
      <c r="V74" s="1423"/>
      <c r="W74" s="1423"/>
      <c r="X74" s="1423"/>
      <c r="Y74" s="1423"/>
      <c r="Z74" s="1423"/>
      <c r="AA74" s="1423"/>
      <c r="AB74" s="616" t="s">
        <v>173</v>
      </c>
      <c r="AC74" s="617" t="s">
        <v>130</v>
      </c>
      <c r="AM74" s="1703"/>
      <c r="AN74" s="1713"/>
    </row>
    <row r="75" spans="1:40" ht="150" customHeight="1" x14ac:dyDescent="0.7">
      <c r="A75" s="584">
        <v>61</v>
      </c>
      <c r="B75" s="608" t="s">
        <v>214</v>
      </c>
      <c r="C75" s="609" t="s">
        <v>175</v>
      </c>
      <c r="D75" s="584" t="s">
        <v>182</v>
      </c>
      <c r="E75" s="584" t="s">
        <v>331</v>
      </c>
      <c r="F75" s="940" t="s">
        <v>396</v>
      </c>
      <c r="G75" s="868" t="s">
        <v>1486</v>
      </c>
      <c r="H75" s="830">
        <v>1</v>
      </c>
      <c r="I75" s="830">
        <v>1</v>
      </c>
      <c r="J75" s="1205">
        <v>9694</v>
      </c>
      <c r="K75" s="621">
        <f>IF(F75&lt;&gt;"",H75*I75*J75,"")</f>
        <v>9694</v>
      </c>
      <c r="L75" s="621">
        <f>IF(K75&lt;&gt;"",IF(D75="INTERNO",0,K75*$L$13),"")</f>
        <v>484.70000000000005</v>
      </c>
      <c r="M75" s="621">
        <f>IF(K75&lt;&gt;"",IF(E75="FAT.OGGI",SUM(K75:L75)*(1/(1-$M$14)-1),L75*(1/(1-$M$14)-1)),"")</f>
        <v>101.60700374984877</v>
      </c>
      <c r="N75" s="621">
        <f>SUM(K75:M75)</f>
        <v>10280.307003749849</v>
      </c>
      <c r="O75" s="1131" t="s">
        <v>653</v>
      </c>
      <c r="P75" s="1132" t="s">
        <v>655</v>
      </c>
      <c r="Q75" s="1233"/>
      <c r="S75" s="625">
        <f>IF(H75&lt;&gt;"",H75,"")</f>
        <v>1</v>
      </c>
      <c r="T75" s="625">
        <f>IF(I75&lt;&gt;"",I75,"")</f>
        <v>1</v>
      </c>
      <c r="U75" s="626">
        <v>9694</v>
      </c>
      <c r="V75" s="626">
        <v>0</v>
      </c>
      <c r="W75" s="627">
        <f>IF(S75&lt;&gt;"",K75-V75,"")</f>
        <v>9694</v>
      </c>
      <c r="X75" s="1134">
        <f>IF(S75&lt;&gt;"",0%,"")</f>
        <v>0</v>
      </c>
      <c r="Y75" s="629">
        <f>IF(S75&lt;&gt;"",X75*W75,"")</f>
        <v>0</v>
      </c>
      <c r="Z75" s="629">
        <f>IF(S75&lt;&gt;"",Y75+V75,"")</f>
        <v>0</v>
      </c>
      <c r="AA75" s="629">
        <f>IF(S75&lt;&gt;"",Z75+M75,"")</f>
        <v>101.60700374984877</v>
      </c>
      <c r="AB75" s="631">
        <f>IFERROR(IF(S75&lt;&gt;"",W75/K75,""),0)</f>
        <v>1</v>
      </c>
      <c r="AC75" s="632" t="e">
        <f>V75/$V$76</f>
        <v>#DIV/0!</v>
      </c>
      <c r="AM75" s="1703">
        <f t="shared" si="11"/>
        <v>0</v>
      </c>
      <c r="AN75" s="1713"/>
    </row>
    <row r="76" spans="1:40" ht="50.1" customHeight="1" x14ac:dyDescent="0.7">
      <c r="A76" s="584">
        <v>62</v>
      </c>
      <c r="B76" s="608"/>
      <c r="C76" s="609" t="s">
        <v>184</v>
      </c>
      <c r="D76" s="584"/>
      <c r="E76" s="584"/>
      <c r="F76" s="1423" t="s">
        <v>397</v>
      </c>
      <c r="G76" s="1423"/>
      <c r="H76" s="1423"/>
      <c r="I76" s="1423"/>
      <c r="J76" s="1423"/>
      <c r="K76" s="1314">
        <f>SUM(K75:K75)</f>
        <v>9694</v>
      </c>
      <c r="L76" s="1314">
        <f>SUM(L75:L75)</f>
        <v>484.70000000000005</v>
      </c>
      <c r="M76" s="1314">
        <f>SUM(M75:M75)</f>
        <v>101.60700374984877</v>
      </c>
      <c r="N76" s="1314">
        <f>SUM(N75:N75)</f>
        <v>10280.307003749849</v>
      </c>
      <c r="S76" s="1625">
        <f>SUM(S75:S75)</f>
        <v>1</v>
      </c>
      <c r="T76" s="1423"/>
      <c r="U76" s="1423"/>
      <c r="V76" s="1175">
        <f>SUM(V75:V75)</f>
        <v>0</v>
      </c>
      <c r="W76" s="1176">
        <f>SUM(W75:W75)</f>
        <v>9694</v>
      </c>
      <c r="X76" s="1312">
        <f>SUM(X75:X75)</f>
        <v>0</v>
      </c>
      <c r="Y76" s="1178"/>
      <c r="Z76" s="1179">
        <f>SUM(Z75:Z75)</f>
        <v>0</v>
      </c>
      <c r="AA76" s="891">
        <f>IF(S76&lt;&gt;"",Z76+M76,"")</f>
        <v>101.60700374984877</v>
      </c>
      <c r="AM76" s="1703"/>
      <c r="AN76" s="1713"/>
    </row>
    <row r="77" spans="1:40" ht="50.1" customHeight="1" x14ac:dyDescent="0.7">
      <c r="A77" s="584">
        <v>63</v>
      </c>
      <c r="B77" s="608" t="s">
        <v>215</v>
      </c>
      <c r="C77" s="609" t="s">
        <v>169</v>
      </c>
      <c r="D77" s="584"/>
      <c r="E77" s="584"/>
      <c r="F77" s="1423" t="s">
        <v>189</v>
      </c>
      <c r="G77" s="1423"/>
      <c r="H77" s="1423"/>
      <c r="I77" s="1423"/>
      <c r="J77" s="1423"/>
      <c r="K77" s="1423"/>
      <c r="L77" s="1296" t="s">
        <v>171</v>
      </c>
      <c r="M77" s="1296" t="s">
        <v>172</v>
      </c>
      <c r="N77" s="1296" t="s">
        <v>129</v>
      </c>
      <c r="O77" s="1126" t="s">
        <v>651</v>
      </c>
      <c r="P77" s="1127" t="s">
        <v>652</v>
      </c>
      <c r="Q77" s="1127" t="s">
        <v>666</v>
      </c>
      <c r="S77" s="1423" t="str">
        <f>IF(F77&lt;&gt;"",F77,"")</f>
        <v xml:space="preserve">A&amp;B </v>
      </c>
      <c r="T77" s="1423"/>
      <c r="U77" s="1423"/>
      <c r="V77" s="1423"/>
      <c r="W77" s="1423"/>
      <c r="X77" s="1423"/>
      <c r="Y77" s="1423"/>
      <c r="Z77" s="1423"/>
      <c r="AA77" s="1423"/>
      <c r="AB77" s="616" t="s">
        <v>173</v>
      </c>
      <c r="AC77" s="617" t="s">
        <v>130</v>
      </c>
      <c r="AM77" s="1703"/>
      <c r="AN77" s="1713"/>
    </row>
    <row r="78" spans="1:40" ht="150" customHeight="1" x14ac:dyDescent="0.7">
      <c r="A78" s="584">
        <v>64</v>
      </c>
      <c r="B78" s="608" t="s">
        <v>216</v>
      </c>
      <c r="C78" s="609" t="s">
        <v>175</v>
      </c>
      <c r="D78" s="584" t="s">
        <v>182</v>
      </c>
      <c r="E78" s="584" t="s">
        <v>331</v>
      </c>
      <c r="F78" s="940" t="s">
        <v>614</v>
      </c>
      <c r="G78" s="940" t="s">
        <v>399</v>
      </c>
      <c r="H78" s="1204">
        <v>30</v>
      </c>
      <c r="I78" s="1204">
        <v>8</v>
      </c>
      <c r="J78" s="1205">
        <v>192</v>
      </c>
      <c r="K78" s="621">
        <f t="shared" ref="K78:K83" si="39">IF(F78&lt;&gt;"",H78*I78*J78,"")</f>
        <v>46080</v>
      </c>
      <c r="L78" s="621">
        <f t="shared" ref="L78:L83" si="40">IF(K78&lt;&gt;"",IF(D78="INTERNO",0,K78*$L$13),"")</f>
        <v>2304</v>
      </c>
      <c r="M78" s="621">
        <f t="shared" ref="M78:M83" si="41">IF(K78&lt;&gt;"",IF(E78="FAT.OGGI",SUM(K78:L78)*(1/(1-$M$14)-1),L78*(1/(1-$M$14)-1)),0)</f>
        <v>482.98439579049216</v>
      </c>
      <c r="N78" s="621">
        <f t="shared" ref="N78:N83" si="42">SUM(K78:M78)</f>
        <v>48866.984395790489</v>
      </c>
      <c r="O78" s="1172" t="s">
        <v>151</v>
      </c>
      <c r="P78" s="1158" t="s">
        <v>151</v>
      </c>
      <c r="Q78" s="1133" t="s">
        <v>1102</v>
      </c>
      <c r="S78" s="625">
        <f t="shared" ref="S78:T83" si="43">IF(H78&lt;&gt;"",H78,"")</f>
        <v>30</v>
      </c>
      <c r="T78" s="625">
        <f t="shared" si="43"/>
        <v>8</v>
      </c>
      <c r="U78" s="626">
        <v>192</v>
      </c>
      <c r="V78" s="626">
        <v>0</v>
      </c>
      <c r="W78" s="627">
        <f t="shared" ref="W78:W83" si="44">IF(S78&lt;&gt;"",K78-V78,"")</f>
        <v>46080</v>
      </c>
      <c r="X78" s="1134">
        <f t="shared" ref="X78:X83" si="45">IF(S78&lt;&gt;"",0%,"")</f>
        <v>0</v>
      </c>
      <c r="Y78" s="629">
        <f t="shared" ref="Y78:Y83" si="46">IF(S78&lt;&gt;"",X78*W78,"")</f>
        <v>0</v>
      </c>
      <c r="Z78" s="629">
        <f t="shared" ref="Z78:Z83" si="47">IF(S78&lt;&gt;"",Y78+V78,"")</f>
        <v>0</v>
      </c>
      <c r="AA78" s="629">
        <f t="shared" ref="AA78:AA85" si="48">IF(S78&lt;&gt;"",Z78+M78,"")</f>
        <v>482.98439579049216</v>
      </c>
      <c r="AB78" s="631">
        <f>IFERROR(IF(S78&lt;&gt;"",W78/K78,""),0)</f>
        <v>1</v>
      </c>
      <c r="AC78" s="632" t="e">
        <f t="shared" ref="AC78:AC83" si="49">V78/$V$84</f>
        <v>#DIV/0!</v>
      </c>
      <c r="AM78" s="1703">
        <f t="shared" si="11"/>
        <v>0</v>
      </c>
      <c r="AN78" s="1713"/>
    </row>
    <row r="79" spans="1:40" ht="150" customHeight="1" x14ac:dyDescent="0.7">
      <c r="A79" s="584">
        <v>65</v>
      </c>
      <c r="B79" s="608" t="s">
        <v>409</v>
      </c>
      <c r="C79" s="609" t="s">
        <v>175</v>
      </c>
      <c r="D79" s="584" t="s">
        <v>182</v>
      </c>
      <c r="E79" s="584" t="s">
        <v>331</v>
      </c>
      <c r="F79" s="940" t="s">
        <v>615</v>
      </c>
      <c r="G79" s="940" t="s">
        <v>399</v>
      </c>
      <c r="H79" s="1204">
        <v>67</v>
      </c>
      <c r="I79" s="1204">
        <v>2</v>
      </c>
      <c r="J79" s="1205">
        <v>192</v>
      </c>
      <c r="K79" s="621">
        <f t="shared" si="39"/>
        <v>25728</v>
      </c>
      <c r="L79" s="621">
        <f t="shared" si="40"/>
        <v>1286.4000000000001</v>
      </c>
      <c r="M79" s="621">
        <f t="shared" si="41"/>
        <v>269.66628764969147</v>
      </c>
      <c r="N79" s="621">
        <f t="shared" si="42"/>
        <v>27284.066287649694</v>
      </c>
      <c r="O79" s="1172" t="s">
        <v>151</v>
      </c>
      <c r="P79" s="1158" t="s">
        <v>151</v>
      </c>
      <c r="Q79" s="1133" t="s">
        <v>1102</v>
      </c>
      <c r="S79" s="625">
        <f t="shared" si="43"/>
        <v>67</v>
      </c>
      <c r="T79" s="625">
        <f t="shared" si="43"/>
        <v>2</v>
      </c>
      <c r="U79" s="626">
        <v>192</v>
      </c>
      <c r="V79" s="626">
        <v>0</v>
      </c>
      <c r="W79" s="627">
        <f t="shared" si="44"/>
        <v>25728</v>
      </c>
      <c r="X79" s="1134">
        <f t="shared" si="45"/>
        <v>0</v>
      </c>
      <c r="Y79" s="629">
        <f t="shared" si="46"/>
        <v>0</v>
      </c>
      <c r="Z79" s="629">
        <f t="shared" si="47"/>
        <v>0</v>
      </c>
      <c r="AA79" s="629">
        <f t="shared" si="48"/>
        <v>269.66628764969147</v>
      </c>
      <c r="AB79" s="631">
        <f>IF(S79&lt;&gt;"", IFERROR(W79/K79, 0), 0)</f>
        <v>1</v>
      </c>
      <c r="AC79" s="632" t="e">
        <f t="shared" si="49"/>
        <v>#DIV/0!</v>
      </c>
      <c r="AM79" s="1703">
        <f t="shared" si="11"/>
        <v>0</v>
      </c>
      <c r="AN79" s="1713"/>
    </row>
    <row r="80" spans="1:40" ht="150" customHeight="1" x14ac:dyDescent="0.7">
      <c r="A80" s="646">
        <v>66</v>
      </c>
      <c r="B80" s="608" t="s">
        <v>410</v>
      </c>
      <c r="C80" s="647" t="s">
        <v>175</v>
      </c>
      <c r="D80" s="584" t="s">
        <v>182</v>
      </c>
      <c r="E80" s="584" t="s">
        <v>331</v>
      </c>
      <c r="F80" s="940" t="s">
        <v>400</v>
      </c>
      <c r="G80" s="940" t="s">
        <v>399</v>
      </c>
      <c r="H80" s="1204">
        <v>200</v>
      </c>
      <c r="I80" s="1204">
        <v>1</v>
      </c>
      <c r="J80" s="1205">
        <v>192</v>
      </c>
      <c r="K80" s="621">
        <f t="shared" si="39"/>
        <v>38400</v>
      </c>
      <c r="L80" s="621">
        <f t="shared" si="40"/>
        <v>1920</v>
      </c>
      <c r="M80" s="621">
        <f t="shared" si="41"/>
        <v>402.4869964920768</v>
      </c>
      <c r="N80" s="621">
        <f t="shared" si="42"/>
        <v>40722.48699649208</v>
      </c>
      <c r="O80" s="1172" t="s">
        <v>151</v>
      </c>
      <c r="P80" s="1158" t="s">
        <v>151</v>
      </c>
      <c r="Q80" s="1133" t="s">
        <v>1102</v>
      </c>
      <c r="S80" s="625">
        <f t="shared" si="43"/>
        <v>200</v>
      </c>
      <c r="T80" s="625">
        <f t="shared" si="43"/>
        <v>1</v>
      </c>
      <c r="U80" s="626">
        <v>192</v>
      </c>
      <c r="V80" s="626">
        <v>0</v>
      </c>
      <c r="W80" s="627">
        <f t="shared" si="44"/>
        <v>38400</v>
      </c>
      <c r="X80" s="1134">
        <f t="shared" si="45"/>
        <v>0</v>
      </c>
      <c r="Y80" s="629">
        <f t="shared" si="46"/>
        <v>0</v>
      </c>
      <c r="Z80" s="629">
        <f t="shared" si="47"/>
        <v>0</v>
      </c>
      <c r="AA80" s="629">
        <f t="shared" si="48"/>
        <v>402.4869964920768</v>
      </c>
      <c r="AB80" s="631">
        <f>IF(S80&lt;&gt;"", IFERROR(W80/K80, 0), 0)</f>
        <v>1</v>
      </c>
      <c r="AC80" s="632" t="e">
        <f t="shared" si="49"/>
        <v>#DIV/0!</v>
      </c>
      <c r="AM80" s="1703">
        <f t="shared" si="11"/>
        <v>0</v>
      </c>
      <c r="AN80" s="1713"/>
    </row>
    <row r="81" spans="1:41" ht="150" customHeight="1" x14ac:dyDescent="0.7">
      <c r="A81" s="633">
        <v>68</v>
      </c>
      <c r="B81" s="608" t="s">
        <v>412</v>
      </c>
      <c r="C81" s="634" t="s">
        <v>175</v>
      </c>
      <c r="D81" s="633" t="s">
        <v>182</v>
      </c>
      <c r="E81" s="633" t="s">
        <v>331</v>
      </c>
      <c r="F81" s="940" t="s">
        <v>616</v>
      </c>
      <c r="G81" s="940" t="s">
        <v>399</v>
      </c>
      <c r="H81" s="1204">
        <v>267</v>
      </c>
      <c r="I81" s="1204">
        <v>1</v>
      </c>
      <c r="J81" s="1205">
        <v>192</v>
      </c>
      <c r="K81" s="621">
        <f t="shared" si="39"/>
        <v>51264</v>
      </c>
      <c r="L81" s="621">
        <f t="shared" si="40"/>
        <v>2563.2000000000003</v>
      </c>
      <c r="M81" s="621">
        <f t="shared" si="41"/>
        <v>537.32014031692256</v>
      </c>
      <c r="N81" s="621">
        <f t="shared" si="42"/>
        <v>54364.520140316919</v>
      </c>
      <c r="O81" s="1172" t="s">
        <v>151</v>
      </c>
      <c r="P81" s="1158" t="s">
        <v>151</v>
      </c>
      <c r="Q81" s="1133" t="s">
        <v>1102</v>
      </c>
      <c r="S81" s="625">
        <f t="shared" si="43"/>
        <v>267</v>
      </c>
      <c r="T81" s="625">
        <f t="shared" si="43"/>
        <v>1</v>
      </c>
      <c r="U81" s="626">
        <v>192</v>
      </c>
      <c r="V81" s="626">
        <v>0</v>
      </c>
      <c r="W81" s="627">
        <f t="shared" si="44"/>
        <v>51264</v>
      </c>
      <c r="X81" s="1134">
        <f t="shared" si="45"/>
        <v>0</v>
      </c>
      <c r="Y81" s="629">
        <f t="shared" si="46"/>
        <v>0</v>
      </c>
      <c r="Z81" s="629">
        <f t="shared" si="47"/>
        <v>0</v>
      </c>
      <c r="AA81" s="629">
        <f t="shared" si="48"/>
        <v>537.32014031692256</v>
      </c>
      <c r="AB81" s="631">
        <f>IFERROR(IF(S81&lt;&gt;"",W81/K81,""),0)</f>
        <v>1</v>
      </c>
      <c r="AC81" s="632" t="e">
        <f t="shared" si="49"/>
        <v>#DIV/0!</v>
      </c>
      <c r="AM81" s="1703">
        <f t="shared" si="11"/>
        <v>0</v>
      </c>
      <c r="AN81" s="1713"/>
    </row>
    <row r="82" spans="1:41" ht="150" customHeight="1" x14ac:dyDescent="0.7">
      <c r="A82" s="646">
        <v>69</v>
      </c>
      <c r="B82" s="608" t="s">
        <v>555</v>
      </c>
      <c r="C82" s="647" t="s">
        <v>175</v>
      </c>
      <c r="D82" s="584" t="s">
        <v>182</v>
      </c>
      <c r="E82" s="584" t="s">
        <v>331</v>
      </c>
      <c r="F82" s="940" t="s">
        <v>556</v>
      </c>
      <c r="G82" s="940" t="s">
        <v>557</v>
      </c>
      <c r="H82" s="1204">
        <v>1</v>
      </c>
      <c r="I82" s="1204">
        <v>1</v>
      </c>
      <c r="J82" s="1205">
        <v>12000</v>
      </c>
      <c r="K82" s="621">
        <f t="shared" si="39"/>
        <v>12000</v>
      </c>
      <c r="L82" s="621">
        <f t="shared" si="40"/>
        <v>600</v>
      </c>
      <c r="M82" s="621">
        <f t="shared" si="41"/>
        <v>125.777186403774</v>
      </c>
      <c r="N82" s="621">
        <f t="shared" si="42"/>
        <v>12725.777186403773</v>
      </c>
      <c r="O82" s="1172" t="s">
        <v>151</v>
      </c>
      <c r="P82" s="1158" t="s">
        <v>151</v>
      </c>
      <c r="Q82" s="1133" t="s">
        <v>1102</v>
      </c>
      <c r="S82" s="625">
        <f t="shared" si="43"/>
        <v>1</v>
      </c>
      <c r="T82" s="625">
        <f t="shared" si="43"/>
        <v>1</v>
      </c>
      <c r="U82" s="626">
        <v>12000</v>
      </c>
      <c r="V82" s="626">
        <v>0</v>
      </c>
      <c r="W82" s="627">
        <f t="shared" si="44"/>
        <v>12000</v>
      </c>
      <c r="X82" s="1134">
        <f t="shared" si="45"/>
        <v>0</v>
      </c>
      <c r="Y82" s="629">
        <f t="shared" si="46"/>
        <v>0</v>
      </c>
      <c r="Z82" s="629">
        <f t="shared" si="47"/>
        <v>0</v>
      </c>
      <c r="AA82" s="629">
        <f t="shared" si="48"/>
        <v>125.777186403774</v>
      </c>
      <c r="AB82" s="631">
        <f>IF(S82&lt;&gt;"", IFERROR(W82/K82, 0), 0)</f>
        <v>1</v>
      </c>
      <c r="AC82" s="632" t="e">
        <f t="shared" si="49"/>
        <v>#DIV/0!</v>
      </c>
      <c r="AM82" s="1703">
        <f t="shared" ref="AM82:AM143" si="50">Z82-AN82</f>
        <v>0</v>
      </c>
      <c r="AN82" s="1713"/>
    </row>
    <row r="83" spans="1:41" ht="150" customHeight="1" x14ac:dyDescent="0.7">
      <c r="A83" s="633">
        <v>70</v>
      </c>
      <c r="B83" s="608" t="s">
        <v>1063</v>
      </c>
      <c r="C83" s="634" t="s">
        <v>175</v>
      </c>
      <c r="D83" s="584" t="s">
        <v>182</v>
      </c>
      <c r="E83" s="584" t="s">
        <v>331</v>
      </c>
      <c r="F83" s="940" t="s">
        <v>405</v>
      </c>
      <c r="G83" s="940" t="s">
        <v>406</v>
      </c>
      <c r="H83" s="1204">
        <v>263</v>
      </c>
      <c r="I83" s="1204">
        <v>2</v>
      </c>
      <c r="J83" s="1205">
        <v>55</v>
      </c>
      <c r="K83" s="621">
        <f t="shared" si="39"/>
        <v>28930</v>
      </c>
      <c r="L83" s="621">
        <f t="shared" si="40"/>
        <v>1446.5</v>
      </c>
      <c r="M83" s="621">
        <f t="shared" si="41"/>
        <v>303.22783355509847</v>
      </c>
      <c r="N83" s="621">
        <f t="shared" si="42"/>
        <v>30679.727833555098</v>
      </c>
      <c r="O83" s="1172" t="s">
        <v>151</v>
      </c>
      <c r="P83" s="1158" t="s">
        <v>151</v>
      </c>
      <c r="Q83" s="1133" t="s">
        <v>1102</v>
      </c>
      <c r="S83" s="625">
        <f t="shared" si="43"/>
        <v>263</v>
      </c>
      <c r="T83" s="625">
        <f t="shared" si="43"/>
        <v>2</v>
      </c>
      <c r="U83" s="626">
        <v>55</v>
      </c>
      <c r="V83" s="626">
        <v>0</v>
      </c>
      <c r="W83" s="627">
        <f t="shared" si="44"/>
        <v>28930</v>
      </c>
      <c r="X83" s="1134">
        <f t="shared" si="45"/>
        <v>0</v>
      </c>
      <c r="Y83" s="629">
        <f t="shared" si="46"/>
        <v>0</v>
      </c>
      <c r="Z83" s="629">
        <f t="shared" si="47"/>
        <v>0</v>
      </c>
      <c r="AA83" s="629">
        <f t="shared" si="48"/>
        <v>303.22783355509847</v>
      </c>
      <c r="AB83" s="631">
        <f>IFERROR(IF(S83&lt;&gt;"",W83/K83,""),0)</f>
        <v>1</v>
      </c>
      <c r="AC83" s="632" t="e">
        <f t="shared" si="49"/>
        <v>#DIV/0!</v>
      </c>
      <c r="AM83" s="1703">
        <f t="shared" si="50"/>
        <v>0</v>
      </c>
      <c r="AN83" s="1713"/>
    </row>
    <row r="84" spans="1:41" ht="50.1" customHeight="1" x14ac:dyDescent="0.7">
      <c r="A84" s="584">
        <v>71</v>
      </c>
      <c r="B84" s="608"/>
      <c r="C84" s="609" t="s">
        <v>184</v>
      </c>
      <c r="D84" s="584"/>
      <c r="E84" s="584"/>
      <c r="F84" s="1423" t="s">
        <v>407</v>
      </c>
      <c r="G84" s="1423"/>
      <c r="H84" s="1423"/>
      <c r="I84" s="1423"/>
      <c r="J84" s="1423"/>
      <c r="K84" s="1314">
        <f>SUM(K78:K83)</f>
        <v>202402</v>
      </c>
      <c r="L84" s="1314">
        <f>SUM(L78:L83)</f>
        <v>10120.1</v>
      </c>
      <c r="M84" s="1314">
        <f>SUM(M78:M83)</f>
        <v>2121.4628402080557</v>
      </c>
      <c r="N84" s="1314">
        <f>SUM(N78:N83)</f>
        <v>214643.56284020806</v>
      </c>
      <c r="S84" s="1625">
        <f>SUM(S78:S83)</f>
        <v>828</v>
      </c>
      <c r="T84" s="1423"/>
      <c r="U84" s="1423"/>
      <c r="V84" s="1175">
        <f>SUM(V78:V83)</f>
        <v>0</v>
      </c>
      <c r="W84" s="1176">
        <f>SUM(W78:W83)</f>
        <v>202402</v>
      </c>
      <c r="X84" s="1312">
        <f>SUM(X78:X83)</f>
        <v>0</v>
      </c>
      <c r="Y84" s="1178"/>
      <c r="Z84" s="1179">
        <f>SUM(Z78:Z83)</f>
        <v>0</v>
      </c>
      <c r="AA84" s="891">
        <f t="shared" si="48"/>
        <v>2121.4628402080557</v>
      </c>
      <c r="AM84" s="1703"/>
      <c r="AN84" s="1713"/>
    </row>
    <row r="85" spans="1:41" ht="50.1" customHeight="1" x14ac:dyDescent="0.7">
      <c r="A85" s="584">
        <v>72</v>
      </c>
      <c r="B85" s="608"/>
      <c r="C85" s="609" t="s">
        <v>183</v>
      </c>
      <c r="D85" s="584"/>
      <c r="E85" s="584"/>
      <c r="F85" s="1623" t="s">
        <v>408</v>
      </c>
      <c r="G85" s="1623"/>
      <c r="H85" s="1623"/>
      <c r="I85" s="1623"/>
      <c r="J85" s="1623"/>
      <c r="K85" s="1311">
        <f>SUM(K64:K68)+SUM(K71:K72)+SUM(K75:K75)+SUM(K78:K83)</f>
        <v>548441</v>
      </c>
      <c r="L85" s="1311">
        <f>SUM(L64:L68)+SUM(L71:L72)+SUM(L75:L75)+SUM(L78:L83)</f>
        <v>27422.050000000003</v>
      </c>
      <c r="M85" s="1311">
        <f>SUM(M64:M68)+SUM(M71:M72)+SUM(M75:M75)+SUM(M78:M83)</f>
        <v>5748.4471573726851</v>
      </c>
      <c r="N85" s="1311">
        <f>SUM(N64:N68)+SUM(N71:N72)+SUM(N75:N75)+SUM(N78:N83)</f>
        <v>581611.49715737277</v>
      </c>
      <c r="S85" s="1624">
        <f>SUM(S64:S68)+SUM(S71:S72)+SUM(S75:S75)+SUM(S78:S83)</f>
        <v>995</v>
      </c>
      <c r="T85" s="1623"/>
      <c r="U85" s="1623"/>
      <c r="V85" s="1311">
        <f>SUM(V64:V68)+SUM(V71:V72)+SUM(V75:V75)+SUM(V78:V83)</f>
        <v>0</v>
      </c>
      <c r="W85" s="1176">
        <f>SUM(W64:W68)+SUM(W71:W72)+SUM(W75:W75)+SUM(W78:W83)</f>
        <v>548441</v>
      </c>
      <c r="X85" s="1312">
        <f>SUM(X64:X68)+SUM(X71:X72)+SUM(X75:X75)+SUM(X78:X83)</f>
        <v>0</v>
      </c>
      <c r="Y85" s="1178"/>
      <c r="Z85" s="1179">
        <f>SUM(Z64:Z68)+SUM(Z71:Z72)+SUM(Z75:Z75)+SUM(Z78:Z83)</f>
        <v>0</v>
      </c>
      <c r="AA85" s="891">
        <f t="shared" si="48"/>
        <v>5748.4471573726851</v>
      </c>
      <c r="AM85" s="1703"/>
      <c r="AN85" s="1713"/>
    </row>
    <row r="86" spans="1:41" ht="50.1" customHeight="1" x14ac:dyDescent="0.7">
      <c r="A86" s="584">
        <v>73</v>
      </c>
      <c r="B86" s="608">
        <v>5</v>
      </c>
      <c r="C86" s="609" t="s">
        <v>167</v>
      </c>
      <c r="D86" s="584"/>
      <c r="E86" s="584"/>
      <c r="F86" s="1626" t="s">
        <v>188</v>
      </c>
      <c r="G86" s="1626"/>
      <c r="H86" s="1626"/>
      <c r="I86" s="1626"/>
      <c r="J86" s="1626"/>
      <c r="K86" s="1626"/>
      <c r="L86" s="1626"/>
      <c r="M86" s="1626"/>
      <c r="N86" s="1626"/>
      <c r="S86" s="1626" t="str">
        <f>IF(F86&lt;&gt;"",F86,"")</f>
        <v>ARTÍSTICO</v>
      </c>
      <c r="T86" s="1626"/>
      <c r="U86" s="1626"/>
      <c r="V86" s="1626"/>
      <c r="W86" s="1626"/>
      <c r="X86" s="1626"/>
      <c r="Y86" s="1626"/>
      <c r="Z86" s="1626"/>
      <c r="AA86" s="1626"/>
      <c r="AM86" s="1703"/>
      <c r="AN86" s="1713"/>
    </row>
    <row r="87" spans="1:41" ht="50.1" customHeight="1" x14ac:dyDescent="0.7">
      <c r="A87" s="584">
        <v>74</v>
      </c>
      <c r="B87" s="608" t="s">
        <v>217</v>
      </c>
      <c r="C87" s="609" t="s">
        <v>169</v>
      </c>
      <c r="D87" s="584"/>
      <c r="E87" s="584"/>
      <c r="F87" s="1423" t="s">
        <v>68</v>
      </c>
      <c r="G87" s="1423"/>
      <c r="H87" s="1423"/>
      <c r="I87" s="1423"/>
      <c r="J87" s="1423"/>
      <c r="K87" s="1423"/>
      <c r="L87" s="1296" t="s">
        <v>171</v>
      </c>
      <c r="M87" s="1296" t="s">
        <v>172</v>
      </c>
      <c r="N87" s="1296" t="s">
        <v>129</v>
      </c>
      <c r="O87" s="1126" t="s">
        <v>651</v>
      </c>
      <c r="P87" s="1127" t="s">
        <v>652</v>
      </c>
      <c r="Q87" s="1127" t="s">
        <v>666</v>
      </c>
      <c r="S87" s="1423" t="str">
        <f>IF(F87&lt;&gt;"",F87,"")</f>
        <v>ARTISTICO</v>
      </c>
      <c r="T87" s="1423"/>
      <c r="U87" s="1423"/>
      <c r="V87" s="1423"/>
      <c r="W87" s="1423"/>
      <c r="X87" s="1423"/>
      <c r="Y87" s="1423"/>
      <c r="Z87" s="1423"/>
      <c r="AA87" s="1423"/>
      <c r="AB87" s="616" t="s">
        <v>173</v>
      </c>
      <c r="AC87" s="617" t="s">
        <v>130</v>
      </c>
      <c r="AM87" s="1703"/>
      <c r="AN87" s="1713"/>
    </row>
    <row r="88" spans="1:41" ht="150" customHeight="1" x14ac:dyDescent="0.7">
      <c r="A88" s="584">
        <v>75</v>
      </c>
      <c r="B88" s="608" t="s">
        <v>218</v>
      </c>
      <c r="C88" s="609" t="s">
        <v>175</v>
      </c>
      <c r="D88" s="584" t="s">
        <v>182</v>
      </c>
      <c r="E88" s="1218" t="s">
        <v>331</v>
      </c>
      <c r="F88" s="940" t="s">
        <v>418</v>
      </c>
      <c r="G88" s="868" t="s">
        <v>1487</v>
      </c>
      <c r="H88" s="830">
        <v>1</v>
      </c>
      <c r="I88" s="830">
        <v>1</v>
      </c>
      <c r="J88" s="1171">
        <v>45000</v>
      </c>
      <c r="K88" s="621">
        <f>IF(F88&lt;&gt;"",H88*I88*J88,"")</f>
        <v>45000</v>
      </c>
      <c r="L88" s="621">
        <f>IF(K88&lt;&gt;"",IF(D88="INTERNO",0,K88*$L$14),"")</f>
        <v>3600</v>
      </c>
      <c r="M88" s="621">
        <f>IF(K88&lt;&gt;"",IF(E88="FAT.OGGI",SUM(K88:L88)*(1/(1-$M$14)-1),L88*(1/(1-$M$14)-1)),0)</f>
        <v>754.66311842264395</v>
      </c>
      <c r="N88" s="621">
        <f>SUM(K88:M88)</f>
        <v>49354.663118422643</v>
      </c>
      <c r="O88" s="1131" t="s">
        <v>653</v>
      </c>
      <c r="P88" s="1132" t="s">
        <v>623</v>
      </c>
      <c r="Q88" s="1233" t="s">
        <v>668</v>
      </c>
      <c r="S88" s="625">
        <f t="shared" ref="S88:T90" si="51">IF(H88&lt;&gt;"",H88,"")</f>
        <v>1</v>
      </c>
      <c r="T88" s="625">
        <f t="shared" si="51"/>
        <v>1</v>
      </c>
      <c r="U88" s="626">
        <v>45000</v>
      </c>
      <c r="V88" s="626">
        <v>0</v>
      </c>
      <c r="W88" s="627">
        <f>IF(S88&lt;&gt;"",K88-V88,"")</f>
        <v>45000</v>
      </c>
      <c r="X88" s="1134">
        <f>IF(S88&lt;&gt;"",0%,"")</f>
        <v>0</v>
      </c>
      <c r="Y88" s="629">
        <f>IF(S88&lt;&gt;"",X88*W88,"")</f>
        <v>0</v>
      </c>
      <c r="Z88" s="629">
        <f>IF(S88&lt;&gt;"",Y88+V88,"")</f>
        <v>0</v>
      </c>
      <c r="AA88" s="629">
        <f t="shared" ref="AA88:AA93" si="52">IF(S88&lt;&gt;"",Z88+M88,"")</f>
        <v>754.66311842264395</v>
      </c>
      <c r="AB88" s="631">
        <f>IF(S88&lt;&gt;"", IFERROR(W88/K88, 0), 0)</f>
        <v>1</v>
      </c>
      <c r="AC88" s="632">
        <f>V88/$V$92</f>
        <v>0</v>
      </c>
      <c r="AM88" s="1703">
        <f t="shared" si="50"/>
        <v>0</v>
      </c>
      <c r="AN88" s="1713"/>
    </row>
    <row r="89" spans="1:41" ht="150" customHeight="1" x14ac:dyDescent="0.7">
      <c r="A89" s="646">
        <v>76</v>
      </c>
      <c r="B89" s="608" t="s">
        <v>219</v>
      </c>
      <c r="C89" s="647" t="s">
        <v>175</v>
      </c>
      <c r="D89" s="584" t="s">
        <v>182</v>
      </c>
      <c r="E89" s="1218" t="s">
        <v>331</v>
      </c>
      <c r="F89" s="940" t="s">
        <v>579</v>
      </c>
      <c r="G89" s="868" t="s">
        <v>1488</v>
      </c>
      <c r="H89" s="1204">
        <v>1</v>
      </c>
      <c r="I89" s="1204">
        <v>1</v>
      </c>
      <c r="J89" s="1205">
        <v>41250</v>
      </c>
      <c r="K89" s="621">
        <f>IF(F89&lt;&gt;"",H89*I89*J89,"")</f>
        <v>41250</v>
      </c>
      <c r="L89" s="621">
        <f>IF(K89&lt;&gt;"",IF(D89="INTERNO",0,K89*$L$14),"")</f>
        <v>3300</v>
      </c>
      <c r="M89" s="621">
        <f>IF(K89&lt;&gt;"",IF(E89="FAT.OGGI",SUM(K89:L89)*(1/(1-$M$14)-1),L89*(1/(1-$M$14)-1)),0)</f>
        <v>691.77452522075703</v>
      </c>
      <c r="N89" s="695">
        <f>SUM(K89:M89)</f>
        <v>45241.774525220761</v>
      </c>
      <c r="O89" s="1131" t="s">
        <v>653</v>
      </c>
      <c r="P89" s="1132" t="s">
        <v>623</v>
      </c>
      <c r="Q89" s="1318" t="s">
        <v>633</v>
      </c>
      <c r="S89" s="625">
        <f t="shared" si="51"/>
        <v>1</v>
      </c>
      <c r="T89" s="625">
        <f t="shared" si="51"/>
        <v>1</v>
      </c>
      <c r="U89" s="626">
        <v>33700</v>
      </c>
      <c r="V89" s="626">
        <v>27000</v>
      </c>
      <c r="W89" s="627">
        <f>IF(S89&lt;&gt;"",K89-V89,"")</f>
        <v>14250</v>
      </c>
      <c r="X89" s="1134">
        <f>IF(S89&lt;&gt;"",0%,"")</f>
        <v>0</v>
      </c>
      <c r="Y89" s="629">
        <f>IF(S89&lt;&gt;"",X89*W89,"")</f>
        <v>0</v>
      </c>
      <c r="Z89" s="629">
        <f>IF(S89&lt;&gt;"",Y89+V89,"")</f>
        <v>27000</v>
      </c>
      <c r="AA89" s="629">
        <f t="shared" si="52"/>
        <v>27691.774525220757</v>
      </c>
      <c r="AB89" s="631">
        <f>IF(S89&lt;&gt;"", IFERROR(W89/K89, 0), 0)</f>
        <v>0.34545454545454546</v>
      </c>
      <c r="AC89" s="632">
        <f>V89/$V$92</f>
        <v>1</v>
      </c>
      <c r="AM89" s="1703">
        <f t="shared" si="50"/>
        <v>0</v>
      </c>
      <c r="AN89" s="1713">
        <v>27000</v>
      </c>
      <c r="AO89" s="1709" t="s">
        <v>1647</v>
      </c>
    </row>
    <row r="90" spans="1:41" ht="150" customHeight="1" x14ac:dyDescent="0.7">
      <c r="A90" s="584">
        <v>77</v>
      </c>
      <c r="B90" s="608" t="s">
        <v>805</v>
      </c>
      <c r="C90" s="609" t="s">
        <v>175</v>
      </c>
      <c r="D90" s="584" t="s">
        <v>182</v>
      </c>
      <c r="E90" s="760" t="s">
        <v>179</v>
      </c>
      <c r="F90" s="838" t="s">
        <v>824</v>
      </c>
      <c r="G90" s="868" t="s">
        <v>1426</v>
      </c>
      <c r="H90" s="830">
        <v>1</v>
      </c>
      <c r="I90" s="830">
        <v>1</v>
      </c>
      <c r="J90" s="1171">
        <v>27302.47</v>
      </c>
      <c r="K90" s="695">
        <f>IF(F90&lt;&gt;"",H90*I90*J90,"")</f>
        <v>27302.47</v>
      </c>
      <c r="L90" s="695">
        <f>IF(K90&lt;&gt;"",IF(D90="INTERNO",0,K90*$L$14),"")</f>
        <v>2184.1976</v>
      </c>
      <c r="M90" s="1319">
        <f>IF(K90&lt;&gt;"",IF(E90="FAT.OGGI",SUM(K90:L90)*(1/(1-$M$14)-1),L90*(1/(1-$M$14)-1)),0)</f>
        <v>6181.2501452522056</v>
      </c>
      <c r="N90" s="695">
        <f>SUM(K90:M90)</f>
        <v>35667.917745252205</v>
      </c>
      <c r="O90" s="1196"/>
      <c r="P90" s="1136" t="s">
        <v>974</v>
      </c>
      <c r="Q90" s="1136" t="s">
        <v>1013</v>
      </c>
      <c r="R90" s="1117"/>
      <c r="S90" s="625">
        <f t="shared" si="51"/>
        <v>1</v>
      </c>
      <c r="T90" s="625">
        <v>0</v>
      </c>
      <c r="U90" s="1220">
        <v>20615.490000000002</v>
      </c>
      <c r="V90" s="626">
        <f>IF(S90&lt;&gt;"",S90*T90*U90,"")</f>
        <v>0</v>
      </c>
      <c r="W90" s="627">
        <f>IF(S90&lt;&gt;"",K90-V90,"")</f>
        <v>27302.47</v>
      </c>
      <c r="X90" s="1134">
        <f>IF(S90&lt;&gt;"",0%,"")</f>
        <v>0</v>
      </c>
      <c r="Y90" s="629">
        <f>IF(S90&lt;&gt;"",X90*W90,"")</f>
        <v>0</v>
      </c>
      <c r="Z90" s="629">
        <f>IF(S90&lt;&gt;"",Y90+V90,"")</f>
        <v>0</v>
      </c>
      <c r="AA90" s="629">
        <f t="shared" si="52"/>
        <v>6181.2501452522056</v>
      </c>
      <c r="AB90" s="631">
        <f>IF(S90&lt;&gt;"", IFERROR(W90/K90, 0), 0)</f>
        <v>1</v>
      </c>
      <c r="AC90" s="632">
        <f>V90/$V$92</f>
        <v>0</v>
      </c>
      <c r="AM90" s="1703">
        <f t="shared" si="50"/>
        <v>0</v>
      </c>
      <c r="AN90" s="1713"/>
    </row>
    <row r="91" spans="1:41" ht="150" customHeight="1" x14ac:dyDescent="0.7">
      <c r="A91" s="584">
        <v>78</v>
      </c>
      <c r="B91" s="608" t="s">
        <v>826</v>
      </c>
      <c r="C91" s="609" t="s">
        <v>175</v>
      </c>
      <c r="D91" s="584" t="s">
        <v>182</v>
      </c>
      <c r="E91" s="760" t="s">
        <v>179</v>
      </c>
      <c r="F91" s="838" t="s">
        <v>825</v>
      </c>
      <c r="G91" s="868" t="s">
        <v>1427</v>
      </c>
      <c r="H91" s="830">
        <v>1</v>
      </c>
      <c r="I91" s="830">
        <v>1</v>
      </c>
      <c r="J91" s="1171">
        <v>11888</v>
      </c>
      <c r="K91" s="695">
        <f>IF(F91&lt;&gt;"",H91*I91*J91,"")</f>
        <v>11888</v>
      </c>
      <c r="L91" s="695">
        <f>IF(K91&lt;&gt;"",IF(D91="INTERNO",0,K91*$L$14),"")</f>
        <v>951.04</v>
      </c>
      <c r="M91" s="1319">
        <f>IF(K91&lt;&gt;"",IF(E91="FAT.OGGI",SUM(K91:L91)*(1/(1-$M$14)-1),L91*(1/(1-$M$14)-1)),0)</f>
        <v>2691.4305455425178</v>
      </c>
      <c r="N91" s="695">
        <f>SUM(K91:M91)</f>
        <v>15530.470545542519</v>
      </c>
      <c r="O91" s="1196"/>
      <c r="P91" s="1136" t="s">
        <v>974</v>
      </c>
      <c r="Q91" s="1136" t="s">
        <v>1013</v>
      </c>
      <c r="R91" s="1117"/>
      <c r="S91" s="625">
        <f>IF(H91&lt;&gt;"",H91,"")</f>
        <v>1</v>
      </c>
      <c r="T91" s="625">
        <f>IF(I91&lt;&gt;"",I91,"")</f>
        <v>1</v>
      </c>
      <c r="U91" s="1220">
        <v>0</v>
      </c>
      <c r="V91" s="626">
        <f>IF(S91&lt;&gt;"",S91*T91*U91,"")</f>
        <v>0</v>
      </c>
      <c r="W91" s="627">
        <f>IF(S91&lt;&gt;"",K91-V91,"")</f>
        <v>11888</v>
      </c>
      <c r="X91" s="1134">
        <f>IF(S91&lt;&gt;"",0%,"")</f>
        <v>0</v>
      </c>
      <c r="Y91" s="629">
        <f>IF(S91&lt;&gt;"",X91*W91,"")</f>
        <v>0</v>
      </c>
      <c r="Z91" s="629">
        <f>IF(S91&lt;&gt;"",Y91+V91,"")</f>
        <v>0</v>
      </c>
      <c r="AA91" s="629">
        <f>IF(S91&lt;&gt;"",Z91+M91,"")</f>
        <v>2691.4305455425178</v>
      </c>
      <c r="AB91" s="631">
        <f>IF(S91&lt;&gt;"", IFERROR(W91/K91, 0), 0)</f>
        <v>1</v>
      </c>
      <c r="AC91" s="632">
        <f>V91/$V$92</f>
        <v>0</v>
      </c>
      <c r="AM91" s="1703">
        <f t="shared" si="50"/>
        <v>0</v>
      </c>
      <c r="AN91" s="1713"/>
    </row>
    <row r="92" spans="1:41" ht="50.1" customHeight="1" x14ac:dyDescent="0.7">
      <c r="A92" s="633">
        <v>80</v>
      </c>
      <c r="B92" s="608"/>
      <c r="C92" s="634" t="s">
        <v>184</v>
      </c>
      <c r="D92" s="633"/>
      <c r="E92" s="633"/>
      <c r="F92" s="1423" t="s">
        <v>823</v>
      </c>
      <c r="G92" s="1423"/>
      <c r="H92" s="1423"/>
      <c r="I92" s="1423"/>
      <c r="J92" s="1423"/>
      <c r="K92" s="1314">
        <f>SUM(K88:K91)</f>
        <v>125440.47</v>
      </c>
      <c r="L92" s="1314">
        <f>SUM(L88:L91)</f>
        <v>10035.2376</v>
      </c>
      <c r="M92" s="1314">
        <f>SUM(M88:M91)</f>
        <v>10319.118334438124</v>
      </c>
      <c r="N92" s="1314">
        <f>SUM(N88:N91)</f>
        <v>145794.82593443812</v>
      </c>
      <c r="S92" s="1625">
        <f>SUM(S88:S91)</f>
        <v>4</v>
      </c>
      <c r="T92" s="1423"/>
      <c r="U92" s="1423"/>
      <c r="V92" s="1314">
        <f>SUM(V88:V89)</f>
        <v>27000</v>
      </c>
      <c r="W92" s="1176">
        <f>SUM(W88:W89)</f>
        <v>59250</v>
      </c>
      <c r="X92" s="1312">
        <f>SUM(X88:X91)</f>
        <v>0</v>
      </c>
      <c r="Y92" s="1178"/>
      <c r="Z92" s="1179">
        <f>SUM(Z88:Z89)</f>
        <v>27000</v>
      </c>
      <c r="AA92" s="891">
        <f t="shared" si="52"/>
        <v>37319.118334438128</v>
      </c>
      <c r="AM92" s="1703"/>
      <c r="AN92" s="1713"/>
    </row>
    <row r="93" spans="1:41" ht="50.1" customHeight="1" x14ac:dyDescent="0.7">
      <c r="A93" s="584">
        <v>81</v>
      </c>
      <c r="B93" s="608"/>
      <c r="C93" s="609" t="s">
        <v>183</v>
      </c>
      <c r="D93" s="584"/>
      <c r="E93" s="584"/>
      <c r="F93" s="1623" t="s">
        <v>190</v>
      </c>
      <c r="G93" s="1623"/>
      <c r="H93" s="1623"/>
      <c r="I93" s="1623"/>
      <c r="J93" s="1623"/>
      <c r="K93" s="1311">
        <f>SUM(K88:K91)</f>
        <v>125440.47</v>
      </c>
      <c r="L93" s="1311">
        <f>SUM(L88:L91)</f>
        <v>10035.2376</v>
      </c>
      <c r="M93" s="1311">
        <f>SUM(M88:M91)</f>
        <v>10319.118334438124</v>
      </c>
      <c r="N93" s="1311">
        <f>SUM(N88:N91)</f>
        <v>145794.82593443812</v>
      </c>
      <c r="S93" s="1624">
        <f>SUM(S88:S91)</f>
        <v>4</v>
      </c>
      <c r="T93" s="1623"/>
      <c r="U93" s="1623"/>
      <c r="V93" s="1311">
        <f>SUM(V88:V89)</f>
        <v>27000</v>
      </c>
      <c r="W93" s="1176">
        <f>SUM(W88:W89)</f>
        <v>59250</v>
      </c>
      <c r="X93" s="1312">
        <f>SUM(X88:X91)</f>
        <v>0</v>
      </c>
      <c r="Y93" s="1178"/>
      <c r="Z93" s="1179">
        <f>SUM(Z88:Z89)</f>
        <v>27000</v>
      </c>
      <c r="AA93" s="891">
        <f t="shared" si="52"/>
        <v>37319.118334438128</v>
      </c>
      <c r="AM93" s="1703"/>
      <c r="AN93" s="1713"/>
    </row>
    <row r="94" spans="1:41" ht="50.1" customHeight="1" x14ac:dyDescent="0.7">
      <c r="A94" s="584">
        <v>82</v>
      </c>
      <c r="B94" s="608">
        <v>6</v>
      </c>
      <c r="C94" s="609" t="s">
        <v>167</v>
      </c>
      <c r="D94" s="584"/>
      <c r="E94" s="584"/>
      <c r="F94" s="1626" t="s">
        <v>422</v>
      </c>
      <c r="G94" s="1626"/>
      <c r="H94" s="1626"/>
      <c r="I94" s="1626"/>
      <c r="J94" s="1626"/>
      <c r="K94" s="1626"/>
      <c r="L94" s="1626"/>
      <c r="M94" s="1626"/>
      <c r="N94" s="1626"/>
      <c r="S94" s="1626" t="str">
        <f>IF(F94&lt;&gt;"",F94,"")</f>
        <v>TÉCNICA</v>
      </c>
      <c r="T94" s="1626"/>
      <c r="U94" s="1626"/>
      <c r="V94" s="1626"/>
      <c r="W94" s="1626"/>
      <c r="X94" s="1626"/>
      <c r="Y94" s="1626"/>
      <c r="Z94" s="1626"/>
      <c r="AA94" s="1626"/>
      <c r="AM94" s="1703"/>
      <c r="AN94" s="1713"/>
    </row>
    <row r="95" spans="1:41" ht="50.1" customHeight="1" x14ac:dyDescent="0.7">
      <c r="A95" s="584">
        <v>83</v>
      </c>
      <c r="B95" s="608" t="s">
        <v>227</v>
      </c>
      <c r="C95" s="609" t="s">
        <v>169</v>
      </c>
      <c r="D95" s="584"/>
      <c r="E95" s="584"/>
      <c r="F95" s="1423" t="s">
        <v>239</v>
      </c>
      <c r="G95" s="1423"/>
      <c r="H95" s="1423"/>
      <c r="I95" s="1423"/>
      <c r="J95" s="1423"/>
      <c r="K95" s="1423"/>
      <c r="L95" s="1296" t="s">
        <v>171</v>
      </c>
      <c r="M95" s="1296" t="s">
        <v>172</v>
      </c>
      <c r="N95" s="1296" t="s">
        <v>129</v>
      </c>
      <c r="O95" s="1126" t="s">
        <v>651</v>
      </c>
      <c r="P95" s="1127" t="s">
        <v>652</v>
      </c>
      <c r="Q95" s="1127" t="s">
        <v>666</v>
      </c>
      <c r="S95" s="1423" t="str">
        <f>IF(F95&lt;&gt;"",F95,"")</f>
        <v>Serviços e materiais de custo único para todas as praças</v>
      </c>
      <c r="T95" s="1423"/>
      <c r="U95" s="1423"/>
      <c r="V95" s="1423"/>
      <c r="W95" s="1423"/>
      <c r="X95" s="1423"/>
      <c r="Y95" s="1423"/>
      <c r="Z95" s="1423"/>
      <c r="AA95" s="1423"/>
      <c r="AB95" s="616" t="s">
        <v>173</v>
      </c>
      <c r="AC95" s="617" t="s">
        <v>130</v>
      </c>
      <c r="AM95" s="1703"/>
      <c r="AN95" s="1713"/>
    </row>
    <row r="96" spans="1:41" ht="150" customHeight="1" x14ac:dyDescent="0.7">
      <c r="A96" s="584">
        <v>84</v>
      </c>
      <c r="B96" s="608" t="s">
        <v>228</v>
      </c>
      <c r="C96" s="609" t="s">
        <v>175</v>
      </c>
      <c r="D96" s="584" t="s">
        <v>182</v>
      </c>
      <c r="E96" s="1218" t="s">
        <v>331</v>
      </c>
      <c r="F96" s="940" t="s">
        <v>423</v>
      </c>
      <c r="G96" s="868" t="s">
        <v>1428</v>
      </c>
      <c r="H96" s="951">
        <v>1</v>
      </c>
      <c r="I96" s="951">
        <v>1</v>
      </c>
      <c r="J96" s="1075">
        <v>13000</v>
      </c>
      <c r="K96" s="621">
        <f t="shared" ref="K96:K106" si="53">IF(F96&lt;&gt;"",H96*I96*J96,"")</f>
        <v>13000</v>
      </c>
      <c r="L96" s="621">
        <f t="shared" ref="L96:L106" si="54">IF(K96&lt;&gt;"",IF(D96="INTERNO",0,K96*$L$14),"")</f>
        <v>1040</v>
      </c>
      <c r="M96" s="621">
        <f>IF(K96&lt;&gt;"",IF(E96="FAT.OGGI",SUM(K96:L96)*(1/(1-$M$14)-1),L96*(1/(1-$M$14)-1)),"")</f>
        <v>218.01378976654161</v>
      </c>
      <c r="N96" s="621">
        <f t="shared" ref="N96:N106" si="55">SUM(K96:M96)</f>
        <v>14258.013789766541</v>
      </c>
      <c r="O96" s="1131" t="s">
        <v>654</v>
      </c>
      <c r="P96" s="1136" t="s">
        <v>974</v>
      </c>
      <c r="Q96" s="1233"/>
      <c r="S96" s="625">
        <f t="shared" ref="S96:S106" si="56">IF(H96&lt;&gt;"",H96,"")</f>
        <v>1</v>
      </c>
      <c r="T96" s="625">
        <v>0</v>
      </c>
      <c r="U96" s="626">
        <v>12980</v>
      </c>
      <c r="V96" s="626">
        <f t="shared" ref="V96:V106" si="57">IF(S96&lt;&gt;"",S96*T96*U96,"")</f>
        <v>0</v>
      </c>
      <c r="W96" s="627">
        <f t="shared" ref="W96:W106" si="58">IF(S96&lt;&gt;"",K96-V96,"")</f>
        <v>13000</v>
      </c>
      <c r="X96" s="1134">
        <f t="shared" ref="X96:X106" si="59">IF(S96&lt;&gt;"",0%,"")</f>
        <v>0</v>
      </c>
      <c r="Y96" s="629">
        <f t="shared" ref="Y96:Y106" si="60">IF(S96&lt;&gt;"",X96*W96,"")</f>
        <v>0</v>
      </c>
      <c r="Z96" s="629">
        <f t="shared" ref="Z96:Z106" si="61">IF(S96&lt;&gt;"",Y96+V96,"")</f>
        <v>0</v>
      </c>
      <c r="AA96" s="629">
        <f t="shared" ref="AA96:AA108" si="62">IF(S96&lt;&gt;"",Z96+M96,"")</f>
        <v>218.01378976654161</v>
      </c>
      <c r="AB96" s="631">
        <f>IFERROR(IF(S96&lt;&gt;"",W96/K96,""),0)</f>
        <v>1</v>
      </c>
      <c r="AC96" s="632">
        <f>V96/$V$107</f>
        <v>0</v>
      </c>
      <c r="AM96" s="1703">
        <f t="shared" si="50"/>
        <v>0</v>
      </c>
      <c r="AN96" s="1713"/>
    </row>
    <row r="97" spans="1:41" ht="150" customHeight="1" x14ac:dyDescent="0.7">
      <c r="A97" s="584">
        <v>85</v>
      </c>
      <c r="B97" s="608" t="s">
        <v>229</v>
      </c>
      <c r="C97" s="609" t="s">
        <v>175</v>
      </c>
      <c r="D97" s="584" t="s">
        <v>182</v>
      </c>
      <c r="E97" s="1218" t="s">
        <v>331</v>
      </c>
      <c r="F97" s="940" t="s">
        <v>425</v>
      </c>
      <c r="G97" s="886" t="s">
        <v>1429</v>
      </c>
      <c r="H97" s="830">
        <v>1</v>
      </c>
      <c r="I97" s="830">
        <v>1</v>
      </c>
      <c r="J97" s="1171">
        <v>13600</v>
      </c>
      <c r="K97" s="621">
        <f t="shared" si="53"/>
        <v>13600</v>
      </c>
      <c r="L97" s="621">
        <f t="shared" si="54"/>
        <v>1088</v>
      </c>
      <c r="M97" s="621">
        <f t="shared" ref="M97:M106" si="63">IF(K97&lt;&gt;"",IF(E97="FAT.OGGI",SUM(K97:L97)*(1/(1-$M$14)-1),L97*(1/(1-$M$14)-1)),0)</f>
        <v>228.07596467884352</v>
      </c>
      <c r="N97" s="621">
        <f t="shared" si="55"/>
        <v>14916.075964678843</v>
      </c>
      <c r="O97" s="1131" t="s">
        <v>654</v>
      </c>
      <c r="P97" s="1136" t="s">
        <v>974</v>
      </c>
      <c r="Q97" s="1133"/>
      <c r="S97" s="625">
        <f t="shared" si="56"/>
        <v>1</v>
      </c>
      <c r="T97" s="625">
        <v>0</v>
      </c>
      <c r="U97" s="626">
        <v>9000</v>
      </c>
      <c r="V97" s="626">
        <f t="shared" si="57"/>
        <v>0</v>
      </c>
      <c r="W97" s="627">
        <f t="shared" si="58"/>
        <v>13600</v>
      </c>
      <c r="X97" s="1134">
        <f t="shared" si="59"/>
        <v>0</v>
      </c>
      <c r="Y97" s="629">
        <f t="shared" si="60"/>
        <v>0</v>
      </c>
      <c r="Z97" s="629">
        <f t="shared" si="61"/>
        <v>0</v>
      </c>
      <c r="AA97" s="629">
        <f t="shared" si="62"/>
        <v>228.07596467884352</v>
      </c>
      <c r="AB97" s="631">
        <f>IF(S97&lt;&gt;"", IFERROR(W97/K97, 0), 0)</f>
        <v>1</v>
      </c>
      <c r="AC97" s="632">
        <f>V97/$V$107</f>
        <v>0</v>
      </c>
      <c r="AM97" s="1703">
        <f t="shared" si="50"/>
        <v>0</v>
      </c>
      <c r="AN97" s="1713"/>
    </row>
    <row r="98" spans="1:41" ht="150" customHeight="1" x14ac:dyDescent="0.7">
      <c r="A98" s="584">
        <v>86</v>
      </c>
      <c r="B98" s="608" t="s">
        <v>232</v>
      </c>
      <c r="C98" s="609" t="s">
        <v>175</v>
      </c>
      <c r="D98" s="584" t="s">
        <v>182</v>
      </c>
      <c r="E98" s="1218" t="s">
        <v>331</v>
      </c>
      <c r="F98" s="940" t="s">
        <v>426</v>
      </c>
      <c r="G98" s="886" t="s">
        <v>1489</v>
      </c>
      <c r="H98" s="1204">
        <v>1</v>
      </c>
      <c r="I98" s="1204">
        <v>1</v>
      </c>
      <c r="J98" s="1205">
        <v>46000</v>
      </c>
      <c r="K98" s="621">
        <f t="shared" si="53"/>
        <v>46000</v>
      </c>
      <c r="L98" s="621">
        <f t="shared" si="54"/>
        <v>3680</v>
      </c>
      <c r="M98" s="621">
        <f t="shared" si="63"/>
        <v>771.43340994314724</v>
      </c>
      <c r="N98" s="621">
        <f t="shared" si="55"/>
        <v>50451.433409943151</v>
      </c>
      <c r="O98" s="1131" t="s">
        <v>654</v>
      </c>
      <c r="P98" s="1136" t="s">
        <v>623</v>
      </c>
      <c r="Q98" s="1136" t="s">
        <v>1009</v>
      </c>
      <c r="S98" s="625">
        <f t="shared" si="56"/>
        <v>1</v>
      </c>
      <c r="T98" s="625">
        <v>1</v>
      </c>
      <c r="U98" s="626">
        <v>30000</v>
      </c>
      <c r="V98" s="626">
        <v>100000</v>
      </c>
      <c r="W98" s="627">
        <f t="shared" si="58"/>
        <v>-54000</v>
      </c>
      <c r="X98" s="1134">
        <f t="shared" si="59"/>
        <v>0</v>
      </c>
      <c r="Y98" s="629">
        <f t="shared" si="60"/>
        <v>0</v>
      </c>
      <c r="Z98" s="629">
        <f t="shared" si="61"/>
        <v>100000</v>
      </c>
      <c r="AA98" s="629">
        <f t="shared" si="62"/>
        <v>100771.43340994314</v>
      </c>
      <c r="AB98" s="631">
        <f>IF(S98&lt;&gt;"", IFERROR(W98/K98, 0), 0)</f>
        <v>-1.173913043478261</v>
      </c>
      <c r="AC98" s="632"/>
      <c r="AM98" s="1703">
        <f t="shared" si="50"/>
        <v>0</v>
      </c>
      <c r="AN98" s="1713">
        <v>100000</v>
      </c>
      <c r="AO98" s="1709" t="s">
        <v>1648</v>
      </c>
    </row>
    <row r="99" spans="1:41" ht="150" customHeight="1" x14ac:dyDescent="0.7">
      <c r="A99" s="584">
        <v>87</v>
      </c>
      <c r="B99" s="608" t="s">
        <v>233</v>
      </c>
      <c r="C99" s="609" t="s">
        <v>175</v>
      </c>
      <c r="D99" s="584" t="s">
        <v>182</v>
      </c>
      <c r="E99" s="1218" t="s">
        <v>331</v>
      </c>
      <c r="F99" s="1320" t="s">
        <v>591</v>
      </c>
      <c r="G99" s="1321" t="s">
        <v>1490</v>
      </c>
      <c r="H99" s="1322">
        <v>1</v>
      </c>
      <c r="I99" s="1322">
        <v>0</v>
      </c>
      <c r="J99" s="1323">
        <v>6000</v>
      </c>
      <c r="K99" s="1108">
        <f t="shared" si="53"/>
        <v>0</v>
      </c>
      <c r="L99" s="1108">
        <f t="shared" si="54"/>
        <v>0</v>
      </c>
      <c r="M99" s="1108">
        <f t="shared" si="63"/>
        <v>0</v>
      </c>
      <c r="N99" s="1108">
        <f t="shared" si="55"/>
        <v>0</v>
      </c>
      <c r="O99" s="1172" t="s">
        <v>664</v>
      </c>
      <c r="P99" s="1158" t="s">
        <v>664</v>
      </c>
      <c r="Q99" s="1233" t="s">
        <v>664</v>
      </c>
      <c r="S99" s="625">
        <f t="shared" si="56"/>
        <v>1</v>
      </c>
      <c r="T99" s="625">
        <f t="shared" ref="T99" si="64">IF(I99&lt;&gt;"",I99,"")</f>
        <v>0</v>
      </c>
      <c r="U99" s="626">
        <v>0</v>
      </c>
      <c r="V99" s="626">
        <f t="shared" si="57"/>
        <v>0</v>
      </c>
      <c r="W99" s="627">
        <f t="shared" si="58"/>
        <v>0</v>
      </c>
      <c r="X99" s="1134">
        <f t="shared" si="59"/>
        <v>0</v>
      </c>
      <c r="Y99" s="629">
        <f t="shared" si="60"/>
        <v>0</v>
      </c>
      <c r="Z99" s="629">
        <f t="shared" si="61"/>
        <v>0</v>
      </c>
      <c r="AA99" s="629">
        <f t="shared" si="62"/>
        <v>0</v>
      </c>
      <c r="AB99" s="631">
        <f>IF(S99&lt;&gt;"", IFERROR(W99/K99, 0), 0)</f>
        <v>0</v>
      </c>
      <c r="AC99" s="632"/>
      <c r="AM99" s="1703">
        <f t="shared" si="50"/>
        <v>0</v>
      </c>
      <c r="AN99" s="1713"/>
    </row>
    <row r="100" spans="1:41" ht="150" customHeight="1" x14ac:dyDescent="0.7">
      <c r="A100" s="646">
        <v>88</v>
      </c>
      <c r="B100" s="608" t="s">
        <v>234</v>
      </c>
      <c r="C100" s="647" t="s">
        <v>175</v>
      </c>
      <c r="D100" s="584" t="s">
        <v>182</v>
      </c>
      <c r="E100" s="1218" t="s">
        <v>331</v>
      </c>
      <c r="F100" s="618" t="s">
        <v>619</v>
      </c>
      <c r="G100" s="886" t="s">
        <v>1491</v>
      </c>
      <c r="H100" s="1204">
        <v>1</v>
      </c>
      <c r="I100" s="1204">
        <v>5</v>
      </c>
      <c r="J100" s="1205">
        <v>1100</v>
      </c>
      <c r="K100" s="621">
        <f t="shared" si="53"/>
        <v>5500</v>
      </c>
      <c r="L100" s="621">
        <f t="shared" si="54"/>
        <v>440</v>
      </c>
      <c r="M100" s="621">
        <f t="shared" si="63"/>
        <v>92.236603362767596</v>
      </c>
      <c r="N100" s="621">
        <f t="shared" si="55"/>
        <v>6032.2366033627677</v>
      </c>
      <c r="O100" s="1131" t="s">
        <v>654</v>
      </c>
      <c r="P100" s="1136" t="s">
        <v>623</v>
      </c>
      <c r="Q100" s="1136" t="s">
        <v>956</v>
      </c>
      <c r="S100" s="625">
        <f t="shared" si="56"/>
        <v>1</v>
      </c>
      <c r="T100" s="625">
        <v>1</v>
      </c>
      <c r="U100" s="626">
        <v>4950</v>
      </c>
      <c r="V100" s="626">
        <v>10450</v>
      </c>
      <c r="W100" s="627">
        <f t="shared" si="58"/>
        <v>-4950</v>
      </c>
      <c r="X100" s="1134">
        <f t="shared" si="59"/>
        <v>0</v>
      </c>
      <c r="Y100" s="629">
        <f t="shared" si="60"/>
        <v>0</v>
      </c>
      <c r="Z100" s="629">
        <f t="shared" si="61"/>
        <v>10450</v>
      </c>
      <c r="AA100" s="629">
        <f t="shared" si="62"/>
        <v>10542.236603362768</v>
      </c>
      <c r="AB100" s="631">
        <f>IF(S100&lt;&gt;"", IFERROR(W100/K100, 0), 0)</f>
        <v>-0.9</v>
      </c>
      <c r="AC100" s="632"/>
      <c r="AM100" s="1703">
        <f t="shared" si="50"/>
        <v>0</v>
      </c>
      <c r="AN100" s="1713">
        <v>10450</v>
      </c>
      <c r="AO100" s="1709" t="s">
        <v>1595</v>
      </c>
    </row>
    <row r="101" spans="1:41" ht="150" customHeight="1" x14ac:dyDescent="0.7">
      <c r="A101" s="633">
        <v>89</v>
      </c>
      <c r="B101" s="608" t="s">
        <v>237</v>
      </c>
      <c r="C101" s="634" t="s">
        <v>175</v>
      </c>
      <c r="D101" s="633" t="s">
        <v>182</v>
      </c>
      <c r="E101" s="1218" t="s">
        <v>331</v>
      </c>
      <c r="F101" s="940" t="s">
        <v>424</v>
      </c>
      <c r="G101" s="1313" t="s">
        <v>1492</v>
      </c>
      <c r="H101" s="830">
        <v>1</v>
      </c>
      <c r="I101" s="830">
        <v>1</v>
      </c>
      <c r="J101" s="1171">
        <v>3000</v>
      </c>
      <c r="K101" s="621">
        <f t="shared" si="53"/>
        <v>3000</v>
      </c>
      <c r="L101" s="621">
        <f t="shared" si="54"/>
        <v>240</v>
      </c>
      <c r="M101" s="621">
        <f t="shared" si="63"/>
        <v>50.3108745615096</v>
      </c>
      <c r="N101" s="621">
        <f t="shared" si="55"/>
        <v>3290.3108745615095</v>
      </c>
      <c r="O101" s="1131" t="s">
        <v>654</v>
      </c>
      <c r="P101" s="1136" t="s">
        <v>974</v>
      </c>
      <c r="Q101" s="1233"/>
      <c r="S101" s="625">
        <f t="shared" si="56"/>
        <v>1</v>
      </c>
      <c r="T101" s="625">
        <v>0</v>
      </c>
      <c r="U101" s="626">
        <v>1500</v>
      </c>
      <c r="V101" s="626">
        <f t="shared" si="57"/>
        <v>0</v>
      </c>
      <c r="W101" s="627">
        <f t="shared" si="58"/>
        <v>3000</v>
      </c>
      <c r="X101" s="1134">
        <f t="shared" si="59"/>
        <v>0</v>
      </c>
      <c r="Y101" s="629">
        <f t="shared" si="60"/>
        <v>0</v>
      </c>
      <c r="Z101" s="629">
        <f t="shared" si="61"/>
        <v>0</v>
      </c>
      <c r="AA101" s="629">
        <f t="shared" si="62"/>
        <v>50.3108745615096</v>
      </c>
      <c r="AB101" s="631">
        <f>IFERROR(IF(S101&lt;&gt;"",W101/K101,""),0)</f>
        <v>1</v>
      </c>
      <c r="AC101" s="632">
        <f t="shared" ref="AC101:AC106" si="65">V101/$V$107</f>
        <v>0</v>
      </c>
      <c r="AM101" s="1703">
        <f t="shared" si="50"/>
        <v>0</v>
      </c>
      <c r="AN101" s="1713"/>
    </row>
    <row r="102" spans="1:41" ht="150" customHeight="1" x14ac:dyDescent="0.7">
      <c r="A102" s="584">
        <v>90</v>
      </c>
      <c r="B102" s="608" t="s">
        <v>240</v>
      </c>
      <c r="C102" s="609" t="s">
        <v>175</v>
      </c>
      <c r="D102" s="584" t="s">
        <v>182</v>
      </c>
      <c r="E102" s="1218" t="s">
        <v>331</v>
      </c>
      <c r="F102" s="940" t="s">
        <v>564</v>
      </c>
      <c r="G102" s="868" t="s">
        <v>1493</v>
      </c>
      <c r="H102" s="830">
        <v>1</v>
      </c>
      <c r="I102" s="830">
        <v>1</v>
      </c>
      <c r="J102" s="1171">
        <v>14000</v>
      </c>
      <c r="K102" s="621">
        <f t="shared" si="53"/>
        <v>14000</v>
      </c>
      <c r="L102" s="621">
        <f t="shared" si="54"/>
        <v>1120</v>
      </c>
      <c r="M102" s="621">
        <f t="shared" si="63"/>
        <v>234.78408128704478</v>
      </c>
      <c r="N102" s="621">
        <f t="shared" si="55"/>
        <v>15354.784081287045</v>
      </c>
      <c r="O102" s="1131" t="s">
        <v>654</v>
      </c>
      <c r="P102" s="1136" t="s">
        <v>974</v>
      </c>
      <c r="Q102" s="1233"/>
      <c r="S102" s="625">
        <f t="shared" si="56"/>
        <v>1</v>
      </c>
      <c r="T102" s="625">
        <v>0</v>
      </c>
      <c r="U102" s="626">
        <v>9000</v>
      </c>
      <c r="V102" s="626">
        <f t="shared" si="57"/>
        <v>0</v>
      </c>
      <c r="W102" s="627">
        <f t="shared" si="58"/>
        <v>14000</v>
      </c>
      <c r="X102" s="1134">
        <f t="shared" si="59"/>
        <v>0</v>
      </c>
      <c r="Y102" s="629">
        <f t="shared" si="60"/>
        <v>0</v>
      </c>
      <c r="Z102" s="629">
        <f t="shared" si="61"/>
        <v>0</v>
      </c>
      <c r="AA102" s="629">
        <f t="shared" si="62"/>
        <v>234.78408128704478</v>
      </c>
      <c r="AB102" s="631">
        <f>IF(S102&lt;&gt;"", IFERROR(W102/K102, 0), 0)</f>
        <v>1</v>
      </c>
      <c r="AC102" s="632">
        <f t="shared" si="65"/>
        <v>0</v>
      </c>
      <c r="AM102" s="1703">
        <f t="shared" si="50"/>
        <v>0</v>
      </c>
      <c r="AN102" s="1713"/>
    </row>
    <row r="103" spans="1:41" ht="150" customHeight="1" x14ac:dyDescent="0.7">
      <c r="A103" s="584">
        <v>91</v>
      </c>
      <c r="B103" s="608" t="s">
        <v>241</v>
      </c>
      <c r="C103" s="609" t="s">
        <v>175</v>
      </c>
      <c r="D103" s="584" t="s">
        <v>182</v>
      </c>
      <c r="E103" s="1218" t="s">
        <v>331</v>
      </c>
      <c r="F103" s="618" t="s">
        <v>431</v>
      </c>
      <c r="G103" s="1234" t="s">
        <v>1494</v>
      </c>
      <c r="H103" s="1324">
        <v>1</v>
      </c>
      <c r="I103" s="702">
        <v>1</v>
      </c>
      <c r="J103" s="719">
        <v>12800</v>
      </c>
      <c r="K103" s="620">
        <f t="shared" si="53"/>
        <v>12800</v>
      </c>
      <c r="L103" s="620">
        <f t="shared" si="54"/>
        <v>1024</v>
      </c>
      <c r="M103" s="620">
        <f t="shared" si="63"/>
        <v>214.65973146244096</v>
      </c>
      <c r="N103" s="620">
        <f t="shared" si="55"/>
        <v>14038.659731462441</v>
      </c>
      <c r="O103" s="1131" t="s">
        <v>654</v>
      </c>
      <c r="P103" s="1145" t="s">
        <v>655</v>
      </c>
      <c r="Q103" s="1325" t="s">
        <v>669</v>
      </c>
      <c r="S103" s="625">
        <f t="shared" si="56"/>
        <v>1</v>
      </c>
      <c r="T103" s="625">
        <v>0</v>
      </c>
      <c r="U103" s="626">
        <v>10000</v>
      </c>
      <c r="V103" s="626">
        <f t="shared" si="57"/>
        <v>0</v>
      </c>
      <c r="W103" s="627">
        <f t="shared" si="58"/>
        <v>12800</v>
      </c>
      <c r="X103" s="1134">
        <f t="shared" si="59"/>
        <v>0</v>
      </c>
      <c r="Y103" s="629">
        <f t="shared" si="60"/>
        <v>0</v>
      </c>
      <c r="Z103" s="629">
        <f t="shared" si="61"/>
        <v>0</v>
      </c>
      <c r="AA103" s="629">
        <f t="shared" si="62"/>
        <v>214.65973146244096</v>
      </c>
      <c r="AB103" s="631">
        <f>IF(S103&lt;&gt;"", IFERROR(W103/K103, 0), 0)</f>
        <v>1</v>
      </c>
      <c r="AC103" s="632">
        <f t="shared" si="65"/>
        <v>0</v>
      </c>
      <c r="AM103" s="1703">
        <f t="shared" si="50"/>
        <v>0</v>
      </c>
      <c r="AN103" s="1713"/>
    </row>
    <row r="104" spans="1:41" ht="150" customHeight="1" x14ac:dyDescent="0.7">
      <c r="A104" s="646">
        <v>92</v>
      </c>
      <c r="B104" s="608" t="s">
        <v>242</v>
      </c>
      <c r="C104" s="647" t="s">
        <v>175</v>
      </c>
      <c r="D104" s="584" t="s">
        <v>182</v>
      </c>
      <c r="E104" s="1218" t="s">
        <v>331</v>
      </c>
      <c r="F104" s="618" t="s">
        <v>432</v>
      </c>
      <c r="G104" s="1234" t="s">
        <v>1495</v>
      </c>
      <c r="H104" s="1324">
        <v>1</v>
      </c>
      <c r="I104" s="702">
        <v>1</v>
      </c>
      <c r="J104" s="719">
        <v>18600</v>
      </c>
      <c r="K104" s="620">
        <f t="shared" si="53"/>
        <v>18600</v>
      </c>
      <c r="L104" s="620">
        <f t="shared" si="54"/>
        <v>1488</v>
      </c>
      <c r="M104" s="620">
        <f t="shared" si="63"/>
        <v>311.9274222813595</v>
      </c>
      <c r="N104" s="620">
        <f t="shared" si="55"/>
        <v>20399.927422281358</v>
      </c>
      <c r="O104" s="1131" t="s">
        <v>654</v>
      </c>
      <c r="P104" s="1145" t="s">
        <v>655</v>
      </c>
      <c r="Q104" s="1325" t="s">
        <v>669</v>
      </c>
      <c r="S104" s="625">
        <f t="shared" si="56"/>
        <v>1</v>
      </c>
      <c r="T104" s="625">
        <v>0</v>
      </c>
      <c r="U104" s="626">
        <v>16000</v>
      </c>
      <c r="V104" s="626">
        <f t="shared" si="57"/>
        <v>0</v>
      </c>
      <c r="W104" s="627">
        <f t="shared" si="58"/>
        <v>18600</v>
      </c>
      <c r="X104" s="1134">
        <f t="shared" si="59"/>
        <v>0</v>
      </c>
      <c r="Y104" s="629">
        <f t="shared" si="60"/>
        <v>0</v>
      </c>
      <c r="Z104" s="629">
        <f t="shared" si="61"/>
        <v>0</v>
      </c>
      <c r="AA104" s="629">
        <f t="shared" si="62"/>
        <v>311.9274222813595</v>
      </c>
      <c r="AB104" s="631">
        <f>IF(S104&lt;&gt;"", IFERROR(W104/K104, 0), 0)</f>
        <v>1</v>
      </c>
      <c r="AC104" s="632">
        <f t="shared" si="65"/>
        <v>0</v>
      </c>
      <c r="AM104" s="1703">
        <f t="shared" si="50"/>
        <v>0</v>
      </c>
      <c r="AN104" s="1713"/>
    </row>
    <row r="105" spans="1:41" ht="150" customHeight="1" x14ac:dyDescent="0.7">
      <c r="A105" s="633">
        <v>93</v>
      </c>
      <c r="B105" s="608" t="s">
        <v>593</v>
      </c>
      <c r="C105" s="634" t="s">
        <v>175</v>
      </c>
      <c r="D105" s="633" t="s">
        <v>182</v>
      </c>
      <c r="E105" s="1218" t="s">
        <v>331</v>
      </c>
      <c r="F105" s="618" t="s">
        <v>433</v>
      </c>
      <c r="G105" s="1234" t="s">
        <v>1496</v>
      </c>
      <c r="H105" s="702">
        <v>1</v>
      </c>
      <c r="I105" s="702">
        <v>1</v>
      </c>
      <c r="J105" s="719">
        <v>15000</v>
      </c>
      <c r="K105" s="620">
        <f t="shared" si="53"/>
        <v>15000</v>
      </c>
      <c r="L105" s="620">
        <f t="shared" si="54"/>
        <v>1200</v>
      </c>
      <c r="M105" s="620">
        <f t="shared" si="63"/>
        <v>251.55437280754799</v>
      </c>
      <c r="N105" s="620">
        <f t="shared" si="55"/>
        <v>16451.554372807546</v>
      </c>
      <c r="O105" s="1131" t="s">
        <v>654</v>
      </c>
      <c r="P105" s="1145" t="s">
        <v>655</v>
      </c>
      <c r="Q105" s="1325" t="s">
        <v>670</v>
      </c>
      <c r="S105" s="625">
        <f t="shared" si="56"/>
        <v>1</v>
      </c>
      <c r="T105" s="625">
        <v>0</v>
      </c>
      <c r="U105" s="626">
        <v>13000</v>
      </c>
      <c r="V105" s="626">
        <f t="shared" si="57"/>
        <v>0</v>
      </c>
      <c r="W105" s="627">
        <f t="shared" si="58"/>
        <v>15000</v>
      </c>
      <c r="X105" s="1134">
        <f t="shared" si="59"/>
        <v>0</v>
      </c>
      <c r="Y105" s="629">
        <f t="shared" si="60"/>
        <v>0</v>
      </c>
      <c r="Z105" s="629">
        <f t="shared" si="61"/>
        <v>0</v>
      </c>
      <c r="AA105" s="629">
        <f t="shared" si="62"/>
        <v>251.55437280754799</v>
      </c>
      <c r="AB105" s="631">
        <f>IFERROR(IF(S105&lt;&gt;"",W105/K105,""),0)</f>
        <v>1</v>
      </c>
      <c r="AC105" s="632">
        <f t="shared" si="65"/>
        <v>0</v>
      </c>
      <c r="AM105" s="1703">
        <f t="shared" si="50"/>
        <v>0</v>
      </c>
      <c r="AN105" s="1713"/>
    </row>
    <row r="106" spans="1:41" ht="150" customHeight="1" x14ac:dyDescent="0.7">
      <c r="A106" s="584">
        <v>94</v>
      </c>
      <c r="B106" s="608" t="s">
        <v>243</v>
      </c>
      <c r="C106" s="609" t="s">
        <v>175</v>
      </c>
      <c r="D106" s="584" t="s">
        <v>182</v>
      </c>
      <c r="E106" s="1218" t="s">
        <v>331</v>
      </c>
      <c r="F106" s="940" t="s">
        <v>437</v>
      </c>
      <c r="G106" s="886" t="s">
        <v>1497</v>
      </c>
      <c r="H106" s="830">
        <v>1</v>
      </c>
      <c r="I106" s="830">
        <v>1</v>
      </c>
      <c r="J106" s="1171">
        <v>12300</v>
      </c>
      <c r="K106" s="621">
        <f t="shared" si="53"/>
        <v>12300</v>
      </c>
      <c r="L106" s="621">
        <f t="shared" si="54"/>
        <v>984</v>
      </c>
      <c r="M106" s="621">
        <f t="shared" si="63"/>
        <v>206.27458570218937</v>
      </c>
      <c r="N106" s="621">
        <f t="shared" si="55"/>
        <v>13490.274585702189</v>
      </c>
      <c r="O106" s="1131" t="s">
        <v>654</v>
      </c>
      <c r="P106" s="1145" t="s">
        <v>655</v>
      </c>
      <c r="Q106" s="1325" t="s">
        <v>669</v>
      </c>
      <c r="S106" s="625">
        <f t="shared" si="56"/>
        <v>1</v>
      </c>
      <c r="T106" s="625">
        <v>0</v>
      </c>
      <c r="U106" s="626">
        <v>11000</v>
      </c>
      <c r="V106" s="626">
        <f t="shared" si="57"/>
        <v>0</v>
      </c>
      <c r="W106" s="627">
        <f t="shared" si="58"/>
        <v>12300</v>
      </c>
      <c r="X106" s="1134">
        <f t="shared" si="59"/>
        <v>0</v>
      </c>
      <c r="Y106" s="629">
        <f t="shared" si="60"/>
        <v>0</v>
      </c>
      <c r="Z106" s="629">
        <f t="shared" si="61"/>
        <v>0</v>
      </c>
      <c r="AA106" s="629">
        <f t="shared" si="62"/>
        <v>206.27458570218937</v>
      </c>
      <c r="AB106" s="631">
        <f>IF(S106&lt;&gt;"", IFERROR(W106/K106, 0), 0)</f>
        <v>1</v>
      </c>
      <c r="AC106" s="632">
        <f t="shared" si="65"/>
        <v>0</v>
      </c>
      <c r="AM106" s="1703">
        <f t="shared" si="50"/>
        <v>0</v>
      </c>
      <c r="AN106" s="1713"/>
    </row>
    <row r="107" spans="1:41" ht="50.1" customHeight="1" x14ac:dyDescent="0.7">
      <c r="A107" s="584">
        <v>95</v>
      </c>
      <c r="B107" s="608"/>
      <c r="C107" s="609" t="s">
        <v>184</v>
      </c>
      <c r="D107" s="584"/>
      <c r="E107" s="584"/>
      <c r="F107" s="1423" t="s">
        <v>440</v>
      </c>
      <c r="G107" s="1423"/>
      <c r="H107" s="1423"/>
      <c r="I107" s="1423"/>
      <c r="J107" s="1423"/>
      <c r="K107" s="1314">
        <f>SUM(K96:K106)</f>
        <v>153800</v>
      </c>
      <c r="L107" s="1314">
        <f>SUM(L96:L106)</f>
        <v>12304</v>
      </c>
      <c r="M107" s="1314">
        <f>SUM(M96:M106)</f>
        <v>2579.2708358533919</v>
      </c>
      <c r="N107" s="1314">
        <f>SUM(N96:N106)</f>
        <v>168683.27083585339</v>
      </c>
      <c r="S107" s="1625">
        <f>SUM(S96:S106)</f>
        <v>11</v>
      </c>
      <c r="T107" s="1423"/>
      <c r="U107" s="1423"/>
      <c r="V107" s="1175">
        <f>SUM(V96:V106)</f>
        <v>110450</v>
      </c>
      <c r="W107" s="1176">
        <f>SUM(W96:W106)</f>
        <v>43350</v>
      </c>
      <c r="X107" s="1312">
        <f>SUM(X96:X106)</f>
        <v>0</v>
      </c>
      <c r="Y107" s="1178"/>
      <c r="Z107" s="1179">
        <f>SUM(Z96:Z106)</f>
        <v>110450</v>
      </c>
      <c r="AA107" s="891">
        <f t="shared" si="62"/>
        <v>113029.27083585339</v>
      </c>
      <c r="AM107" s="1703"/>
      <c r="AN107" s="1713"/>
    </row>
    <row r="108" spans="1:41" ht="50.1" customHeight="1" x14ac:dyDescent="0.7">
      <c r="A108" s="584">
        <v>96</v>
      </c>
      <c r="B108" s="608"/>
      <c r="C108" s="609" t="s">
        <v>183</v>
      </c>
      <c r="D108" s="584"/>
      <c r="E108" s="584"/>
      <c r="F108" s="1623" t="s">
        <v>440</v>
      </c>
      <c r="G108" s="1623"/>
      <c r="H108" s="1623"/>
      <c r="I108" s="1623"/>
      <c r="J108" s="1623"/>
      <c r="K108" s="1311">
        <f>SUM(K96:K106)</f>
        <v>153800</v>
      </c>
      <c r="L108" s="1311">
        <f>SUM(L96:L106)</f>
        <v>12304</v>
      </c>
      <c r="M108" s="1311">
        <f>SUM(M96:M106)</f>
        <v>2579.2708358533919</v>
      </c>
      <c r="N108" s="1311">
        <f>SUM(N96:N106)</f>
        <v>168683.27083585339</v>
      </c>
      <c r="S108" s="1624">
        <f>SUM(S96:S106)</f>
        <v>11</v>
      </c>
      <c r="T108" s="1623"/>
      <c r="U108" s="1623"/>
      <c r="V108" s="1311">
        <f>SUM(V96:V106)</f>
        <v>110450</v>
      </c>
      <c r="W108" s="1176">
        <f>SUM(W96:W106)</f>
        <v>43350</v>
      </c>
      <c r="X108" s="1312">
        <f>SUM(X96:X106)</f>
        <v>0</v>
      </c>
      <c r="Y108" s="1178"/>
      <c r="Z108" s="1179">
        <f>SUM(Z96:Z106)</f>
        <v>110450</v>
      </c>
      <c r="AA108" s="891">
        <f t="shared" si="62"/>
        <v>113029.27083585339</v>
      </c>
      <c r="AM108" s="1703"/>
      <c r="AN108" s="1713"/>
    </row>
    <row r="109" spans="1:41" ht="50.1" customHeight="1" x14ac:dyDescent="0.7">
      <c r="A109" s="584">
        <v>97</v>
      </c>
      <c r="B109" s="608">
        <v>7</v>
      </c>
      <c r="C109" s="609" t="s">
        <v>167</v>
      </c>
      <c r="D109" s="584"/>
      <c r="E109" s="584"/>
      <c r="F109" s="1626" t="s">
        <v>441</v>
      </c>
      <c r="G109" s="1626"/>
      <c r="H109" s="1626"/>
      <c r="I109" s="1626"/>
      <c r="J109" s="1626"/>
      <c r="K109" s="1626"/>
      <c r="L109" s="1626"/>
      <c r="M109" s="1626"/>
      <c r="N109" s="1626"/>
      <c r="S109" s="1626" t="str">
        <f>IF(F109&lt;&gt;"",F109,"")</f>
        <v>CONTEÚDO</v>
      </c>
      <c r="T109" s="1626"/>
      <c r="U109" s="1626"/>
      <c r="V109" s="1626"/>
      <c r="W109" s="1626"/>
      <c r="X109" s="1626"/>
      <c r="Y109" s="1626"/>
      <c r="Z109" s="1626"/>
      <c r="AA109" s="1626"/>
      <c r="AM109" s="1703"/>
      <c r="AN109" s="1713"/>
    </row>
    <row r="110" spans="1:41" ht="50.1" customHeight="1" x14ac:dyDescent="0.7">
      <c r="A110" s="584">
        <v>98</v>
      </c>
      <c r="B110" s="608" t="s">
        <v>442</v>
      </c>
      <c r="C110" s="609" t="s">
        <v>169</v>
      </c>
      <c r="D110" s="584"/>
      <c r="E110" s="584"/>
      <c r="F110" s="1423" t="s">
        <v>441</v>
      </c>
      <c r="G110" s="1423"/>
      <c r="H110" s="1423"/>
      <c r="I110" s="1423"/>
      <c r="J110" s="1423"/>
      <c r="K110" s="1423"/>
      <c r="L110" s="1296" t="s">
        <v>171</v>
      </c>
      <c r="M110" s="1296" t="s">
        <v>172</v>
      </c>
      <c r="N110" s="1296" t="s">
        <v>129</v>
      </c>
      <c r="O110" s="1126" t="s">
        <v>651</v>
      </c>
      <c r="P110" s="1127" t="s">
        <v>652</v>
      </c>
      <c r="Q110" s="1127" t="s">
        <v>666</v>
      </c>
      <c r="S110" s="1423" t="str">
        <f>IF(F110&lt;&gt;"",F110,"")</f>
        <v>CONTEÚDO</v>
      </c>
      <c r="T110" s="1423"/>
      <c r="U110" s="1423"/>
      <c r="V110" s="1423"/>
      <c r="W110" s="1423"/>
      <c r="X110" s="1423"/>
      <c r="Y110" s="1423"/>
      <c r="Z110" s="1423"/>
      <c r="AA110" s="1423"/>
      <c r="AB110" s="616" t="s">
        <v>173</v>
      </c>
      <c r="AC110" s="617" t="s">
        <v>130</v>
      </c>
      <c r="AM110" s="1703"/>
      <c r="AN110" s="1713"/>
    </row>
    <row r="111" spans="1:41" ht="150" customHeight="1" x14ac:dyDescent="0.7">
      <c r="A111" s="584">
        <v>99</v>
      </c>
      <c r="B111" s="608" t="s">
        <v>443</v>
      </c>
      <c r="C111" s="609" t="s">
        <v>175</v>
      </c>
      <c r="D111" s="584" t="s">
        <v>182</v>
      </c>
      <c r="E111" s="1218" t="s">
        <v>331</v>
      </c>
      <c r="F111" s="940" t="s">
        <v>446</v>
      </c>
      <c r="G111" s="940" t="s">
        <v>1498</v>
      </c>
      <c r="H111" s="830">
        <v>1</v>
      </c>
      <c r="I111" s="830">
        <v>1</v>
      </c>
      <c r="J111" s="719">
        <v>16000</v>
      </c>
      <c r="K111" s="621">
        <f>IF(F111&lt;&gt;"",H111*I111*J111,"")</f>
        <v>16000</v>
      </c>
      <c r="L111" s="621">
        <f>IF(K111&lt;&gt;"",IF(D111="INTERNO",0,K111*$L$14),"")</f>
        <v>1280</v>
      </c>
      <c r="M111" s="621">
        <f>IF(K111&lt;&gt;"",IF(E111="FAT.OGGI",SUM(K111:L111)*(1/(1-$M$14)-1),L111*(1/(1-$M$14)-1)),0)</f>
        <v>268.3246643280512</v>
      </c>
      <c r="N111" s="621">
        <f>SUM(K111:M111)</f>
        <v>17548.324664328051</v>
      </c>
      <c r="O111" s="1172"/>
      <c r="P111" s="1158"/>
      <c r="Q111" s="1145" t="s">
        <v>1006</v>
      </c>
      <c r="S111" s="625">
        <f t="shared" ref="S111:T113" si="66">IF(H111&lt;&gt;"",H111,"")</f>
        <v>1</v>
      </c>
      <c r="T111" s="625">
        <f t="shared" si="66"/>
        <v>1</v>
      </c>
      <c r="U111" s="626">
        <v>13000</v>
      </c>
      <c r="V111" s="626">
        <v>0</v>
      </c>
      <c r="W111" s="627">
        <f>IF(S111&lt;&gt;"",K111-V111,"")</f>
        <v>16000</v>
      </c>
      <c r="X111" s="1134">
        <f>IF(S111&lt;&gt;"",0%,"")</f>
        <v>0</v>
      </c>
      <c r="Y111" s="629">
        <f>IF(S111&lt;&gt;"",X111*W111,"")</f>
        <v>0</v>
      </c>
      <c r="Z111" s="629">
        <f>IF(S111&lt;&gt;"",Y111+V111,"")</f>
        <v>0</v>
      </c>
      <c r="AA111" s="629">
        <f>IF(S111&lt;&gt;"",Z111+M111,"")</f>
        <v>268.3246643280512</v>
      </c>
      <c r="AB111" s="631">
        <f>IF(S111&lt;&gt;"", IFERROR(W111/K111, 0), 0)</f>
        <v>1</v>
      </c>
      <c r="AC111" s="632" t="e">
        <f>V111/$V$114</f>
        <v>#DIV/0!</v>
      </c>
      <c r="AM111" s="1703">
        <f t="shared" si="50"/>
        <v>0</v>
      </c>
      <c r="AN111" s="1713"/>
    </row>
    <row r="112" spans="1:41" ht="150" customHeight="1" x14ac:dyDescent="0.7">
      <c r="A112" s="584">
        <v>100</v>
      </c>
      <c r="B112" s="608" t="s">
        <v>444</v>
      </c>
      <c r="C112" s="609" t="s">
        <v>175</v>
      </c>
      <c r="D112" s="584" t="s">
        <v>182</v>
      </c>
      <c r="E112" s="1218" t="s">
        <v>331</v>
      </c>
      <c r="F112" s="940" t="s">
        <v>447</v>
      </c>
      <c r="G112" s="940" t="s">
        <v>1499</v>
      </c>
      <c r="H112" s="951">
        <v>1</v>
      </c>
      <c r="I112" s="951">
        <v>1</v>
      </c>
      <c r="J112" s="621">
        <v>17600</v>
      </c>
      <c r="K112" s="621">
        <f>IF(F112&lt;&gt;"",H112*I112*J112,"")</f>
        <v>17600</v>
      </c>
      <c r="L112" s="621">
        <f>IF(K112&lt;&gt;"",IF(D112="INTERNO",0,K112*$L$14),"")</f>
        <v>1408</v>
      </c>
      <c r="M112" s="621">
        <f>IF(K112&lt;&gt;"",IF(E112="FAT.OGGI",SUM(K112:L112)*(1/(1-$M$14)-1),L112*(1/(1-$M$14)-1)),0)</f>
        <v>295.15713076085632</v>
      </c>
      <c r="N112" s="621">
        <f>SUM(K112:M112)</f>
        <v>19303.157130760857</v>
      </c>
      <c r="O112" s="1172"/>
      <c r="P112" s="1158"/>
      <c r="Q112" s="1145" t="s">
        <v>1006</v>
      </c>
      <c r="S112" s="625">
        <f t="shared" si="66"/>
        <v>1</v>
      </c>
      <c r="T112" s="625">
        <v>0</v>
      </c>
      <c r="U112" s="626">
        <v>14000</v>
      </c>
      <c r="V112" s="626">
        <f>IF(S112&lt;&gt;"",S112*T112*U112,"")</f>
        <v>0</v>
      </c>
      <c r="W112" s="627">
        <f>IF(S112&lt;&gt;"",K112-V112,"")</f>
        <v>17600</v>
      </c>
      <c r="X112" s="1134">
        <f>IF(S112&lt;&gt;"",0%,"")</f>
        <v>0</v>
      </c>
      <c r="Y112" s="629">
        <f>IF(S112&lt;&gt;"",X112*W112,"")</f>
        <v>0</v>
      </c>
      <c r="Z112" s="629">
        <f>IF(S112&lt;&gt;"",Y112+V112,"")</f>
        <v>0</v>
      </c>
      <c r="AA112" s="629">
        <f>IF(S112&lt;&gt;"",Z112+M112,"")</f>
        <v>295.15713076085632</v>
      </c>
      <c r="AB112" s="631">
        <f>IF(S112&lt;&gt;"", IFERROR(W112/K112, 0), 0)</f>
        <v>1</v>
      </c>
      <c r="AC112" s="632" t="e">
        <f>V112/$V$114</f>
        <v>#DIV/0!</v>
      </c>
      <c r="AM112" s="1703">
        <f t="shared" si="50"/>
        <v>0</v>
      </c>
      <c r="AN112" s="1713"/>
    </row>
    <row r="113" spans="1:40" ht="150" customHeight="1" x14ac:dyDescent="0.7">
      <c r="A113" s="584">
        <v>101</v>
      </c>
      <c r="B113" s="608" t="s">
        <v>445</v>
      </c>
      <c r="C113" s="609" t="s">
        <v>175</v>
      </c>
      <c r="D113" s="584" t="s">
        <v>182</v>
      </c>
      <c r="E113" s="1218" t="s">
        <v>331</v>
      </c>
      <c r="F113" s="940" t="s">
        <v>448</v>
      </c>
      <c r="G113" s="940" t="s">
        <v>1500</v>
      </c>
      <c r="H113" s="951">
        <v>2</v>
      </c>
      <c r="I113" s="951">
        <v>2</v>
      </c>
      <c r="J113" s="621">
        <v>2800</v>
      </c>
      <c r="K113" s="621">
        <f>IF(F113&lt;&gt;"",H113*I113*J113,"")</f>
        <v>11200</v>
      </c>
      <c r="L113" s="621">
        <f>IF(K113&lt;&gt;"",IF(D113="INTERNO",0,K113*$L$14),"")</f>
        <v>896</v>
      </c>
      <c r="M113" s="621">
        <f>IF(K113&lt;&gt;"",IF(E113="FAT.OGGI",SUM(K113:L113)*(1/(1-$M$14)-1),L113*(1/(1-$M$14)-1)),0)</f>
        <v>187.82726502963584</v>
      </c>
      <c r="N113" s="621">
        <f>SUM(K113:M113)</f>
        <v>12283.827265029637</v>
      </c>
      <c r="O113" s="1172"/>
      <c r="P113" s="1136" t="s">
        <v>974</v>
      </c>
      <c r="Q113" s="1233"/>
      <c r="S113" s="625">
        <f t="shared" si="66"/>
        <v>2</v>
      </c>
      <c r="T113" s="625">
        <v>0</v>
      </c>
      <c r="U113" s="626">
        <v>2000</v>
      </c>
      <c r="V113" s="626">
        <f>IF(S113&lt;&gt;"",S113*T113*U113,"")</f>
        <v>0</v>
      </c>
      <c r="W113" s="627">
        <f>IF(S113&lt;&gt;"",K113-V113,"")</f>
        <v>11200</v>
      </c>
      <c r="X113" s="1134">
        <f>IF(S113&lt;&gt;"",0%,"")</f>
        <v>0</v>
      </c>
      <c r="Y113" s="629">
        <f>IF(S113&lt;&gt;"",X113*W113,"")</f>
        <v>0</v>
      </c>
      <c r="Z113" s="629">
        <f>IF(S113&lt;&gt;"",Y113+V113,"")</f>
        <v>0</v>
      </c>
      <c r="AA113" s="629">
        <f>IF(S113&lt;&gt;"",Z113+M113,"")</f>
        <v>187.82726502963584</v>
      </c>
      <c r="AB113" s="631">
        <f>IF(S113&lt;&gt;"", IFERROR(W113/K113, 0), 0)</f>
        <v>1</v>
      </c>
      <c r="AC113" s="632" t="e">
        <f>V113/$V$114</f>
        <v>#DIV/0!</v>
      </c>
      <c r="AM113" s="1703">
        <f t="shared" si="50"/>
        <v>0</v>
      </c>
      <c r="AN113" s="1713"/>
    </row>
    <row r="114" spans="1:40" ht="50.1" customHeight="1" x14ac:dyDescent="0.7">
      <c r="A114" s="584">
        <v>102</v>
      </c>
      <c r="B114" s="608"/>
      <c r="C114" s="609" t="s">
        <v>184</v>
      </c>
      <c r="D114" s="584"/>
      <c r="E114" s="584"/>
      <c r="F114" s="1423" t="s">
        <v>450</v>
      </c>
      <c r="G114" s="1423"/>
      <c r="H114" s="1423"/>
      <c r="I114" s="1423"/>
      <c r="J114" s="1423"/>
      <c r="K114" s="1314">
        <f>SUM(K111:K113)</f>
        <v>44800</v>
      </c>
      <c r="L114" s="1314">
        <f>SUM(L111:L113)</f>
        <v>3584</v>
      </c>
      <c r="M114" s="1314">
        <f>SUM(M111:M113)</f>
        <v>751.30906011854336</v>
      </c>
      <c r="N114" s="1314">
        <f>SUM(N111:N113)</f>
        <v>49135.309060118547</v>
      </c>
      <c r="S114" s="1625">
        <f>SUM(S111:S113)</f>
        <v>4</v>
      </c>
      <c r="T114" s="1423"/>
      <c r="U114" s="1423"/>
      <c r="V114" s="1175">
        <f>SUM(V111:V113)</f>
        <v>0</v>
      </c>
      <c r="W114" s="1176">
        <f>SUM(W111:W113)</f>
        <v>44800</v>
      </c>
      <c r="X114" s="1312">
        <f>SUM(X111:X113)</f>
        <v>0</v>
      </c>
      <c r="Y114" s="1178"/>
      <c r="Z114" s="1179">
        <f>SUM(Z111:Z113)</f>
        <v>0</v>
      </c>
      <c r="AA114" s="891">
        <f>IF(S114&lt;&gt;"",Z114+M114,"")</f>
        <v>751.30906011854336</v>
      </c>
      <c r="AM114" s="1703"/>
      <c r="AN114" s="1713"/>
    </row>
    <row r="115" spans="1:40" ht="50.1" customHeight="1" x14ac:dyDescent="0.7">
      <c r="A115" s="584">
        <v>103</v>
      </c>
      <c r="B115" s="608"/>
      <c r="C115" s="609" t="s">
        <v>183</v>
      </c>
      <c r="D115" s="584"/>
      <c r="E115" s="584"/>
      <c r="F115" s="1623" t="s">
        <v>450</v>
      </c>
      <c r="G115" s="1623"/>
      <c r="H115" s="1623"/>
      <c r="I115" s="1623"/>
      <c r="J115" s="1623"/>
      <c r="K115" s="1311">
        <f>SUM(K111:K113)</f>
        <v>44800</v>
      </c>
      <c r="L115" s="1311">
        <f>SUM(L111:L113)</f>
        <v>3584</v>
      </c>
      <c r="M115" s="1311">
        <f>SUM(M111:M113)</f>
        <v>751.30906011854336</v>
      </c>
      <c r="N115" s="1311">
        <f>SUM(N111:N113)</f>
        <v>49135.309060118547</v>
      </c>
      <c r="S115" s="1624">
        <f>SUM(S111:S113)</f>
        <v>4</v>
      </c>
      <c r="T115" s="1623"/>
      <c r="U115" s="1623"/>
      <c r="V115" s="1311">
        <f>SUM(V111:V113)</f>
        <v>0</v>
      </c>
      <c r="W115" s="1176">
        <f>SUM(W111:W113)</f>
        <v>44800</v>
      </c>
      <c r="X115" s="1312">
        <f>SUM(X111:X113)</f>
        <v>0</v>
      </c>
      <c r="Y115" s="1178"/>
      <c r="Z115" s="1179">
        <f>SUM(Z111:Z113)</f>
        <v>0</v>
      </c>
      <c r="AA115" s="891">
        <f>IF(S115&lt;&gt;"",Z115+M115,"")</f>
        <v>751.30906011854336</v>
      </c>
      <c r="AM115" s="1703"/>
      <c r="AN115" s="1713"/>
    </row>
    <row r="116" spans="1:40" ht="50.1" customHeight="1" x14ac:dyDescent="0.7">
      <c r="A116" s="584">
        <v>104</v>
      </c>
      <c r="B116" s="608">
        <v>8</v>
      </c>
      <c r="C116" s="609" t="s">
        <v>167</v>
      </c>
      <c r="D116" s="584"/>
      <c r="E116" s="584"/>
      <c r="F116" s="1626" t="s">
        <v>452</v>
      </c>
      <c r="G116" s="1626"/>
      <c r="H116" s="1626"/>
      <c r="I116" s="1626"/>
      <c r="J116" s="1626"/>
      <c r="K116" s="1626"/>
      <c r="L116" s="1626"/>
      <c r="M116" s="1626"/>
      <c r="N116" s="1626"/>
      <c r="S116" s="1626" t="str">
        <f>IF(F116&lt;&gt;"",F116,"")</f>
        <v>CENOGRAFIA</v>
      </c>
      <c r="T116" s="1626"/>
      <c r="U116" s="1626"/>
      <c r="V116" s="1626"/>
      <c r="W116" s="1626"/>
      <c r="X116" s="1626"/>
      <c r="Y116" s="1626"/>
      <c r="Z116" s="1626"/>
      <c r="AA116" s="1626"/>
      <c r="AM116" s="1703"/>
      <c r="AN116" s="1713"/>
    </row>
    <row r="117" spans="1:40" ht="50.1" customHeight="1" x14ac:dyDescent="0.7">
      <c r="A117" s="584">
        <v>105</v>
      </c>
      <c r="B117" s="608" t="s">
        <v>451</v>
      </c>
      <c r="C117" s="609" t="s">
        <v>169</v>
      </c>
      <c r="D117" s="584"/>
      <c r="E117" s="584"/>
      <c r="F117" s="1423" t="s">
        <v>458</v>
      </c>
      <c r="G117" s="1423"/>
      <c r="H117" s="1423"/>
      <c r="I117" s="1423"/>
      <c r="J117" s="1423"/>
      <c r="K117" s="1423"/>
      <c r="L117" s="1296" t="s">
        <v>171</v>
      </c>
      <c r="M117" s="1296" t="s">
        <v>172</v>
      </c>
      <c r="N117" s="1296" t="s">
        <v>129</v>
      </c>
      <c r="O117" s="1126" t="s">
        <v>651</v>
      </c>
      <c r="P117" s="1127" t="s">
        <v>652</v>
      </c>
      <c r="Q117" s="1127" t="s">
        <v>666</v>
      </c>
      <c r="S117" s="1423" t="str">
        <f>IF(F117&lt;&gt;"",F117,"")</f>
        <v xml:space="preserve">CENOGRAFIA </v>
      </c>
      <c r="T117" s="1423"/>
      <c r="U117" s="1423"/>
      <c r="V117" s="1423"/>
      <c r="W117" s="1423"/>
      <c r="X117" s="1423"/>
      <c r="Y117" s="1423"/>
      <c r="Z117" s="1423"/>
      <c r="AA117" s="1423"/>
      <c r="AB117" s="616" t="s">
        <v>173</v>
      </c>
      <c r="AC117" s="617" t="s">
        <v>130</v>
      </c>
      <c r="AM117" s="1703"/>
      <c r="AN117" s="1713"/>
    </row>
    <row r="118" spans="1:40" ht="150" customHeight="1" x14ac:dyDescent="0.7">
      <c r="A118" s="584">
        <v>106</v>
      </c>
      <c r="B118" s="608" t="s">
        <v>453</v>
      </c>
      <c r="C118" s="609" t="s">
        <v>175</v>
      </c>
      <c r="D118" s="584" t="s">
        <v>182</v>
      </c>
      <c r="E118" s="1218" t="s">
        <v>331</v>
      </c>
      <c r="F118" s="940" t="s">
        <v>470</v>
      </c>
      <c r="G118" s="886" t="s">
        <v>1501</v>
      </c>
      <c r="H118" s="830">
        <v>1</v>
      </c>
      <c r="I118" s="830">
        <v>1</v>
      </c>
      <c r="J118" s="1171">
        <v>78000</v>
      </c>
      <c r="K118" s="621">
        <f>IF(F118&lt;&gt;"",H118*I118*J118,"")</f>
        <v>78000</v>
      </c>
      <c r="L118" s="621">
        <f>IF(K118&lt;&gt;"",IF(D118="INTERNO",0,K118*$L$14),"")</f>
        <v>6240</v>
      </c>
      <c r="M118" s="621">
        <f>IF(K118&lt;&gt;"",IF(E118="FAT.OGGI",SUM(K118:L118)*(1/(1-$M$14)-1),L118*(1/(1-$M$14)-1)),0)</f>
        <v>1308.0827385992495</v>
      </c>
      <c r="N118" s="621">
        <f>SUM(K118:M118)</f>
        <v>85548.082738599245</v>
      </c>
      <c r="O118" s="1131" t="s">
        <v>654</v>
      </c>
      <c r="P118" s="1145" t="s">
        <v>655</v>
      </c>
      <c r="Q118" s="1318" t="s">
        <v>1036</v>
      </c>
      <c r="S118" s="625">
        <f t="shared" ref="S118:T122" si="67">IF(H118&lt;&gt;"",H118,"")</f>
        <v>1</v>
      </c>
      <c r="T118" s="625">
        <f t="shared" si="67"/>
        <v>1</v>
      </c>
      <c r="U118" s="626">
        <v>58000</v>
      </c>
      <c r="V118" s="626">
        <v>0</v>
      </c>
      <c r="W118" s="627">
        <f>IF(S118&lt;&gt;"",K118-V118,"")</f>
        <v>78000</v>
      </c>
      <c r="X118" s="1134">
        <f>IF(S118&lt;&gt;"",0%,"")</f>
        <v>0</v>
      </c>
      <c r="Y118" s="629">
        <f>IF(S118&lt;&gt;"",X118*W118,"")</f>
        <v>0</v>
      </c>
      <c r="Z118" s="629">
        <f>IF(S118&lt;&gt;"",Y118+V118,"")</f>
        <v>0</v>
      </c>
      <c r="AA118" s="629">
        <f t="shared" ref="AA118:AA124" si="68">IF(S118&lt;&gt;"",Z118+M118,"")</f>
        <v>1308.0827385992495</v>
      </c>
      <c r="AB118" s="631">
        <f>IF(S118&lt;&gt;"", IFERROR(W118/K118, 0), 0)</f>
        <v>1</v>
      </c>
      <c r="AC118" s="632" t="e">
        <f>V118/$V$123</f>
        <v>#DIV/0!</v>
      </c>
      <c r="AM118" s="1703">
        <f t="shared" si="50"/>
        <v>0</v>
      </c>
      <c r="AN118" s="1713"/>
    </row>
    <row r="119" spans="1:40" ht="150" customHeight="1" x14ac:dyDescent="0.7">
      <c r="A119" s="584">
        <v>107</v>
      </c>
      <c r="B119" s="608" t="s">
        <v>454</v>
      </c>
      <c r="C119" s="609" t="s">
        <v>175</v>
      </c>
      <c r="D119" s="584" t="s">
        <v>182</v>
      </c>
      <c r="E119" s="1218" t="s">
        <v>331</v>
      </c>
      <c r="F119" s="846" t="s">
        <v>470</v>
      </c>
      <c r="G119" s="1053" t="s">
        <v>834</v>
      </c>
      <c r="H119" s="830">
        <v>1</v>
      </c>
      <c r="I119" s="830">
        <v>1</v>
      </c>
      <c r="J119" s="1171">
        <v>52000</v>
      </c>
      <c r="K119" s="621">
        <f>IF(F119&lt;&gt;"",H119*I119*J119,"")</f>
        <v>52000</v>
      </c>
      <c r="L119" s="621">
        <f>IF(K119&lt;&gt;"",IF(D119="INTERNO",0,K119*$L$14),"")</f>
        <v>4160</v>
      </c>
      <c r="M119" s="621">
        <f>IF(K119&lt;&gt;"",IF(E119="FAT.OGGI",SUM(K119:L119)*(1/(1-$M$14)-1),L119*(1/(1-$M$14)-1)),0)</f>
        <v>872.05515906616642</v>
      </c>
      <c r="N119" s="621">
        <f>SUM(K119:M119)</f>
        <v>57032.055159066163</v>
      </c>
      <c r="O119" s="1172"/>
      <c r="P119" s="1326"/>
      <c r="Q119" s="1318"/>
      <c r="S119" s="625">
        <f t="shared" si="67"/>
        <v>1</v>
      </c>
      <c r="T119" s="625">
        <v>0</v>
      </c>
      <c r="U119" s="626">
        <v>40000</v>
      </c>
      <c r="V119" s="626">
        <f>IF(S119&lt;&gt;"",S119*T119*U119,"")</f>
        <v>0</v>
      </c>
      <c r="W119" s="627">
        <f>IF(S119&lt;&gt;"",K119-V119,"")</f>
        <v>52000</v>
      </c>
      <c r="X119" s="1134">
        <f>IF(S119&lt;&gt;"",0%,"")</f>
        <v>0</v>
      </c>
      <c r="Y119" s="629">
        <f>IF(S119&lt;&gt;"",X119*W119,"")</f>
        <v>0</v>
      </c>
      <c r="Z119" s="629">
        <f>IF(S119&lt;&gt;"",Y119+V119,"")</f>
        <v>0</v>
      </c>
      <c r="AA119" s="629">
        <f t="shared" si="68"/>
        <v>872.05515906616642</v>
      </c>
      <c r="AB119" s="631">
        <f>IF(S119&lt;&gt;"", IFERROR(W119/K119, 0), 0)</f>
        <v>1</v>
      </c>
      <c r="AC119" s="632" t="e">
        <f>V119/$V$123</f>
        <v>#DIV/0!</v>
      </c>
      <c r="AM119" s="1703">
        <f t="shared" si="50"/>
        <v>0</v>
      </c>
      <c r="AN119" s="1713"/>
    </row>
    <row r="120" spans="1:40" ht="150" customHeight="1" x14ac:dyDescent="0.7">
      <c r="A120" s="584">
        <v>108</v>
      </c>
      <c r="B120" s="608" t="s">
        <v>455</v>
      </c>
      <c r="C120" s="609" t="s">
        <v>175</v>
      </c>
      <c r="D120" s="584" t="s">
        <v>182</v>
      </c>
      <c r="E120" s="1218" t="s">
        <v>331</v>
      </c>
      <c r="F120" s="846" t="s">
        <v>470</v>
      </c>
      <c r="G120" s="1053" t="s">
        <v>1502</v>
      </c>
      <c r="H120" s="830">
        <v>1</v>
      </c>
      <c r="I120" s="830">
        <v>1</v>
      </c>
      <c r="J120" s="1171">
        <v>20000</v>
      </c>
      <c r="K120" s="621">
        <f>IF(F120&lt;&gt;"",H120*I120*J120,"")</f>
        <v>20000</v>
      </c>
      <c r="L120" s="621">
        <f>IF(K120&lt;&gt;"",IF(D120="INTERNO",0,K120*$L$14),"")</f>
        <v>1600</v>
      </c>
      <c r="M120" s="621">
        <f>IF(K120&lt;&gt;"",IF(E120="FAT.OGGI",SUM(K120:L120)*(1/(1-$M$14)-1),L120*(1/(1-$M$14)-1)),0)</f>
        <v>335.40583041006403</v>
      </c>
      <c r="N120" s="621">
        <f>SUM(K120:M120)</f>
        <v>21935.405830410065</v>
      </c>
      <c r="O120" s="1172"/>
      <c r="P120" s="1326"/>
      <c r="Q120" s="1318"/>
      <c r="S120" s="625">
        <f t="shared" si="67"/>
        <v>1</v>
      </c>
      <c r="T120" s="625">
        <v>0</v>
      </c>
      <c r="U120" s="626">
        <v>20000</v>
      </c>
      <c r="V120" s="626">
        <f>IF(S120&lt;&gt;"",S120*T120*U120,"")</f>
        <v>0</v>
      </c>
      <c r="W120" s="627">
        <f>IF(S120&lt;&gt;"",K120-V120,"")</f>
        <v>20000</v>
      </c>
      <c r="X120" s="1134">
        <f>IF(S120&lt;&gt;"",0%,"")</f>
        <v>0</v>
      </c>
      <c r="Y120" s="629">
        <f>IF(S120&lt;&gt;"",X120*W120,"")</f>
        <v>0</v>
      </c>
      <c r="Z120" s="629">
        <f>IF(S120&lt;&gt;"",Y120+V120,"")</f>
        <v>0</v>
      </c>
      <c r="AA120" s="629">
        <f t="shared" si="68"/>
        <v>335.40583041006403</v>
      </c>
      <c r="AB120" s="631">
        <f>IF(S120&lt;&gt;"", IFERROR(W120/K120, 0), 0)</f>
        <v>1</v>
      </c>
      <c r="AC120" s="632" t="e">
        <f>V120/$V$123</f>
        <v>#DIV/0!</v>
      </c>
      <c r="AM120" s="1703">
        <f t="shared" si="50"/>
        <v>0</v>
      </c>
      <c r="AN120" s="1713"/>
    </row>
    <row r="121" spans="1:40" ht="150" customHeight="1" x14ac:dyDescent="0.7">
      <c r="A121" s="584">
        <v>109</v>
      </c>
      <c r="B121" s="608" t="s">
        <v>456</v>
      </c>
      <c r="C121" s="609" t="s">
        <v>175</v>
      </c>
      <c r="D121" s="584" t="s">
        <v>182</v>
      </c>
      <c r="E121" s="1218" t="s">
        <v>331</v>
      </c>
      <c r="F121" s="846" t="s">
        <v>829</v>
      </c>
      <c r="G121" s="1053" t="s">
        <v>828</v>
      </c>
      <c r="H121" s="830">
        <v>1</v>
      </c>
      <c r="I121" s="830">
        <v>1</v>
      </c>
      <c r="J121" s="1171">
        <v>25000</v>
      </c>
      <c r="K121" s="621">
        <f>IF(F121&lt;&gt;"",H121*I121*J121,"")</f>
        <v>25000</v>
      </c>
      <c r="L121" s="621">
        <f>IF(K121&lt;&gt;"",IF(D121="INTERNO",0,K121*$L$14),"")</f>
        <v>2000</v>
      </c>
      <c r="M121" s="621">
        <f>IF(K121&lt;&gt;"",IF(E121="FAT.OGGI",SUM(K121:L121)*(1/(1-$M$14)-1),L121*(1/(1-$M$14)-1)),0)</f>
        <v>419.25728801257998</v>
      </c>
      <c r="N121" s="621">
        <f>SUM(K121:M121)</f>
        <v>27419.257288012581</v>
      </c>
      <c r="O121" s="1172"/>
      <c r="P121" s="1326"/>
      <c r="Q121" s="1318"/>
      <c r="S121" s="625">
        <f t="shared" ref="S121" si="69">IF(H121&lt;&gt;"",H121,"")</f>
        <v>1</v>
      </c>
      <c r="T121" s="625">
        <f t="shared" ref="T121" si="70">IF(I121&lt;&gt;"",I121,"")</f>
        <v>1</v>
      </c>
      <c r="U121" s="626">
        <v>20000</v>
      </c>
      <c r="V121" s="626">
        <v>0</v>
      </c>
      <c r="W121" s="627">
        <f>IF(S121&lt;&gt;"",K121-V121,"")</f>
        <v>25000</v>
      </c>
      <c r="X121" s="1134">
        <f>IF(S121&lt;&gt;"",0%,"")</f>
        <v>0</v>
      </c>
      <c r="Y121" s="629">
        <f>IF(S121&lt;&gt;"",X121*W121,"")</f>
        <v>0</v>
      </c>
      <c r="Z121" s="629">
        <f>IF(S121&lt;&gt;"",Y121+V121,"")</f>
        <v>0</v>
      </c>
      <c r="AA121" s="629">
        <f t="shared" ref="AA121" si="71">IF(S121&lt;&gt;"",Z121+M121,"")</f>
        <v>419.25728801257998</v>
      </c>
      <c r="AB121" s="631">
        <f>IF(S121&lt;&gt;"", IFERROR(W121/K121, 0), 0)</f>
        <v>1</v>
      </c>
      <c r="AC121" s="632" t="e">
        <f>V121/$V$123</f>
        <v>#DIV/0!</v>
      </c>
      <c r="AM121" s="1703">
        <f t="shared" si="50"/>
        <v>0</v>
      </c>
      <c r="AN121" s="1713"/>
    </row>
    <row r="122" spans="1:40" ht="150" customHeight="1" x14ac:dyDescent="0.7">
      <c r="A122" s="584">
        <v>110</v>
      </c>
      <c r="B122" s="608" t="s">
        <v>457</v>
      </c>
      <c r="C122" s="609" t="s">
        <v>175</v>
      </c>
      <c r="D122" s="584" t="s">
        <v>182</v>
      </c>
      <c r="E122" s="1218" t="s">
        <v>331</v>
      </c>
      <c r="F122" s="940" t="s">
        <v>472</v>
      </c>
      <c r="G122" s="886" t="s">
        <v>1439</v>
      </c>
      <c r="H122" s="830">
        <v>1</v>
      </c>
      <c r="I122" s="830">
        <v>1</v>
      </c>
      <c r="J122" s="1171">
        <v>19400</v>
      </c>
      <c r="K122" s="621">
        <f>IF(F122&lt;&gt;"",H122*I122*J122,"")</f>
        <v>19400</v>
      </c>
      <c r="L122" s="621">
        <f>IF(K122&lt;&gt;"",IF(D122="INTERNO",0,K122*$L$14),"")</f>
        <v>1552</v>
      </c>
      <c r="M122" s="621">
        <f>IF(K122&lt;&gt;"",IF(E122="FAT.OGGI",SUM(K122:L122)*(1/(1-$M$14)-1),L122*(1/(1-$M$14)-1)),0)</f>
        <v>325.34365549776209</v>
      </c>
      <c r="N122" s="621">
        <f>SUM(K122:M122)</f>
        <v>21277.343655497763</v>
      </c>
      <c r="O122" s="1172"/>
      <c r="P122" s="1326"/>
      <c r="Q122" s="1318"/>
      <c r="S122" s="625">
        <f t="shared" si="67"/>
        <v>1</v>
      </c>
      <c r="T122" s="625">
        <v>0</v>
      </c>
      <c r="U122" s="626">
        <v>10000</v>
      </c>
      <c r="V122" s="626">
        <f>IF(S122&lt;&gt;"",S122*T122*U122,"")</f>
        <v>0</v>
      </c>
      <c r="W122" s="627">
        <f>IF(S122&lt;&gt;"",K122-V122,"")</f>
        <v>19400</v>
      </c>
      <c r="X122" s="1134">
        <f>IF(S122&lt;&gt;"",0%,"")</f>
        <v>0</v>
      </c>
      <c r="Y122" s="629">
        <f>IF(S122&lt;&gt;"",X122*W122,"")</f>
        <v>0</v>
      </c>
      <c r="Z122" s="629">
        <f>IF(S122&lt;&gt;"",Y122+V122,"")</f>
        <v>0</v>
      </c>
      <c r="AA122" s="629">
        <f t="shared" si="68"/>
        <v>325.34365549776209</v>
      </c>
      <c r="AB122" s="631">
        <f>IF(S122&lt;&gt;"", IFERROR(W122/K122, 0), 0)</f>
        <v>1</v>
      </c>
      <c r="AC122" s="632" t="e">
        <f>V122/$V$123</f>
        <v>#DIV/0!</v>
      </c>
      <c r="AM122" s="1703">
        <f t="shared" si="50"/>
        <v>0</v>
      </c>
      <c r="AN122" s="1713"/>
    </row>
    <row r="123" spans="1:40" ht="50.1" customHeight="1" x14ac:dyDescent="0.7">
      <c r="A123" s="584">
        <v>111</v>
      </c>
      <c r="B123" s="608"/>
      <c r="C123" s="609" t="s">
        <v>184</v>
      </c>
      <c r="D123" s="584"/>
      <c r="E123" s="584"/>
      <c r="F123" s="1423" t="s">
        <v>473</v>
      </c>
      <c r="G123" s="1423"/>
      <c r="H123" s="1423"/>
      <c r="I123" s="1423"/>
      <c r="J123" s="1423"/>
      <c r="K123" s="1314">
        <f>SUM(K118:K122)</f>
        <v>194400</v>
      </c>
      <c r="L123" s="1314">
        <f>SUM(L118:L122)</f>
        <v>15552</v>
      </c>
      <c r="M123" s="1314">
        <f>SUM(M118:M122)</f>
        <v>3260.1446715858219</v>
      </c>
      <c r="N123" s="1314">
        <f>SUM(N118:N122)</f>
        <v>213212.14467158582</v>
      </c>
      <c r="S123" s="1625">
        <f>SUM(S118:S122)</f>
        <v>5</v>
      </c>
      <c r="T123" s="1423"/>
      <c r="U123" s="1423"/>
      <c r="V123" s="1175">
        <f>SUM(V118:V122)</f>
        <v>0</v>
      </c>
      <c r="W123" s="1176">
        <f>SUM(W118:W122)</f>
        <v>194400</v>
      </c>
      <c r="X123" s="1312">
        <f>SUM(X118:X122)</f>
        <v>0</v>
      </c>
      <c r="Y123" s="1178"/>
      <c r="Z123" s="1179">
        <f>SUM(Z118:Z122)</f>
        <v>0</v>
      </c>
      <c r="AA123" s="891">
        <f t="shared" si="68"/>
        <v>3260.1446715858219</v>
      </c>
      <c r="AM123" s="1703"/>
      <c r="AN123" s="1713"/>
    </row>
    <row r="124" spans="1:40" ht="50.1" customHeight="1" x14ac:dyDescent="0.7">
      <c r="A124" s="584">
        <v>112</v>
      </c>
      <c r="B124" s="608"/>
      <c r="C124" s="609" t="s">
        <v>183</v>
      </c>
      <c r="D124" s="584"/>
      <c r="E124" s="584"/>
      <c r="F124" s="1623" t="s">
        <v>474</v>
      </c>
      <c r="G124" s="1623"/>
      <c r="H124" s="1623"/>
      <c r="I124" s="1623"/>
      <c r="J124" s="1623"/>
      <c r="K124" s="1311">
        <f>SUM(K118:K122)</f>
        <v>194400</v>
      </c>
      <c r="L124" s="1311">
        <f>SUM(L118:L122)</f>
        <v>15552</v>
      </c>
      <c r="M124" s="1311">
        <f>SUM(M118:M122)</f>
        <v>3260.1446715858219</v>
      </c>
      <c r="N124" s="1311">
        <f>SUM(N118:N122)</f>
        <v>213212.14467158582</v>
      </c>
      <c r="S124" s="1624">
        <f>SUM(S118:S122)</f>
        <v>5</v>
      </c>
      <c r="T124" s="1623"/>
      <c r="U124" s="1623"/>
      <c r="V124" s="1311">
        <f>SUM(V118:V122)</f>
        <v>0</v>
      </c>
      <c r="W124" s="1176">
        <f>SUM(W118:W122)</f>
        <v>194400</v>
      </c>
      <c r="X124" s="1312">
        <f>SUM(X118:X122)</f>
        <v>0</v>
      </c>
      <c r="Y124" s="1178"/>
      <c r="Z124" s="1179">
        <f>SUM(Z118:Z122)</f>
        <v>0</v>
      </c>
      <c r="AA124" s="891">
        <f t="shared" si="68"/>
        <v>3260.1446715858219</v>
      </c>
      <c r="AM124" s="1703"/>
      <c r="AN124" s="1713"/>
    </row>
    <row r="125" spans="1:40" ht="50.1" customHeight="1" x14ac:dyDescent="0.7">
      <c r="A125" s="584">
        <v>113</v>
      </c>
      <c r="B125" s="608">
        <v>9</v>
      </c>
      <c r="C125" s="609" t="s">
        <v>167</v>
      </c>
      <c r="D125" s="584"/>
      <c r="E125" s="584"/>
      <c r="F125" s="1626" t="s">
        <v>505</v>
      </c>
      <c r="G125" s="1626"/>
      <c r="H125" s="1626"/>
      <c r="I125" s="1626"/>
      <c r="J125" s="1626"/>
      <c r="K125" s="1626"/>
      <c r="L125" s="1626"/>
      <c r="M125" s="1626"/>
      <c r="N125" s="1626"/>
      <c r="S125" s="1626" t="str">
        <f>IF(F125&lt;&gt;"",F125,"")</f>
        <v>ATIVIDADES, BRINDES E MATERIAIS</v>
      </c>
      <c r="T125" s="1626"/>
      <c r="U125" s="1626"/>
      <c r="V125" s="1626"/>
      <c r="W125" s="1626"/>
      <c r="X125" s="1626"/>
      <c r="Y125" s="1626"/>
      <c r="Z125" s="1626"/>
      <c r="AA125" s="1626"/>
      <c r="AM125" s="1703"/>
      <c r="AN125" s="1713"/>
    </row>
    <row r="126" spans="1:40" ht="50.1" customHeight="1" x14ac:dyDescent="0.7">
      <c r="A126" s="584">
        <v>114</v>
      </c>
      <c r="B126" s="608" t="s">
        <v>475</v>
      </c>
      <c r="C126" s="609" t="s">
        <v>169</v>
      </c>
      <c r="D126" s="584"/>
      <c r="E126" s="584"/>
      <c r="F126" s="1423" t="s">
        <v>476</v>
      </c>
      <c r="G126" s="1423"/>
      <c r="H126" s="1423"/>
      <c r="I126" s="1423"/>
      <c r="J126" s="1423"/>
      <c r="K126" s="1423"/>
      <c r="L126" s="1296" t="s">
        <v>171</v>
      </c>
      <c r="M126" s="1296" t="s">
        <v>172</v>
      </c>
      <c r="N126" s="1296" t="s">
        <v>129</v>
      </c>
      <c r="O126" s="1126" t="s">
        <v>651</v>
      </c>
      <c r="P126" s="1127" t="s">
        <v>652</v>
      </c>
      <c r="Q126" s="1127" t="s">
        <v>666</v>
      </c>
      <c r="S126" s="1423" t="str">
        <f>IF(F126&lt;&gt;"",F126,"")</f>
        <v>ATIVAÇÕES</v>
      </c>
      <c r="T126" s="1423"/>
      <c r="U126" s="1423"/>
      <c r="V126" s="1423"/>
      <c r="W126" s="1423"/>
      <c r="X126" s="1423"/>
      <c r="Y126" s="1423"/>
      <c r="Z126" s="1423"/>
      <c r="AA126" s="1423"/>
      <c r="AB126" s="616" t="s">
        <v>173</v>
      </c>
      <c r="AC126" s="617" t="s">
        <v>130</v>
      </c>
      <c r="AM126" s="1703"/>
      <c r="AN126" s="1713"/>
    </row>
    <row r="127" spans="1:40" ht="150" customHeight="1" x14ac:dyDescent="0.7">
      <c r="A127" s="584">
        <v>115</v>
      </c>
      <c r="B127" s="608" t="s">
        <v>477</v>
      </c>
      <c r="C127" s="609" t="s">
        <v>175</v>
      </c>
      <c r="D127" s="584" t="s">
        <v>182</v>
      </c>
      <c r="E127" s="584" t="s">
        <v>179</v>
      </c>
      <c r="F127" s="940" t="s">
        <v>560</v>
      </c>
      <c r="G127" s="940" t="s">
        <v>1503</v>
      </c>
      <c r="H127" s="951">
        <v>1</v>
      </c>
      <c r="I127" s="951">
        <v>1</v>
      </c>
      <c r="J127" s="1075">
        <v>3500</v>
      </c>
      <c r="K127" s="621">
        <f>IF(F127&lt;&gt;"",H127*I127*J127,"")</f>
        <v>3500</v>
      </c>
      <c r="L127" s="621">
        <f>IF(K127&lt;&gt;"",IF(D127="INTERNO",0,K127*$L$14),"")</f>
        <v>280</v>
      </c>
      <c r="M127" s="621">
        <f>IF(K127&lt;&gt;"",IF(E127="FAT.OGGI",SUM(K127:L127)*(1/(1-$M$14)-1),L127*(1/(1-$M$14)-1)),0)</f>
        <v>792.39627434377621</v>
      </c>
      <c r="N127" s="621">
        <f>SUM(K127:M127)</f>
        <v>4572.396274343776</v>
      </c>
      <c r="O127" s="1327" t="s">
        <v>654</v>
      </c>
      <c r="P127" s="1145" t="s">
        <v>655</v>
      </c>
      <c r="Q127" s="1325"/>
      <c r="S127" s="625">
        <f t="shared" ref="S127:T130" si="72">IF(H127&lt;&gt;"",H127,"")</f>
        <v>1</v>
      </c>
      <c r="T127" s="625">
        <f t="shared" si="72"/>
        <v>1</v>
      </c>
      <c r="U127" s="626">
        <v>2000</v>
      </c>
      <c r="V127" s="626">
        <v>0</v>
      </c>
      <c r="W127" s="627">
        <f>IF(S127&lt;&gt;"",K127-V127,"")</f>
        <v>3500</v>
      </c>
      <c r="X127" s="1134">
        <f>IF(S127&lt;&gt;"",0%,"")</f>
        <v>0</v>
      </c>
      <c r="Y127" s="629">
        <f>IF(S127&lt;&gt;"",X127*W127,"")</f>
        <v>0</v>
      </c>
      <c r="Z127" s="629">
        <f>IF(S127&lt;&gt;"",Y127+V127,"")</f>
        <v>0</v>
      </c>
      <c r="AA127" s="629">
        <f>IF(S127&lt;&gt;"",Z127+M127,"")</f>
        <v>792.39627434377621</v>
      </c>
      <c r="AB127" s="631">
        <f>IF(S127&lt;&gt;"", IFERROR(W127/K127, 0), 0)</f>
        <v>1</v>
      </c>
      <c r="AC127" s="632" t="e">
        <f>V127/$V$131</f>
        <v>#DIV/0!</v>
      </c>
      <c r="AM127" s="1703">
        <f t="shared" si="50"/>
        <v>0</v>
      </c>
      <c r="AN127" s="1713"/>
    </row>
    <row r="128" spans="1:40" ht="150" customHeight="1" x14ac:dyDescent="0.7">
      <c r="A128" s="584">
        <v>116</v>
      </c>
      <c r="B128" s="608" t="s">
        <v>478</v>
      </c>
      <c r="C128" s="609" t="s">
        <v>175</v>
      </c>
      <c r="D128" s="584" t="s">
        <v>182</v>
      </c>
      <c r="E128" s="584" t="s">
        <v>179</v>
      </c>
      <c r="F128" s="618" t="s">
        <v>559</v>
      </c>
      <c r="G128" s="736" t="s">
        <v>1504</v>
      </c>
      <c r="H128" s="706">
        <v>1</v>
      </c>
      <c r="I128" s="706">
        <v>0</v>
      </c>
      <c r="J128" s="767">
        <v>6800</v>
      </c>
      <c r="K128" s="621">
        <f>IF(F128&lt;&gt;"",H128*I128*J128,"")</f>
        <v>0</v>
      </c>
      <c r="L128" s="621">
        <f>IF(K128&lt;&gt;"",IF(D128="INTERNO",0,K128*$L$14),"")</f>
        <v>0</v>
      </c>
      <c r="M128" s="621">
        <f>IF(K128&lt;&gt;"",IF(E128="FAT.OGGI",SUM(K128:L128)*(1/(1-$M$14)-1),L128*(1/(1-$M$14)-1)),0)</f>
        <v>0</v>
      </c>
      <c r="N128" s="621">
        <f>SUM(K128:M128)</f>
        <v>0</v>
      </c>
      <c r="O128" s="1327" t="s">
        <v>654</v>
      </c>
      <c r="P128" s="1136" t="s">
        <v>623</v>
      </c>
      <c r="Q128" s="1307" t="s">
        <v>998</v>
      </c>
      <c r="S128" s="625">
        <f t="shared" si="72"/>
        <v>1</v>
      </c>
      <c r="T128" s="625">
        <f t="shared" si="72"/>
        <v>0</v>
      </c>
      <c r="U128" s="626">
        <v>5600</v>
      </c>
      <c r="V128" s="626">
        <f>IF(S128&lt;&gt;"",S128*T128*U128,"")</f>
        <v>0</v>
      </c>
      <c r="W128" s="627">
        <f>IF(S128&lt;&gt;"",K128-V128,"")</f>
        <v>0</v>
      </c>
      <c r="X128" s="1134">
        <f>IF(S128&lt;&gt;"",0%,"")</f>
        <v>0</v>
      </c>
      <c r="Y128" s="629">
        <f>IF(S128&lt;&gt;"",X128*W128,"")</f>
        <v>0</v>
      </c>
      <c r="Z128" s="629">
        <f>IF(S128&lt;&gt;"",Y128+V128,"")</f>
        <v>0</v>
      </c>
      <c r="AA128" s="629">
        <f>IF(S128&lt;&gt;"",Z128+M128,"")</f>
        <v>0</v>
      </c>
      <c r="AB128" s="631">
        <f>IF(S128&lt;&gt;"", IFERROR(W128/K128, 0), 0)</f>
        <v>0</v>
      </c>
      <c r="AC128" s="632" t="e">
        <f>V128/$V$131</f>
        <v>#DIV/0!</v>
      </c>
      <c r="AM128" s="1703">
        <f t="shared" si="50"/>
        <v>0</v>
      </c>
      <c r="AN128" s="1713"/>
    </row>
    <row r="129" spans="1:41" ht="150" customHeight="1" x14ac:dyDescent="0.7">
      <c r="A129" s="584">
        <v>117</v>
      </c>
      <c r="B129" s="608" t="s">
        <v>479</v>
      </c>
      <c r="C129" s="609" t="s">
        <v>175</v>
      </c>
      <c r="D129" s="584" t="s">
        <v>182</v>
      </c>
      <c r="E129" s="584" t="s">
        <v>179</v>
      </c>
      <c r="F129" s="940" t="s">
        <v>562</v>
      </c>
      <c r="G129" s="940" t="s">
        <v>1505</v>
      </c>
      <c r="H129" s="951">
        <v>1</v>
      </c>
      <c r="I129" s="951">
        <v>1</v>
      </c>
      <c r="J129" s="1075">
        <v>5500</v>
      </c>
      <c r="K129" s="621">
        <f>IF(F129&lt;&gt;"",H129*I129*J129,"")</f>
        <v>5500</v>
      </c>
      <c r="L129" s="621">
        <f>IF(K129&lt;&gt;"",IF(D129="INTERNO",0,K129*$L$14),"")</f>
        <v>440</v>
      </c>
      <c r="M129" s="621">
        <f>IF(K129&lt;&gt;"",IF(E129="FAT.OGGI",SUM(K129:L129)*(1/(1-$M$14)-1),L129*(1/(1-$M$14)-1)),0)</f>
        <v>1245.1941453973625</v>
      </c>
      <c r="N129" s="621">
        <f>SUM(K129:M129)</f>
        <v>7185.1941453973623</v>
      </c>
      <c r="O129" s="1327" t="s">
        <v>654</v>
      </c>
      <c r="P129" s="1136" t="s">
        <v>974</v>
      </c>
      <c r="Q129" s="1328" t="s">
        <v>1010</v>
      </c>
      <c r="S129" s="625">
        <f t="shared" si="72"/>
        <v>1</v>
      </c>
      <c r="T129" s="625">
        <v>0</v>
      </c>
      <c r="U129" s="626">
        <v>4500</v>
      </c>
      <c r="V129" s="626">
        <f>IF(S129&lt;&gt;"",S129*T129*U129,"")</f>
        <v>0</v>
      </c>
      <c r="W129" s="627">
        <f>IF(S129&lt;&gt;"",K129-V129,"")</f>
        <v>5500</v>
      </c>
      <c r="X129" s="1134">
        <f>IF(S129&lt;&gt;"",0%,"")</f>
        <v>0</v>
      </c>
      <c r="Y129" s="629">
        <f>IF(S129&lt;&gt;"",X129*W129,"")</f>
        <v>0</v>
      </c>
      <c r="Z129" s="629">
        <f>IF(S129&lt;&gt;"",Y129+V129,"")</f>
        <v>0</v>
      </c>
      <c r="AA129" s="629">
        <f>IF(S129&lt;&gt;"",Z129+M129,"")</f>
        <v>1245.1941453973625</v>
      </c>
      <c r="AB129" s="631">
        <f>IF(S129&lt;&gt;"", IFERROR(W129/K129, 0), 0)</f>
        <v>1</v>
      </c>
      <c r="AC129" s="632" t="e">
        <f>V129/$V$131</f>
        <v>#DIV/0!</v>
      </c>
      <c r="AM129" s="1703">
        <f t="shared" si="50"/>
        <v>0</v>
      </c>
      <c r="AN129" s="1713"/>
    </row>
    <row r="130" spans="1:41" ht="150" customHeight="1" x14ac:dyDescent="0.7">
      <c r="A130" s="584">
        <v>118</v>
      </c>
      <c r="B130" s="608" t="s">
        <v>480</v>
      </c>
      <c r="C130" s="609" t="s">
        <v>175</v>
      </c>
      <c r="D130" s="584" t="s">
        <v>182</v>
      </c>
      <c r="E130" s="584" t="s">
        <v>179</v>
      </c>
      <c r="F130" s="940" t="s">
        <v>563</v>
      </c>
      <c r="G130" s="940" t="s">
        <v>1506</v>
      </c>
      <c r="H130" s="951">
        <v>10</v>
      </c>
      <c r="I130" s="951">
        <v>1</v>
      </c>
      <c r="J130" s="1075">
        <v>40</v>
      </c>
      <c r="K130" s="621">
        <f>IF(F130&lt;&gt;"",H130*I130*J130,"")</f>
        <v>400</v>
      </c>
      <c r="L130" s="621">
        <f>IF(K130&lt;&gt;"",IF(D130="INTERNO",0,K130*$L$14),"")</f>
        <v>32</v>
      </c>
      <c r="M130" s="621">
        <f>IF(K130&lt;&gt;"",IF(E130="FAT.OGGI",SUM(K130:L130)*(1/(1-$M$14)-1),L130*(1/(1-$M$14)-1)),0)</f>
        <v>90.559574210717273</v>
      </c>
      <c r="N130" s="621">
        <f>SUM(K130:M130)</f>
        <v>522.5595742107173</v>
      </c>
      <c r="O130" s="1327"/>
      <c r="P130" s="1329"/>
      <c r="Q130" s="1318"/>
      <c r="S130" s="625">
        <f t="shared" si="72"/>
        <v>10</v>
      </c>
      <c r="T130" s="625">
        <f t="shared" si="72"/>
        <v>1</v>
      </c>
      <c r="U130" s="626">
        <v>20</v>
      </c>
      <c r="V130" s="626">
        <v>0</v>
      </c>
      <c r="W130" s="627">
        <f>IF(S130&lt;&gt;"",K130-V130,"")</f>
        <v>400</v>
      </c>
      <c r="X130" s="1134">
        <f>IF(S130&lt;&gt;"",0%,"")</f>
        <v>0</v>
      </c>
      <c r="Y130" s="629">
        <f>IF(S130&lt;&gt;"",X130*W130,"")</f>
        <v>0</v>
      </c>
      <c r="Z130" s="629">
        <f>IF(S130&lt;&gt;"",Y130+V130,"")</f>
        <v>0</v>
      </c>
      <c r="AA130" s="629">
        <f>IF(S130&lt;&gt;"",Z130+M130,"")</f>
        <v>90.559574210717273</v>
      </c>
      <c r="AB130" s="631">
        <f>IF(S130&lt;&gt;"", IFERROR(W130/K130, 0), 0)</f>
        <v>1</v>
      </c>
      <c r="AC130" s="632" t="e">
        <f>V130/$V$131</f>
        <v>#DIV/0!</v>
      </c>
      <c r="AM130" s="1703">
        <f t="shared" si="50"/>
        <v>0</v>
      </c>
      <c r="AN130" s="1713"/>
    </row>
    <row r="131" spans="1:41" ht="50.1" customHeight="1" x14ac:dyDescent="0.7">
      <c r="A131" s="584">
        <v>119</v>
      </c>
      <c r="B131" s="608"/>
      <c r="C131" s="647" t="s">
        <v>184</v>
      </c>
      <c r="D131" s="646"/>
      <c r="E131" s="646"/>
      <c r="F131" s="1423" t="s">
        <v>502</v>
      </c>
      <c r="G131" s="1423"/>
      <c r="H131" s="1423"/>
      <c r="I131" s="1423"/>
      <c r="J131" s="1423"/>
      <c r="K131" s="1302">
        <f>SUM(K127:K130)</f>
        <v>9400</v>
      </c>
      <c r="L131" s="1302">
        <f>SUM(L127:L130)</f>
        <v>752</v>
      </c>
      <c r="M131" s="1302">
        <f>SUM(M127:M130)</f>
        <v>2128.1499939518558</v>
      </c>
      <c r="N131" s="1302">
        <f>SUM(N127:N130)</f>
        <v>12280.149993951856</v>
      </c>
      <c r="S131" s="1625">
        <f>SUM(S127:S130)</f>
        <v>13</v>
      </c>
      <c r="T131" s="1625"/>
      <c r="U131" s="1625"/>
      <c r="V131" s="1303">
        <f>SUM(V127:V130)</f>
        <v>0</v>
      </c>
      <c r="W131" s="889">
        <f>SUM(W127:W130)</f>
        <v>9400</v>
      </c>
      <c r="X131" s="1134">
        <f>SUM(X127:X130)</f>
        <v>0</v>
      </c>
      <c r="Y131" s="629"/>
      <c r="Z131" s="891">
        <f>SUM(Z127:Z130)</f>
        <v>0</v>
      </c>
      <c r="AA131" s="891">
        <f>IF(S131&lt;&gt;"",Z131+M131,"")</f>
        <v>2128.1499939518558</v>
      </c>
      <c r="AB131" s="631"/>
      <c r="AM131" s="1703"/>
      <c r="AN131" s="1713"/>
    </row>
    <row r="132" spans="1:41" ht="50.1" customHeight="1" x14ac:dyDescent="0.7">
      <c r="A132" s="584">
        <v>120</v>
      </c>
      <c r="B132" s="608" t="s">
        <v>493</v>
      </c>
      <c r="C132" s="634" t="s">
        <v>169</v>
      </c>
      <c r="D132" s="633"/>
      <c r="E132" s="633"/>
      <c r="F132" s="1423" t="s">
        <v>501</v>
      </c>
      <c r="G132" s="1423"/>
      <c r="H132" s="1423"/>
      <c r="I132" s="1423"/>
      <c r="J132" s="1423"/>
      <c r="K132" s="1423"/>
      <c r="L132" s="1296" t="s">
        <v>171</v>
      </c>
      <c r="M132" s="1296" t="s">
        <v>172</v>
      </c>
      <c r="N132" s="1296" t="s">
        <v>129</v>
      </c>
      <c r="O132" s="1126" t="s">
        <v>651</v>
      </c>
      <c r="P132" s="1127" t="s">
        <v>652</v>
      </c>
      <c r="Q132" s="1127" t="s">
        <v>666</v>
      </c>
      <c r="S132" s="1423" t="str">
        <f>IF(F132&lt;&gt;"",F132,"")</f>
        <v>BRINDES</v>
      </c>
      <c r="T132" s="1423"/>
      <c r="U132" s="1423"/>
      <c r="V132" s="1423"/>
      <c r="W132" s="1423"/>
      <c r="X132" s="1423"/>
      <c r="Y132" s="1423"/>
      <c r="Z132" s="1423"/>
      <c r="AA132" s="1423"/>
      <c r="AB132" s="616" t="s">
        <v>173</v>
      </c>
      <c r="AC132" s="617" t="s">
        <v>130</v>
      </c>
      <c r="AM132" s="1703"/>
      <c r="AN132" s="1713"/>
    </row>
    <row r="133" spans="1:41" ht="150" customHeight="1" x14ac:dyDescent="0.7">
      <c r="A133" s="584">
        <v>121</v>
      </c>
      <c r="B133" s="608" t="s">
        <v>494</v>
      </c>
      <c r="C133" s="609" t="s">
        <v>175</v>
      </c>
      <c r="D133" s="584" t="s">
        <v>182</v>
      </c>
      <c r="E133" s="584" t="s">
        <v>179</v>
      </c>
      <c r="F133" s="618" t="s">
        <v>552</v>
      </c>
      <c r="G133" s="618" t="s">
        <v>1507</v>
      </c>
      <c r="H133" s="706">
        <v>270</v>
      </c>
      <c r="I133" s="706">
        <v>1</v>
      </c>
      <c r="J133" s="620">
        <v>25</v>
      </c>
      <c r="K133" s="621">
        <f t="shared" ref="K133:K135" si="73">IF(F133&lt;&gt;"",H133*I133*J133,"")</f>
        <v>6750</v>
      </c>
      <c r="L133" s="621">
        <f t="shared" ref="L133:L135" si="74">IF(K133&lt;&gt;"",IF(D133="INTERNO",0,K133*$L$14),"")</f>
        <v>540</v>
      </c>
      <c r="M133" s="621">
        <f t="shared" ref="M133:M135" si="75">IF(K133&lt;&gt;"",IF(E133="FAT.OGGI",SUM(K133:L133)*(1/(1-$M$14)-1),L133*(1/(1-$M$14)-1)),0)</f>
        <v>1528.1928148058541</v>
      </c>
      <c r="N133" s="621">
        <f t="shared" ref="N133:N135" si="76">SUM(K133:M133)</f>
        <v>8818.1928148058541</v>
      </c>
      <c r="O133" s="1172"/>
      <c r="P133" s="1133"/>
      <c r="Q133" s="1133"/>
      <c r="S133" s="625">
        <f t="shared" ref="S133:T135" si="77">IF(H133&lt;&gt;"",H133,"")</f>
        <v>270</v>
      </c>
      <c r="T133" s="625">
        <f t="shared" si="77"/>
        <v>1</v>
      </c>
      <c r="U133" s="626">
        <v>19.899999999999999</v>
      </c>
      <c r="V133" s="626">
        <v>0</v>
      </c>
      <c r="W133" s="627">
        <f t="shared" ref="W133:W135" si="78">IF(S133&lt;&gt;"",K133-V133,"")</f>
        <v>6750</v>
      </c>
      <c r="X133" s="1134">
        <f t="shared" ref="X133:X135" si="79">IF(S133&lt;&gt;"",0%,"")</f>
        <v>0</v>
      </c>
      <c r="Y133" s="629">
        <f t="shared" ref="Y133:Y135" si="80">IF(S133&lt;&gt;"",X133*W133,"")</f>
        <v>0</v>
      </c>
      <c r="Z133" s="629">
        <f t="shared" ref="Z133:Z135" si="81">IF(S133&lt;&gt;"",Y133+V133,"")</f>
        <v>0</v>
      </c>
      <c r="AA133" s="629">
        <f t="shared" ref="AA133:AA136" si="82">IF(S133&lt;&gt;"",Z133+M133,"")</f>
        <v>1528.1928148058541</v>
      </c>
      <c r="AB133" s="631">
        <f t="shared" ref="AB133:AB135" si="83">IF(S133&lt;&gt;"", IFERROR(W133/K133, 0), 0)</f>
        <v>1</v>
      </c>
      <c r="AC133" s="632" t="e">
        <f>V133/$V$136</f>
        <v>#DIV/0!</v>
      </c>
      <c r="AM133" s="1703">
        <f t="shared" si="50"/>
        <v>0</v>
      </c>
      <c r="AN133" s="1713"/>
    </row>
    <row r="134" spans="1:41" ht="150" customHeight="1" x14ac:dyDescent="0.7">
      <c r="A134" s="584">
        <v>122</v>
      </c>
      <c r="B134" s="608" t="s">
        <v>495</v>
      </c>
      <c r="C134" s="609" t="s">
        <v>175</v>
      </c>
      <c r="D134" s="584" t="s">
        <v>182</v>
      </c>
      <c r="E134" s="584" t="s">
        <v>179</v>
      </c>
      <c r="F134" s="940" t="s">
        <v>808</v>
      </c>
      <c r="G134" s="868" t="s">
        <v>1508</v>
      </c>
      <c r="H134" s="1155">
        <v>270</v>
      </c>
      <c r="I134" s="1155">
        <v>1</v>
      </c>
      <c r="J134" s="1259">
        <v>54.9</v>
      </c>
      <c r="K134" s="621">
        <f t="shared" si="73"/>
        <v>14823</v>
      </c>
      <c r="L134" s="621">
        <f t="shared" si="74"/>
        <v>1185.8399999999999</v>
      </c>
      <c r="M134" s="621">
        <f t="shared" si="75"/>
        <v>3355.9114213136554</v>
      </c>
      <c r="N134" s="621">
        <f t="shared" si="76"/>
        <v>19364.751421313656</v>
      </c>
      <c r="O134" s="1131" t="s">
        <v>654</v>
      </c>
      <c r="P134" s="1136" t="s">
        <v>623</v>
      </c>
      <c r="Q134" s="1136" t="s">
        <v>1018</v>
      </c>
      <c r="S134" s="625">
        <f t="shared" si="77"/>
        <v>270</v>
      </c>
      <c r="T134" s="625">
        <f t="shared" si="77"/>
        <v>1</v>
      </c>
      <c r="U134" s="626">
        <f>12673.67/270</f>
        <v>46.939518518518518</v>
      </c>
      <c r="V134" s="626">
        <v>0</v>
      </c>
      <c r="W134" s="627">
        <f t="shared" si="78"/>
        <v>14823</v>
      </c>
      <c r="X134" s="1134">
        <f t="shared" si="79"/>
        <v>0</v>
      </c>
      <c r="Y134" s="629">
        <f t="shared" si="80"/>
        <v>0</v>
      </c>
      <c r="Z134" s="629">
        <f t="shared" si="81"/>
        <v>0</v>
      </c>
      <c r="AA134" s="629">
        <f t="shared" si="82"/>
        <v>3355.9114213136554</v>
      </c>
      <c r="AB134" s="631">
        <f t="shared" si="83"/>
        <v>1</v>
      </c>
      <c r="AC134" s="632" t="e">
        <f>V134/$V$136</f>
        <v>#DIV/0!</v>
      </c>
      <c r="AM134" s="1703">
        <f t="shared" si="50"/>
        <v>0</v>
      </c>
      <c r="AN134" s="1713"/>
    </row>
    <row r="135" spans="1:41" ht="150" customHeight="1" x14ac:dyDescent="0.7">
      <c r="A135" s="584">
        <v>123</v>
      </c>
      <c r="B135" s="608" t="s">
        <v>496</v>
      </c>
      <c r="C135" s="655" t="s">
        <v>175</v>
      </c>
      <c r="D135" s="633" t="s">
        <v>182</v>
      </c>
      <c r="E135" s="633" t="s">
        <v>179</v>
      </c>
      <c r="F135" s="618" t="s">
        <v>809</v>
      </c>
      <c r="G135" s="736" t="s">
        <v>1509</v>
      </c>
      <c r="H135" s="706">
        <v>1</v>
      </c>
      <c r="I135" s="706">
        <v>1</v>
      </c>
      <c r="J135" s="767">
        <v>4700</v>
      </c>
      <c r="K135" s="620">
        <f t="shared" si="73"/>
        <v>4700</v>
      </c>
      <c r="L135" s="620">
        <f t="shared" si="74"/>
        <v>376</v>
      </c>
      <c r="M135" s="620">
        <f t="shared" si="75"/>
        <v>1064.0749969759281</v>
      </c>
      <c r="N135" s="620">
        <f t="shared" si="76"/>
        <v>6140.0749969759281</v>
      </c>
      <c r="O135" s="1131"/>
      <c r="P135" s="1136" t="s">
        <v>974</v>
      </c>
      <c r="Q135" s="1133"/>
      <c r="S135" s="625">
        <f t="shared" si="77"/>
        <v>1</v>
      </c>
      <c r="T135" s="625">
        <f t="shared" si="77"/>
        <v>1</v>
      </c>
      <c r="U135" s="626">
        <v>0</v>
      </c>
      <c r="V135" s="626">
        <f t="shared" ref="V135" si="84">IF(S135&lt;&gt;"",S135*T135*U135,"")</f>
        <v>0</v>
      </c>
      <c r="W135" s="627">
        <f t="shared" si="78"/>
        <v>4700</v>
      </c>
      <c r="X135" s="1134">
        <f t="shared" si="79"/>
        <v>0</v>
      </c>
      <c r="Y135" s="629">
        <f t="shared" si="80"/>
        <v>0</v>
      </c>
      <c r="Z135" s="629">
        <f t="shared" si="81"/>
        <v>0</v>
      </c>
      <c r="AA135" s="629">
        <f t="shared" si="82"/>
        <v>1064.0749969759281</v>
      </c>
      <c r="AB135" s="631">
        <f t="shared" si="83"/>
        <v>1</v>
      </c>
      <c r="AC135" s="632" t="e">
        <f>V135/$V$136</f>
        <v>#DIV/0!</v>
      </c>
      <c r="AM135" s="1703">
        <f t="shared" si="50"/>
        <v>0</v>
      </c>
      <c r="AN135" s="1713"/>
    </row>
    <row r="136" spans="1:41" ht="50.1" customHeight="1" x14ac:dyDescent="0.7">
      <c r="A136" s="584">
        <v>124</v>
      </c>
      <c r="B136" s="608"/>
      <c r="C136" s="609" t="s">
        <v>184</v>
      </c>
      <c r="D136" s="584"/>
      <c r="E136" s="584"/>
      <c r="F136" s="1423" t="s">
        <v>503</v>
      </c>
      <c r="G136" s="1423"/>
      <c r="H136" s="1423"/>
      <c r="I136" s="1423"/>
      <c r="J136" s="1423"/>
      <c r="K136" s="1314">
        <f>SUM(K133:K135)</f>
        <v>26273</v>
      </c>
      <c r="L136" s="1314">
        <f>SUM(L133:L135)</f>
        <v>2101.84</v>
      </c>
      <c r="M136" s="1314">
        <f>SUM(M133:M135)</f>
        <v>5948.1792330954377</v>
      </c>
      <c r="N136" s="1314">
        <f>SUM(N133:N135)</f>
        <v>34323.019233095438</v>
      </c>
      <c r="S136" s="1625">
        <f>SUM(S133:S135)</f>
        <v>541</v>
      </c>
      <c r="T136" s="1423"/>
      <c r="U136" s="1423"/>
      <c r="V136" s="1175">
        <f>SUM(V133:V134)</f>
        <v>0</v>
      </c>
      <c r="W136" s="1176">
        <f>SUM(W133:W134)</f>
        <v>21573</v>
      </c>
      <c r="X136" s="1312">
        <f>SUM(X133:X135)</f>
        <v>0</v>
      </c>
      <c r="Y136" s="1178"/>
      <c r="Z136" s="1179">
        <f>SUM(Z133:Z134)</f>
        <v>0</v>
      </c>
      <c r="AA136" s="891">
        <f t="shared" si="82"/>
        <v>5948.1792330954377</v>
      </c>
      <c r="AM136" s="1703"/>
      <c r="AN136" s="1713"/>
    </row>
    <row r="137" spans="1:41" ht="50.1" customHeight="1" x14ac:dyDescent="0.7">
      <c r="A137" s="584">
        <v>125</v>
      </c>
      <c r="B137" s="608" t="s">
        <v>504</v>
      </c>
      <c r="C137" s="609" t="s">
        <v>169</v>
      </c>
      <c r="D137" s="584"/>
      <c r="E137" s="584"/>
      <c r="F137" s="1423" t="s">
        <v>506</v>
      </c>
      <c r="G137" s="1423"/>
      <c r="H137" s="1423"/>
      <c r="I137" s="1423"/>
      <c r="J137" s="1423"/>
      <c r="K137" s="1423"/>
      <c r="L137" s="1296" t="s">
        <v>171</v>
      </c>
      <c r="M137" s="1296" t="s">
        <v>172</v>
      </c>
      <c r="N137" s="1296" t="s">
        <v>129</v>
      </c>
      <c r="O137" s="1126" t="s">
        <v>651</v>
      </c>
      <c r="P137" s="1127" t="s">
        <v>652</v>
      </c>
      <c r="Q137" s="1127" t="s">
        <v>666</v>
      </c>
      <c r="S137" s="1423" t="str">
        <f>IF(F137&lt;&gt;"",F137,"")</f>
        <v>MATERIAIS E IMPRESSOS</v>
      </c>
      <c r="T137" s="1423"/>
      <c r="U137" s="1423"/>
      <c r="V137" s="1423"/>
      <c r="W137" s="1423"/>
      <c r="X137" s="1423"/>
      <c r="Y137" s="1423"/>
      <c r="Z137" s="1423"/>
      <c r="AA137" s="1423"/>
      <c r="AB137" s="616" t="s">
        <v>173</v>
      </c>
      <c r="AC137" s="617" t="s">
        <v>130</v>
      </c>
      <c r="AM137" s="1703"/>
      <c r="AN137" s="1713"/>
    </row>
    <row r="138" spans="1:41" ht="150" customHeight="1" x14ac:dyDescent="0.7">
      <c r="A138" s="584">
        <v>126</v>
      </c>
      <c r="B138" s="608" t="s">
        <v>507</v>
      </c>
      <c r="C138" s="609" t="s">
        <v>175</v>
      </c>
      <c r="D138" s="584" t="s">
        <v>182</v>
      </c>
      <c r="E138" s="584" t="s">
        <v>179</v>
      </c>
      <c r="F138" s="940" t="s">
        <v>483</v>
      </c>
      <c r="G138" s="868" t="s">
        <v>1510</v>
      </c>
      <c r="H138" s="951">
        <v>11</v>
      </c>
      <c r="I138" s="951">
        <v>1</v>
      </c>
      <c r="J138" s="1075">
        <v>120</v>
      </c>
      <c r="K138" s="621">
        <f t="shared" ref="K138:K143" si="85">IF(F138&lt;&gt;"",H138*I138*J138,"")</f>
        <v>1320</v>
      </c>
      <c r="L138" s="621">
        <f t="shared" ref="L138:L143" si="86">IF(K138&lt;&gt;"",IF(D138="INTERNO",0,K138*$L$14),"")</f>
        <v>105.60000000000001</v>
      </c>
      <c r="M138" s="621">
        <f t="shared" ref="M138:M143" si="87">IF(K138&lt;&gt;"",IF(E138="FAT.OGGI",SUM(K138:L138)*(1/(1-$M$14)-1),L138*(1/(1-$M$14)-1)),0)</f>
        <v>298.84659489536699</v>
      </c>
      <c r="N138" s="621">
        <f t="shared" ref="N138:N143" si="88">SUM(K138:M138)</f>
        <v>1724.4465948953668</v>
      </c>
      <c r="O138" s="1131" t="s">
        <v>654</v>
      </c>
      <c r="P138" s="1136" t="s">
        <v>623</v>
      </c>
      <c r="Q138" s="1307" t="s">
        <v>998</v>
      </c>
      <c r="S138" s="625">
        <f t="shared" ref="S138:T143" si="89">IF(H138&lt;&gt;"",H138,"")</f>
        <v>11</v>
      </c>
      <c r="T138" s="625">
        <f t="shared" si="89"/>
        <v>1</v>
      </c>
      <c r="U138" s="626">
        <v>80</v>
      </c>
      <c r="V138" s="626">
        <v>997</v>
      </c>
      <c r="W138" s="627">
        <f t="shared" ref="W138:W143" si="90">IF(S138&lt;&gt;"",K138-V138,"")</f>
        <v>323</v>
      </c>
      <c r="X138" s="1134">
        <f t="shared" ref="X138:X143" si="91">IF(S138&lt;&gt;"",0%,"")</f>
        <v>0</v>
      </c>
      <c r="Y138" s="629">
        <f t="shared" ref="Y138:Y143" si="92">IF(S138&lt;&gt;"",X138*W138,"")</f>
        <v>0</v>
      </c>
      <c r="Z138" s="629">
        <v>997</v>
      </c>
      <c r="AA138" s="629">
        <f t="shared" ref="AA138:AA145" si="93">IF(S138&lt;&gt;"",Z138+M138,"")</f>
        <v>1295.8465948953669</v>
      </c>
      <c r="AB138" s="631">
        <f t="shared" ref="AB138:AB143" si="94">IF(S138&lt;&gt;"", IFERROR(W138/K138, 0), 0)</f>
        <v>0.24469696969696969</v>
      </c>
      <c r="AC138" s="632">
        <f t="shared" ref="AC138:AC143" si="95">V138/$V$144</f>
        <v>1</v>
      </c>
      <c r="AM138" s="1703">
        <f t="shared" si="50"/>
        <v>0</v>
      </c>
      <c r="AN138" s="1713">
        <v>997</v>
      </c>
      <c r="AO138" s="1709" t="s">
        <v>1543</v>
      </c>
    </row>
    <row r="139" spans="1:41" ht="150" customHeight="1" x14ac:dyDescent="0.7">
      <c r="A139" s="584">
        <v>127</v>
      </c>
      <c r="B139" s="608" t="s">
        <v>508</v>
      </c>
      <c r="C139" s="609" t="s">
        <v>175</v>
      </c>
      <c r="D139" s="584" t="s">
        <v>182</v>
      </c>
      <c r="E139" s="584" t="s">
        <v>179</v>
      </c>
      <c r="F139" s="940" t="s">
        <v>515</v>
      </c>
      <c r="G139" s="1313" t="s">
        <v>1511</v>
      </c>
      <c r="H139" s="830">
        <v>270</v>
      </c>
      <c r="I139" s="830">
        <v>1</v>
      </c>
      <c r="J139" s="1171">
        <v>7.18</v>
      </c>
      <c r="K139" s="621">
        <f t="shared" si="85"/>
        <v>1938.6</v>
      </c>
      <c r="L139" s="621">
        <f t="shared" si="86"/>
        <v>155.08799999999999</v>
      </c>
      <c r="M139" s="621">
        <f t="shared" si="87"/>
        <v>438.89697641224132</v>
      </c>
      <c r="N139" s="621">
        <f t="shared" si="88"/>
        <v>2532.5849764122413</v>
      </c>
      <c r="O139" s="1131" t="s">
        <v>654</v>
      </c>
      <c r="P139" s="1136" t="s">
        <v>623</v>
      </c>
      <c r="Q139" s="1136" t="s">
        <v>1011</v>
      </c>
      <c r="S139" s="625">
        <v>350</v>
      </c>
      <c r="T139" s="625">
        <f t="shared" si="89"/>
        <v>1</v>
      </c>
      <c r="U139" s="626">
        <v>2.7</v>
      </c>
      <c r="V139" s="626">
        <v>0</v>
      </c>
      <c r="W139" s="627">
        <f t="shared" si="90"/>
        <v>1938.6</v>
      </c>
      <c r="X139" s="1134">
        <f t="shared" si="91"/>
        <v>0</v>
      </c>
      <c r="Y139" s="629">
        <f t="shared" si="92"/>
        <v>0</v>
      </c>
      <c r="Z139" s="629">
        <f t="shared" ref="Z139:Z143" si="96">IF(S139&lt;&gt;"",Y139+V139,"")</f>
        <v>0</v>
      </c>
      <c r="AA139" s="629">
        <f t="shared" si="93"/>
        <v>438.89697641224132</v>
      </c>
      <c r="AB139" s="631">
        <f t="shared" si="94"/>
        <v>1</v>
      </c>
      <c r="AC139" s="632">
        <f t="shared" si="95"/>
        <v>0</v>
      </c>
      <c r="AM139" s="1703">
        <f t="shared" si="50"/>
        <v>0</v>
      </c>
      <c r="AN139" s="1713"/>
    </row>
    <row r="140" spans="1:41" ht="150" customHeight="1" x14ac:dyDescent="0.7">
      <c r="A140" s="584">
        <v>128</v>
      </c>
      <c r="B140" s="608" t="s">
        <v>509</v>
      </c>
      <c r="C140" s="609" t="s">
        <v>175</v>
      </c>
      <c r="D140" s="584" t="s">
        <v>182</v>
      </c>
      <c r="E140" s="584" t="s">
        <v>179</v>
      </c>
      <c r="F140" s="940" t="s">
        <v>516</v>
      </c>
      <c r="G140" s="1313" t="s">
        <v>1512</v>
      </c>
      <c r="H140" s="830">
        <v>270</v>
      </c>
      <c r="I140" s="830">
        <v>1</v>
      </c>
      <c r="J140" s="1171">
        <v>3.04</v>
      </c>
      <c r="K140" s="621">
        <f t="shared" si="85"/>
        <v>820.8</v>
      </c>
      <c r="L140" s="621">
        <f t="shared" si="86"/>
        <v>65.664000000000001</v>
      </c>
      <c r="M140" s="621">
        <f t="shared" si="87"/>
        <v>185.82824628039185</v>
      </c>
      <c r="N140" s="621">
        <f t="shared" si="88"/>
        <v>1072.2922462803917</v>
      </c>
      <c r="O140" s="1131" t="s">
        <v>654</v>
      </c>
      <c r="P140" s="1136" t="s">
        <v>623</v>
      </c>
      <c r="Q140" s="1325" t="s">
        <v>848</v>
      </c>
      <c r="S140" s="625">
        <v>1</v>
      </c>
      <c r="T140" s="625">
        <f t="shared" si="89"/>
        <v>1</v>
      </c>
      <c r="U140" s="626">
        <v>1487.6</v>
      </c>
      <c r="V140" s="626">
        <v>0</v>
      </c>
      <c r="W140" s="627">
        <f t="shared" si="90"/>
        <v>820.8</v>
      </c>
      <c r="X140" s="1134">
        <f t="shared" si="91"/>
        <v>0</v>
      </c>
      <c r="Y140" s="629">
        <f t="shared" si="92"/>
        <v>0</v>
      </c>
      <c r="Z140" s="629">
        <f t="shared" si="96"/>
        <v>0</v>
      </c>
      <c r="AA140" s="629">
        <f t="shared" si="93"/>
        <v>185.82824628039185</v>
      </c>
      <c r="AB140" s="631">
        <f t="shared" si="94"/>
        <v>1</v>
      </c>
      <c r="AC140" s="632">
        <f t="shared" si="95"/>
        <v>0</v>
      </c>
      <c r="AM140" s="1703">
        <f t="shared" si="50"/>
        <v>0</v>
      </c>
      <c r="AN140" s="1713"/>
    </row>
    <row r="141" spans="1:41" ht="150" customHeight="1" x14ac:dyDescent="0.7">
      <c r="A141" s="584">
        <v>129</v>
      </c>
      <c r="B141" s="608" t="s">
        <v>510</v>
      </c>
      <c r="C141" s="609" t="s">
        <v>175</v>
      </c>
      <c r="D141" s="584" t="s">
        <v>182</v>
      </c>
      <c r="E141" s="584" t="s">
        <v>179</v>
      </c>
      <c r="F141" s="940" t="s">
        <v>517</v>
      </c>
      <c r="G141" s="1313" t="s">
        <v>1348</v>
      </c>
      <c r="H141" s="830">
        <v>50</v>
      </c>
      <c r="I141" s="830">
        <v>1</v>
      </c>
      <c r="J141" s="1171">
        <v>5</v>
      </c>
      <c r="K141" s="621">
        <f t="shared" si="85"/>
        <v>250</v>
      </c>
      <c r="L141" s="621">
        <f t="shared" si="86"/>
        <v>20</v>
      </c>
      <c r="M141" s="621">
        <f t="shared" si="87"/>
        <v>56.599733881698299</v>
      </c>
      <c r="N141" s="621">
        <f t="shared" si="88"/>
        <v>326.59973388169828</v>
      </c>
      <c r="O141" s="1131" t="s">
        <v>654</v>
      </c>
      <c r="P141" s="1136" t="s">
        <v>623</v>
      </c>
      <c r="Q141" s="1136" t="s">
        <v>1012</v>
      </c>
      <c r="S141" s="625">
        <v>80</v>
      </c>
      <c r="T141" s="625">
        <f t="shared" si="89"/>
        <v>1</v>
      </c>
      <c r="U141" s="626">
        <v>6.58</v>
      </c>
      <c r="V141" s="626">
        <v>0</v>
      </c>
      <c r="W141" s="1074">
        <f t="shared" si="90"/>
        <v>250</v>
      </c>
      <c r="X141" s="1134">
        <f t="shared" si="91"/>
        <v>0</v>
      </c>
      <c r="Y141" s="629">
        <f t="shared" si="92"/>
        <v>0</v>
      </c>
      <c r="Z141" s="629">
        <f t="shared" si="96"/>
        <v>0</v>
      </c>
      <c r="AA141" s="629">
        <f t="shared" si="93"/>
        <v>56.599733881698299</v>
      </c>
      <c r="AB141" s="631">
        <f t="shared" si="94"/>
        <v>1</v>
      </c>
      <c r="AC141" s="632">
        <f t="shared" si="95"/>
        <v>0</v>
      </c>
      <c r="AM141" s="1703">
        <f t="shared" si="50"/>
        <v>0</v>
      </c>
      <c r="AN141" s="1713"/>
    </row>
    <row r="142" spans="1:41" ht="150" customHeight="1" x14ac:dyDescent="0.7">
      <c r="A142" s="584">
        <v>130</v>
      </c>
      <c r="B142" s="608" t="s">
        <v>511</v>
      </c>
      <c r="C142" s="647" t="s">
        <v>175</v>
      </c>
      <c r="D142" s="584" t="s">
        <v>182</v>
      </c>
      <c r="E142" s="584" t="s">
        <v>179</v>
      </c>
      <c r="F142" s="618" t="s">
        <v>561</v>
      </c>
      <c r="G142" s="1330" t="s">
        <v>1513</v>
      </c>
      <c r="H142" s="737">
        <v>10</v>
      </c>
      <c r="I142" s="737">
        <v>0</v>
      </c>
      <c r="J142" s="738">
        <v>12</v>
      </c>
      <c r="K142" s="620">
        <f t="shared" si="85"/>
        <v>0</v>
      </c>
      <c r="L142" s="620">
        <f t="shared" si="86"/>
        <v>0</v>
      </c>
      <c r="M142" s="620">
        <f t="shared" si="87"/>
        <v>0</v>
      </c>
      <c r="N142" s="620">
        <f t="shared" si="88"/>
        <v>0</v>
      </c>
      <c r="O142" s="1172"/>
      <c r="P142" s="1158"/>
      <c r="Q142" s="1233"/>
      <c r="S142" s="625">
        <f t="shared" si="89"/>
        <v>10</v>
      </c>
      <c r="T142" s="625">
        <f t="shared" si="89"/>
        <v>0</v>
      </c>
      <c r="U142" s="626">
        <v>5</v>
      </c>
      <c r="V142" s="626">
        <f t="shared" ref="V142:V143" si="97">IF(S142&lt;&gt;"",S142*T142*U142,"")</f>
        <v>0</v>
      </c>
      <c r="W142" s="627">
        <f t="shared" si="90"/>
        <v>0</v>
      </c>
      <c r="X142" s="1134">
        <f t="shared" si="91"/>
        <v>0</v>
      </c>
      <c r="Y142" s="629">
        <f t="shared" si="92"/>
        <v>0</v>
      </c>
      <c r="Z142" s="629">
        <f t="shared" si="96"/>
        <v>0</v>
      </c>
      <c r="AA142" s="629">
        <f t="shared" si="93"/>
        <v>0</v>
      </c>
      <c r="AB142" s="631">
        <f t="shared" si="94"/>
        <v>0</v>
      </c>
      <c r="AC142" s="632">
        <f t="shared" si="95"/>
        <v>0</v>
      </c>
      <c r="AM142" s="1703">
        <f t="shared" si="50"/>
        <v>0</v>
      </c>
      <c r="AN142" s="1713"/>
    </row>
    <row r="143" spans="1:41" ht="150" customHeight="1" x14ac:dyDescent="0.7">
      <c r="A143" s="584">
        <v>131</v>
      </c>
      <c r="B143" s="608" t="s">
        <v>512</v>
      </c>
      <c r="C143" s="634" t="s">
        <v>175</v>
      </c>
      <c r="D143" s="633" t="s">
        <v>182</v>
      </c>
      <c r="E143" s="633" t="s">
        <v>179</v>
      </c>
      <c r="F143" s="940" t="s">
        <v>519</v>
      </c>
      <c r="G143" s="1313" t="s">
        <v>1453</v>
      </c>
      <c r="H143" s="830">
        <v>200</v>
      </c>
      <c r="I143" s="830">
        <v>1</v>
      </c>
      <c r="J143" s="1171">
        <v>1.35</v>
      </c>
      <c r="K143" s="621">
        <f t="shared" si="85"/>
        <v>270</v>
      </c>
      <c r="L143" s="621">
        <f t="shared" si="86"/>
        <v>21.6</v>
      </c>
      <c r="M143" s="621">
        <f t="shared" si="87"/>
        <v>61.127712592234168</v>
      </c>
      <c r="N143" s="621">
        <f t="shared" si="88"/>
        <v>352.72771259223418</v>
      </c>
      <c r="O143" s="1172"/>
      <c r="P143" s="1136" t="s">
        <v>974</v>
      </c>
      <c r="Q143" s="1233"/>
      <c r="S143" s="625">
        <f t="shared" si="89"/>
        <v>200</v>
      </c>
      <c r="T143" s="625">
        <v>0</v>
      </c>
      <c r="U143" s="626">
        <v>1</v>
      </c>
      <c r="V143" s="626">
        <f t="shared" si="97"/>
        <v>0</v>
      </c>
      <c r="W143" s="627">
        <f t="shared" si="90"/>
        <v>270</v>
      </c>
      <c r="X143" s="1134">
        <f t="shared" si="91"/>
        <v>0</v>
      </c>
      <c r="Y143" s="629">
        <f t="shared" si="92"/>
        <v>0</v>
      </c>
      <c r="Z143" s="629">
        <f t="shared" si="96"/>
        <v>0</v>
      </c>
      <c r="AA143" s="629">
        <f t="shared" si="93"/>
        <v>61.127712592234168</v>
      </c>
      <c r="AB143" s="631">
        <f t="shared" si="94"/>
        <v>1</v>
      </c>
      <c r="AC143" s="632">
        <f t="shared" si="95"/>
        <v>0</v>
      </c>
      <c r="AM143" s="1703">
        <f t="shared" si="50"/>
        <v>0</v>
      </c>
      <c r="AN143" s="1713"/>
    </row>
    <row r="144" spans="1:41" ht="50.1" customHeight="1" x14ac:dyDescent="0.7">
      <c r="A144" s="584">
        <v>132</v>
      </c>
      <c r="B144" s="608"/>
      <c r="C144" s="609" t="s">
        <v>184</v>
      </c>
      <c r="D144" s="584"/>
      <c r="E144" s="584"/>
      <c r="F144" s="1423" t="s">
        <v>523</v>
      </c>
      <c r="G144" s="1423"/>
      <c r="H144" s="1423"/>
      <c r="I144" s="1423"/>
      <c r="J144" s="1423"/>
      <c r="K144" s="1314">
        <f>SUM(K138:K143)</f>
        <v>4599.3999999999996</v>
      </c>
      <c r="L144" s="1314">
        <f>SUM(L138:L143)</f>
        <v>367.952</v>
      </c>
      <c r="M144" s="1314">
        <f>SUM(M138:M143)</f>
        <v>1041.2992640619327</v>
      </c>
      <c r="N144" s="1314">
        <f>SUM(N138:N143)</f>
        <v>6008.6512640619312</v>
      </c>
      <c r="S144" s="1625">
        <f>SUM(S138:S143)</f>
        <v>652</v>
      </c>
      <c r="T144" s="1423"/>
      <c r="U144" s="1423"/>
      <c r="V144" s="1175">
        <f>SUM(V138:V143)</f>
        <v>997</v>
      </c>
      <c r="W144" s="1176">
        <f>SUM(W138:W143)</f>
        <v>3602.3999999999996</v>
      </c>
      <c r="X144" s="1312">
        <f>SUM(X138:X143)</f>
        <v>0</v>
      </c>
      <c r="Y144" s="1178"/>
      <c r="Z144" s="1179">
        <f>SUM(Z138:Z143)</f>
        <v>997</v>
      </c>
      <c r="AA144" s="891">
        <f t="shared" si="93"/>
        <v>2038.2992640619327</v>
      </c>
      <c r="AM144" s="1703"/>
      <c r="AN144" s="1713"/>
    </row>
    <row r="145" spans="1:40" ht="50.1" customHeight="1" x14ac:dyDescent="0.7">
      <c r="A145" s="584">
        <v>133</v>
      </c>
      <c r="B145" s="608"/>
      <c r="C145" s="609" t="s">
        <v>183</v>
      </c>
      <c r="D145" s="584"/>
      <c r="E145" s="584"/>
      <c r="F145" s="1623" t="s">
        <v>524</v>
      </c>
      <c r="G145" s="1623"/>
      <c r="H145" s="1623"/>
      <c r="I145" s="1623"/>
      <c r="J145" s="1623"/>
      <c r="K145" s="1311">
        <f>SUM(K127:K130)+SUM(K133:K135)+SUM(K138:K143)</f>
        <v>40272.400000000001</v>
      </c>
      <c r="L145" s="1311">
        <f>SUM(L127:L130)+SUM(L133:L135)+SUM(L138:L143)</f>
        <v>3221.7920000000004</v>
      </c>
      <c r="M145" s="1311">
        <f>SUM(M127:M130)+SUM(M133:M135)+SUM(M138:M143)</f>
        <v>9117.6284911092262</v>
      </c>
      <c r="N145" s="1311">
        <f>SUM(N127:N130)+SUM(N133:N135)+SUM(N138:N143)</f>
        <v>52611.820491109225</v>
      </c>
      <c r="S145" s="1624">
        <f>SUM(S127:S130)+SUM(S133:S135)+SUM(S138:S143)</f>
        <v>1206</v>
      </c>
      <c r="T145" s="1623"/>
      <c r="U145" s="1623"/>
      <c r="V145" s="1311">
        <f>SUM(V127:V130)+SUM(V133:V134)+SUM(V138:V143)</f>
        <v>997</v>
      </c>
      <c r="W145" s="1176">
        <f>SUM(W127:W130)+SUM(W133:W134)+SUM(W138:W143)</f>
        <v>34575.4</v>
      </c>
      <c r="X145" s="1312">
        <f>SUM(X127:X130)+SUM(X133:X135)+SUM(X138:X143)</f>
        <v>0</v>
      </c>
      <c r="Y145" s="1178"/>
      <c r="Z145" s="1179">
        <f>SUM(Z127:Z130)+SUM(Z133:Z134)+SUM(Z138:Z143)</f>
        <v>997</v>
      </c>
      <c r="AA145" s="891">
        <f t="shared" si="93"/>
        <v>10114.628491109226</v>
      </c>
      <c r="AM145" s="1703"/>
      <c r="AN145" s="1713"/>
    </row>
    <row r="146" spans="1:40" ht="50.1" customHeight="1" x14ac:dyDescent="0.7">
      <c r="A146" s="584">
        <v>134</v>
      </c>
      <c r="B146" s="608">
        <v>10</v>
      </c>
      <c r="C146" s="609" t="s">
        <v>167</v>
      </c>
      <c r="D146" s="584"/>
      <c r="E146" s="584"/>
      <c r="F146" s="1626" t="s">
        <v>532</v>
      </c>
      <c r="G146" s="1626"/>
      <c r="H146" s="1626"/>
      <c r="I146" s="1626"/>
      <c r="J146" s="1626"/>
      <c r="K146" s="1626"/>
      <c r="L146" s="1626"/>
      <c r="M146" s="1626"/>
      <c r="N146" s="1626"/>
      <c r="S146" s="1626" t="str">
        <f>IF(F146&lt;&gt;"",F146,"")</f>
        <v>OPERAÇÃO</v>
      </c>
      <c r="T146" s="1626"/>
      <c r="U146" s="1626"/>
      <c r="V146" s="1626"/>
      <c r="W146" s="1626"/>
      <c r="X146" s="1626"/>
      <c r="Y146" s="1626"/>
      <c r="Z146" s="1626"/>
      <c r="AA146" s="1626"/>
      <c r="AM146" s="1703"/>
      <c r="AN146" s="1713"/>
    </row>
    <row r="147" spans="1:40" ht="50.1" customHeight="1" x14ac:dyDescent="0.7">
      <c r="A147" s="584">
        <v>135</v>
      </c>
      <c r="B147" s="608" t="s">
        <v>525</v>
      </c>
      <c r="C147" s="609" t="s">
        <v>169</v>
      </c>
      <c r="D147" s="584"/>
      <c r="E147" s="584"/>
      <c r="F147" s="1423" t="s">
        <v>532</v>
      </c>
      <c r="G147" s="1423"/>
      <c r="H147" s="1423"/>
      <c r="I147" s="1423"/>
      <c r="J147" s="1423"/>
      <c r="K147" s="1423"/>
      <c r="L147" s="1296" t="s">
        <v>171</v>
      </c>
      <c r="M147" s="1296" t="s">
        <v>172</v>
      </c>
      <c r="N147" s="1296" t="s">
        <v>129</v>
      </c>
      <c r="O147" s="1126" t="s">
        <v>651</v>
      </c>
      <c r="P147" s="1127" t="s">
        <v>652</v>
      </c>
      <c r="Q147" s="1127" t="s">
        <v>666</v>
      </c>
      <c r="S147" s="1423" t="str">
        <f>IF(F147&lt;&gt;"",F147,"")</f>
        <v>OPERAÇÃO</v>
      </c>
      <c r="T147" s="1423"/>
      <c r="U147" s="1423"/>
      <c r="V147" s="1423"/>
      <c r="W147" s="1423"/>
      <c r="X147" s="1423"/>
      <c r="Y147" s="1423"/>
      <c r="Z147" s="1423"/>
      <c r="AA147" s="1423"/>
      <c r="AB147" s="616" t="s">
        <v>173</v>
      </c>
      <c r="AC147" s="617" t="s">
        <v>130</v>
      </c>
      <c r="AM147" s="1703"/>
      <c r="AN147" s="1713"/>
    </row>
    <row r="148" spans="1:40" ht="150" customHeight="1" x14ac:dyDescent="0.7">
      <c r="A148" s="584">
        <v>136</v>
      </c>
      <c r="B148" s="608" t="s">
        <v>526</v>
      </c>
      <c r="C148" s="609" t="s">
        <v>175</v>
      </c>
      <c r="D148" s="584" t="s">
        <v>182</v>
      </c>
      <c r="E148" s="584" t="s">
        <v>179</v>
      </c>
      <c r="F148" s="940" t="s">
        <v>533</v>
      </c>
      <c r="G148" s="940" t="s">
        <v>1514</v>
      </c>
      <c r="H148" s="951">
        <v>30</v>
      </c>
      <c r="I148" s="951">
        <v>2</v>
      </c>
      <c r="J148" s="1075">
        <v>38</v>
      </c>
      <c r="K148" s="621">
        <f t="shared" ref="K148:K153" si="98">IF(F148&lt;&gt;"",H148*I148*J148,"")</f>
        <v>2280</v>
      </c>
      <c r="L148" s="621">
        <f t="shared" ref="L148:L153" si="99">IF(K148&lt;&gt;"",IF(D148="INTERNO",0,K148*$L$14),"")</f>
        <v>182.4</v>
      </c>
      <c r="M148" s="621">
        <f t="shared" ref="M148:M153" si="100">IF(K148&lt;&gt;"",IF(E148="FAT.OGGI",SUM(K148:L148)*(1/(1-$M$14)-1),L148*(1/(1-$M$14)-1)),0)</f>
        <v>516.18957300108855</v>
      </c>
      <c r="N148" s="621">
        <f t="shared" ref="N148:N153" si="101">SUM(K148:M148)</f>
        <v>2978.5895730010889</v>
      </c>
      <c r="O148" s="1131" t="s">
        <v>654</v>
      </c>
      <c r="P148" s="1136" t="s">
        <v>974</v>
      </c>
      <c r="Q148" s="1233"/>
      <c r="S148" s="625">
        <f t="shared" ref="S148:T153" si="102">IF(H148&lt;&gt;"",H148,"")</f>
        <v>30</v>
      </c>
      <c r="T148" s="625">
        <f t="shared" si="102"/>
        <v>2</v>
      </c>
      <c r="U148" s="626">
        <v>24</v>
      </c>
      <c r="V148" s="626">
        <v>0</v>
      </c>
      <c r="W148" s="627">
        <f t="shared" ref="W148:W153" si="103">IF(S148&lt;&gt;"",K148-V148,"")</f>
        <v>2280</v>
      </c>
      <c r="X148" s="1134">
        <f t="shared" ref="X148:X153" si="104">IF(S148&lt;&gt;"",0%,"")</f>
        <v>0</v>
      </c>
      <c r="Y148" s="629">
        <f t="shared" ref="Y148:Y153" si="105">IF(S148&lt;&gt;"",X148*W148,"")</f>
        <v>0</v>
      </c>
      <c r="Z148" s="629">
        <f t="shared" ref="Z148:Z153" si="106">IF(S148&lt;&gt;"",Y148+V148,"")</f>
        <v>0</v>
      </c>
      <c r="AA148" s="629">
        <f t="shared" ref="AA148:AA155" si="107">IF(S148&lt;&gt;"",Z148+M148,"")</f>
        <v>516.18957300108855</v>
      </c>
      <c r="AB148" s="631">
        <f t="shared" ref="AB148:AB153" si="108">IF(S148&lt;&gt;"", IFERROR(W148/K148, 0), 0)</f>
        <v>1</v>
      </c>
      <c r="AC148" s="632" t="e">
        <f>V148/$V$154</f>
        <v>#DIV/0!</v>
      </c>
      <c r="AM148" s="1703">
        <f t="shared" ref="AM148:AM159" si="109">Z148-AN148</f>
        <v>0</v>
      </c>
      <c r="AN148" s="1713"/>
    </row>
    <row r="149" spans="1:40" ht="150" customHeight="1" x14ac:dyDescent="0.7">
      <c r="A149" s="584">
        <v>137</v>
      </c>
      <c r="B149" s="608" t="s">
        <v>527</v>
      </c>
      <c r="C149" s="609" t="s">
        <v>175</v>
      </c>
      <c r="D149" s="584" t="s">
        <v>182</v>
      </c>
      <c r="E149" s="584" t="s">
        <v>179</v>
      </c>
      <c r="F149" s="940" t="s">
        <v>534</v>
      </c>
      <c r="G149" s="940" t="s">
        <v>1515</v>
      </c>
      <c r="H149" s="951">
        <v>1</v>
      </c>
      <c r="I149" s="951">
        <v>2</v>
      </c>
      <c r="J149" s="1075">
        <v>400</v>
      </c>
      <c r="K149" s="621">
        <f t="shared" si="98"/>
        <v>800</v>
      </c>
      <c r="L149" s="621">
        <f t="shared" si="99"/>
        <v>64</v>
      </c>
      <c r="M149" s="621">
        <f t="shared" si="100"/>
        <v>181.11914842143455</v>
      </c>
      <c r="N149" s="621">
        <f t="shared" si="101"/>
        <v>1045.1191484214346</v>
      </c>
      <c r="O149" s="1131" t="s">
        <v>654</v>
      </c>
      <c r="P149" s="1136" t="s">
        <v>974</v>
      </c>
      <c r="Q149" s="1233"/>
      <c r="S149" s="625">
        <f t="shared" si="102"/>
        <v>1</v>
      </c>
      <c r="T149" s="625">
        <f t="shared" si="102"/>
        <v>2</v>
      </c>
      <c r="U149" s="626">
        <v>300</v>
      </c>
      <c r="V149" s="626">
        <v>0</v>
      </c>
      <c r="W149" s="627">
        <f t="shared" si="103"/>
        <v>800</v>
      </c>
      <c r="X149" s="1134">
        <f t="shared" si="104"/>
        <v>0</v>
      </c>
      <c r="Y149" s="629">
        <f t="shared" si="105"/>
        <v>0</v>
      </c>
      <c r="Z149" s="629">
        <f t="shared" si="106"/>
        <v>0</v>
      </c>
      <c r="AA149" s="629">
        <f t="shared" si="107"/>
        <v>181.11914842143455</v>
      </c>
      <c r="AB149" s="631">
        <f t="shared" si="108"/>
        <v>1</v>
      </c>
      <c r="AC149" s="632" t="e">
        <f>V149/$V$154</f>
        <v>#DIV/0!</v>
      </c>
      <c r="AM149" s="1703">
        <f t="shared" si="109"/>
        <v>0</v>
      </c>
      <c r="AN149" s="1713"/>
    </row>
    <row r="150" spans="1:40" ht="150" customHeight="1" x14ac:dyDescent="0.7">
      <c r="A150" s="584">
        <v>138</v>
      </c>
      <c r="B150" s="608" t="s">
        <v>528</v>
      </c>
      <c r="C150" s="647" t="s">
        <v>175</v>
      </c>
      <c r="D150" s="584" t="s">
        <v>182</v>
      </c>
      <c r="E150" s="584" t="s">
        <v>179</v>
      </c>
      <c r="F150" s="940" t="s">
        <v>486</v>
      </c>
      <c r="G150" s="868" t="s">
        <v>486</v>
      </c>
      <c r="H150" s="951">
        <v>1</v>
      </c>
      <c r="I150" s="951">
        <v>1</v>
      </c>
      <c r="J150" s="1075">
        <v>1000</v>
      </c>
      <c r="K150" s="621">
        <f t="shared" si="98"/>
        <v>1000</v>
      </c>
      <c r="L150" s="621">
        <f t="shared" si="99"/>
        <v>80</v>
      </c>
      <c r="M150" s="621">
        <f t="shared" si="100"/>
        <v>226.3989355267932</v>
      </c>
      <c r="N150" s="621">
        <f t="shared" si="101"/>
        <v>1306.3989355267931</v>
      </c>
      <c r="O150" s="1131" t="s">
        <v>654</v>
      </c>
      <c r="P150" s="1136" t="s">
        <v>974</v>
      </c>
      <c r="Q150" s="1233"/>
      <c r="S150" s="625">
        <f t="shared" si="102"/>
        <v>1</v>
      </c>
      <c r="T150" s="625">
        <v>0</v>
      </c>
      <c r="U150" s="626">
        <v>800</v>
      </c>
      <c r="V150" s="626">
        <f t="shared" ref="V150" si="110">IF(S150&lt;&gt;"",S150*T150*U150,"")</f>
        <v>0</v>
      </c>
      <c r="W150" s="627">
        <f t="shared" si="103"/>
        <v>1000</v>
      </c>
      <c r="X150" s="1134">
        <f t="shared" si="104"/>
        <v>0</v>
      </c>
      <c r="Y150" s="629">
        <f t="shared" si="105"/>
        <v>0</v>
      </c>
      <c r="Z150" s="629">
        <f t="shared" si="106"/>
        <v>0</v>
      </c>
      <c r="AA150" s="629">
        <f t="shared" si="107"/>
        <v>226.3989355267932</v>
      </c>
      <c r="AB150" s="631">
        <f t="shared" si="108"/>
        <v>1</v>
      </c>
      <c r="AC150" s="632"/>
      <c r="AM150" s="1703">
        <f t="shared" si="109"/>
        <v>0</v>
      </c>
      <c r="AN150" s="1713"/>
    </row>
    <row r="151" spans="1:40" ht="150" customHeight="1" x14ac:dyDescent="0.7">
      <c r="A151" s="584">
        <v>139</v>
      </c>
      <c r="B151" s="608" t="s">
        <v>529</v>
      </c>
      <c r="C151" s="634" t="s">
        <v>175</v>
      </c>
      <c r="D151" s="633" t="s">
        <v>182</v>
      </c>
      <c r="E151" s="633" t="s">
        <v>179</v>
      </c>
      <c r="F151" s="940" t="s">
        <v>535</v>
      </c>
      <c r="G151" s="940" t="s">
        <v>1350</v>
      </c>
      <c r="H151" s="951">
        <v>1</v>
      </c>
      <c r="I151" s="951">
        <v>1</v>
      </c>
      <c r="J151" s="1075">
        <v>3500</v>
      </c>
      <c r="K151" s="621">
        <f t="shared" si="98"/>
        <v>3500</v>
      </c>
      <c r="L151" s="621">
        <f t="shared" si="99"/>
        <v>280</v>
      </c>
      <c r="M151" s="621">
        <f t="shared" si="100"/>
        <v>792.39627434377621</v>
      </c>
      <c r="N151" s="621">
        <f t="shared" si="101"/>
        <v>4572.396274343776</v>
      </c>
      <c r="O151" s="1131" t="s">
        <v>654</v>
      </c>
      <c r="P151" s="1136" t="s">
        <v>623</v>
      </c>
      <c r="Q151" s="1233" t="s">
        <v>1035</v>
      </c>
      <c r="S151" s="625">
        <f t="shared" si="102"/>
        <v>1</v>
      </c>
      <c r="T151" s="625">
        <f t="shared" si="102"/>
        <v>1</v>
      </c>
      <c r="U151" s="626">
        <v>2495</v>
      </c>
      <c r="V151" s="626">
        <v>0</v>
      </c>
      <c r="W151" s="627">
        <f t="shared" si="103"/>
        <v>3500</v>
      </c>
      <c r="X151" s="1134">
        <f t="shared" si="104"/>
        <v>0</v>
      </c>
      <c r="Y151" s="629">
        <f t="shared" si="105"/>
        <v>0</v>
      </c>
      <c r="Z151" s="629">
        <f t="shared" si="106"/>
        <v>0</v>
      </c>
      <c r="AA151" s="629">
        <f t="shared" si="107"/>
        <v>792.39627434377621</v>
      </c>
      <c r="AB151" s="631">
        <f t="shared" si="108"/>
        <v>1</v>
      </c>
      <c r="AC151" s="632" t="e">
        <f>V151/$V$154</f>
        <v>#DIV/0!</v>
      </c>
      <c r="AM151" s="1703">
        <f t="shared" si="109"/>
        <v>0</v>
      </c>
      <c r="AN151" s="1713"/>
    </row>
    <row r="152" spans="1:40" ht="150" customHeight="1" x14ac:dyDescent="0.7">
      <c r="A152" s="584">
        <v>140</v>
      </c>
      <c r="B152" s="608" t="s">
        <v>530</v>
      </c>
      <c r="C152" s="609" t="s">
        <v>175</v>
      </c>
      <c r="D152" s="584" t="s">
        <v>182</v>
      </c>
      <c r="E152" s="584" t="s">
        <v>179</v>
      </c>
      <c r="F152" s="940" t="s">
        <v>536</v>
      </c>
      <c r="G152" s="940" t="s">
        <v>1516</v>
      </c>
      <c r="H152" s="951">
        <v>1</v>
      </c>
      <c r="I152" s="951">
        <v>1</v>
      </c>
      <c r="J152" s="1075">
        <v>850</v>
      </c>
      <c r="K152" s="621">
        <f t="shared" si="98"/>
        <v>850</v>
      </c>
      <c r="L152" s="621">
        <f t="shared" si="99"/>
        <v>68</v>
      </c>
      <c r="M152" s="621">
        <f t="shared" si="100"/>
        <v>192.43909519777421</v>
      </c>
      <c r="N152" s="621">
        <f t="shared" si="101"/>
        <v>1110.4390951977741</v>
      </c>
      <c r="O152" s="1131" t="s">
        <v>654</v>
      </c>
      <c r="P152" s="1136" t="s">
        <v>974</v>
      </c>
      <c r="Q152" s="1233"/>
      <c r="S152" s="625">
        <f t="shared" si="102"/>
        <v>1</v>
      </c>
      <c r="T152" s="625">
        <f t="shared" si="102"/>
        <v>1</v>
      </c>
      <c r="U152" s="626">
        <v>380</v>
      </c>
      <c r="V152" s="626">
        <v>0</v>
      </c>
      <c r="W152" s="627">
        <f t="shared" si="103"/>
        <v>850</v>
      </c>
      <c r="X152" s="1134">
        <f t="shared" si="104"/>
        <v>0</v>
      </c>
      <c r="Y152" s="629">
        <f t="shared" si="105"/>
        <v>0</v>
      </c>
      <c r="Z152" s="629">
        <f t="shared" si="106"/>
        <v>0</v>
      </c>
      <c r="AA152" s="629">
        <f t="shared" si="107"/>
        <v>192.43909519777421</v>
      </c>
      <c r="AB152" s="631">
        <f t="shared" si="108"/>
        <v>1</v>
      </c>
      <c r="AC152" s="632" t="e">
        <f>V152/$V$154</f>
        <v>#DIV/0!</v>
      </c>
      <c r="AM152" s="1703">
        <f t="shared" si="109"/>
        <v>0</v>
      </c>
      <c r="AN152" s="1713"/>
    </row>
    <row r="153" spans="1:40" ht="150" customHeight="1" x14ac:dyDescent="0.7">
      <c r="A153" s="584">
        <v>141</v>
      </c>
      <c r="B153" s="608" t="s">
        <v>531</v>
      </c>
      <c r="C153" s="609" t="s">
        <v>175</v>
      </c>
      <c r="D153" s="584" t="s">
        <v>182</v>
      </c>
      <c r="E153" s="584" t="s">
        <v>179</v>
      </c>
      <c r="F153" s="940" t="s">
        <v>537</v>
      </c>
      <c r="G153" s="868" t="s">
        <v>1377</v>
      </c>
      <c r="H153" s="951">
        <v>1</v>
      </c>
      <c r="I153" s="951">
        <v>2</v>
      </c>
      <c r="J153" s="1075">
        <v>3500</v>
      </c>
      <c r="K153" s="621">
        <f t="shared" si="98"/>
        <v>7000</v>
      </c>
      <c r="L153" s="621">
        <f t="shared" si="99"/>
        <v>560</v>
      </c>
      <c r="M153" s="621">
        <f t="shared" si="100"/>
        <v>1584.7925486875524</v>
      </c>
      <c r="N153" s="621">
        <f t="shared" si="101"/>
        <v>9144.792548687552</v>
      </c>
      <c r="O153" s="1131" t="s">
        <v>654</v>
      </c>
      <c r="P153" s="1331" t="s">
        <v>151</v>
      </c>
      <c r="Q153" s="1233"/>
      <c r="S153" s="625">
        <f t="shared" si="102"/>
        <v>1</v>
      </c>
      <c r="T153" s="625">
        <f t="shared" si="102"/>
        <v>2</v>
      </c>
      <c r="U153" s="626">
        <v>2500</v>
      </c>
      <c r="V153" s="626">
        <v>0</v>
      </c>
      <c r="W153" s="627">
        <f t="shared" si="103"/>
        <v>7000</v>
      </c>
      <c r="X153" s="1134">
        <f t="shared" si="104"/>
        <v>0</v>
      </c>
      <c r="Y153" s="629">
        <f t="shared" si="105"/>
        <v>0</v>
      </c>
      <c r="Z153" s="629">
        <f t="shared" si="106"/>
        <v>0</v>
      </c>
      <c r="AA153" s="629">
        <f t="shared" si="107"/>
        <v>1584.7925486875524</v>
      </c>
      <c r="AB153" s="631">
        <f t="shared" si="108"/>
        <v>1</v>
      </c>
      <c r="AC153" s="632" t="e">
        <f>V153/$V$154</f>
        <v>#DIV/0!</v>
      </c>
      <c r="AM153" s="1703">
        <f t="shared" si="109"/>
        <v>0</v>
      </c>
      <c r="AN153" s="1713"/>
    </row>
    <row r="154" spans="1:40" ht="50.1" customHeight="1" x14ac:dyDescent="0.7">
      <c r="A154" s="584">
        <v>142</v>
      </c>
      <c r="B154" s="608"/>
      <c r="C154" s="609" t="s">
        <v>184</v>
      </c>
      <c r="D154" s="584"/>
      <c r="E154" s="584"/>
      <c r="F154" s="1423" t="s">
        <v>538</v>
      </c>
      <c r="G154" s="1423"/>
      <c r="H154" s="1423"/>
      <c r="I154" s="1423"/>
      <c r="J154" s="1423"/>
      <c r="K154" s="1314">
        <f>SUM(K148:K153)</f>
        <v>15430</v>
      </c>
      <c r="L154" s="1314">
        <f>SUM(L148:L153)</f>
        <v>1234.4000000000001</v>
      </c>
      <c r="M154" s="1314">
        <f>SUM(M148:M153)</f>
        <v>3493.3355751784193</v>
      </c>
      <c r="N154" s="1314">
        <f>SUM(N148:N153)</f>
        <v>20157.73557517842</v>
      </c>
      <c r="S154" s="1625">
        <f>SUM(S148:S153)</f>
        <v>35</v>
      </c>
      <c r="T154" s="1423"/>
      <c r="U154" s="1423"/>
      <c r="V154" s="1175">
        <f>SUM(V148:V153)</f>
        <v>0</v>
      </c>
      <c r="W154" s="1176">
        <f>SUM(W148:W153)</f>
        <v>15430</v>
      </c>
      <c r="X154" s="1312">
        <f>SUM(X148:X153)</f>
        <v>0</v>
      </c>
      <c r="Y154" s="1178"/>
      <c r="Z154" s="1179">
        <f>SUM(Z148:Z153)</f>
        <v>0</v>
      </c>
      <c r="AA154" s="891">
        <f t="shared" si="107"/>
        <v>3493.3355751784193</v>
      </c>
      <c r="AM154" s="1703"/>
      <c r="AN154" s="1713"/>
    </row>
    <row r="155" spans="1:40" ht="50.1" customHeight="1" x14ac:dyDescent="0.7">
      <c r="A155" s="584">
        <v>143</v>
      </c>
      <c r="B155" s="608"/>
      <c r="C155" s="609" t="s">
        <v>183</v>
      </c>
      <c r="D155" s="584"/>
      <c r="E155" s="584"/>
      <c r="F155" s="1623" t="s">
        <v>538</v>
      </c>
      <c r="G155" s="1623"/>
      <c r="H155" s="1623"/>
      <c r="I155" s="1623"/>
      <c r="J155" s="1623"/>
      <c r="K155" s="1311">
        <f>SUM(K148:K153)</f>
        <v>15430</v>
      </c>
      <c r="L155" s="1311">
        <f>SUM(L148:L153)</f>
        <v>1234.4000000000001</v>
      </c>
      <c r="M155" s="1311">
        <f>SUM(M148:M153)</f>
        <v>3493.3355751784193</v>
      </c>
      <c r="N155" s="1311">
        <f>SUM(N148:N153)</f>
        <v>20157.73557517842</v>
      </c>
      <c r="S155" s="1624">
        <f>SUM(S148:S153)</f>
        <v>35</v>
      </c>
      <c r="T155" s="1623"/>
      <c r="U155" s="1623"/>
      <c r="V155" s="1311">
        <f>SUM(V148:V153)</f>
        <v>0</v>
      </c>
      <c r="W155" s="1176">
        <f>SUM(W148:W153)</f>
        <v>15430</v>
      </c>
      <c r="X155" s="1312">
        <f>SUM(X148:X153)</f>
        <v>0</v>
      </c>
      <c r="Y155" s="1178"/>
      <c r="Z155" s="1179">
        <f>SUM(Z148:Z153)</f>
        <v>0</v>
      </c>
      <c r="AA155" s="891">
        <f t="shared" si="107"/>
        <v>3493.3355751784193</v>
      </c>
      <c r="AM155" s="1703"/>
      <c r="AN155" s="1713"/>
    </row>
    <row r="156" spans="1:40" ht="50.1" customHeight="1" x14ac:dyDescent="0.7">
      <c r="A156" s="584">
        <v>144</v>
      </c>
      <c r="B156" s="608">
        <v>11</v>
      </c>
      <c r="C156" s="609" t="s">
        <v>167</v>
      </c>
      <c r="D156" s="584"/>
      <c r="E156" s="584"/>
      <c r="F156" s="1626" t="s">
        <v>543</v>
      </c>
      <c r="G156" s="1626"/>
      <c r="H156" s="1626"/>
      <c r="I156" s="1626"/>
      <c r="J156" s="1626"/>
      <c r="K156" s="1626"/>
      <c r="L156" s="1626"/>
      <c r="M156" s="1626"/>
      <c r="N156" s="1626"/>
      <c r="S156" s="1626" t="str">
        <f>IF(F156&lt;&gt;"",F156,"")</f>
        <v>TAXAS E DOCUMENTAÇÕES</v>
      </c>
      <c r="T156" s="1626"/>
      <c r="U156" s="1626"/>
      <c r="V156" s="1626"/>
      <c r="W156" s="1626"/>
      <c r="X156" s="1626"/>
      <c r="Y156" s="1626"/>
      <c r="Z156" s="1626"/>
      <c r="AA156" s="1626"/>
      <c r="AM156" s="1703"/>
      <c r="AN156" s="1713"/>
    </row>
    <row r="157" spans="1:40" ht="50.1" customHeight="1" x14ac:dyDescent="0.7">
      <c r="A157" s="584">
        <v>145</v>
      </c>
      <c r="B157" s="608" t="s">
        <v>539</v>
      </c>
      <c r="C157" s="609" t="s">
        <v>169</v>
      </c>
      <c r="D157" s="584"/>
      <c r="E157" s="584"/>
      <c r="F157" s="1423"/>
      <c r="G157" s="1423"/>
      <c r="H157" s="1423"/>
      <c r="I157" s="1423"/>
      <c r="J157" s="1423"/>
      <c r="K157" s="1423"/>
      <c r="L157" s="1296" t="s">
        <v>171</v>
      </c>
      <c r="M157" s="1296" t="s">
        <v>172</v>
      </c>
      <c r="N157" s="1296" t="s">
        <v>129</v>
      </c>
      <c r="O157" s="1126" t="s">
        <v>651</v>
      </c>
      <c r="P157" s="1127" t="s">
        <v>652</v>
      </c>
      <c r="Q157" s="1127" t="s">
        <v>666</v>
      </c>
      <c r="S157" s="1423" t="str">
        <f>IF(F157&lt;&gt;"",F157,"")</f>
        <v/>
      </c>
      <c r="T157" s="1423"/>
      <c r="U157" s="1423"/>
      <c r="V157" s="1423"/>
      <c r="W157" s="1423"/>
      <c r="X157" s="1423"/>
      <c r="Y157" s="1423"/>
      <c r="Z157" s="1423"/>
      <c r="AA157" s="1423"/>
      <c r="AB157" s="616" t="s">
        <v>173</v>
      </c>
      <c r="AC157" s="617" t="s">
        <v>130</v>
      </c>
      <c r="AM157" s="1703"/>
      <c r="AN157" s="1713"/>
    </row>
    <row r="158" spans="1:40" ht="150" customHeight="1" x14ac:dyDescent="0.7">
      <c r="A158" s="584">
        <v>146</v>
      </c>
      <c r="B158" s="608" t="s">
        <v>540</v>
      </c>
      <c r="C158" s="609" t="s">
        <v>175</v>
      </c>
      <c r="D158" s="584" t="s">
        <v>182</v>
      </c>
      <c r="E158" s="584" t="s">
        <v>179</v>
      </c>
      <c r="F158" s="940" t="s">
        <v>545</v>
      </c>
      <c r="G158" s="868" t="s">
        <v>546</v>
      </c>
      <c r="H158" s="830">
        <v>1</v>
      </c>
      <c r="I158" s="830">
        <v>1</v>
      </c>
      <c r="J158" s="1171">
        <v>2750</v>
      </c>
      <c r="K158" s="621">
        <f>IF(F158&lt;&gt;"",H158*I158*J158,"")</f>
        <v>2750</v>
      </c>
      <c r="L158" s="621">
        <f>IF(K158&lt;&gt;"",IF(D158="INTERNO",0,K158*$L$14),"")</f>
        <v>220</v>
      </c>
      <c r="M158" s="621">
        <f>IF(K158&lt;&gt;"",IF(E158="FAT.OGGI",SUM(K158:L158)*(1/(1-$M$14)-1),L158*(1/(1-$M$14)-1)),0)</f>
        <v>622.59707269868125</v>
      </c>
      <c r="N158" s="621">
        <f>SUM(K158:M158)</f>
        <v>3592.5970726986811</v>
      </c>
      <c r="O158" s="1131" t="s">
        <v>654</v>
      </c>
      <c r="P158" s="1145" t="s">
        <v>655</v>
      </c>
      <c r="Q158" s="1233"/>
      <c r="S158" s="625">
        <f>IF(H158&lt;&gt;"",H158,"")</f>
        <v>1</v>
      </c>
      <c r="T158" s="625">
        <f>IF(I158&lt;&gt;"",I158,"")</f>
        <v>1</v>
      </c>
      <c r="U158" s="626">
        <v>2200</v>
      </c>
      <c r="V158" s="626">
        <v>0</v>
      </c>
      <c r="W158" s="627">
        <f>IF(S158&lt;&gt;"",K158-V158,"")</f>
        <v>2750</v>
      </c>
      <c r="X158" s="1134">
        <f>IF(S158&lt;&gt;"",0%,"")</f>
        <v>0</v>
      </c>
      <c r="Y158" s="629">
        <f>IF(S158&lt;&gt;"",X158*W158,"")</f>
        <v>0</v>
      </c>
      <c r="Z158" s="629">
        <f>IF(S158&lt;&gt;"",Y158+V158,"")</f>
        <v>0</v>
      </c>
      <c r="AA158" s="629">
        <f>IF(S158&lt;&gt;"",Z158+M158,"")</f>
        <v>622.59707269868125</v>
      </c>
      <c r="AB158" s="631">
        <f>IF(S158&lt;&gt;"", IFERROR(W158/K158, 0), 0)</f>
        <v>1</v>
      </c>
      <c r="AC158" s="632" t="e">
        <f>V158/$V$160</f>
        <v>#DIV/0!</v>
      </c>
      <c r="AM158" s="1703">
        <f t="shared" si="109"/>
        <v>0</v>
      </c>
      <c r="AN158" s="1713"/>
    </row>
    <row r="159" spans="1:40" ht="150" customHeight="1" x14ac:dyDescent="0.7">
      <c r="A159" s="584">
        <v>147</v>
      </c>
      <c r="B159" s="608" t="s">
        <v>541</v>
      </c>
      <c r="C159" s="609" t="s">
        <v>175</v>
      </c>
      <c r="D159" s="584" t="s">
        <v>182</v>
      </c>
      <c r="E159" s="584" t="s">
        <v>179</v>
      </c>
      <c r="F159" s="618" t="s">
        <v>547</v>
      </c>
      <c r="G159" s="618" t="s">
        <v>1517</v>
      </c>
      <c r="H159" s="702">
        <v>1</v>
      </c>
      <c r="I159" s="702">
        <v>1</v>
      </c>
      <c r="J159" s="719">
        <v>2300</v>
      </c>
      <c r="K159" s="620">
        <f>IF(F159&lt;&gt;"",H159*I159*J159,"")</f>
        <v>2300</v>
      </c>
      <c r="L159" s="620">
        <f>IF(K159&lt;&gt;"",IF(D159="INTERNO",0,K159*$L$14),"")</f>
        <v>184</v>
      </c>
      <c r="M159" s="620">
        <f>IF(K159&lt;&gt;"",IF(E159="FAT.OGGI",SUM(K159:L159)*(1/(1-$M$14)-1),L159*(1/(1-$M$14)-1)),0)</f>
        <v>520.71755171162431</v>
      </c>
      <c r="N159" s="620">
        <f>SUM(K159:M159)</f>
        <v>3004.7175517116243</v>
      </c>
      <c r="O159" s="1131" t="s">
        <v>654</v>
      </c>
      <c r="P159" s="1136" t="s">
        <v>974</v>
      </c>
      <c r="Q159" s="1233"/>
      <c r="S159" s="625">
        <f>IF(H159&lt;&gt;"",H159,"")</f>
        <v>1</v>
      </c>
      <c r="T159" s="625">
        <v>0</v>
      </c>
      <c r="U159" s="626">
        <v>1500</v>
      </c>
      <c r="V159" s="626">
        <f>IF(S159&lt;&gt;"",S159*T159*U159,"")</f>
        <v>0</v>
      </c>
      <c r="W159" s="627">
        <f>IF(S159&lt;&gt;"",K159-V159,"")</f>
        <v>2300</v>
      </c>
      <c r="X159" s="1134">
        <f>IF(S159&lt;&gt;"",0%,"")</f>
        <v>0</v>
      </c>
      <c r="Y159" s="629">
        <f>IF(S159&lt;&gt;"",X159*W159,"")</f>
        <v>0</v>
      </c>
      <c r="Z159" s="629">
        <f>IF(S159&lt;&gt;"",Y159+V159,"")</f>
        <v>0</v>
      </c>
      <c r="AA159" s="629">
        <f>IF(S159&lt;&gt;"",Z159+M159,"")</f>
        <v>520.71755171162431</v>
      </c>
      <c r="AB159" s="631">
        <f>IF(S159&lt;&gt;"", IFERROR(W159/K159, 0), 0)</f>
        <v>1</v>
      </c>
      <c r="AC159" s="632" t="e">
        <f>V159/$V$160</f>
        <v>#DIV/0!</v>
      </c>
      <c r="AM159" s="1703">
        <f t="shared" si="109"/>
        <v>0</v>
      </c>
      <c r="AN159" s="1713"/>
    </row>
    <row r="160" spans="1:40" ht="50.1" customHeight="1" thickBot="1" x14ac:dyDescent="0.75">
      <c r="A160" s="584">
        <v>148</v>
      </c>
      <c r="B160" s="608"/>
      <c r="C160" s="609" t="s">
        <v>184</v>
      </c>
      <c r="D160" s="584"/>
      <c r="E160" s="584"/>
      <c r="F160" s="1423" t="s">
        <v>191</v>
      </c>
      <c r="G160" s="1423"/>
      <c r="H160" s="1423"/>
      <c r="I160" s="1423"/>
      <c r="J160" s="1423"/>
      <c r="K160" s="1314">
        <f>SUM(K158:K159)</f>
        <v>5050</v>
      </c>
      <c r="L160" s="1314">
        <f>SUM(L158:L159)</f>
        <v>404</v>
      </c>
      <c r="M160" s="1314">
        <f>SUM(M158:M159)</f>
        <v>1143.3146244103054</v>
      </c>
      <c r="N160" s="1314">
        <f>SUM(N158:N159)</f>
        <v>6597.3146244103054</v>
      </c>
      <c r="S160" s="1625">
        <f>SUM(S158:S159)</f>
        <v>2</v>
      </c>
      <c r="T160" s="1423"/>
      <c r="U160" s="1423"/>
      <c r="V160" s="1175">
        <f>SUM(V158:V159)</f>
        <v>0</v>
      </c>
      <c r="W160" s="1176">
        <f>SUM(W158:W159)</f>
        <v>5050</v>
      </c>
      <c r="X160" s="1312">
        <f>SUM(X158:X159)</f>
        <v>0</v>
      </c>
      <c r="Y160" s="1178"/>
      <c r="Z160" s="1179">
        <f>SUM(Z158:Z159)</f>
        <v>0</v>
      </c>
      <c r="AA160" s="891">
        <f>IF(S160&lt;&gt;"",Z160+M160,"")</f>
        <v>1143.3146244103054</v>
      </c>
      <c r="AM160" s="1703"/>
      <c r="AN160" s="1713"/>
    </row>
    <row r="161" spans="1:41" ht="50.1" customHeight="1" thickBot="1" x14ac:dyDescent="0.75">
      <c r="A161" s="584">
        <v>149</v>
      </c>
      <c r="B161" s="608"/>
      <c r="C161" s="609" t="s">
        <v>183</v>
      </c>
      <c r="D161" s="584"/>
      <c r="E161" s="584"/>
      <c r="F161" s="1623" t="s">
        <v>548</v>
      </c>
      <c r="G161" s="1623"/>
      <c r="H161" s="1623"/>
      <c r="I161" s="1623"/>
      <c r="J161" s="1623"/>
      <c r="K161" s="1311">
        <f>SUM(K158:K159)</f>
        <v>5050</v>
      </c>
      <c r="L161" s="1311">
        <f>SUM(L158:L159)</f>
        <v>404</v>
      </c>
      <c r="M161" s="1311">
        <f>SUM(M158:M159)</f>
        <v>1143.3146244103054</v>
      </c>
      <c r="N161" s="1311">
        <f>SUM(N158:N159)</f>
        <v>6597.3146244103054</v>
      </c>
      <c r="S161" s="1624">
        <f>SUM(S158:S159)</f>
        <v>2</v>
      </c>
      <c r="T161" s="1623"/>
      <c r="U161" s="1623"/>
      <c r="V161" s="1311">
        <f>SUM(V158:V159)</f>
        <v>0</v>
      </c>
      <c r="W161" s="1176">
        <f>SUM(W158:W159)</f>
        <v>5050</v>
      </c>
      <c r="X161" s="1312">
        <f>SUM(X158:X159)</f>
        <v>0</v>
      </c>
      <c r="Y161" s="1178"/>
      <c r="Z161" s="1179">
        <f>SUM(Z158:Z159)</f>
        <v>0</v>
      </c>
      <c r="AA161" s="891">
        <f>IF(S161&lt;&gt;"",Z161+M161,"")</f>
        <v>1143.3146244103054</v>
      </c>
      <c r="AB161" s="1231" t="s">
        <v>235</v>
      </c>
      <c r="AC161" s="1332" t="s">
        <v>549</v>
      </c>
      <c r="AM161" s="1703"/>
      <c r="AN161" s="1713"/>
    </row>
    <row r="162" spans="1:41" ht="50.1" customHeight="1" thickBot="1" x14ac:dyDescent="0.75">
      <c r="A162" s="646">
        <v>150</v>
      </c>
      <c r="B162" s="815"/>
      <c r="C162" s="647" t="s">
        <v>186</v>
      </c>
      <c r="D162" s="646"/>
      <c r="E162" s="646"/>
      <c r="F162" s="1333" t="s">
        <v>187</v>
      </c>
      <c r="G162" s="1333"/>
      <c r="H162" s="1333"/>
      <c r="I162" s="1333"/>
      <c r="J162" s="1333"/>
      <c r="K162" s="1334">
        <f>SUM(K17:K24)+SUM(K29:K45)+SUM(K50:K51)+SUM(K54:K59)+SUM(K64:K68)+SUM(K71:K72)+SUM(K75:K75)+SUM(K78:K83)+SUM(K88:K91)+SUM(K96:K106)+SUM(K111:K113)+SUM(K118:K122)+SUM(K127:K130)+SUM(K133:K135)+SUM(K138:K143)+SUM(K148:K153)+SUM(K158:K159)</f>
        <v>1557480.6199999999</v>
      </c>
      <c r="L162" s="1334">
        <f>SUM(L17:L24)+SUM(L29:L45)+SUM(L50:L51)+SUM(L54:L59)+SUM(L64:L68)+SUM(L71:L72)+SUM(L75:L75)+SUM(L78:L83)+SUM(L88:L91)+SUM(L96:L106)+SUM(L111:L113)+SUM(L118:L122)+SUM(L127:L130)+SUM(L133:L135)+SUM(L138:L143)+SUM(L148:L153)+SUM(L158:L159)</f>
        <v>91843.079599999983</v>
      </c>
      <c r="M162" s="1334">
        <f>SUM(M17:M24)+SUM(M29:M45)+SUM(M50:M51)+SUM(M54:M59)+SUM(M64:M68)+SUM(M71:M72)+SUM(M75:M75)+SUM(M78:M83)+SUM(M88:M91)+SUM(M96:M106)+SUM(M111:M113)+SUM(M118:M122)+SUM(M127:M130)+SUM(M133:M135)+SUM(M138:M143)+SUM(M148:M153)+SUM(M158:M159)</f>
        <v>84240.517800508009</v>
      </c>
      <c r="N162" s="1334">
        <f>SUM(N17:N24)+SUM(N29:N45)+SUM(N50:N51)+SUM(N54:N59)+SUM(N64:N68)+SUM(N71:N72)+SUM(N75:N75)+SUM(N78:N83)+SUM(N88:N91)+SUM(N96:N106)+SUM(N111:N113)+SUM(N118:N122)+SUM(N127:N130)+SUM(N133:N135)+SUM(N138:N143)+SUM(N148:N153)+SUM(N158:N159)</f>
        <v>1733564.2174005082</v>
      </c>
      <c r="S162" s="1272" t="s">
        <v>43</v>
      </c>
      <c r="T162" s="1273"/>
      <c r="U162" s="1270"/>
      <c r="V162" s="1271">
        <f t="shared" ref="V162:AA162" si="111">SUM(V158:V159,V148:V153,V138:V143,V133:V135,V127:V130,V118:V122,V111:V113,V96:V106,V88:V91,V78:V83,V75,V71:V72,V64:V68,V54:V59,V50:V51,V29:V45,V17:V24)</f>
        <v>169265.4</v>
      </c>
      <c r="W162" s="1271">
        <f t="shared" si="111"/>
        <v>1388215.2200000002</v>
      </c>
      <c r="X162" s="1271">
        <f t="shared" si="111"/>
        <v>0</v>
      </c>
      <c r="Y162" s="1271">
        <f t="shared" si="111"/>
        <v>0</v>
      </c>
      <c r="Z162" s="1271">
        <f t="shared" si="111"/>
        <v>169265.4</v>
      </c>
      <c r="AA162" s="1271">
        <f t="shared" si="111"/>
        <v>253505.917800508</v>
      </c>
      <c r="AB162" s="1275">
        <f>IF(S162&lt;&gt;"",(N162-AA162)/N162,"")</f>
        <v>0.85376606458764948</v>
      </c>
      <c r="AC162" s="1276">
        <f>IF(AB162&lt;&gt;"",(N162-AA162),"")</f>
        <v>1480058.2996000003</v>
      </c>
      <c r="AM162" s="1703">
        <f>SUM(AM17:AM161)</f>
        <v>0</v>
      </c>
      <c r="AN162" s="1713">
        <f>SUM(AN17:AN161)</f>
        <v>169265.4</v>
      </c>
    </row>
    <row r="165" spans="1:41" x14ac:dyDescent="0.3">
      <c r="AN165" s="1706">
        <f>Z162</f>
        <v>169265.4</v>
      </c>
      <c r="AO165" s="1707" t="s">
        <v>1615</v>
      </c>
    </row>
    <row r="166" spans="1:41" x14ac:dyDescent="0.3">
      <c r="AN166" s="1708">
        <f>N162-Z162</f>
        <v>1564298.8174005083</v>
      </c>
      <c r="AO166" s="1709" t="s">
        <v>799</v>
      </c>
    </row>
    <row r="167" spans="1:41" x14ac:dyDescent="0.3">
      <c r="AN167" s="1714">
        <f>AN166*100%/N162</f>
        <v>0.90235989050707643</v>
      </c>
    </row>
  </sheetData>
  <autoFilter ref="A1:AN109" xr:uid="{107B9E09-8154-459A-AE62-6A4242823A27}">
    <filterColumn colId="5" showButton="0"/>
  </autoFilter>
  <mergeCells count="121">
    <mergeCell ref="F1:G1"/>
    <mergeCell ref="F2:G2"/>
    <mergeCell ref="S12:V12"/>
    <mergeCell ref="W12:Z12"/>
    <mergeCell ref="AE12:AG12"/>
    <mergeCell ref="AI12:AJ12"/>
    <mergeCell ref="F26:J26"/>
    <mergeCell ref="S26:U26"/>
    <mergeCell ref="F27:N27"/>
    <mergeCell ref="S27:AA27"/>
    <mergeCell ref="F28:K28"/>
    <mergeCell ref="S28:AA28"/>
    <mergeCell ref="AM12:AN12"/>
    <mergeCell ref="F15:N15"/>
    <mergeCell ref="S15:AA15"/>
    <mergeCell ref="F16:K16"/>
    <mergeCell ref="S16:AA16"/>
    <mergeCell ref="F25:J25"/>
    <mergeCell ref="S25:U25"/>
    <mergeCell ref="AM15:AN15"/>
    <mergeCell ref="AM16:AN16"/>
    <mergeCell ref="F49:K49"/>
    <mergeCell ref="S49:AA49"/>
    <mergeCell ref="F52:J52"/>
    <mergeCell ref="S52:U52"/>
    <mergeCell ref="F46:J46"/>
    <mergeCell ref="S46:U46"/>
    <mergeCell ref="F47:J47"/>
    <mergeCell ref="S47:U47"/>
    <mergeCell ref="F48:N48"/>
    <mergeCell ref="S48:AA48"/>
    <mergeCell ref="F62:N62"/>
    <mergeCell ref="S62:AA62"/>
    <mergeCell ref="F63:K63"/>
    <mergeCell ref="S63:AA63"/>
    <mergeCell ref="F69:J69"/>
    <mergeCell ref="S69:U69"/>
    <mergeCell ref="F53:K53"/>
    <mergeCell ref="S53:AA53"/>
    <mergeCell ref="F60:J60"/>
    <mergeCell ref="S60:U60"/>
    <mergeCell ref="F61:J61"/>
    <mergeCell ref="S61:U61"/>
    <mergeCell ref="F76:J76"/>
    <mergeCell ref="S76:U76"/>
    <mergeCell ref="F77:K77"/>
    <mergeCell ref="S77:AA77"/>
    <mergeCell ref="F84:J84"/>
    <mergeCell ref="S84:U84"/>
    <mergeCell ref="F70:K70"/>
    <mergeCell ref="S70:AA70"/>
    <mergeCell ref="F73:J73"/>
    <mergeCell ref="S73:U73"/>
    <mergeCell ref="F74:K74"/>
    <mergeCell ref="S74:AA74"/>
    <mergeCell ref="F92:J92"/>
    <mergeCell ref="S92:U92"/>
    <mergeCell ref="F85:J85"/>
    <mergeCell ref="S85:U85"/>
    <mergeCell ref="F86:N86"/>
    <mergeCell ref="S86:AA86"/>
    <mergeCell ref="F87:K87"/>
    <mergeCell ref="S87:AA87"/>
    <mergeCell ref="F94:N94"/>
    <mergeCell ref="S94:AA94"/>
    <mergeCell ref="F95:K95"/>
    <mergeCell ref="S95:AA95"/>
    <mergeCell ref="F107:J107"/>
    <mergeCell ref="S107:U107"/>
    <mergeCell ref="F93:J93"/>
    <mergeCell ref="S93:U93"/>
    <mergeCell ref="F114:J114"/>
    <mergeCell ref="S114:U114"/>
    <mergeCell ref="F115:J115"/>
    <mergeCell ref="S115:U115"/>
    <mergeCell ref="F116:N116"/>
    <mergeCell ref="S116:AA116"/>
    <mergeCell ref="F108:J108"/>
    <mergeCell ref="S108:U108"/>
    <mergeCell ref="F109:N109"/>
    <mergeCell ref="S109:AA109"/>
    <mergeCell ref="F110:K110"/>
    <mergeCell ref="S110:AA110"/>
    <mergeCell ref="F125:N125"/>
    <mergeCell ref="S125:AA125"/>
    <mergeCell ref="F126:K126"/>
    <mergeCell ref="S126:AA126"/>
    <mergeCell ref="F131:J131"/>
    <mergeCell ref="S131:U131"/>
    <mergeCell ref="F117:K117"/>
    <mergeCell ref="S117:AA117"/>
    <mergeCell ref="F123:J123"/>
    <mergeCell ref="S123:U123"/>
    <mergeCell ref="F124:J124"/>
    <mergeCell ref="S124:U124"/>
    <mergeCell ref="F144:J144"/>
    <mergeCell ref="S144:U144"/>
    <mergeCell ref="F132:K132"/>
    <mergeCell ref="S132:AA132"/>
    <mergeCell ref="F136:J136"/>
    <mergeCell ref="S136:U136"/>
    <mergeCell ref="F137:K137"/>
    <mergeCell ref="S137:AA137"/>
    <mergeCell ref="F145:J145"/>
    <mergeCell ref="S145:U145"/>
    <mergeCell ref="F161:J161"/>
    <mergeCell ref="S161:U161"/>
    <mergeCell ref="F160:J160"/>
    <mergeCell ref="S160:U160"/>
    <mergeCell ref="S156:AA156"/>
    <mergeCell ref="S146:AA146"/>
    <mergeCell ref="F154:J154"/>
    <mergeCell ref="S154:U154"/>
    <mergeCell ref="F146:N146"/>
    <mergeCell ref="F147:K147"/>
    <mergeCell ref="S147:AA147"/>
    <mergeCell ref="F155:J155"/>
    <mergeCell ref="S155:U155"/>
    <mergeCell ref="F156:N156"/>
    <mergeCell ref="F157:K157"/>
    <mergeCell ref="S157:AA157"/>
  </mergeCells>
  <dataValidations count="3">
    <dataValidation type="list" allowBlank="1" showInputMessage="1" showErrorMessage="1" sqref="D162 D133:D135 D50:D51 D75 D71:D72 D17:D26 D29:D46 D111:D113 D148:D153 D88:D91 D158:D159 D138:D143 D127:D131 D54:D59 D118:D122 D64:D68 D96:D106 D78:D83" xr:uid="{B3C45330-8B61-44BA-AED6-08665951D524}">
      <formula1>"INTERNO,OPERACIONAL"</formula1>
    </dataValidation>
    <dataValidation type="list" allowBlank="1" showInputMessage="1" showErrorMessage="1" sqref="E118:E122 E71:E72 E75 E148:E153 E17:E26 E50:E51 E29:E46 E96:E106 E88:E91 E158:E159 E138:E143 E127:E131 E54:E59 E111:E113 E64:E68 E133:E135 E78:E83" xr:uid="{39397605-2A59-45BA-9A19-C463B55CABF3}">
      <formula1>"FAT.OGGI,FAT.CLIENTE"</formula1>
    </dataValidation>
    <dataValidation type="list" allowBlank="1" showInputMessage="1" showErrorMessage="1" sqref="E162" xr:uid="{A75A9066-263B-42A2-A50E-66F90F676322}">
      <formula1>"FAT.OGGI,FAT.CLIENTE "</formula1>
    </dataValidation>
  </dataValidations>
  <pageMargins left="0.23622047244094491" right="0.23622047244094491" top="0.74803149606299213" bottom="0.74803149606299213" header="0.31496062992125984" footer="0.31496062992125984"/>
  <pageSetup paperSize="9" scale="3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8DCFF-DD54-419A-81D3-2BA98D78CB42}">
  <sheetPr codeName="Planilha16">
    <pageSetUpPr autoPageBreaks="0"/>
  </sheetPr>
  <dimension ref="A1:AT33"/>
  <sheetViews>
    <sheetView showGridLines="0" topLeftCell="B1" zoomScale="35" zoomScaleNormal="35" workbookViewId="0">
      <pane ySplit="1" topLeftCell="A2" activePane="bottomLeft" state="frozen"/>
      <selection pane="bottomLeft" activeCell="AM1" sqref="AM1:AT1048576"/>
    </sheetView>
  </sheetViews>
  <sheetFormatPr defaultColWidth="8.88671875" defaultRowHeight="36.6" x14ac:dyDescent="0.3"/>
  <cols>
    <col min="1" max="1" width="8.109375" style="1117" hidden="1" customWidth="1"/>
    <col min="2" max="2" width="13.5546875" style="1117" customWidth="1"/>
    <col min="3" max="3" width="15.44140625" style="1117" hidden="1" customWidth="1"/>
    <col min="4" max="4" width="19.109375" style="1117" hidden="1" customWidth="1"/>
    <col min="5" max="5" width="16.88671875" style="1117" hidden="1" customWidth="1"/>
    <col min="6" max="6" width="48.6640625" style="1117" customWidth="1"/>
    <col min="7" max="7" width="60.44140625" style="1117" customWidth="1"/>
    <col min="8" max="9" width="10.5546875" style="1117" hidden="1" customWidth="1"/>
    <col min="10" max="10" width="18.88671875" style="1117" hidden="1" customWidth="1"/>
    <col min="11" max="11" width="33.44140625" style="1117" bestFit="1" customWidth="1"/>
    <col min="12" max="12" width="35.88671875" style="1117" bestFit="1" customWidth="1"/>
    <col min="13" max="13" width="30.88671875" style="1117" bestFit="1" customWidth="1"/>
    <col min="14" max="14" width="33.44140625" style="1117" bestFit="1" customWidth="1"/>
    <col min="15" max="16" width="24.109375" style="1279" hidden="1" customWidth="1"/>
    <col min="17" max="17" width="42.88671875" style="1279" hidden="1" customWidth="1"/>
    <col min="18" max="18" width="5.88671875" style="1280" hidden="1" customWidth="1"/>
    <col min="19" max="19" width="21.5546875" style="1065" customWidth="1"/>
    <col min="20" max="20" width="10.5546875" style="1065" hidden="1" customWidth="1"/>
    <col min="21" max="21" width="33.88671875" style="1117" hidden="1" customWidth="1"/>
    <col min="22" max="22" width="33.44140625" style="1117" bestFit="1" customWidth="1"/>
    <col min="23" max="23" width="27.5546875" style="1117" hidden="1" customWidth="1"/>
    <col min="24" max="24" width="13" style="1065" hidden="1" customWidth="1"/>
    <col min="25" max="25" width="16.109375" style="1117" hidden="1" customWidth="1"/>
    <col min="26" max="26" width="32.109375" style="1117" customWidth="1"/>
    <col min="27" max="27" width="30.88671875" style="1117" hidden="1" customWidth="1"/>
    <col min="28" max="28" width="19.44140625" style="1117" hidden="1" customWidth="1"/>
    <col min="29" max="29" width="27.88671875" style="1117" hidden="1" customWidth="1"/>
    <col min="30" max="30" width="38.109375" style="1117" hidden="1" customWidth="1"/>
    <col min="31" max="31" width="14.109375" style="1117" hidden="1" customWidth="1"/>
    <col min="32" max="32" width="7.5546875" style="1117" hidden="1" customWidth="1"/>
    <col min="33" max="33" width="6.88671875" style="1117" hidden="1" customWidth="1"/>
    <col min="34" max="34" width="1.44140625" style="1117" hidden="1" customWidth="1"/>
    <col min="35" max="35" width="14" style="1117" hidden="1" customWidth="1"/>
    <col min="36" max="36" width="11.5546875" style="1117" hidden="1" customWidth="1"/>
    <col min="37" max="37" width="6.44140625" style="1117" hidden="1" customWidth="1"/>
    <col min="38" max="38" width="12.5546875" style="1117" hidden="1" customWidth="1"/>
    <col min="39" max="39" width="40.5546875" style="1719" customWidth="1"/>
    <col min="40" max="40" width="42" style="1719" customWidth="1"/>
    <col min="41" max="41" width="8.88671875" style="1719" bestFit="1"/>
    <col min="42" max="42" width="21.44140625" style="1719" customWidth="1"/>
    <col min="43" max="46" width="8.88671875" style="1719"/>
    <col min="47" max="16384" width="8.88671875" style="1117"/>
  </cols>
  <sheetData>
    <row r="1" spans="1:40" ht="49.5" customHeight="1" x14ac:dyDescent="0.3">
      <c r="B1" s="560"/>
      <c r="C1" s="561"/>
      <c r="D1" s="561"/>
      <c r="F1" s="1399" t="s">
        <v>128</v>
      </c>
      <c r="G1" s="1399"/>
    </row>
    <row r="2" spans="1:40" ht="24.75" customHeight="1" x14ac:dyDescent="0.3">
      <c r="B2" s="1065"/>
      <c r="D2" s="561"/>
      <c r="F2" s="1400" t="s">
        <v>0</v>
      </c>
      <c r="G2" s="1400"/>
    </row>
    <row r="3" spans="1:40" x14ac:dyDescent="0.3">
      <c r="B3" s="1119"/>
      <c r="F3" s="564"/>
      <c r="G3" s="564"/>
    </row>
    <row r="4" spans="1:40" x14ac:dyDescent="0.3">
      <c r="F4" s="565" t="s">
        <v>245</v>
      </c>
      <c r="G4" s="566"/>
    </row>
    <row r="5" spans="1:40" x14ac:dyDescent="0.3">
      <c r="F5" s="567" t="s">
        <v>224</v>
      </c>
      <c r="G5" s="568"/>
    </row>
    <row r="6" spans="1:40" x14ac:dyDescent="0.3">
      <c r="D6" s="1117" t="s">
        <v>155</v>
      </c>
      <c r="F6" s="567" t="s">
        <v>566</v>
      </c>
      <c r="G6" s="569"/>
    </row>
    <row r="7" spans="1:40" x14ac:dyDescent="0.3">
      <c r="F7" s="567" t="s">
        <v>247</v>
      </c>
      <c r="G7" s="569"/>
      <c r="J7" s="1117" t="s">
        <v>225</v>
      </c>
    </row>
    <row r="8" spans="1:40" x14ac:dyDescent="0.3">
      <c r="F8" s="567" t="s">
        <v>634</v>
      </c>
      <c r="G8" s="570"/>
    </row>
    <row r="9" spans="1:40" x14ac:dyDescent="0.3">
      <c r="F9" s="567" t="s">
        <v>249</v>
      </c>
      <c r="G9" s="569"/>
      <c r="J9" s="1117" t="s">
        <v>155</v>
      </c>
      <c r="M9" s="1117">
        <v>0.80469999999999997</v>
      </c>
    </row>
    <row r="10" spans="1:40" x14ac:dyDescent="0.3">
      <c r="F10" s="567" t="s">
        <v>177</v>
      </c>
      <c r="G10" s="569"/>
      <c r="M10" s="1117">
        <f>1-M9</f>
        <v>0.19530000000000003</v>
      </c>
    </row>
    <row r="11" spans="1:40" x14ac:dyDescent="0.3">
      <c r="F11" s="571" t="s">
        <v>636</v>
      </c>
      <c r="G11" s="572"/>
    </row>
    <row r="12" spans="1:40" ht="15.9" hidden="1" customHeight="1" thickBot="1" x14ac:dyDescent="0.35">
      <c r="B12" s="1120"/>
      <c r="L12" s="1281">
        <v>0</v>
      </c>
      <c r="M12" s="1122">
        <v>0</v>
      </c>
      <c r="S12" s="1409" t="s">
        <v>1</v>
      </c>
      <c r="T12" s="1410"/>
      <c r="U12" s="1410"/>
      <c r="V12" s="1578"/>
      <c r="W12" s="1412" t="s">
        <v>2</v>
      </c>
      <c r="X12" s="1413"/>
      <c r="Y12" s="1413"/>
      <c r="Z12" s="1571"/>
      <c r="AA12" s="576" t="s">
        <v>56</v>
      </c>
      <c r="AB12" s="1277">
        <f>(1/(1-M14))-1</f>
        <v>0.20962864400629</v>
      </c>
      <c r="AE12" s="1392" t="s">
        <v>3</v>
      </c>
      <c r="AF12" s="1393"/>
      <c r="AG12" s="1572"/>
      <c r="AI12" s="1390" t="s">
        <v>58</v>
      </c>
      <c r="AJ12" s="1391"/>
      <c r="AL12" s="578" t="s">
        <v>71</v>
      </c>
      <c r="AM12" s="1696" t="s">
        <v>70</v>
      </c>
      <c r="AN12" s="1697"/>
    </row>
    <row r="13" spans="1:40" ht="37.200000000000003" thickBot="1" x14ac:dyDescent="0.35">
      <c r="A13" s="1124" t="s">
        <v>4</v>
      </c>
      <c r="B13" s="1125" t="s">
        <v>5</v>
      </c>
      <c r="C13" s="1124" t="s">
        <v>6</v>
      </c>
      <c r="D13" s="1124" t="s">
        <v>7</v>
      </c>
      <c r="E13" s="1124" t="s">
        <v>8</v>
      </c>
      <c r="L13" s="1281">
        <v>0.05</v>
      </c>
      <c r="M13" s="1122">
        <v>0.82669999999999999</v>
      </c>
    </row>
    <row r="14" spans="1:40" ht="68.25" customHeight="1" thickBot="1" x14ac:dyDescent="0.35">
      <c r="A14" s="581">
        <v>0</v>
      </c>
      <c r="B14" s="582"/>
      <c r="C14" s="583"/>
      <c r="D14" s="584"/>
      <c r="E14" s="584"/>
      <c r="F14" s="1282" t="s">
        <v>131</v>
      </c>
      <c r="G14" s="1283" t="s">
        <v>132</v>
      </c>
      <c r="H14" s="1284" t="s">
        <v>133</v>
      </c>
      <c r="I14" s="1284" t="s">
        <v>134</v>
      </c>
      <c r="J14" s="1285" t="s">
        <v>135</v>
      </c>
      <c r="K14" s="1286" t="s">
        <v>9</v>
      </c>
      <c r="L14" s="1287">
        <v>0.08</v>
      </c>
      <c r="M14" s="1288">
        <f>1-M13</f>
        <v>0.17330000000000001</v>
      </c>
      <c r="N14" s="1286" t="s">
        <v>129</v>
      </c>
      <c r="S14" s="1289" t="s">
        <v>136</v>
      </c>
      <c r="T14" s="1289" t="s">
        <v>137</v>
      </c>
      <c r="U14" s="1290" t="s">
        <v>138</v>
      </c>
      <c r="V14" s="1291" t="s">
        <v>139</v>
      </c>
      <c r="W14" s="1292" t="s">
        <v>140</v>
      </c>
      <c r="X14" s="1293" t="s">
        <v>141</v>
      </c>
      <c r="Y14" s="1294" t="s">
        <v>142</v>
      </c>
      <c r="Z14" s="1294" t="s">
        <v>143</v>
      </c>
      <c r="AA14" s="1295" t="s">
        <v>144</v>
      </c>
      <c r="AB14" s="1293" t="s">
        <v>145</v>
      </c>
      <c r="AC14" s="1293" t="s">
        <v>130</v>
      </c>
      <c r="AE14" s="604" t="s">
        <v>146</v>
      </c>
      <c r="AF14" s="605" t="s">
        <v>147</v>
      </c>
      <c r="AG14" s="605" t="s">
        <v>33</v>
      </c>
      <c r="AI14" s="606" t="s">
        <v>148</v>
      </c>
      <c r="AJ14" s="607" t="s">
        <v>149</v>
      </c>
      <c r="AK14" s="1117" t="s">
        <v>150</v>
      </c>
      <c r="AL14" s="1117" t="s">
        <v>150</v>
      </c>
      <c r="AM14" s="1698" t="s">
        <v>151</v>
      </c>
      <c r="AN14" s="1712" t="s">
        <v>152</v>
      </c>
    </row>
    <row r="15" spans="1:40" ht="50.1" customHeight="1" thickBot="1" x14ac:dyDescent="0.75">
      <c r="A15" s="654">
        <v>1</v>
      </c>
      <c r="B15" s="608">
        <v>1</v>
      </c>
      <c r="C15" s="634" t="s">
        <v>167</v>
      </c>
      <c r="D15" s="633"/>
      <c r="E15" s="633"/>
      <c r="F15" s="1626" t="s">
        <v>260</v>
      </c>
      <c r="G15" s="1626"/>
      <c r="H15" s="1626"/>
      <c r="I15" s="1626"/>
      <c r="J15" s="1626"/>
      <c r="K15" s="1626"/>
      <c r="L15" s="1626"/>
      <c r="M15" s="1626"/>
      <c r="N15" s="1626"/>
      <c r="S15" s="1626" t="str">
        <f>IF(F15&lt;&gt;"",F15,"")</f>
        <v>STAFF</v>
      </c>
      <c r="T15" s="1626"/>
      <c r="U15" s="1626"/>
      <c r="V15" s="1626"/>
      <c r="W15" s="1626"/>
      <c r="X15" s="1626"/>
      <c r="Y15" s="1626"/>
      <c r="Z15" s="1626"/>
      <c r="AA15" s="1626"/>
      <c r="AM15" s="1699"/>
      <c r="AN15" s="1700"/>
    </row>
    <row r="16" spans="1:40" ht="50.1" customHeight="1" x14ac:dyDescent="0.7">
      <c r="A16" s="646">
        <v>2</v>
      </c>
      <c r="B16" s="608" t="s">
        <v>170</v>
      </c>
      <c r="C16" s="609" t="s">
        <v>169</v>
      </c>
      <c r="D16" s="584"/>
      <c r="E16" s="584"/>
      <c r="F16" s="1423" t="s">
        <v>260</v>
      </c>
      <c r="G16" s="1423"/>
      <c r="H16" s="1423"/>
      <c r="I16" s="1423"/>
      <c r="J16" s="1423"/>
      <c r="K16" s="1423"/>
      <c r="L16" s="1296" t="s">
        <v>171</v>
      </c>
      <c r="M16" s="1296" t="s">
        <v>172</v>
      </c>
      <c r="N16" s="1296" t="s">
        <v>129</v>
      </c>
      <c r="O16" s="1126" t="s">
        <v>651</v>
      </c>
      <c r="P16" s="1127" t="s">
        <v>652</v>
      </c>
      <c r="Q16" s="1127" t="s">
        <v>666</v>
      </c>
      <c r="S16" s="1423" t="str">
        <f>IF(F16&lt;&gt;"",F16,"")</f>
        <v>STAFF</v>
      </c>
      <c r="T16" s="1423"/>
      <c r="U16" s="1423"/>
      <c r="V16" s="1423"/>
      <c r="W16" s="1423"/>
      <c r="X16" s="1423"/>
      <c r="Y16" s="1423"/>
      <c r="Z16" s="1423"/>
      <c r="AA16" s="1423"/>
      <c r="AB16" s="616" t="s">
        <v>173</v>
      </c>
      <c r="AC16" s="617" t="s">
        <v>130</v>
      </c>
      <c r="AM16" s="1701"/>
      <c r="AN16" s="1702"/>
    </row>
    <row r="17" spans="1:40" ht="150" customHeight="1" x14ac:dyDescent="0.7">
      <c r="A17" s="584">
        <v>3</v>
      </c>
      <c r="B17" s="608" t="s">
        <v>176</v>
      </c>
      <c r="C17" s="609" t="s">
        <v>175</v>
      </c>
      <c r="D17" s="584" t="s">
        <v>182</v>
      </c>
      <c r="E17" s="584" t="s">
        <v>179</v>
      </c>
      <c r="F17" s="618" t="s">
        <v>288</v>
      </c>
      <c r="G17" s="618" t="s">
        <v>1326</v>
      </c>
      <c r="H17" s="1335">
        <v>14</v>
      </c>
      <c r="I17" s="1159">
        <v>1</v>
      </c>
      <c r="J17" s="620">
        <v>380</v>
      </c>
      <c r="K17" s="621">
        <f>IF(F17&lt;&gt;"",H17*I17*J17,"")</f>
        <v>5320</v>
      </c>
      <c r="L17" s="621">
        <f>IF(K17&lt;&gt;"",IF(D17="INTERNO",0,K17*$L$14),"")</f>
        <v>425.6</v>
      </c>
      <c r="M17" s="621">
        <f>IF(K17&lt;&gt;"",IF(E17="FAT.OGGI",SUM(K17:L17)*(1/(1-$M$14)-1),L17*(1/(1-$M$14)-1)),0)</f>
        <v>1204.4423370025399</v>
      </c>
      <c r="N17" s="621">
        <f>SUM(K17:M17)</f>
        <v>6950.0423370025401</v>
      </c>
      <c r="O17" s="1336"/>
      <c r="P17" s="1337"/>
      <c r="Q17" s="1338"/>
      <c r="S17" s="625">
        <v>14</v>
      </c>
      <c r="T17" s="625">
        <f>IF(I17&lt;&gt;"",I17,"")</f>
        <v>1</v>
      </c>
      <c r="U17" s="626">
        <v>300</v>
      </c>
      <c r="V17" s="626">
        <f>IF(S17&lt;&gt;"",S17*T17*U17,"")</f>
        <v>4200</v>
      </c>
      <c r="W17" s="1306">
        <f>IF(S17&lt;&gt;"",K17-V17,"")</f>
        <v>1120</v>
      </c>
      <c r="X17" s="1134">
        <f>IF(S17&lt;&gt;"",0%,"")</f>
        <v>0</v>
      </c>
      <c r="Y17" s="629">
        <f>IF(S17&lt;&gt;"",X17*W17,"")</f>
        <v>0</v>
      </c>
      <c r="Z17" s="629">
        <v>0</v>
      </c>
      <c r="AA17" s="629">
        <f>IF(S17&lt;&gt;"",Z17+M17,"")</f>
        <v>1204.4423370025399</v>
      </c>
      <c r="AB17" s="631">
        <f>IF(S17&lt;&gt;"", IFERROR(W17/K17, 0), 0)</f>
        <v>0.21052631578947367</v>
      </c>
      <c r="AC17" s="632">
        <f>V17/$V$20</f>
        <v>0.43209876543209874</v>
      </c>
      <c r="AM17" s="1703">
        <f>Z17-AN17</f>
        <v>0</v>
      </c>
      <c r="AN17" s="1713"/>
    </row>
    <row r="18" spans="1:40" ht="150" customHeight="1" x14ac:dyDescent="0.7">
      <c r="A18" s="584">
        <v>4</v>
      </c>
      <c r="B18" s="608" t="s">
        <v>153</v>
      </c>
      <c r="C18" s="609" t="s">
        <v>175</v>
      </c>
      <c r="D18" s="584" t="s">
        <v>182</v>
      </c>
      <c r="E18" s="584" t="s">
        <v>179</v>
      </c>
      <c r="F18" s="618" t="s">
        <v>289</v>
      </c>
      <c r="G18" s="618" t="s">
        <v>1518</v>
      </c>
      <c r="H18" s="1159">
        <v>9</v>
      </c>
      <c r="I18" s="1159">
        <v>1</v>
      </c>
      <c r="J18" s="620">
        <v>480</v>
      </c>
      <c r="K18" s="621">
        <f>IF(F18&lt;&gt;"",H18*I18*J18,"")</f>
        <v>4320</v>
      </c>
      <c r="L18" s="621">
        <f>IF(K18&lt;&gt;"",IF(D18="INTERNO",0,K18*$L$14),"")</f>
        <v>345.6</v>
      </c>
      <c r="M18" s="621">
        <f>IF(K18&lt;&gt;"",IF(E18="FAT.OGGI",SUM(K18:L18)*(1/(1-$M$14)-1),L18*(1/(1-$M$14)-1)),0)</f>
        <v>978.04340147574669</v>
      </c>
      <c r="N18" s="621">
        <f>SUM(K18:M18)</f>
        <v>5643.6434014757469</v>
      </c>
      <c r="O18" s="1336"/>
      <c r="P18" s="1337"/>
      <c r="Q18" s="1338"/>
      <c r="S18" s="625">
        <v>1</v>
      </c>
      <c r="T18" s="625">
        <f>IF(I18&lt;&gt;"",I18,"")</f>
        <v>1</v>
      </c>
      <c r="U18" s="626">
        <v>3920</v>
      </c>
      <c r="V18" s="626">
        <f>IF(S18&lt;&gt;"",S18*T18*U18,"")</f>
        <v>3920</v>
      </c>
      <c r="W18" s="1306">
        <f>IF(S18&lt;&gt;"",K18-V18,"")</f>
        <v>400</v>
      </c>
      <c r="X18" s="1134">
        <f>IF(S18&lt;&gt;"",0%,"")</f>
        <v>0</v>
      </c>
      <c r="Y18" s="629">
        <f>IF(S18&lt;&gt;"",X18*W18,"")</f>
        <v>0</v>
      </c>
      <c r="Z18" s="629">
        <f>IF(S18&lt;&gt;"",Y18+V18,"")</f>
        <v>3920</v>
      </c>
      <c r="AA18" s="629">
        <f>IF(S18&lt;&gt;"",Z18+M18,"")</f>
        <v>4898.0434014757466</v>
      </c>
      <c r="AB18" s="631">
        <f>IF(S18&lt;&gt;"", IFERROR(W18/K18, 0), 0)</f>
        <v>9.2592592592592587E-2</v>
      </c>
      <c r="AC18" s="632">
        <f>V18/$V$20</f>
        <v>0.40329218106995884</v>
      </c>
      <c r="AM18" s="1703">
        <f t="shared" ref="AM18:AM30" si="0">Z18-AN18</f>
        <v>3920</v>
      </c>
      <c r="AN18" s="1713"/>
    </row>
    <row r="19" spans="1:40" ht="150" customHeight="1" x14ac:dyDescent="0.7">
      <c r="A19" s="584">
        <v>5</v>
      </c>
      <c r="B19" s="608" t="s">
        <v>230</v>
      </c>
      <c r="C19" s="609" t="s">
        <v>175</v>
      </c>
      <c r="D19" s="584" t="s">
        <v>182</v>
      </c>
      <c r="E19" s="584" t="s">
        <v>179</v>
      </c>
      <c r="F19" s="940" t="s">
        <v>282</v>
      </c>
      <c r="G19" s="940" t="s">
        <v>1519</v>
      </c>
      <c r="H19" s="1159">
        <v>1</v>
      </c>
      <c r="I19" s="1155">
        <v>2</v>
      </c>
      <c r="J19" s="621">
        <v>850</v>
      </c>
      <c r="K19" s="621">
        <f>IF(F19&lt;&gt;"",H19*I19*J19,"")</f>
        <v>1700</v>
      </c>
      <c r="L19" s="621">
        <f>IF(K19&lt;&gt;"",IF(D19="INTERNO",0,K19*$L$14),"")</f>
        <v>136</v>
      </c>
      <c r="M19" s="621">
        <f>IF(K19&lt;&gt;"",IF(E19="FAT.OGGI",SUM(K19:L19)*(1/(1-$M$14)-1),L19*(1/(1-$M$14)-1)),0)</f>
        <v>384.87819039554842</v>
      </c>
      <c r="N19" s="621">
        <f>SUM(K19:M19)</f>
        <v>2220.8781903955482</v>
      </c>
      <c r="O19" s="1336"/>
      <c r="P19" s="1337"/>
      <c r="Q19" s="1338"/>
      <c r="S19" s="625">
        <v>1</v>
      </c>
      <c r="T19" s="625">
        <f>IF(I19&lt;&gt;"",I19,"")</f>
        <v>2</v>
      </c>
      <c r="U19" s="626">
        <v>800</v>
      </c>
      <c r="V19" s="626">
        <f>IF(S19&lt;&gt;"",S19*T19*U19,"")</f>
        <v>1600</v>
      </c>
      <c r="W19" s="1306">
        <f>IF(S19&lt;&gt;"",K19-V19,"")</f>
        <v>100</v>
      </c>
      <c r="X19" s="1134">
        <f>IF(S19&lt;&gt;"",0%,"")</f>
        <v>0</v>
      </c>
      <c r="Y19" s="629">
        <f>IF(S19&lt;&gt;"",X19*W19,"")</f>
        <v>0</v>
      </c>
      <c r="Z19" s="629">
        <f>IF(S19&lt;&gt;"",Y19+V19,"")</f>
        <v>1600</v>
      </c>
      <c r="AA19" s="629">
        <f>IF(S19&lt;&gt;"",Z19+M19,"")</f>
        <v>1984.8781903955485</v>
      </c>
      <c r="AB19" s="631">
        <f>IF(S19&lt;&gt;"", IFERROR(W19/K19, 0), 0)</f>
        <v>5.8823529411764705E-2</v>
      </c>
      <c r="AC19" s="632">
        <f>V19/$V$20</f>
        <v>0.16460905349794239</v>
      </c>
      <c r="AM19" s="1703">
        <f t="shared" si="0"/>
        <v>1600</v>
      </c>
      <c r="AN19" s="1713"/>
    </row>
    <row r="20" spans="1:40" ht="50.1" customHeight="1" x14ac:dyDescent="0.7">
      <c r="A20" s="584">
        <v>6</v>
      </c>
      <c r="B20" s="608"/>
      <c r="C20" s="609" t="s">
        <v>184</v>
      </c>
      <c r="D20" s="584"/>
      <c r="E20" s="584"/>
      <c r="F20" s="1423" t="s">
        <v>368</v>
      </c>
      <c r="G20" s="1423"/>
      <c r="H20" s="1423"/>
      <c r="I20" s="1423"/>
      <c r="J20" s="1423"/>
      <c r="K20" s="1302">
        <f>SUM(K17:K19)</f>
        <v>11340</v>
      </c>
      <c r="L20" s="1302">
        <f>SUM(L17:L19)</f>
        <v>907.2</v>
      </c>
      <c r="M20" s="1302">
        <f>SUM(M17:M19)</f>
        <v>2567.363928873835</v>
      </c>
      <c r="N20" s="1302">
        <f>SUM(N17:N19)</f>
        <v>14814.563928873835</v>
      </c>
      <c r="S20" s="1625">
        <f>SUM(S17:S19)</f>
        <v>16</v>
      </c>
      <c r="T20" s="1625"/>
      <c r="U20" s="1625"/>
      <c r="V20" s="1303">
        <f>SUM(V17:V19)</f>
        <v>9720</v>
      </c>
      <c r="W20" s="889">
        <f>SUM(W17:W19)</f>
        <v>1620</v>
      </c>
      <c r="X20" s="1134">
        <f>SUM(X17:X19)</f>
        <v>0</v>
      </c>
      <c r="Y20" s="629"/>
      <c r="Z20" s="891">
        <f>SUM(Z17:Z19)</f>
        <v>5520</v>
      </c>
      <c r="AA20" s="891">
        <f>IF(S20&lt;&gt;"",Z20+M20,"")</f>
        <v>8087.363928873835</v>
      </c>
      <c r="AB20" s="631"/>
      <c r="AC20" s="632"/>
      <c r="AM20" s="1703"/>
      <c r="AN20" s="1713"/>
    </row>
    <row r="21" spans="1:40" ht="50.1" customHeight="1" x14ac:dyDescent="0.7">
      <c r="A21" s="584">
        <v>7</v>
      </c>
      <c r="B21" s="608"/>
      <c r="C21" s="609" t="s">
        <v>183</v>
      </c>
      <c r="D21" s="584"/>
      <c r="E21" s="584"/>
      <c r="F21" s="1623" t="s">
        <v>260</v>
      </c>
      <c r="G21" s="1623"/>
      <c r="H21" s="1623"/>
      <c r="I21" s="1623"/>
      <c r="J21" s="1623"/>
      <c r="K21" s="1311">
        <f>SUM(K17:K19)</f>
        <v>11340</v>
      </c>
      <c r="L21" s="1311">
        <f>SUM(L17:L19)</f>
        <v>907.2</v>
      </c>
      <c r="M21" s="1311">
        <f>SUM(M17:M19)</f>
        <v>2567.363928873835</v>
      </c>
      <c r="N21" s="1311">
        <f>SUM(N17:N19)</f>
        <v>14814.563928873835</v>
      </c>
      <c r="S21" s="1624">
        <f>SUM(S17:S19)</f>
        <v>16</v>
      </c>
      <c r="T21" s="1623"/>
      <c r="U21" s="1623"/>
      <c r="V21" s="1311">
        <f>SUM(V17:V19)</f>
        <v>9720</v>
      </c>
      <c r="W21" s="1176">
        <f>SUM(W19:W19)</f>
        <v>100</v>
      </c>
      <c r="X21" s="1312">
        <f>SUM(X17:X19)</f>
        <v>0</v>
      </c>
      <c r="Y21" s="1178"/>
      <c r="Z21" s="1179">
        <f>SUM(Z19:Z19)</f>
        <v>1600</v>
      </c>
      <c r="AA21" s="891">
        <f>IF(S21&lt;&gt;"",Z21+M21,"")</f>
        <v>4167.363928873835</v>
      </c>
      <c r="AM21" s="1703"/>
      <c r="AN21" s="1713"/>
    </row>
    <row r="22" spans="1:40" ht="50.1" customHeight="1" x14ac:dyDescent="0.7">
      <c r="A22" s="584">
        <v>8</v>
      </c>
      <c r="B22" s="608">
        <v>2</v>
      </c>
      <c r="C22" s="609" t="s">
        <v>167</v>
      </c>
      <c r="D22" s="584"/>
      <c r="E22" s="584"/>
      <c r="F22" s="1626" t="s">
        <v>377</v>
      </c>
      <c r="G22" s="1626"/>
      <c r="H22" s="1626"/>
      <c r="I22" s="1626"/>
      <c r="J22" s="1626"/>
      <c r="K22" s="1626"/>
      <c r="L22" s="1626"/>
      <c r="M22" s="1626"/>
      <c r="N22" s="1626"/>
      <c r="S22" s="1626" t="str">
        <f>IF(F22&lt;&gt;"",F22,"")</f>
        <v>HOTEL</v>
      </c>
      <c r="T22" s="1626"/>
      <c r="U22" s="1626"/>
      <c r="V22" s="1626"/>
      <c r="W22" s="1626"/>
      <c r="X22" s="1626"/>
      <c r="Y22" s="1626"/>
      <c r="Z22" s="1626"/>
      <c r="AA22" s="1626"/>
      <c r="AM22" s="1703"/>
      <c r="AN22" s="1713"/>
    </row>
    <row r="23" spans="1:40" ht="50.1" customHeight="1" x14ac:dyDescent="0.7">
      <c r="A23" s="584">
        <v>9</v>
      </c>
      <c r="B23" s="608" t="s">
        <v>180</v>
      </c>
      <c r="C23" s="609" t="s">
        <v>169</v>
      </c>
      <c r="D23" s="584"/>
      <c r="E23" s="584"/>
      <c r="F23" s="1423" t="s">
        <v>189</v>
      </c>
      <c r="G23" s="1423"/>
      <c r="H23" s="1423"/>
      <c r="I23" s="1423"/>
      <c r="J23" s="1423"/>
      <c r="K23" s="1423"/>
      <c r="L23" s="1296" t="s">
        <v>171</v>
      </c>
      <c r="M23" s="1296" t="s">
        <v>172</v>
      </c>
      <c r="N23" s="1296" t="s">
        <v>129</v>
      </c>
      <c r="O23" s="1126" t="s">
        <v>651</v>
      </c>
      <c r="P23" s="1127" t="s">
        <v>652</v>
      </c>
      <c r="Q23" s="1127" t="s">
        <v>666</v>
      </c>
      <c r="S23" s="1423" t="str">
        <f>IF(F23&lt;&gt;"",F23,"")</f>
        <v xml:space="preserve">A&amp;B </v>
      </c>
      <c r="T23" s="1423"/>
      <c r="U23" s="1423"/>
      <c r="V23" s="1423"/>
      <c r="W23" s="1423"/>
      <c r="X23" s="1423"/>
      <c r="Y23" s="1423"/>
      <c r="Z23" s="1423"/>
      <c r="AA23" s="1423"/>
      <c r="AB23" s="616" t="s">
        <v>173</v>
      </c>
      <c r="AC23" s="617" t="s">
        <v>130</v>
      </c>
      <c r="AM23" s="1703"/>
      <c r="AN23" s="1713"/>
    </row>
    <row r="24" spans="1:40" ht="150" customHeight="1" x14ac:dyDescent="0.7">
      <c r="A24" s="646">
        <v>10</v>
      </c>
      <c r="B24" s="608" t="s">
        <v>181</v>
      </c>
      <c r="C24" s="647" t="s">
        <v>175</v>
      </c>
      <c r="D24" s="584" t="s">
        <v>182</v>
      </c>
      <c r="E24" s="584" t="s">
        <v>331</v>
      </c>
      <c r="F24" s="618" t="s">
        <v>1062</v>
      </c>
      <c r="G24" s="618" t="s">
        <v>1520</v>
      </c>
      <c r="H24" s="737">
        <v>1</v>
      </c>
      <c r="I24" s="737">
        <v>1</v>
      </c>
      <c r="J24" s="738">
        <v>16259</v>
      </c>
      <c r="K24" s="621">
        <f>IF(F24&lt;&gt;"",H24*I24*J24,"")</f>
        <v>16259</v>
      </c>
      <c r="L24" s="621">
        <f>IF(K24&lt;&gt;"",IF(D24="INTERNO",0,K24*$L$13),"")</f>
        <v>812.95</v>
      </c>
      <c r="M24" s="621">
        <f>IF(K24&lt;&gt;"",IF(E24="FAT.OGGI",SUM(K24:L24)*(1/(1-$M$14)-1),L24*(1/(1-$M$14)-1)),0)</f>
        <v>170.41760614491346</v>
      </c>
      <c r="N24" s="621">
        <f>SUM(K24:M24)</f>
        <v>17242.367606144915</v>
      </c>
      <c r="O24" s="1336"/>
      <c r="P24" s="1337"/>
      <c r="Q24" s="1338"/>
      <c r="S24" s="625">
        <f>IF(H24&lt;&gt;"",H24,"")</f>
        <v>1</v>
      </c>
      <c r="T24" s="625">
        <f>IF(I24&lt;&gt;"",I24,"")</f>
        <v>1</v>
      </c>
      <c r="U24" s="626">
        <v>16259</v>
      </c>
      <c r="V24" s="626">
        <f>IF(S24&lt;&gt;"",S24*T24*U24,"")</f>
        <v>16259</v>
      </c>
      <c r="W24" s="627">
        <f>IF(S24&lt;&gt;"",K24-V24,"")</f>
        <v>0</v>
      </c>
      <c r="X24" s="1134">
        <f>IF(S24&lt;&gt;"",0%,"")</f>
        <v>0</v>
      </c>
      <c r="Y24" s="629">
        <f>IF(S24&lt;&gt;"",X24*W24,"")</f>
        <v>0</v>
      </c>
      <c r="Z24" s="629">
        <f>IF(S24&lt;&gt;"",Y24+V24,"")</f>
        <v>16259</v>
      </c>
      <c r="AA24" s="629">
        <f>IF(S24&lt;&gt;"",Z24+M24,"")</f>
        <v>16429.417606144914</v>
      </c>
      <c r="AB24" s="631">
        <f>IF(S24&lt;&gt;"", IFERROR(W24/K24, 0), 0)</f>
        <v>0</v>
      </c>
      <c r="AC24" s="632">
        <f>V24/$V$25</f>
        <v>1</v>
      </c>
      <c r="AM24" s="1703">
        <f t="shared" si="0"/>
        <v>16259</v>
      </c>
      <c r="AN24" s="1713"/>
    </row>
    <row r="25" spans="1:40" ht="50.1" customHeight="1" x14ac:dyDescent="0.7">
      <c r="A25" s="584">
        <v>11</v>
      </c>
      <c r="B25" s="608"/>
      <c r="C25" s="609" t="s">
        <v>184</v>
      </c>
      <c r="D25" s="584"/>
      <c r="E25" s="584"/>
      <c r="F25" s="1423" t="s">
        <v>407</v>
      </c>
      <c r="G25" s="1423"/>
      <c r="H25" s="1423"/>
      <c r="I25" s="1423"/>
      <c r="J25" s="1423"/>
      <c r="K25" s="1314">
        <f>SUM(K24:K24)</f>
        <v>16259</v>
      </c>
      <c r="L25" s="1314">
        <f>SUM(L24:L24)</f>
        <v>812.95</v>
      </c>
      <c r="M25" s="1314">
        <f>SUM(M24:M24)</f>
        <v>170.41760614491346</v>
      </c>
      <c r="N25" s="1314">
        <f>SUM(N24:N24)</f>
        <v>17242.367606144915</v>
      </c>
      <c r="S25" s="1625">
        <f>SUM(S24:S24)</f>
        <v>1</v>
      </c>
      <c r="T25" s="1423"/>
      <c r="U25" s="1423"/>
      <c r="V25" s="1175">
        <f>SUM(V24:V24)</f>
        <v>16259</v>
      </c>
      <c r="W25" s="1176">
        <f>SUM(W24:W24)</f>
        <v>0</v>
      </c>
      <c r="X25" s="1312">
        <f>SUM(X24:X24)</f>
        <v>0</v>
      </c>
      <c r="Y25" s="1178"/>
      <c r="Z25" s="1179">
        <f>SUM(Z24:Z24)</f>
        <v>16259</v>
      </c>
      <c r="AA25" s="891">
        <f>IF(S25&lt;&gt;"",Z25+M25,"")</f>
        <v>16429.417606144914</v>
      </c>
      <c r="AM25" s="1703"/>
      <c r="AN25" s="1713"/>
    </row>
    <row r="26" spans="1:40" ht="50.1" customHeight="1" x14ac:dyDescent="0.7">
      <c r="A26" s="584">
        <v>12</v>
      </c>
      <c r="B26" s="608"/>
      <c r="C26" s="609" t="s">
        <v>183</v>
      </c>
      <c r="D26" s="584"/>
      <c r="E26" s="584"/>
      <c r="F26" s="1623" t="s">
        <v>408</v>
      </c>
      <c r="G26" s="1623"/>
      <c r="H26" s="1623"/>
      <c r="I26" s="1623"/>
      <c r="J26" s="1623"/>
      <c r="K26" s="1311">
        <f>SUM(K24:K24)</f>
        <v>16259</v>
      </c>
      <c r="L26" s="1311">
        <f>SUM(L24:L24)</f>
        <v>812.95</v>
      </c>
      <c r="M26" s="1311">
        <f>SUM(M24:M24)</f>
        <v>170.41760614491346</v>
      </c>
      <c r="N26" s="1311">
        <f>SUM(N24:N24)</f>
        <v>17242.367606144915</v>
      </c>
      <c r="S26" s="1624">
        <f>SUM(S24:S24)</f>
        <v>1</v>
      </c>
      <c r="T26" s="1623"/>
      <c r="U26" s="1623"/>
      <c r="V26" s="1311">
        <f>SUM(V24)</f>
        <v>16259</v>
      </c>
      <c r="W26" s="1176">
        <f>SUM(W24)</f>
        <v>0</v>
      </c>
      <c r="X26" s="1312">
        <f>SUM(X24:X24)</f>
        <v>0</v>
      </c>
      <c r="Y26" s="1178"/>
      <c r="Z26" s="1179">
        <f>SUM(Z24)</f>
        <v>16259</v>
      </c>
      <c r="AA26" s="891">
        <f>IF(S26&lt;&gt;"",Z26+M26,"")</f>
        <v>16429.417606144914</v>
      </c>
      <c r="AM26" s="1703"/>
      <c r="AN26" s="1713"/>
    </row>
    <row r="27" spans="1:40" ht="50.1" customHeight="1" x14ac:dyDescent="0.7">
      <c r="A27" s="584">
        <v>13</v>
      </c>
      <c r="B27" s="608">
        <v>3</v>
      </c>
      <c r="C27" s="609" t="s">
        <v>167</v>
      </c>
      <c r="D27" s="584"/>
      <c r="E27" s="584"/>
      <c r="F27" s="1626" t="s">
        <v>505</v>
      </c>
      <c r="G27" s="1626"/>
      <c r="H27" s="1626"/>
      <c r="I27" s="1626"/>
      <c r="J27" s="1626"/>
      <c r="K27" s="1626"/>
      <c r="L27" s="1626"/>
      <c r="M27" s="1626"/>
      <c r="N27" s="1626"/>
      <c r="S27" s="1626" t="str">
        <f>IF(F27&lt;&gt;"",F27,"")</f>
        <v>ATIVIDADES, BRINDES E MATERIAIS</v>
      </c>
      <c r="T27" s="1626"/>
      <c r="U27" s="1626"/>
      <c r="V27" s="1626"/>
      <c r="W27" s="1626"/>
      <c r="X27" s="1626"/>
      <c r="Y27" s="1626"/>
      <c r="Z27" s="1626"/>
      <c r="AA27" s="1626"/>
      <c r="AM27" s="1703"/>
      <c r="AN27" s="1713"/>
    </row>
    <row r="28" spans="1:40" ht="50.1" customHeight="1" x14ac:dyDescent="0.7">
      <c r="A28" s="584">
        <v>14</v>
      </c>
      <c r="B28" s="608" t="s">
        <v>192</v>
      </c>
      <c r="C28" s="609" t="s">
        <v>169</v>
      </c>
      <c r="D28" s="584"/>
      <c r="E28" s="584"/>
      <c r="F28" s="1423" t="s">
        <v>476</v>
      </c>
      <c r="G28" s="1423"/>
      <c r="H28" s="1423"/>
      <c r="I28" s="1423"/>
      <c r="J28" s="1423"/>
      <c r="K28" s="1423"/>
      <c r="L28" s="1296" t="s">
        <v>171</v>
      </c>
      <c r="M28" s="1296" t="s">
        <v>172</v>
      </c>
      <c r="N28" s="1296" t="s">
        <v>129</v>
      </c>
      <c r="O28" s="1126" t="s">
        <v>651</v>
      </c>
      <c r="P28" s="1127" t="s">
        <v>652</v>
      </c>
      <c r="Q28" s="1127" t="s">
        <v>666</v>
      </c>
      <c r="S28" s="1423" t="str">
        <f>IF(F28&lt;&gt;"",F28,"")</f>
        <v>ATIVAÇÕES</v>
      </c>
      <c r="T28" s="1423"/>
      <c r="U28" s="1423"/>
      <c r="V28" s="1423"/>
      <c r="W28" s="1423"/>
      <c r="X28" s="1423"/>
      <c r="Y28" s="1423"/>
      <c r="Z28" s="1423"/>
      <c r="AA28" s="1423"/>
      <c r="AB28" s="616" t="s">
        <v>173</v>
      </c>
      <c r="AC28" s="617" t="s">
        <v>130</v>
      </c>
      <c r="AM28" s="1703"/>
      <c r="AN28" s="1713"/>
    </row>
    <row r="29" spans="1:40" ht="150" customHeight="1" x14ac:dyDescent="0.7">
      <c r="A29" s="584">
        <v>15</v>
      </c>
      <c r="B29" s="608" t="s">
        <v>193</v>
      </c>
      <c r="C29" s="609" t="s">
        <v>175</v>
      </c>
      <c r="D29" s="584" t="s">
        <v>182</v>
      </c>
      <c r="E29" s="584" t="s">
        <v>179</v>
      </c>
      <c r="F29" s="618" t="s">
        <v>79</v>
      </c>
      <c r="G29" s="736" t="s">
        <v>1521</v>
      </c>
      <c r="H29" s="830">
        <v>1</v>
      </c>
      <c r="I29" s="830">
        <v>1</v>
      </c>
      <c r="J29" s="1171">
        <v>3000</v>
      </c>
      <c r="K29" s="621">
        <f>IF(F29&lt;&gt;"",H29*I29*J29,"")</f>
        <v>3000</v>
      </c>
      <c r="L29" s="621">
        <f>IF(K29&lt;&gt;"",IF(D29="INTERNO",0,K29*$L$13),"")</f>
        <v>150</v>
      </c>
      <c r="M29" s="621">
        <f>IF(K29&lt;&gt;"",IF(E29="FAT.OGGI",SUM(K29:L29)*(1/(1-$M$14)-1),L29*(1/(1-$M$14)-1)),0)</f>
        <v>660.33022861981351</v>
      </c>
      <c r="N29" s="621">
        <f>SUM(K29:M29)</f>
        <v>3810.3302286198136</v>
      </c>
      <c r="O29" s="1336"/>
      <c r="P29" s="1337"/>
      <c r="Q29" s="1338"/>
      <c r="S29" s="625">
        <f>IF(H29&lt;&gt;"",H29,"")</f>
        <v>1</v>
      </c>
      <c r="T29" s="625">
        <f>IF(I29&lt;&gt;"",I29,"")</f>
        <v>1</v>
      </c>
      <c r="U29" s="626">
        <v>2500</v>
      </c>
      <c r="V29" s="626">
        <f>IF(S29&lt;&gt;"",S29*T29*U29,"")</f>
        <v>2500</v>
      </c>
      <c r="W29" s="627">
        <f>IF(S29&lt;&gt;"",K29-V29,"")</f>
        <v>500</v>
      </c>
      <c r="X29" s="1134">
        <f>IF(S29&lt;&gt;"",0%,"")</f>
        <v>0</v>
      </c>
      <c r="Y29" s="629">
        <f>IF(S29&lt;&gt;"",X29*W29,"")</f>
        <v>0</v>
      </c>
      <c r="Z29" s="629">
        <f>IF(S29&lt;&gt;"",Y29+V29,"")</f>
        <v>2500</v>
      </c>
      <c r="AA29" s="629">
        <f>IF(S29&lt;&gt;"",Z29+M29,"")</f>
        <v>3160.3302286198136</v>
      </c>
      <c r="AB29" s="631">
        <f>IF(S29&lt;&gt;"", IFERROR(W29/K29, 0), 0)</f>
        <v>0.16666666666666666</v>
      </c>
      <c r="AC29" s="632">
        <f>V29/$V$31</f>
        <v>0.30864197530864196</v>
      </c>
      <c r="AM29" s="1703">
        <f t="shared" si="0"/>
        <v>2500</v>
      </c>
      <c r="AN29" s="1713"/>
    </row>
    <row r="30" spans="1:40" ht="150" customHeight="1" x14ac:dyDescent="0.7">
      <c r="A30" s="584">
        <v>16</v>
      </c>
      <c r="B30" s="608" t="s">
        <v>194</v>
      </c>
      <c r="C30" s="609" t="s">
        <v>175</v>
      </c>
      <c r="D30" s="584" t="s">
        <v>182</v>
      </c>
      <c r="E30" s="584" t="s">
        <v>179</v>
      </c>
      <c r="F30" s="618" t="s">
        <v>559</v>
      </c>
      <c r="G30" s="736" t="s">
        <v>1522</v>
      </c>
      <c r="H30" s="706">
        <v>1</v>
      </c>
      <c r="I30" s="706">
        <v>1</v>
      </c>
      <c r="J30" s="767">
        <v>6800</v>
      </c>
      <c r="K30" s="621">
        <f>IF(F30&lt;&gt;"",H30*I30*J30,"")</f>
        <v>6800</v>
      </c>
      <c r="L30" s="621">
        <f>IF(K30&lt;&gt;"",IF(D30="INTERNO",0,K30*$L$13),"")</f>
        <v>340</v>
      </c>
      <c r="M30" s="621">
        <f>IF(K30&lt;&gt;"",IF(E30="FAT.OGGI",SUM(K30:L30)*(1/(1-$M$14)-1),L30*(1/(1-$M$14)-1)),0)</f>
        <v>1496.7485182049106</v>
      </c>
      <c r="N30" s="621">
        <f>SUM(K30:M30)</f>
        <v>8636.7485182049113</v>
      </c>
      <c r="O30" s="1336"/>
      <c r="P30" s="1337"/>
      <c r="Q30" s="1338"/>
      <c r="S30" s="625">
        <f>IF(H30&lt;&gt;"",H30,"")</f>
        <v>1</v>
      </c>
      <c r="T30" s="625">
        <f>IF(I30&lt;&gt;"",I30,"")</f>
        <v>1</v>
      </c>
      <c r="U30" s="626">
        <v>5600</v>
      </c>
      <c r="V30" s="626">
        <f>IF(S30&lt;&gt;"",S30*T30*U30,"")</f>
        <v>5600</v>
      </c>
      <c r="W30" s="627">
        <f>IF(S30&lt;&gt;"",K30-V30,"")</f>
        <v>1200</v>
      </c>
      <c r="X30" s="1134">
        <f>IF(S30&lt;&gt;"",0%,"")</f>
        <v>0</v>
      </c>
      <c r="Y30" s="629">
        <f>IF(S30&lt;&gt;"",X30*W30,"")</f>
        <v>0</v>
      </c>
      <c r="Z30" s="629">
        <f>IF(S30&lt;&gt;"",Y30+V30,"")</f>
        <v>5600</v>
      </c>
      <c r="AA30" s="629">
        <f>IF(S30&lt;&gt;"",Z30+M30,"")</f>
        <v>7096.7485182049104</v>
      </c>
      <c r="AB30" s="631">
        <f>IF(S30&lt;&gt;"", IFERROR(W30/K30, 0), 0)</f>
        <v>0.17647058823529413</v>
      </c>
      <c r="AC30" s="632">
        <f>V30/$V$31</f>
        <v>0.69135802469135799</v>
      </c>
      <c r="AM30" s="1703">
        <f t="shared" si="0"/>
        <v>5600</v>
      </c>
      <c r="AN30" s="1713"/>
    </row>
    <row r="31" spans="1:40" ht="50.1" customHeight="1" x14ac:dyDescent="0.7">
      <c r="A31" s="584">
        <v>17</v>
      </c>
      <c r="B31" s="608"/>
      <c r="C31" s="647" t="s">
        <v>184</v>
      </c>
      <c r="D31" s="646"/>
      <c r="E31" s="646"/>
      <c r="F31" s="1423" t="s">
        <v>502</v>
      </c>
      <c r="G31" s="1423"/>
      <c r="H31" s="1423"/>
      <c r="I31" s="1423"/>
      <c r="J31" s="1423"/>
      <c r="K31" s="1302">
        <f>SUM(K29:K30)</f>
        <v>9800</v>
      </c>
      <c r="L31" s="1302">
        <f>SUM(L29:L30)</f>
        <v>490</v>
      </c>
      <c r="M31" s="1302">
        <f>SUM(M29:M30)</f>
        <v>2157.078746824724</v>
      </c>
      <c r="N31" s="1302">
        <f>SUM(N29:N30)</f>
        <v>12447.078746824725</v>
      </c>
      <c r="S31" s="1625">
        <f>SUM(S29:S30)</f>
        <v>2</v>
      </c>
      <c r="T31" s="1625"/>
      <c r="U31" s="1625"/>
      <c r="V31" s="1303">
        <f>SUM(V29:V30)</f>
        <v>8100</v>
      </c>
      <c r="W31" s="1303">
        <f>SUM(W29:W30)</f>
        <v>1700</v>
      </c>
      <c r="X31" s="1134">
        <f>SUM(X29:X30)</f>
        <v>0</v>
      </c>
      <c r="Y31" s="629"/>
      <c r="Z31" s="891">
        <f>SUM(Z29:Z30)</f>
        <v>8100</v>
      </c>
      <c r="AA31" s="891">
        <f>IF(S31&lt;&gt;"",Z31+M31,"")</f>
        <v>10257.078746824724</v>
      </c>
      <c r="AB31" s="631"/>
      <c r="AM31" s="1703"/>
      <c r="AN31" s="1713"/>
    </row>
    <row r="32" spans="1:40" ht="50.1" customHeight="1" thickBot="1" x14ac:dyDescent="0.75">
      <c r="A32" s="584">
        <v>18</v>
      </c>
      <c r="B32" s="608"/>
      <c r="C32" s="609" t="s">
        <v>183</v>
      </c>
      <c r="D32" s="584"/>
      <c r="E32" s="584"/>
      <c r="F32" s="1623" t="s">
        <v>524</v>
      </c>
      <c r="G32" s="1623"/>
      <c r="H32" s="1623"/>
      <c r="I32" s="1623"/>
      <c r="J32" s="1623"/>
      <c r="K32" s="1311">
        <f>SUM(K29:K30)</f>
        <v>9800</v>
      </c>
      <c r="L32" s="1311">
        <f>SUM(L29:L30)</f>
        <v>490</v>
      </c>
      <c r="M32" s="1311">
        <f>SUM(M29:M30)</f>
        <v>2157.078746824724</v>
      </c>
      <c r="N32" s="1311">
        <f>SUM(N29:N30)</f>
        <v>12447.078746824725</v>
      </c>
      <c r="S32" s="1624">
        <f>SUM(S29:S30)</f>
        <v>2</v>
      </c>
      <c r="T32" s="1623"/>
      <c r="U32" s="1623"/>
      <c r="V32" s="1311">
        <f>SUM(V29:V30)</f>
        <v>8100</v>
      </c>
      <c r="W32" s="1176">
        <f>SUM(W29:W30)</f>
        <v>1700</v>
      </c>
      <c r="X32" s="1312">
        <f>SUM(X29:X30)</f>
        <v>0</v>
      </c>
      <c r="Y32" s="1178"/>
      <c r="Z32" s="1179">
        <f>SUM(Z29:Z30)</f>
        <v>8100</v>
      </c>
      <c r="AA32" s="891">
        <f>IF(S32&lt;&gt;"",Z32+M32,"")</f>
        <v>10257.078746824724</v>
      </c>
      <c r="AM32" s="1703"/>
      <c r="AN32" s="1713"/>
    </row>
    <row r="33" spans="1:40" ht="50.1" customHeight="1" thickBot="1" x14ac:dyDescent="0.75">
      <c r="A33" s="646">
        <v>19</v>
      </c>
      <c r="B33" s="815"/>
      <c r="C33" s="647" t="s">
        <v>186</v>
      </c>
      <c r="D33" s="646"/>
      <c r="E33" s="646"/>
      <c r="F33" s="1333" t="s">
        <v>187</v>
      </c>
      <c r="G33" s="1333"/>
      <c r="H33" s="1333"/>
      <c r="I33" s="1333"/>
      <c r="J33" s="1333"/>
      <c r="K33" s="1334">
        <f>SUM(K17:K19)+SUM(K24:K24)+SUM(K29:K30)</f>
        <v>37399</v>
      </c>
      <c r="L33" s="1334">
        <f>SUM(L17:L19)+SUM(L24:L24)+SUM(L29:L30)</f>
        <v>2210.15</v>
      </c>
      <c r="M33" s="1334">
        <f>SUM(M17:M19)+SUM(M24:M24)+SUM(M29:M30)</f>
        <v>4894.860281843472</v>
      </c>
      <c r="N33" s="1334">
        <f>SUM(N17:N19)+SUM(N24:N24)+SUM(N29:N30)</f>
        <v>44504.010281843475</v>
      </c>
      <c r="S33" s="1272" t="s">
        <v>43</v>
      </c>
      <c r="T33" s="1273"/>
      <c r="U33" s="1270"/>
      <c r="V33" s="1271">
        <f t="shared" ref="V33:AA33" si="1">SUM(V4:V4)+SUM(V17:V19)+SUM(V24)+SUM(V29:V30)</f>
        <v>34079</v>
      </c>
      <c r="W33" s="1271">
        <f t="shared" si="1"/>
        <v>3320</v>
      </c>
      <c r="X33" s="1271">
        <f t="shared" si="1"/>
        <v>0</v>
      </c>
      <c r="Y33" s="1271">
        <f t="shared" si="1"/>
        <v>0</v>
      </c>
      <c r="Z33" s="1271">
        <f t="shared" si="1"/>
        <v>29879</v>
      </c>
      <c r="AA33" s="1271">
        <f t="shared" si="1"/>
        <v>34773.860281843474</v>
      </c>
      <c r="AB33" s="1275">
        <f>IF(S33&lt;&gt;"",(N33-AA33)/N33,"")</f>
        <v>0.21863535304749063</v>
      </c>
      <c r="AC33" s="1276">
        <f>IF(AB33&lt;&gt;"",(N33-AA33),"")</f>
        <v>9730.1500000000015</v>
      </c>
      <c r="AM33" s="1703">
        <f>SUM(AM17:AM30)</f>
        <v>29879</v>
      </c>
      <c r="AN33" s="1713">
        <f>SUM(AN17:AN30)</f>
        <v>0</v>
      </c>
    </row>
  </sheetData>
  <autoFilter ref="A1:AN26" xr:uid="{107B9E09-8154-459A-AE62-6A4242823A27}">
    <filterColumn colId="5" showButton="0"/>
  </autoFilter>
  <mergeCells count="33">
    <mergeCell ref="AM15:AN15"/>
    <mergeCell ref="AM16:AN16"/>
    <mergeCell ref="F1:G1"/>
    <mergeCell ref="F2:G2"/>
    <mergeCell ref="S12:V12"/>
    <mergeCell ref="AM12:AN12"/>
    <mergeCell ref="W12:Z12"/>
    <mergeCell ref="AE12:AG12"/>
    <mergeCell ref="AI12:AJ12"/>
    <mergeCell ref="F15:N15"/>
    <mergeCell ref="S15:AA15"/>
    <mergeCell ref="F16:K16"/>
    <mergeCell ref="S16:AA16"/>
    <mergeCell ref="F22:N22"/>
    <mergeCell ref="S22:AA22"/>
    <mergeCell ref="F20:J20"/>
    <mergeCell ref="S20:U20"/>
    <mergeCell ref="F21:J21"/>
    <mergeCell ref="S21:U21"/>
    <mergeCell ref="F23:K23"/>
    <mergeCell ref="S23:AA23"/>
    <mergeCell ref="F25:J25"/>
    <mergeCell ref="S25:U25"/>
    <mergeCell ref="F26:J26"/>
    <mergeCell ref="S26:U26"/>
    <mergeCell ref="F31:J31"/>
    <mergeCell ref="S31:U31"/>
    <mergeCell ref="F32:J32"/>
    <mergeCell ref="S32:U32"/>
    <mergeCell ref="F27:N27"/>
    <mergeCell ref="S27:AA27"/>
    <mergeCell ref="F28:K28"/>
    <mergeCell ref="S28:AA28"/>
  </mergeCells>
  <dataValidations count="3">
    <dataValidation type="list" allowBlank="1" showInputMessage="1" showErrorMessage="1" sqref="E33" xr:uid="{879559B0-7430-4682-9437-D966ECF72509}">
      <formula1>"FAT.OGGI,FAT.CLIENTE "</formula1>
    </dataValidation>
    <dataValidation type="list" allowBlank="1" showInputMessage="1" showErrorMessage="1" sqref="E17:E20 E24 E29:E31" xr:uid="{236BEF04-7D15-45E6-9AE9-119246B98AAE}">
      <formula1>"FAT.OGGI,FAT.CLIENTE"</formula1>
    </dataValidation>
    <dataValidation type="list" allowBlank="1" showInputMessage="1" showErrorMessage="1" sqref="D33 D17:D20 D24 D29:D31" xr:uid="{09D86773-7E7C-49CB-A792-033EFBEC4284}">
      <formula1>"INTERNO,OPERACIONAL"</formula1>
    </dataValidation>
  </dataValidations>
  <pageMargins left="0.23622047244094491" right="0.23622047244094491" top="0.74803149606299213" bottom="0.74803149606299213" header="0.31496062992125984" footer="0.31496062992125984"/>
  <pageSetup paperSize="9" scale="3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B816E-8412-4C05-96FE-1F21258C9521}">
  <sheetPr codeName="Planilha1">
    <tabColor rgb="FFFF0000"/>
  </sheetPr>
  <dimension ref="B2:G32"/>
  <sheetViews>
    <sheetView showGridLines="0" topLeftCell="B8" zoomScale="93" workbookViewId="0">
      <selection activeCell="B31" sqref="B31"/>
    </sheetView>
  </sheetViews>
  <sheetFormatPr defaultRowHeight="14.4" x14ac:dyDescent="0.3"/>
  <cols>
    <col min="2" max="2" width="47.109375" customWidth="1"/>
    <col min="3" max="3" width="32.44140625" customWidth="1"/>
    <col min="4" max="4" width="33.109375" customWidth="1"/>
    <col min="5" max="5" width="30.5546875" customWidth="1"/>
    <col min="6" max="6" width="29.44140625" style="125" customWidth="1"/>
    <col min="7" max="10" width="8.88671875" customWidth="1"/>
  </cols>
  <sheetData>
    <row r="2" spans="2:7" ht="25.8" x14ac:dyDescent="0.3">
      <c r="B2" s="60" t="s">
        <v>0</v>
      </c>
    </row>
    <row r="3" spans="2:7" ht="18" x14ac:dyDescent="0.3">
      <c r="B3" s="26"/>
    </row>
    <row r="4" spans="2:7" ht="18" x14ac:dyDescent="0.3">
      <c r="B4" s="49" t="s">
        <v>245</v>
      </c>
    </row>
    <row r="5" spans="2:7" ht="18" x14ac:dyDescent="0.3">
      <c r="B5" s="50" t="s">
        <v>224</v>
      </c>
    </row>
    <row r="6" spans="2:7" ht="18" x14ac:dyDescent="0.3">
      <c r="B6" s="50" t="s">
        <v>246</v>
      </c>
    </row>
    <row r="7" spans="2:7" ht="18" x14ac:dyDescent="0.3">
      <c r="B7" s="50" t="s">
        <v>247</v>
      </c>
    </row>
    <row r="8" spans="2:7" ht="18" x14ac:dyDescent="0.3">
      <c r="B8" s="50" t="s">
        <v>248</v>
      </c>
    </row>
    <row r="9" spans="2:7" ht="18" x14ac:dyDescent="0.3">
      <c r="B9" s="50" t="s">
        <v>249</v>
      </c>
    </row>
    <row r="10" spans="2:7" ht="18" x14ac:dyDescent="0.3">
      <c r="B10" s="50" t="s">
        <v>177</v>
      </c>
    </row>
    <row r="11" spans="2:7" ht="18" x14ac:dyDescent="0.3">
      <c r="B11" s="51" t="s">
        <v>250</v>
      </c>
    </row>
    <row r="12" spans="2:7" ht="15" thickBot="1" x14ac:dyDescent="0.35"/>
    <row r="13" spans="2:7" ht="18.600000000000001" thickBot="1" x14ac:dyDescent="0.4">
      <c r="B13" s="132" t="s">
        <v>567</v>
      </c>
      <c r="C13" s="133" t="s">
        <v>969</v>
      </c>
      <c r="D13" s="133" t="s">
        <v>968</v>
      </c>
      <c r="E13" s="134" t="s">
        <v>799</v>
      </c>
      <c r="F13" s="198" t="s">
        <v>835</v>
      </c>
    </row>
    <row r="14" spans="2:7" ht="16.2" x14ac:dyDescent="0.3">
      <c r="B14" s="56" t="s">
        <v>568</v>
      </c>
      <c r="C14" s="57">
        <f>'Convenção de Vendas'!N205</f>
        <v>5246248.8343298649</v>
      </c>
      <c r="D14" s="152">
        <f>'Convenção de Vendas'!AA205</f>
        <v>3430508.897461866</v>
      </c>
      <c r="E14" s="152">
        <f t="shared" ref="E14:E19" si="0">C14-D14</f>
        <v>1815739.9368679989</v>
      </c>
      <c r="F14" s="199">
        <f t="shared" ref="F14:F19" si="1">E14*100%/C14</f>
        <v>0.34610251900107103</v>
      </c>
      <c r="G14" s="125"/>
    </row>
    <row r="15" spans="2:7" ht="16.2" x14ac:dyDescent="0.3">
      <c r="B15" s="54" t="s">
        <v>608</v>
      </c>
      <c r="C15" s="53">
        <f>'Convenção de Vendas_ EXTRAS PRÉ'!N105</f>
        <v>960271.06718035566</v>
      </c>
      <c r="D15" s="153">
        <f>'Convenção de Vendas_ EXTRAS PRÉ'!AA105</f>
        <v>624474.88674035552</v>
      </c>
      <c r="E15" s="152">
        <f t="shared" si="0"/>
        <v>335796.18044000014</v>
      </c>
      <c r="F15" s="199">
        <f t="shared" si="1"/>
        <v>0.34968894921097499</v>
      </c>
    </row>
    <row r="16" spans="2:7" ht="16.2" x14ac:dyDescent="0.3">
      <c r="B16" s="54" t="s">
        <v>569</v>
      </c>
      <c r="C16" s="53">
        <f>'Coletiva de Imprensa'!N134</f>
        <v>318868.59725414298</v>
      </c>
      <c r="D16" s="153">
        <f>'Coletiva de Imprensa'!AB134</f>
        <v>3615177.5819149395</v>
      </c>
      <c r="E16" s="152">
        <f t="shared" si="0"/>
        <v>-3296308.9846607964</v>
      </c>
      <c r="F16" s="199">
        <f t="shared" si="1"/>
        <v>-10.33751524310056</v>
      </c>
    </row>
    <row r="17" spans="2:6" ht="16.2" x14ac:dyDescent="0.3">
      <c r="B17" s="54" t="s">
        <v>1101</v>
      </c>
      <c r="C17" s="53">
        <f>'Coletiva de Imprensa - EXTRAS'!N34</f>
        <v>59056.473378492796</v>
      </c>
      <c r="D17" s="153">
        <f>'Coletiva de Imprensa - EXTRAS'!AB34</f>
        <v>38426.013378492804</v>
      </c>
      <c r="E17" s="152">
        <f t="shared" si="0"/>
        <v>20630.459999999992</v>
      </c>
      <c r="F17" s="199">
        <f t="shared" si="1"/>
        <v>0.34933443905089667</v>
      </c>
    </row>
    <row r="18" spans="2:6" ht="16.2" x14ac:dyDescent="0.3">
      <c r="B18" s="54" t="s">
        <v>570</v>
      </c>
      <c r="C18" s="53">
        <f>'Lançamento de Produtos'!N162</f>
        <v>1733564.2174005082</v>
      </c>
      <c r="D18" s="153">
        <f>'Lançamento de Produtos'!AA162</f>
        <v>253505.917800508</v>
      </c>
      <c r="E18" s="153">
        <f t="shared" si="0"/>
        <v>1480058.2996000003</v>
      </c>
      <c r="F18" s="199">
        <f t="shared" si="1"/>
        <v>0.85376606458764948</v>
      </c>
    </row>
    <row r="19" spans="2:6" ht="16.2" x14ac:dyDescent="0.3">
      <c r="B19" s="54" t="s">
        <v>1100</v>
      </c>
      <c r="C19" s="53">
        <f>'Lançamento de Produtos - EXTRAS'!N33</f>
        <v>44504.010281843475</v>
      </c>
      <c r="D19" s="153">
        <f>'Lançamento de Produtos - EXTRAS'!AA33</f>
        <v>34773.860281843474</v>
      </c>
      <c r="E19" s="153">
        <f t="shared" si="0"/>
        <v>9730.1500000000015</v>
      </c>
      <c r="F19" s="199">
        <f t="shared" si="1"/>
        <v>0.21863535304749063</v>
      </c>
    </row>
    <row r="20" spans="2:6" ht="16.2" x14ac:dyDescent="0.3">
      <c r="B20" s="54" t="s">
        <v>577</v>
      </c>
      <c r="C20" s="53"/>
      <c r="D20" s="53"/>
      <c r="E20" s="53"/>
      <c r="F20" s="200"/>
    </row>
    <row r="21" spans="2:6" ht="16.2" x14ac:dyDescent="0.3">
      <c r="B21" s="54" t="s">
        <v>599</v>
      </c>
      <c r="C21" s="53"/>
      <c r="D21" s="53"/>
      <c r="E21" s="53"/>
      <c r="F21" s="200"/>
    </row>
    <row r="22" spans="2:6" ht="18.600000000000001" thickBot="1" x14ac:dyDescent="0.4">
      <c r="B22" s="61" t="s">
        <v>238</v>
      </c>
      <c r="C22" s="55">
        <f>SUM(C14:C19)</f>
        <v>8362513.1998252077</v>
      </c>
      <c r="D22" s="55">
        <f>SUM(D14:D19)</f>
        <v>7996867.1575780055</v>
      </c>
      <c r="E22" s="197">
        <f>SUM(E14:E19)</f>
        <v>365646.04224720306</v>
      </c>
      <c r="F22" s="201">
        <f>E22*100%/C22</f>
        <v>4.3724420339909989E-2</v>
      </c>
    </row>
    <row r="28" spans="2:6" x14ac:dyDescent="0.3">
      <c r="D28" s="112"/>
      <c r="E28" s="112"/>
    </row>
    <row r="29" spans="2:6" x14ac:dyDescent="0.3">
      <c r="D29" s="58"/>
      <c r="E29" s="58"/>
    </row>
    <row r="30" spans="2:6" x14ac:dyDescent="0.3">
      <c r="D30" s="58"/>
      <c r="E30" s="58"/>
    </row>
    <row r="31" spans="2:6" x14ac:dyDescent="0.3">
      <c r="D31" s="58"/>
      <c r="E31" s="58"/>
    </row>
    <row r="32" spans="2:6" x14ac:dyDescent="0.3">
      <c r="D32" s="112"/>
      <c r="E32" s="112"/>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C3C35-C715-4E1B-8C6F-64ECF3B892BB}">
  <sheetPr codeName="Planilha3"/>
  <dimension ref="A8:L9"/>
  <sheetViews>
    <sheetView topLeftCell="E1" zoomScale="70" zoomScaleNormal="70" workbookViewId="0">
      <selection activeCell="K8" sqref="K8"/>
    </sheetView>
  </sheetViews>
  <sheetFormatPr defaultColWidth="46.44140625" defaultRowHeight="14.4" x14ac:dyDescent="0.3"/>
  <cols>
    <col min="1" max="1" width="7.109375" bestFit="1" customWidth="1"/>
    <col min="2" max="2" width="23.109375" customWidth="1"/>
    <col min="3" max="3" width="50" customWidth="1"/>
    <col min="4" max="4" width="54.44140625" bestFit="1" customWidth="1"/>
    <col min="5" max="5" width="73.109375" customWidth="1"/>
    <col min="6" max="6" width="20.5546875" bestFit="1" customWidth="1"/>
    <col min="7" max="7" width="20.88671875" bestFit="1" customWidth="1"/>
    <col min="8" max="8" width="11.5546875" bestFit="1" customWidth="1"/>
    <col min="9" max="9" width="13.44140625" customWidth="1"/>
  </cols>
  <sheetData>
    <row r="8" spans="1:12" ht="16.2" x14ac:dyDescent="0.35">
      <c r="A8" s="24" t="s">
        <v>48</v>
      </c>
      <c r="B8" s="24" t="s">
        <v>49</v>
      </c>
      <c r="C8" s="24" t="s">
        <v>50</v>
      </c>
      <c r="D8" s="24" t="s">
        <v>51</v>
      </c>
      <c r="E8" s="24" t="s">
        <v>52</v>
      </c>
      <c r="F8" s="24" t="s">
        <v>53</v>
      </c>
      <c r="G8" s="25" t="s">
        <v>46</v>
      </c>
      <c r="H8" s="25" t="s">
        <v>47</v>
      </c>
      <c r="I8" s="25" t="s">
        <v>9</v>
      </c>
      <c r="J8" s="25" t="s">
        <v>10</v>
      </c>
      <c r="K8" s="25" t="s">
        <v>54</v>
      </c>
      <c r="L8" s="25" t="s">
        <v>55</v>
      </c>
    </row>
    <row r="9" spans="1:12" ht="43.2" x14ac:dyDescent="0.3">
      <c r="A9" t="s">
        <v>153</v>
      </c>
      <c r="B9" t="s">
        <v>580</v>
      </c>
      <c r="C9" t="s">
        <v>581</v>
      </c>
      <c r="D9" t="s">
        <v>582</v>
      </c>
      <c r="E9" s="63" t="s">
        <v>585</v>
      </c>
      <c r="F9" t="s">
        <v>583</v>
      </c>
      <c r="G9" t="s">
        <v>584</v>
      </c>
      <c r="H9" t="s">
        <v>572</v>
      </c>
      <c r="I9" s="64">
        <v>8500</v>
      </c>
      <c r="J9" t="s">
        <v>586</v>
      </c>
      <c r="K9" t="s">
        <v>587</v>
      </c>
      <c r="L9" t="s">
        <v>588</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76122-F44A-4377-91D5-8374559295ED}">
  <sheetPr>
    <tabColor rgb="FF0070C0"/>
  </sheetPr>
  <dimension ref="A1:K80"/>
  <sheetViews>
    <sheetView topLeftCell="E2" workbookViewId="0">
      <selection activeCell="H6" sqref="H6"/>
    </sheetView>
  </sheetViews>
  <sheetFormatPr defaultRowHeight="14.4" x14ac:dyDescent="0.3"/>
  <cols>
    <col min="1" max="1" width="56.109375" customWidth="1"/>
    <col min="2" max="2" width="25.5546875" customWidth="1"/>
    <col min="3" max="3" width="30.109375" customWidth="1"/>
    <col min="4" max="4" width="48.5546875" customWidth="1"/>
    <col min="5" max="5" width="24.5546875" customWidth="1"/>
    <col min="6" max="6" width="26.44140625" customWidth="1"/>
    <col min="7" max="7" width="33.88671875" customWidth="1"/>
    <col min="8" max="8" width="44.109375" customWidth="1"/>
    <col min="9" max="9" width="19.5546875" customWidth="1"/>
    <col min="10" max="10" width="33.5546875" customWidth="1"/>
    <col min="11" max="11" width="15.44140625" customWidth="1"/>
  </cols>
  <sheetData>
    <row r="1" spans="1:10" ht="15" thickBot="1" x14ac:dyDescent="0.35">
      <c r="A1" s="1636" t="s">
        <v>707</v>
      </c>
      <c r="B1" s="1636"/>
      <c r="D1" s="1637" t="s">
        <v>707</v>
      </c>
      <c r="E1" s="1638"/>
      <c r="F1" s="1639"/>
      <c r="H1" s="1637" t="s">
        <v>707</v>
      </c>
      <c r="I1" s="1639"/>
    </row>
    <row r="2" spans="1:10" ht="14.4" customHeight="1" x14ac:dyDescent="0.3">
      <c r="A2" s="1640" t="s">
        <v>708</v>
      </c>
      <c r="B2" s="1630"/>
      <c r="C2" s="4"/>
      <c r="D2" s="1641" t="s">
        <v>709</v>
      </c>
      <c r="E2" s="1642"/>
      <c r="F2" s="1643"/>
      <c r="H2" s="1644" t="s">
        <v>710</v>
      </c>
      <c r="I2" s="1645"/>
    </row>
    <row r="3" spans="1:10" ht="15" thickBot="1" x14ac:dyDescent="0.35">
      <c r="A3" s="69" t="s">
        <v>711</v>
      </c>
      <c r="B3" s="70" t="s">
        <v>712</v>
      </c>
      <c r="D3" s="71" t="s">
        <v>711</v>
      </c>
      <c r="E3" s="72" t="s">
        <v>713</v>
      </c>
      <c r="F3" s="73" t="s">
        <v>714</v>
      </c>
      <c r="H3" s="74" t="s">
        <v>715</v>
      </c>
      <c r="I3" s="75">
        <v>75400.23</v>
      </c>
    </row>
    <row r="4" spans="1:10" x14ac:dyDescent="0.3">
      <c r="A4" s="1" t="s">
        <v>716</v>
      </c>
      <c r="B4" s="76">
        <v>640174.67000000004</v>
      </c>
      <c r="D4" s="77" t="s">
        <v>717</v>
      </c>
      <c r="E4" s="78">
        <v>537450.35</v>
      </c>
      <c r="F4" s="79">
        <f t="shared" ref="F4:F13" si="0">B4-E4</f>
        <v>102724.32000000007</v>
      </c>
      <c r="H4" s="74" t="s">
        <v>718</v>
      </c>
      <c r="I4" s="75">
        <v>20958.439999999999</v>
      </c>
    </row>
    <row r="5" spans="1:10" x14ac:dyDescent="0.3">
      <c r="A5" s="4" t="s">
        <v>452</v>
      </c>
      <c r="B5" s="76">
        <v>576252.56999999995</v>
      </c>
      <c r="D5" s="77" t="s">
        <v>719</v>
      </c>
      <c r="E5" s="78">
        <v>484785.38</v>
      </c>
      <c r="F5" s="79">
        <f t="shared" si="0"/>
        <v>91467.189999999944</v>
      </c>
      <c r="H5" s="74" t="s">
        <v>720</v>
      </c>
      <c r="I5" s="75">
        <v>27967.94</v>
      </c>
    </row>
    <row r="6" spans="1:10" x14ac:dyDescent="0.3">
      <c r="A6" s="4" t="s">
        <v>441</v>
      </c>
      <c r="B6" s="76">
        <v>235413.09</v>
      </c>
      <c r="D6" s="77" t="s">
        <v>721</v>
      </c>
      <c r="E6" s="78">
        <v>197638.01</v>
      </c>
      <c r="F6" s="79">
        <f t="shared" si="0"/>
        <v>37775.079999999987</v>
      </c>
      <c r="H6" s="74" t="s">
        <v>722</v>
      </c>
      <c r="I6" s="75">
        <v>99115.13</v>
      </c>
    </row>
    <row r="7" spans="1:10" x14ac:dyDescent="0.3">
      <c r="A7" s="80" t="s">
        <v>723</v>
      </c>
      <c r="B7" s="76">
        <v>537172.94999999995</v>
      </c>
      <c r="D7" s="81" t="s">
        <v>724</v>
      </c>
      <c r="E7" s="82">
        <v>450976.59</v>
      </c>
      <c r="F7" s="79">
        <f t="shared" si="0"/>
        <v>86196.359999999928</v>
      </c>
      <c r="H7" s="4" t="s">
        <v>725</v>
      </c>
      <c r="I7" s="76">
        <v>54485.33</v>
      </c>
    </row>
    <row r="8" spans="1:10" ht="29.4" thickBot="1" x14ac:dyDescent="0.35">
      <c r="A8" s="71" t="s">
        <v>726</v>
      </c>
      <c r="B8" s="83">
        <v>1989013.28</v>
      </c>
      <c r="D8" s="71" t="s">
        <v>726</v>
      </c>
      <c r="E8" s="84">
        <f>E4+E5+E6+E7</f>
        <v>1670850.33</v>
      </c>
      <c r="F8" s="83">
        <f t="shared" si="0"/>
        <v>318162.94999999995</v>
      </c>
      <c r="H8" s="85" t="s">
        <v>727</v>
      </c>
      <c r="I8" s="75">
        <v>20902.38</v>
      </c>
    </row>
    <row r="9" spans="1:10" x14ac:dyDescent="0.3">
      <c r="A9" s="1" t="s">
        <v>728</v>
      </c>
      <c r="B9" s="86">
        <v>347001.33</v>
      </c>
      <c r="D9" s="68" t="s">
        <v>728</v>
      </c>
      <c r="E9" s="82">
        <v>347001.33</v>
      </c>
      <c r="F9" s="79">
        <f t="shared" si="0"/>
        <v>0</v>
      </c>
      <c r="H9" s="4" t="s">
        <v>729</v>
      </c>
      <c r="I9" s="76">
        <v>35272.769999999997</v>
      </c>
    </row>
    <row r="10" spans="1:10" x14ac:dyDescent="0.3">
      <c r="A10" s="4" t="s">
        <v>730</v>
      </c>
      <c r="B10" s="76">
        <v>226007.02</v>
      </c>
      <c r="D10" s="68" t="s">
        <v>730</v>
      </c>
      <c r="E10" s="82">
        <v>226007.02</v>
      </c>
      <c r="F10" s="79">
        <f t="shared" si="0"/>
        <v>0</v>
      </c>
      <c r="H10" s="74" t="s">
        <v>731</v>
      </c>
      <c r="I10" s="75">
        <v>109677.03</v>
      </c>
    </row>
    <row r="11" spans="1:10" x14ac:dyDescent="0.3">
      <c r="A11" s="4" t="s">
        <v>732</v>
      </c>
      <c r="B11" s="76">
        <v>193956.6</v>
      </c>
      <c r="D11" s="68" t="s">
        <v>732</v>
      </c>
      <c r="E11" s="82">
        <v>193956.6</v>
      </c>
      <c r="F11" s="79">
        <f t="shared" si="0"/>
        <v>0</v>
      </c>
      <c r="H11" s="4" t="s">
        <v>733</v>
      </c>
      <c r="I11" s="76">
        <v>55848.55</v>
      </c>
      <c r="J11" s="87" t="s">
        <v>734</v>
      </c>
    </row>
    <row r="12" spans="1:10" ht="15" thickBot="1" x14ac:dyDescent="0.35">
      <c r="A12" s="4" t="s">
        <v>735</v>
      </c>
      <c r="B12" s="76">
        <v>62171.53</v>
      </c>
      <c r="D12" s="68" t="s">
        <v>735</v>
      </c>
      <c r="E12" s="82">
        <v>62171.53</v>
      </c>
      <c r="F12" s="79">
        <f t="shared" si="0"/>
        <v>0</v>
      </c>
      <c r="H12" s="88" t="s">
        <v>736</v>
      </c>
      <c r="I12" s="89">
        <v>31353.57</v>
      </c>
      <c r="J12" s="90">
        <v>310204.69</v>
      </c>
    </row>
    <row r="13" spans="1:10" ht="15" thickBot="1" x14ac:dyDescent="0.35">
      <c r="A13" s="4" t="s">
        <v>737</v>
      </c>
      <c r="B13" s="76">
        <v>14762.31</v>
      </c>
      <c r="D13" s="68" t="s">
        <v>737</v>
      </c>
      <c r="E13" s="82">
        <v>14762.31</v>
      </c>
      <c r="F13" s="79">
        <f t="shared" si="0"/>
        <v>0</v>
      </c>
      <c r="H13" s="88" t="s">
        <v>738</v>
      </c>
      <c r="I13" s="89">
        <f>SUM(I2:I12)</f>
        <v>530981.37</v>
      </c>
      <c r="J13" s="112">
        <f>I13-J12</f>
        <v>220776.68</v>
      </c>
    </row>
    <row r="14" spans="1:10" ht="15" thickBot="1" x14ac:dyDescent="0.35">
      <c r="A14" s="88" t="s">
        <v>739</v>
      </c>
      <c r="B14" s="89">
        <f>B9+B10+B11+B12+B13</f>
        <v>843898.79</v>
      </c>
      <c r="D14" s="71" t="s">
        <v>739</v>
      </c>
      <c r="E14" s="84">
        <f>E9+E10+E11+E12+E13</f>
        <v>843898.79</v>
      </c>
      <c r="F14" s="91"/>
      <c r="J14" s="126">
        <f>J13/I13</f>
        <v>0.41578987978429449</v>
      </c>
    </row>
    <row r="15" spans="1:10" x14ac:dyDescent="0.3">
      <c r="A15" s="74" t="s">
        <v>740</v>
      </c>
      <c r="B15" s="75">
        <v>399579.97</v>
      </c>
      <c r="D15" s="77" t="s">
        <v>740</v>
      </c>
      <c r="E15" s="78">
        <v>399579.97</v>
      </c>
      <c r="F15" s="79">
        <f>B15-E15</f>
        <v>0</v>
      </c>
    </row>
    <row r="16" spans="1:10" x14ac:dyDescent="0.3">
      <c r="A16" s="74" t="s">
        <v>741</v>
      </c>
      <c r="B16" s="75">
        <v>2518034.5699999998</v>
      </c>
      <c r="D16" s="77" t="s">
        <v>741</v>
      </c>
      <c r="E16" s="78">
        <v>2518034.5699999998</v>
      </c>
      <c r="F16" s="79">
        <f>B16-E16</f>
        <v>0</v>
      </c>
    </row>
    <row r="17" spans="1:10" x14ac:dyDescent="0.3">
      <c r="A17" s="92" t="s">
        <v>742</v>
      </c>
      <c r="B17" s="93">
        <f>B15+B16</f>
        <v>2917614.54</v>
      </c>
      <c r="C17" s="87" t="s">
        <v>734</v>
      </c>
      <c r="D17" s="94" t="s">
        <v>742</v>
      </c>
      <c r="E17" s="95">
        <f>E15+E16</f>
        <v>2917614.54</v>
      </c>
      <c r="F17" s="79">
        <f>B17-E17</f>
        <v>0</v>
      </c>
      <c r="G17" s="87" t="s">
        <v>734</v>
      </c>
    </row>
    <row r="18" spans="1:10" ht="15" thickBot="1" x14ac:dyDescent="0.35">
      <c r="A18" s="96" t="s">
        <v>743</v>
      </c>
      <c r="B18" s="97">
        <f>B8+B14+B17</f>
        <v>5750526.6100000003</v>
      </c>
      <c r="C18" s="98"/>
      <c r="D18" s="96" t="s">
        <v>744</v>
      </c>
      <c r="E18" s="99">
        <f>E8+E14+E17</f>
        <v>5432363.6600000001</v>
      </c>
      <c r="F18" s="97">
        <f>F8+F14</f>
        <v>318162.94999999995</v>
      </c>
      <c r="G18" s="90">
        <v>4391750.18</v>
      </c>
    </row>
    <row r="19" spans="1:10" ht="15" thickBot="1" x14ac:dyDescent="0.35">
      <c r="D19" s="100" t="s">
        <v>745</v>
      </c>
      <c r="E19" s="101">
        <f>I13</f>
        <v>530981.37</v>
      </c>
      <c r="F19" s="1630"/>
      <c r="G19" s="102">
        <f>E18-G18</f>
        <v>1040613.4800000004</v>
      </c>
    </row>
    <row r="20" spans="1:10" ht="15" thickBot="1" x14ac:dyDescent="0.35">
      <c r="D20" s="96" t="s">
        <v>746</v>
      </c>
      <c r="E20" s="99">
        <f>E18+E19</f>
        <v>5963345.0300000003</v>
      </c>
      <c r="F20" s="1631"/>
      <c r="G20" s="126">
        <f>G19/E18</f>
        <v>0.1915581402736945</v>
      </c>
    </row>
    <row r="21" spans="1:10" ht="15" thickBot="1" x14ac:dyDescent="0.35">
      <c r="A21" s="103"/>
      <c r="B21" s="103"/>
      <c r="C21" s="103"/>
      <c r="D21" s="103"/>
      <c r="E21" s="103"/>
      <c r="F21" s="103"/>
      <c r="G21" s="103"/>
      <c r="H21" s="103"/>
      <c r="I21" s="103"/>
      <c r="J21" s="104"/>
    </row>
    <row r="22" spans="1:10" ht="15" thickBot="1" x14ac:dyDescent="0.35">
      <c r="A22" s="1632" t="s">
        <v>747</v>
      </c>
      <c r="B22" s="1633"/>
      <c r="D22" s="1627" t="s">
        <v>748</v>
      </c>
      <c r="E22" s="1634"/>
      <c r="F22" s="1628"/>
      <c r="H22" s="1635" t="s">
        <v>749</v>
      </c>
      <c r="I22" s="1635"/>
      <c r="J22" s="105"/>
    </row>
    <row r="23" spans="1:10" ht="15" thickBot="1" x14ac:dyDescent="0.35">
      <c r="A23" s="69" t="s">
        <v>711</v>
      </c>
      <c r="B23" s="70" t="s">
        <v>712</v>
      </c>
      <c r="D23" s="106" t="s">
        <v>711</v>
      </c>
      <c r="E23" s="107" t="s">
        <v>712</v>
      </c>
      <c r="F23" s="108" t="s">
        <v>750</v>
      </c>
      <c r="H23" s="109" t="s">
        <v>711</v>
      </c>
      <c r="I23" s="110" t="s">
        <v>9</v>
      </c>
      <c r="J23" s="111" t="s">
        <v>714</v>
      </c>
    </row>
    <row r="24" spans="1:10" x14ac:dyDescent="0.3">
      <c r="A24" s="4" t="s">
        <v>751</v>
      </c>
      <c r="B24" s="76">
        <v>128220.64</v>
      </c>
      <c r="D24" s="4" t="s">
        <v>752</v>
      </c>
      <c r="E24" s="76">
        <v>91931.78</v>
      </c>
      <c r="F24" s="5"/>
      <c r="H24" s="4" t="s">
        <v>752</v>
      </c>
      <c r="I24" s="112">
        <f>E24</f>
        <v>91931.78</v>
      </c>
      <c r="J24" s="5"/>
    </row>
    <row r="25" spans="1:10" x14ac:dyDescent="0.3">
      <c r="A25" s="4" t="s">
        <v>753</v>
      </c>
      <c r="B25" s="76">
        <v>141391.56</v>
      </c>
      <c r="D25" s="4" t="s">
        <v>753</v>
      </c>
      <c r="E25" s="76">
        <v>113748.16</v>
      </c>
      <c r="F25" s="5"/>
      <c r="H25" s="4" t="s">
        <v>753</v>
      </c>
      <c r="I25" s="112">
        <f>E25</f>
        <v>113748.16</v>
      </c>
      <c r="J25" s="5"/>
    </row>
    <row r="26" spans="1:10" x14ac:dyDescent="0.3">
      <c r="A26" s="74" t="s">
        <v>754</v>
      </c>
      <c r="B26" s="75">
        <v>73264.259999999995</v>
      </c>
      <c r="D26" s="74" t="s">
        <v>754</v>
      </c>
      <c r="E26" s="75">
        <v>13980.61</v>
      </c>
      <c r="F26" s="5"/>
      <c r="H26" s="4" t="s">
        <v>754</v>
      </c>
      <c r="I26" s="112">
        <f>E26</f>
        <v>13980.61</v>
      </c>
      <c r="J26" s="5"/>
    </row>
    <row r="27" spans="1:10" x14ac:dyDescent="0.3">
      <c r="A27" s="74" t="s">
        <v>755</v>
      </c>
      <c r="B27" s="75">
        <v>90750.7</v>
      </c>
      <c r="D27" s="74" t="s">
        <v>755</v>
      </c>
      <c r="E27" s="75">
        <v>84530.97</v>
      </c>
      <c r="F27" s="5"/>
      <c r="H27" s="74" t="s">
        <v>755</v>
      </c>
      <c r="I27" s="113">
        <f>E27</f>
        <v>84530.97</v>
      </c>
      <c r="J27" s="5"/>
    </row>
    <row r="28" spans="1:10" x14ac:dyDescent="0.3">
      <c r="A28" s="4" t="s">
        <v>730</v>
      </c>
      <c r="B28" s="76">
        <v>58787.95</v>
      </c>
      <c r="D28" s="74" t="s">
        <v>756</v>
      </c>
      <c r="E28" s="75">
        <v>54868.76</v>
      </c>
      <c r="F28" s="5"/>
      <c r="H28" s="74" t="s">
        <v>756</v>
      </c>
      <c r="I28" s="113">
        <v>46064.35</v>
      </c>
      <c r="J28" s="5"/>
    </row>
    <row r="29" spans="1:10" x14ac:dyDescent="0.3">
      <c r="A29" s="4" t="s">
        <v>757</v>
      </c>
      <c r="B29" s="76">
        <v>35272.769999999997</v>
      </c>
      <c r="D29" s="74" t="s">
        <v>758</v>
      </c>
      <c r="E29" s="75">
        <v>54842.63</v>
      </c>
      <c r="F29" s="5"/>
      <c r="H29" s="74" t="s">
        <v>758</v>
      </c>
      <c r="I29" s="113">
        <v>46042.42</v>
      </c>
      <c r="J29" s="5"/>
    </row>
    <row r="30" spans="1:10" x14ac:dyDescent="0.3">
      <c r="A30" s="4" t="s">
        <v>759</v>
      </c>
      <c r="B30" s="76">
        <v>84719.97</v>
      </c>
      <c r="D30" s="4" t="s">
        <v>759</v>
      </c>
      <c r="E30" s="76">
        <v>78187.98</v>
      </c>
      <c r="F30" s="5"/>
      <c r="H30" s="4" t="s">
        <v>760</v>
      </c>
      <c r="I30" s="113">
        <v>65641.7</v>
      </c>
      <c r="J30" s="5"/>
    </row>
    <row r="31" spans="1:10" x14ac:dyDescent="0.3">
      <c r="A31" s="4" t="s">
        <v>761</v>
      </c>
      <c r="B31" s="76">
        <v>10581.83</v>
      </c>
      <c r="D31" s="4" t="s">
        <v>761</v>
      </c>
      <c r="E31" s="76">
        <v>23841.78</v>
      </c>
      <c r="F31" s="5"/>
      <c r="H31" s="74" t="s">
        <v>762</v>
      </c>
      <c r="I31" s="113">
        <v>20016.060000000001</v>
      </c>
      <c r="J31" s="5"/>
    </row>
    <row r="32" spans="1:10" x14ac:dyDescent="0.3">
      <c r="A32" s="4" t="s">
        <v>763</v>
      </c>
      <c r="B32" s="76">
        <v>93218.25</v>
      </c>
      <c r="D32" s="4" t="s">
        <v>763</v>
      </c>
      <c r="E32" s="76">
        <v>29391.360000000001</v>
      </c>
      <c r="F32" s="5"/>
      <c r="H32" s="4" t="s">
        <v>763</v>
      </c>
      <c r="I32" s="112">
        <v>29391.360000000001</v>
      </c>
      <c r="J32" s="5"/>
    </row>
    <row r="33" spans="1:11" ht="15" thickBot="1" x14ac:dyDescent="0.35">
      <c r="A33" s="4" t="s">
        <v>764</v>
      </c>
      <c r="B33" s="76">
        <v>2090.2399999999998</v>
      </c>
      <c r="C33" s="87" t="s">
        <v>734</v>
      </c>
      <c r="D33" s="4" t="s">
        <v>764</v>
      </c>
      <c r="E33" s="76">
        <v>3396.64</v>
      </c>
      <c r="F33" s="5"/>
      <c r="G33" s="87" t="s">
        <v>734</v>
      </c>
      <c r="H33" s="4" t="s">
        <v>764</v>
      </c>
      <c r="I33" s="112">
        <v>3396.64</v>
      </c>
      <c r="J33" s="5"/>
      <c r="K33" s="87" t="s">
        <v>734</v>
      </c>
    </row>
    <row r="34" spans="1:11" ht="15" thickBot="1" x14ac:dyDescent="0.35">
      <c r="A34" s="114" t="s">
        <v>43</v>
      </c>
      <c r="B34" s="115">
        <f>SUM(B24:B33)</f>
        <v>718298.16999999993</v>
      </c>
      <c r="C34" s="98"/>
      <c r="D34" s="116" t="s">
        <v>43</v>
      </c>
      <c r="E34" s="117">
        <f>SUM(E24:E33)</f>
        <v>548720.67000000004</v>
      </c>
      <c r="F34" s="117">
        <f>B34-E34</f>
        <v>169577.49999999988</v>
      </c>
      <c r="G34" s="98"/>
      <c r="H34" s="116" t="s">
        <v>765</v>
      </c>
      <c r="I34" s="117">
        <f>SUM(I24:I33)</f>
        <v>514744.05</v>
      </c>
      <c r="J34" s="117">
        <f>E34-I34</f>
        <v>33976.620000000054</v>
      </c>
      <c r="K34" s="98"/>
    </row>
    <row r="35" spans="1:11" ht="15" thickBot="1" x14ac:dyDescent="0.35"/>
    <row r="36" spans="1:11" ht="15" thickBot="1" x14ac:dyDescent="0.35">
      <c r="A36" s="1627" t="s">
        <v>766</v>
      </c>
      <c r="B36" s="1628"/>
      <c r="D36" s="1627" t="s">
        <v>767</v>
      </c>
      <c r="E36" s="1628"/>
    </row>
    <row r="37" spans="1:11" x14ac:dyDescent="0.3">
      <c r="A37" s="118" t="s">
        <v>711</v>
      </c>
      <c r="B37" s="119" t="s">
        <v>768</v>
      </c>
      <c r="D37" t="s">
        <v>769</v>
      </c>
      <c r="E37" s="112">
        <v>99189.55</v>
      </c>
    </row>
    <row r="38" spans="1:11" x14ac:dyDescent="0.3">
      <c r="A38" s="4" t="s">
        <v>769</v>
      </c>
      <c r="B38" s="76">
        <v>128220.64</v>
      </c>
      <c r="D38" t="s">
        <v>770</v>
      </c>
      <c r="E38" s="112">
        <v>167310.51</v>
      </c>
    </row>
    <row r="39" spans="1:11" x14ac:dyDescent="0.3">
      <c r="A39" s="4" t="s">
        <v>770</v>
      </c>
      <c r="B39" s="76">
        <v>192001.45</v>
      </c>
      <c r="D39" s="120" t="s">
        <v>771</v>
      </c>
      <c r="E39" s="112">
        <v>228583.49</v>
      </c>
    </row>
    <row r="40" spans="1:11" x14ac:dyDescent="0.3">
      <c r="A40" s="74" t="s">
        <v>740</v>
      </c>
      <c r="B40" s="75">
        <v>173186.65</v>
      </c>
      <c r="D40" s="121" t="s">
        <v>772</v>
      </c>
      <c r="E40" s="113">
        <v>581611.5</v>
      </c>
    </row>
    <row r="41" spans="1:11" x14ac:dyDescent="0.3">
      <c r="A41" s="74" t="s">
        <v>741</v>
      </c>
      <c r="B41" s="75">
        <v>558757.27</v>
      </c>
      <c r="D41" t="s">
        <v>773</v>
      </c>
      <c r="E41" s="112">
        <v>112676.91</v>
      </c>
    </row>
    <row r="42" spans="1:11" x14ac:dyDescent="0.3">
      <c r="A42" s="4" t="s">
        <v>773</v>
      </c>
      <c r="B42" s="76">
        <v>112676.91</v>
      </c>
      <c r="D42" t="s">
        <v>774</v>
      </c>
      <c r="E42" s="112">
        <v>200924.16</v>
      </c>
    </row>
    <row r="43" spans="1:11" x14ac:dyDescent="0.3">
      <c r="A43" s="4" t="s">
        <v>775</v>
      </c>
      <c r="B43" s="76">
        <v>175318.74</v>
      </c>
      <c r="D43" t="s">
        <v>776</v>
      </c>
      <c r="E43" s="112">
        <v>54607.48</v>
      </c>
    </row>
    <row r="44" spans="1:11" x14ac:dyDescent="0.3">
      <c r="A44" s="4" t="s">
        <v>776</v>
      </c>
      <c r="B44" s="76">
        <v>79494.38</v>
      </c>
      <c r="D44" t="s">
        <v>777</v>
      </c>
      <c r="E44" s="112">
        <v>39714.53</v>
      </c>
    </row>
    <row r="45" spans="1:11" x14ac:dyDescent="0.3">
      <c r="A45" s="4" t="s">
        <v>777</v>
      </c>
      <c r="B45" s="76">
        <v>35272.769999999997</v>
      </c>
      <c r="D45" t="s">
        <v>778</v>
      </c>
      <c r="E45" s="112">
        <v>69170.37</v>
      </c>
    </row>
    <row r="46" spans="1:11" x14ac:dyDescent="0.3">
      <c r="A46" s="4" t="s">
        <v>778</v>
      </c>
      <c r="B46" s="76">
        <v>117322.53</v>
      </c>
      <c r="D46" t="s">
        <v>779</v>
      </c>
      <c r="E46" s="112">
        <v>20157.740000000002</v>
      </c>
    </row>
    <row r="47" spans="1:11" x14ac:dyDescent="0.3">
      <c r="A47" s="4" t="s">
        <v>779</v>
      </c>
      <c r="B47" s="76">
        <v>30948.59</v>
      </c>
      <c r="D47" t="s">
        <v>543</v>
      </c>
      <c r="E47" s="112">
        <v>5356.24</v>
      </c>
    </row>
    <row r="48" spans="1:11" x14ac:dyDescent="0.3">
      <c r="A48" s="4" t="s">
        <v>543</v>
      </c>
      <c r="B48" s="76">
        <v>5486.88</v>
      </c>
      <c r="C48" s="87" t="s">
        <v>734</v>
      </c>
      <c r="D48" s="122" t="s">
        <v>780</v>
      </c>
      <c r="E48" s="123">
        <f>SUM(E37:E47)</f>
        <v>1579302.48</v>
      </c>
    </row>
    <row r="49" spans="1:5" ht="15" thickBot="1" x14ac:dyDescent="0.35">
      <c r="A49" s="96" t="s">
        <v>780</v>
      </c>
      <c r="B49" s="97">
        <f>SUM(B38:B48)</f>
        <v>1608686.81</v>
      </c>
      <c r="C49" s="98"/>
    </row>
    <row r="50" spans="1:5" ht="15" thickBot="1" x14ac:dyDescent="0.35"/>
    <row r="51" spans="1:5" ht="15" thickBot="1" x14ac:dyDescent="0.35">
      <c r="D51" s="1627"/>
      <c r="E51" s="1628"/>
    </row>
    <row r="52" spans="1:5" x14ac:dyDescent="0.3">
      <c r="E52" s="112"/>
    </row>
    <row r="53" spans="1:5" ht="14.4" customHeight="1" x14ac:dyDescent="0.3">
      <c r="A53" s="1629" t="s">
        <v>795</v>
      </c>
      <c r="B53" s="1629"/>
      <c r="E53" s="112"/>
    </row>
    <row r="54" spans="1:5" x14ac:dyDescent="0.3">
      <c r="A54" t="s">
        <v>788</v>
      </c>
      <c r="B54" s="112">
        <f>E18</f>
        <v>5432363.6600000001</v>
      </c>
      <c r="D54" s="120"/>
      <c r="E54" s="112"/>
    </row>
    <row r="55" spans="1:5" x14ac:dyDescent="0.3">
      <c r="A55" t="s">
        <v>789</v>
      </c>
      <c r="B55" s="112">
        <f>I13</f>
        <v>530981.37</v>
      </c>
      <c r="D55" s="121"/>
      <c r="E55" s="113"/>
    </row>
    <row r="56" spans="1:5" x14ac:dyDescent="0.3">
      <c r="A56" s="122" t="s">
        <v>746</v>
      </c>
      <c r="B56" s="123">
        <f>B54+B55</f>
        <v>5963345.0300000003</v>
      </c>
      <c r="E56" s="112"/>
    </row>
    <row r="57" spans="1:5" x14ac:dyDescent="0.3">
      <c r="A57" t="s">
        <v>781</v>
      </c>
      <c r="B57" s="112">
        <f>I34</f>
        <v>514744.05</v>
      </c>
      <c r="E57" s="112"/>
    </row>
    <row r="58" spans="1:5" x14ac:dyDescent="0.3">
      <c r="A58" t="s">
        <v>782</v>
      </c>
      <c r="B58" s="112">
        <f>E48</f>
        <v>1579302.48</v>
      </c>
      <c r="E58" s="112"/>
    </row>
    <row r="59" spans="1:5" x14ac:dyDescent="0.3">
      <c r="A59" s="122" t="s">
        <v>791</v>
      </c>
      <c r="B59" s="123">
        <f>B56+B57+B58</f>
        <v>8057391.5600000005</v>
      </c>
      <c r="E59" s="112"/>
    </row>
    <row r="60" spans="1:5" x14ac:dyDescent="0.3">
      <c r="A60" s="124" t="s">
        <v>794</v>
      </c>
      <c r="B60" s="102">
        <v>85000</v>
      </c>
      <c r="E60" s="112"/>
    </row>
    <row r="61" spans="1:5" x14ac:dyDescent="0.3">
      <c r="A61" s="120" t="s">
        <v>783</v>
      </c>
      <c r="B61" s="102">
        <v>30000</v>
      </c>
      <c r="E61" s="112"/>
    </row>
    <row r="62" spans="1:5" x14ac:dyDescent="0.3">
      <c r="A62" s="122" t="s">
        <v>793</v>
      </c>
      <c r="B62" s="123">
        <f>+B59+B60+B61</f>
        <v>8172391.5600000005</v>
      </c>
      <c r="E62" s="112"/>
    </row>
    <row r="63" spans="1:5" x14ac:dyDescent="0.3">
      <c r="D63" s="122"/>
      <c r="E63" s="123"/>
    </row>
    <row r="64" spans="1:5" x14ac:dyDescent="0.3">
      <c r="A64" t="s">
        <v>784</v>
      </c>
    </row>
    <row r="65" spans="1:6" x14ac:dyDescent="0.3">
      <c r="A65" t="s">
        <v>785</v>
      </c>
    </row>
    <row r="68" spans="1:6" ht="14.4" customHeight="1" x14ac:dyDescent="0.3">
      <c r="A68" s="1629" t="s">
        <v>797</v>
      </c>
      <c r="B68" s="1629"/>
      <c r="D68" s="129" t="s">
        <v>798</v>
      </c>
      <c r="E68" s="129" t="s">
        <v>799</v>
      </c>
      <c r="F68" s="129" t="s">
        <v>800</v>
      </c>
    </row>
    <row r="69" spans="1:6" x14ac:dyDescent="0.3">
      <c r="A69" t="s">
        <v>788</v>
      </c>
      <c r="B69" s="112" t="e">
        <f>'Convenção de Vendas'!#REF!</f>
        <v>#REF!</v>
      </c>
      <c r="D69" s="127" t="e">
        <f>'Convenção de Vendas'!#REF!</f>
        <v>#REF!</v>
      </c>
      <c r="E69" s="58" t="e">
        <f>B69-D69</f>
        <v>#REF!</v>
      </c>
      <c r="F69" s="125" t="e">
        <f t="shared" ref="F69:F74" si="1">E69/B69</f>
        <v>#REF!</v>
      </c>
    </row>
    <row r="70" spans="1:6" x14ac:dyDescent="0.3">
      <c r="A70" t="s">
        <v>789</v>
      </c>
      <c r="B70" s="112" t="e">
        <f>'Convenção de Vendas_ EXTRAS PRÉ'!#REF!</f>
        <v>#REF!</v>
      </c>
      <c r="D70" s="127" t="e">
        <f>'Convenção de Vendas_ EXTRAS PRÉ'!#REF!</f>
        <v>#REF!</v>
      </c>
      <c r="E70" s="58" t="e">
        <f>B70-D70</f>
        <v>#REF!</v>
      </c>
      <c r="F70" s="125" t="e">
        <f t="shared" si="1"/>
        <v>#REF!</v>
      </c>
    </row>
    <row r="71" spans="1:6" x14ac:dyDescent="0.3">
      <c r="A71" s="122" t="s">
        <v>746</v>
      </c>
      <c r="B71" s="123" t="e">
        <f>B69+B70</f>
        <v>#REF!</v>
      </c>
      <c r="D71" s="128" t="e">
        <f>D69+D70</f>
        <v>#REF!</v>
      </c>
      <c r="E71" s="128" t="e">
        <f>E69+E70</f>
        <v>#REF!</v>
      </c>
      <c r="F71" s="125" t="e">
        <f t="shared" si="1"/>
        <v>#REF!</v>
      </c>
    </row>
    <row r="72" spans="1:6" x14ac:dyDescent="0.3">
      <c r="A72" t="s">
        <v>781</v>
      </c>
      <c r="B72" s="112">
        <f>'Coletiva de Imprensa'!N134</f>
        <v>318868.59725414298</v>
      </c>
      <c r="D72" s="127">
        <f>'Coletiva de Imprensa'!AB134</f>
        <v>3615177.5819149395</v>
      </c>
      <c r="E72" s="58">
        <f>B72-D72</f>
        <v>-3296308.9846607964</v>
      </c>
      <c r="F72" s="125">
        <f t="shared" si="1"/>
        <v>-10.33751524310056</v>
      </c>
    </row>
    <row r="73" spans="1:6" x14ac:dyDescent="0.3">
      <c r="A73" t="s">
        <v>782</v>
      </c>
      <c r="B73" s="112">
        <f>'Lançamento de Produtos'!N162</f>
        <v>1733564.2174005082</v>
      </c>
      <c r="D73" s="127">
        <f>'Lançamento de Produtos'!AA162</f>
        <v>253505.917800508</v>
      </c>
      <c r="E73" s="58">
        <f>B73-D73</f>
        <v>1480058.2996000003</v>
      </c>
      <c r="F73" s="125">
        <f t="shared" si="1"/>
        <v>0.85376606458764948</v>
      </c>
    </row>
    <row r="74" spans="1:6" x14ac:dyDescent="0.3">
      <c r="A74" s="122" t="s">
        <v>791</v>
      </c>
      <c r="B74" s="123" t="e">
        <f>B71+B72+B73</f>
        <v>#REF!</v>
      </c>
      <c r="D74" s="127" t="e">
        <f>D71+D72+D73</f>
        <v>#REF!</v>
      </c>
      <c r="E74" s="58" t="e">
        <f>B74-D74</f>
        <v>#REF!</v>
      </c>
      <c r="F74" s="125" t="e">
        <f t="shared" si="1"/>
        <v>#REF!</v>
      </c>
    </row>
    <row r="75" spans="1:6" x14ac:dyDescent="0.3">
      <c r="A75" s="124" t="s">
        <v>794</v>
      </c>
      <c r="B75" s="102">
        <v>85000</v>
      </c>
      <c r="D75" s="130"/>
    </row>
    <row r="76" spans="1:6" x14ac:dyDescent="0.3">
      <c r="A76" s="120" t="s">
        <v>783</v>
      </c>
      <c r="B76" s="102">
        <v>30000</v>
      </c>
      <c r="D76" s="130"/>
    </row>
    <row r="77" spans="1:6" x14ac:dyDescent="0.3">
      <c r="A77" s="122" t="s">
        <v>796</v>
      </c>
      <c r="B77" s="123" t="e">
        <f>+B74+B75+B76</f>
        <v>#REF!</v>
      </c>
      <c r="D77" s="130"/>
    </row>
    <row r="79" spans="1:6" x14ac:dyDescent="0.3">
      <c r="A79" t="s">
        <v>784</v>
      </c>
    </row>
    <row r="80" spans="1:6" x14ac:dyDescent="0.3">
      <c r="A80" t="s">
        <v>785</v>
      </c>
    </row>
  </sheetData>
  <mergeCells count="15">
    <mergeCell ref="H22:I22"/>
    <mergeCell ref="A36:B36"/>
    <mergeCell ref="D36:E36"/>
    <mergeCell ref="A1:B1"/>
    <mergeCell ref="D1:F1"/>
    <mergeCell ref="H1:I1"/>
    <mergeCell ref="A2:B2"/>
    <mergeCell ref="D2:F2"/>
    <mergeCell ref="H2:I2"/>
    <mergeCell ref="D51:E51"/>
    <mergeCell ref="A68:B68"/>
    <mergeCell ref="A53:B53"/>
    <mergeCell ref="F19:F20"/>
    <mergeCell ref="A22:B22"/>
    <mergeCell ref="D22:F22"/>
  </mergeCells>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84FAB-261B-4968-9CA3-EB40C5184F67}">
  <dimension ref="A1:C2"/>
  <sheetViews>
    <sheetView workbookViewId="0">
      <selection activeCell="A2" sqref="A2"/>
    </sheetView>
  </sheetViews>
  <sheetFormatPr defaultRowHeight="14.4" x14ac:dyDescent="0.3"/>
  <cols>
    <col min="1" max="1" width="31.5546875" customWidth="1"/>
    <col min="2" max="2" width="21.44140625" customWidth="1"/>
    <col min="3" max="3" width="20.44140625" style="194" customWidth="1"/>
  </cols>
  <sheetData>
    <row r="1" spans="1:3" x14ac:dyDescent="0.3">
      <c r="A1" t="s">
        <v>132</v>
      </c>
      <c r="B1" t="s">
        <v>1066</v>
      </c>
      <c r="C1" s="194" t="s">
        <v>9</v>
      </c>
    </row>
    <row r="2" spans="1:3" x14ac:dyDescent="0.3">
      <c r="A2" t="s">
        <v>1067</v>
      </c>
      <c r="B2" t="s">
        <v>1068</v>
      </c>
      <c r="C2" s="194">
        <v>599</v>
      </c>
    </row>
  </sheetData>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18E20-5F9B-4607-8352-34FC838627F1}">
  <sheetPr>
    <tabColor theme="2" tint="-0.749992370372631"/>
  </sheetPr>
  <dimension ref="A1:D17"/>
  <sheetViews>
    <sheetView workbookViewId="0">
      <selection activeCell="C22" sqref="C22"/>
    </sheetView>
  </sheetViews>
  <sheetFormatPr defaultRowHeight="14.4" x14ac:dyDescent="0.3"/>
  <cols>
    <col min="1" max="1" width="31.109375" bestFit="1" customWidth="1"/>
    <col min="2" max="2" width="14.109375" bestFit="1" customWidth="1"/>
    <col min="3" max="3" width="38.88671875" customWidth="1"/>
    <col min="4" max="4" width="14.109375" bestFit="1" customWidth="1"/>
    <col min="6" max="6" width="12.44140625" bestFit="1" customWidth="1"/>
    <col min="7" max="7" width="14.5546875" bestFit="1" customWidth="1"/>
  </cols>
  <sheetData>
    <row r="1" spans="1:4" x14ac:dyDescent="0.3">
      <c r="A1" s="148" t="s">
        <v>903</v>
      </c>
      <c r="B1" s="148" t="s">
        <v>902</v>
      </c>
      <c r="C1" s="148" t="s">
        <v>904</v>
      </c>
      <c r="D1" s="148" t="s">
        <v>905</v>
      </c>
    </row>
    <row r="2" spans="1:4" x14ac:dyDescent="0.3">
      <c r="A2" t="s">
        <v>869</v>
      </c>
      <c r="B2" t="s">
        <v>906</v>
      </c>
      <c r="C2" t="s">
        <v>870</v>
      </c>
      <c r="D2" t="s">
        <v>871</v>
      </c>
    </row>
    <row r="3" spans="1:4" x14ac:dyDescent="0.3">
      <c r="A3" t="s">
        <v>872</v>
      </c>
      <c r="B3" t="s">
        <v>907</v>
      </c>
      <c r="C3" t="s">
        <v>873</v>
      </c>
      <c r="D3" t="s">
        <v>874</v>
      </c>
    </row>
    <row r="4" spans="1:4" x14ac:dyDescent="0.3">
      <c r="A4" t="s">
        <v>875</v>
      </c>
      <c r="B4" t="s">
        <v>908</v>
      </c>
      <c r="C4" t="s">
        <v>876</v>
      </c>
      <c r="D4" t="s">
        <v>877</v>
      </c>
    </row>
    <row r="5" spans="1:4" x14ac:dyDescent="0.3">
      <c r="A5" t="s">
        <v>875</v>
      </c>
      <c r="B5" t="s">
        <v>909</v>
      </c>
      <c r="C5" t="s">
        <v>878</v>
      </c>
      <c r="D5" t="s">
        <v>879</v>
      </c>
    </row>
    <row r="6" spans="1:4" x14ac:dyDescent="0.3">
      <c r="A6" t="s">
        <v>910</v>
      </c>
      <c r="B6" t="s">
        <v>911</v>
      </c>
      <c r="C6" t="s">
        <v>888</v>
      </c>
      <c r="D6" t="s">
        <v>887</v>
      </c>
    </row>
    <row r="7" spans="1:4" x14ac:dyDescent="0.3">
      <c r="A7" t="s">
        <v>892</v>
      </c>
      <c r="C7" t="s">
        <v>912</v>
      </c>
      <c r="D7" t="s">
        <v>893</v>
      </c>
    </row>
    <row r="8" spans="1:4" x14ac:dyDescent="0.3">
      <c r="A8" t="s">
        <v>895</v>
      </c>
      <c r="B8" t="s">
        <v>894</v>
      </c>
      <c r="C8" t="s">
        <v>913</v>
      </c>
      <c r="D8" t="s">
        <v>896</v>
      </c>
    </row>
    <row r="9" spans="1:4" x14ac:dyDescent="0.3">
      <c r="A9" t="s">
        <v>900</v>
      </c>
      <c r="C9" t="s">
        <v>901</v>
      </c>
      <c r="D9" t="s">
        <v>915</v>
      </c>
    </row>
    <row r="10" spans="1:4" x14ac:dyDescent="0.3">
      <c r="A10" t="s">
        <v>914</v>
      </c>
      <c r="C10" t="s">
        <v>901</v>
      </c>
      <c r="D10" t="s">
        <v>915</v>
      </c>
    </row>
    <row r="11" spans="1:4" x14ac:dyDescent="0.3">
      <c r="A11" t="s">
        <v>916</v>
      </c>
      <c r="B11" t="s">
        <v>918</v>
      </c>
      <c r="C11" t="s">
        <v>919</v>
      </c>
      <c r="D11" t="s">
        <v>917</v>
      </c>
    </row>
    <row r="16" spans="1:4" x14ac:dyDescent="0.3">
      <c r="C16" s="142"/>
    </row>
    <row r="17" spans="3:3" x14ac:dyDescent="0.3">
      <c r="C17" s="142"/>
    </row>
  </sheetData>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7B26B-1264-4464-8737-86416CB84456}">
  <sheetPr>
    <tabColor rgb="FFFF0000"/>
  </sheetPr>
  <dimension ref="A1:I47"/>
  <sheetViews>
    <sheetView topLeftCell="A23" workbookViewId="0">
      <selection activeCell="A33" sqref="A33"/>
    </sheetView>
  </sheetViews>
  <sheetFormatPr defaultRowHeight="14.4" x14ac:dyDescent="0.3"/>
  <cols>
    <col min="1" max="1" width="36.44140625" customWidth="1"/>
    <col min="2" max="2" width="46.109375" customWidth="1"/>
    <col min="3" max="4" width="8.88671875" style="52"/>
    <col min="5" max="5" width="25.88671875" customWidth="1"/>
    <col min="6" max="6" width="14.5546875" bestFit="1" customWidth="1"/>
  </cols>
  <sheetData>
    <row r="1" spans="1:9" ht="16.2" x14ac:dyDescent="0.3">
      <c r="C1" s="67" t="s">
        <v>133</v>
      </c>
      <c r="D1" s="67" t="s">
        <v>134</v>
      </c>
    </row>
    <row r="2" spans="1:9" ht="48.6" x14ac:dyDescent="0.35">
      <c r="A2" s="59" t="s">
        <v>860</v>
      </c>
      <c r="B2" s="138" t="s">
        <v>861</v>
      </c>
      <c r="C2" s="131">
        <v>2</v>
      </c>
      <c r="D2" s="131">
        <v>1</v>
      </c>
      <c r="E2" s="139">
        <v>597</v>
      </c>
      <c r="F2" s="140">
        <f>IF(A2&lt;&gt;"",C2*D2*E2,"")</f>
        <v>1194</v>
      </c>
      <c r="G2" s="140"/>
      <c r="H2" s="140"/>
      <c r="I2" s="140"/>
    </row>
    <row r="3" spans="1:9" ht="29.4" x14ac:dyDescent="0.35">
      <c r="A3" s="141" t="s">
        <v>862</v>
      </c>
      <c r="B3" s="138" t="s">
        <v>863</v>
      </c>
      <c r="C3" s="135">
        <v>75</v>
      </c>
      <c r="D3" s="135">
        <v>1</v>
      </c>
      <c r="E3" s="139">
        <v>31.45</v>
      </c>
      <c r="F3" s="140">
        <f>IF(A3&lt;&gt;"",C3*D3*E3,"")</f>
        <v>2358.75</v>
      </c>
      <c r="G3" s="140"/>
      <c r="H3" s="140"/>
      <c r="I3" s="140"/>
    </row>
    <row r="4" spans="1:9" ht="58.2" x14ac:dyDescent="0.35">
      <c r="A4" s="141" t="s">
        <v>862</v>
      </c>
      <c r="B4" s="138" t="s">
        <v>864</v>
      </c>
      <c r="C4" s="135">
        <v>1</v>
      </c>
      <c r="D4" s="135">
        <v>1</v>
      </c>
      <c r="E4" s="139">
        <v>52.9</v>
      </c>
      <c r="F4" s="139">
        <f>IF(A4&lt;&gt;"",C4*D4*E4,"")</f>
        <v>52.9</v>
      </c>
      <c r="G4" s="139"/>
      <c r="H4" s="139"/>
      <c r="I4" s="139"/>
    </row>
    <row r="5" spans="1:9" ht="29.4" x14ac:dyDescent="0.35">
      <c r="A5" s="137" t="s">
        <v>865</v>
      </c>
      <c r="B5" s="138" t="s">
        <v>866</v>
      </c>
      <c r="C5" s="135">
        <v>1</v>
      </c>
      <c r="D5" s="135">
        <v>1</v>
      </c>
      <c r="E5" s="139">
        <f>113.8+9.99</f>
        <v>123.78999999999999</v>
      </c>
      <c r="F5" s="139">
        <f>IF(A5&lt;&gt;"",C5*D5*E5,"")</f>
        <v>123.78999999999999</v>
      </c>
      <c r="G5" s="136"/>
      <c r="H5" s="136"/>
      <c r="I5" s="136"/>
    </row>
    <row r="6" spans="1:9" ht="16.2" x14ac:dyDescent="0.35">
      <c r="A6" s="144" t="s">
        <v>868</v>
      </c>
      <c r="B6" s="145" t="s">
        <v>867</v>
      </c>
      <c r="C6" s="146">
        <v>1</v>
      </c>
      <c r="D6" s="146">
        <v>1</v>
      </c>
      <c r="E6" s="147">
        <v>4128</v>
      </c>
      <c r="F6" s="147">
        <f>IF(A6&lt;&gt;"",C6*D6*E6,"")</f>
        <v>4128</v>
      </c>
      <c r="G6" s="136"/>
      <c r="H6" s="136"/>
      <c r="I6" s="136"/>
    </row>
    <row r="7" spans="1:9" ht="16.2" x14ac:dyDescent="0.35">
      <c r="A7" s="52"/>
      <c r="B7" s="63"/>
      <c r="C7" s="65"/>
      <c r="D7" s="65"/>
      <c r="E7" s="143"/>
      <c r="F7" s="143"/>
    </row>
    <row r="8" spans="1:9" ht="16.2" x14ac:dyDescent="0.35">
      <c r="A8" s="52" t="s">
        <v>921</v>
      </c>
      <c r="B8" s="63" t="s">
        <v>922</v>
      </c>
      <c r="C8" s="65"/>
      <c r="D8" s="65"/>
      <c r="E8" s="143"/>
      <c r="F8" s="143"/>
    </row>
    <row r="10" spans="1:9" x14ac:dyDescent="0.3">
      <c r="A10" s="52" t="s">
        <v>880</v>
      </c>
      <c r="B10" s="63" t="s">
        <v>889</v>
      </c>
    </row>
    <row r="12" spans="1:9" ht="28.8" x14ac:dyDescent="0.3">
      <c r="A12" s="52" t="s">
        <v>881</v>
      </c>
      <c r="B12" s="63" t="s">
        <v>882</v>
      </c>
    </row>
    <row r="14" spans="1:9" ht="29.4" x14ac:dyDescent="0.35">
      <c r="A14" s="150" t="s">
        <v>898</v>
      </c>
      <c r="B14" s="151" t="s">
        <v>882</v>
      </c>
      <c r="E14" s="139">
        <v>1520</v>
      </c>
    </row>
    <row r="16" spans="1:9" ht="29.4" x14ac:dyDescent="0.35">
      <c r="A16" s="66" t="s">
        <v>897</v>
      </c>
      <c r="B16" s="63" t="s">
        <v>882</v>
      </c>
      <c r="C16" s="52">
        <v>1</v>
      </c>
      <c r="D16" s="52">
        <v>1</v>
      </c>
      <c r="E16" s="139">
        <v>4971.1400000000003</v>
      </c>
      <c r="F16" s="143"/>
    </row>
    <row r="18" spans="1:6" ht="16.2" x14ac:dyDescent="0.35">
      <c r="A18" s="191" t="s">
        <v>884</v>
      </c>
      <c r="B18" s="62" t="s">
        <v>885</v>
      </c>
      <c r="C18" s="192"/>
      <c r="D18" s="192"/>
      <c r="E18" s="193">
        <v>10400</v>
      </c>
    </row>
    <row r="19" spans="1:6" ht="16.2" x14ac:dyDescent="0.35">
      <c r="A19" s="65"/>
      <c r="E19" s="139"/>
    </row>
    <row r="20" spans="1:6" ht="16.2" x14ac:dyDescent="0.35">
      <c r="A20" s="191" t="s">
        <v>886</v>
      </c>
      <c r="B20" s="62" t="s">
        <v>885</v>
      </c>
      <c r="C20" s="192"/>
      <c r="D20" s="192"/>
      <c r="E20" s="193">
        <v>10400</v>
      </c>
    </row>
    <row r="22" spans="1:6" ht="16.2" x14ac:dyDescent="0.35">
      <c r="A22" t="s">
        <v>899</v>
      </c>
      <c r="B22" t="s">
        <v>885</v>
      </c>
      <c r="E22" s="139">
        <v>22780</v>
      </c>
    </row>
    <row r="24" spans="1:6" ht="57.6" x14ac:dyDescent="0.3">
      <c r="A24" s="63" t="s">
        <v>920</v>
      </c>
      <c r="B24" s="66" t="s">
        <v>885</v>
      </c>
      <c r="E24" s="149">
        <v>5620</v>
      </c>
    </row>
    <row r="26" spans="1:6" x14ac:dyDescent="0.3">
      <c r="F26" s="62"/>
    </row>
    <row r="27" spans="1:6" x14ac:dyDescent="0.3">
      <c r="A27" s="62" t="s">
        <v>1069</v>
      </c>
      <c r="B27" s="62" t="s">
        <v>1070</v>
      </c>
      <c r="C27" s="192"/>
      <c r="D27" s="192"/>
      <c r="E27" s="195">
        <v>7344</v>
      </c>
      <c r="F27" s="62" t="s">
        <v>1087</v>
      </c>
    </row>
    <row r="28" spans="1:6" x14ac:dyDescent="0.3">
      <c r="A28" s="62" t="s">
        <v>1069</v>
      </c>
      <c r="B28" s="62" t="s">
        <v>1071</v>
      </c>
      <c r="C28" s="192"/>
      <c r="D28" s="192"/>
      <c r="E28" s="195">
        <v>1544</v>
      </c>
      <c r="F28" s="62" t="s">
        <v>1087</v>
      </c>
    </row>
    <row r="29" spans="1:6" x14ac:dyDescent="0.3">
      <c r="A29" s="62" t="s">
        <v>1072</v>
      </c>
      <c r="B29" s="62" t="s">
        <v>1073</v>
      </c>
      <c r="C29" s="192"/>
      <c r="D29" s="192"/>
      <c r="E29" s="195">
        <v>3187</v>
      </c>
      <c r="F29" s="62" t="s">
        <v>1087</v>
      </c>
    </row>
    <row r="30" spans="1:6" x14ac:dyDescent="0.3">
      <c r="A30" s="62" t="s">
        <v>1074</v>
      </c>
      <c r="B30" s="62" t="s">
        <v>1075</v>
      </c>
      <c r="C30" s="192"/>
      <c r="D30" s="192"/>
      <c r="E30" s="195">
        <v>6000</v>
      </c>
      <c r="F30" s="62" t="s">
        <v>1087</v>
      </c>
    </row>
    <row r="31" spans="1:6" x14ac:dyDescent="0.3">
      <c r="A31" s="62" t="s">
        <v>1076</v>
      </c>
      <c r="B31" s="62"/>
      <c r="C31" s="192"/>
      <c r="D31" s="192"/>
      <c r="E31" s="195">
        <v>1500</v>
      </c>
      <c r="F31" s="62" t="s">
        <v>1087</v>
      </c>
    </row>
    <row r="32" spans="1:6" x14ac:dyDescent="0.3">
      <c r="A32" s="62" t="s">
        <v>1077</v>
      </c>
      <c r="B32" s="62"/>
      <c r="C32" s="192"/>
      <c r="D32" s="192"/>
      <c r="E32" s="195">
        <v>6080</v>
      </c>
      <c r="F32" s="62" t="s">
        <v>1087</v>
      </c>
    </row>
    <row r="33" spans="1:6" x14ac:dyDescent="0.3">
      <c r="A33" s="62" t="s">
        <v>1078</v>
      </c>
      <c r="B33" s="62"/>
      <c r="C33" s="192"/>
      <c r="D33" s="192"/>
      <c r="E33" s="195">
        <v>3520</v>
      </c>
      <c r="F33" s="62" t="s">
        <v>1087</v>
      </c>
    </row>
    <row r="34" spans="1:6" x14ac:dyDescent="0.3">
      <c r="A34" s="62" t="s">
        <v>1079</v>
      </c>
      <c r="B34" s="62"/>
      <c r="C34" s="192"/>
      <c r="D34" s="192"/>
      <c r="E34" s="195">
        <v>3500</v>
      </c>
      <c r="F34" s="62" t="s">
        <v>1087</v>
      </c>
    </row>
    <row r="35" spans="1:6" x14ac:dyDescent="0.3">
      <c r="A35" s="62" t="s">
        <v>1080</v>
      </c>
      <c r="B35" s="62"/>
      <c r="C35" s="192"/>
      <c r="D35" s="192"/>
      <c r="E35" s="195">
        <v>250</v>
      </c>
      <c r="F35" s="62" t="s">
        <v>1087</v>
      </c>
    </row>
    <row r="36" spans="1:6" x14ac:dyDescent="0.3">
      <c r="A36" s="62" t="s">
        <v>1081</v>
      </c>
      <c r="B36" s="62" t="s">
        <v>1082</v>
      </c>
      <c r="C36" s="192"/>
      <c r="D36" s="192"/>
      <c r="E36" s="195">
        <v>2550</v>
      </c>
      <c r="F36" s="62" t="s">
        <v>1087</v>
      </c>
    </row>
    <row r="37" spans="1:6" x14ac:dyDescent="0.3">
      <c r="A37" s="62" t="s">
        <v>1083</v>
      </c>
      <c r="B37" s="62"/>
      <c r="C37" s="192"/>
      <c r="D37" s="192"/>
      <c r="E37" s="195">
        <v>2200</v>
      </c>
      <c r="F37" s="62" t="s">
        <v>1087</v>
      </c>
    </row>
    <row r="38" spans="1:6" x14ac:dyDescent="0.3">
      <c r="A38" s="62" t="s">
        <v>1084</v>
      </c>
      <c r="B38" s="62" t="s">
        <v>1085</v>
      </c>
      <c r="C38" s="192"/>
      <c r="D38" s="192"/>
      <c r="E38" s="195">
        <v>9360</v>
      </c>
      <c r="F38" s="62" t="s">
        <v>1087</v>
      </c>
    </row>
    <row r="39" spans="1:6" x14ac:dyDescent="0.3">
      <c r="A39" s="62" t="s">
        <v>1086</v>
      </c>
      <c r="B39" s="62"/>
      <c r="C39" s="192"/>
      <c r="D39" s="192"/>
      <c r="E39" s="195">
        <v>675</v>
      </c>
      <c r="F39" s="62" t="s">
        <v>1087</v>
      </c>
    </row>
    <row r="41" spans="1:6" ht="15.6" x14ac:dyDescent="0.3">
      <c r="A41" s="62" t="s">
        <v>1088</v>
      </c>
      <c r="B41" s="196" t="s">
        <v>1089</v>
      </c>
      <c r="C41" s="192"/>
      <c r="D41" s="192"/>
      <c r="E41" s="195">
        <v>8500</v>
      </c>
      <c r="F41" s="62" t="s">
        <v>1095</v>
      </c>
    </row>
    <row r="42" spans="1:6" x14ac:dyDescent="0.3">
      <c r="A42" s="62" t="s">
        <v>1090</v>
      </c>
      <c r="B42" s="62"/>
      <c r="C42" s="192"/>
      <c r="D42" s="192"/>
      <c r="E42" s="195">
        <v>8650</v>
      </c>
      <c r="F42" s="62" t="s">
        <v>1095</v>
      </c>
    </row>
    <row r="43" spans="1:6" x14ac:dyDescent="0.3">
      <c r="A43" s="62" t="s">
        <v>1091</v>
      </c>
      <c r="B43" s="62"/>
      <c r="C43" s="192"/>
      <c r="D43" s="192"/>
      <c r="E43" s="195">
        <v>3100</v>
      </c>
      <c r="F43" s="62" t="s">
        <v>1095</v>
      </c>
    </row>
    <row r="44" spans="1:6" x14ac:dyDescent="0.3">
      <c r="A44" s="62" t="s">
        <v>1092</v>
      </c>
      <c r="B44" s="62"/>
      <c r="C44" s="192"/>
      <c r="D44" s="192"/>
      <c r="E44" s="195">
        <v>3350</v>
      </c>
      <c r="F44" s="62" t="s">
        <v>1095</v>
      </c>
    </row>
    <row r="45" spans="1:6" x14ac:dyDescent="0.3">
      <c r="A45" s="62" t="s">
        <v>1093</v>
      </c>
      <c r="B45" s="62"/>
      <c r="C45" s="192"/>
      <c r="D45" s="192"/>
      <c r="E45" s="195">
        <v>4500</v>
      </c>
      <c r="F45" s="62" t="s">
        <v>1095</v>
      </c>
    </row>
    <row r="46" spans="1:6" x14ac:dyDescent="0.3">
      <c r="A46" s="62" t="s">
        <v>1094</v>
      </c>
      <c r="B46" s="62"/>
      <c r="C46" s="192"/>
      <c r="D46" s="192"/>
      <c r="E46" s="195">
        <v>3500</v>
      </c>
      <c r="F46" s="62" t="s">
        <v>1095</v>
      </c>
    </row>
    <row r="47" spans="1:6" x14ac:dyDescent="0.3">
      <c r="A47" s="62" t="s">
        <v>1096</v>
      </c>
      <c r="E47" s="112">
        <v>15976</v>
      </c>
      <c r="F47" s="62" t="s">
        <v>1095</v>
      </c>
    </row>
  </sheetData>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7A351-E9F1-4E5C-8A08-61072E4C8BD4}">
  <sheetPr codeName="Planilha7"/>
  <dimension ref="A1:O28"/>
  <sheetViews>
    <sheetView zoomScaleNormal="100" workbookViewId="0">
      <selection activeCell="D17" sqref="D17"/>
    </sheetView>
  </sheetViews>
  <sheetFormatPr defaultColWidth="8.88671875" defaultRowHeight="14.4" x14ac:dyDescent="0.3"/>
  <cols>
    <col min="1" max="1" width="35.44140625" customWidth="1"/>
    <col min="2" max="3" width="20.44140625" customWidth="1"/>
    <col min="4" max="4" width="40.44140625" customWidth="1"/>
    <col min="5" max="5" width="17.5546875" customWidth="1"/>
    <col min="6" max="7" width="15.109375" customWidth="1"/>
    <col min="8" max="8" width="25.44140625" customWidth="1"/>
    <col min="9" max="10" width="15.109375" customWidth="1"/>
    <col min="11" max="11" width="10.109375" customWidth="1"/>
    <col min="12" max="12" width="15.109375" customWidth="1"/>
    <col min="13" max="13" width="12.5546875" customWidth="1"/>
    <col min="14" max="14" width="15.109375" customWidth="1"/>
    <col min="15" max="15" width="40.44140625" customWidth="1"/>
  </cols>
  <sheetData>
    <row r="1" spans="1:15" ht="15" x14ac:dyDescent="0.3">
      <c r="A1" s="1647" t="s">
        <v>11</v>
      </c>
      <c r="B1" s="1647"/>
      <c r="C1" s="1647"/>
      <c r="D1" s="1649" t="s">
        <v>80</v>
      </c>
      <c r="E1" s="1649"/>
      <c r="F1" s="1649"/>
      <c r="G1" s="1649"/>
      <c r="H1" s="1649"/>
      <c r="I1" s="1649"/>
      <c r="J1" s="27" t="s">
        <v>11</v>
      </c>
      <c r="K1" s="27" t="s">
        <v>11</v>
      </c>
      <c r="L1" s="27" t="s">
        <v>11</v>
      </c>
      <c r="M1" s="27" t="s">
        <v>11</v>
      </c>
      <c r="N1" s="27" t="s">
        <v>11</v>
      </c>
      <c r="O1" s="28" t="s">
        <v>11</v>
      </c>
    </row>
    <row r="2" spans="1:15" x14ac:dyDescent="0.3">
      <c r="A2" s="1648"/>
      <c r="B2" s="1648"/>
      <c r="C2" s="1648"/>
      <c r="D2" s="1647" t="s">
        <v>81</v>
      </c>
      <c r="E2" s="1647"/>
      <c r="F2" s="1647"/>
      <c r="G2" s="1647"/>
      <c r="H2" s="1647"/>
      <c r="I2" s="1647"/>
      <c r="J2" s="27"/>
      <c r="K2" s="27"/>
      <c r="L2" s="27"/>
      <c r="M2" s="27"/>
      <c r="N2" s="27"/>
      <c r="O2" s="1650" t="s">
        <v>82</v>
      </c>
    </row>
    <row r="3" spans="1:15" x14ac:dyDescent="0.3">
      <c r="A3" s="1648"/>
      <c r="B3" s="1648"/>
      <c r="C3" s="1648"/>
      <c r="D3" s="1647" t="s">
        <v>83</v>
      </c>
      <c r="E3" s="1647"/>
      <c r="F3" s="1647"/>
      <c r="G3" s="1647"/>
      <c r="H3" s="1647"/>
      <c r="I3" s="1647"/>
      <c r="J3" s="27"/>
      <c r="K3" s="27"/>
      <c r="L3" s="27"/>
      <c r="M3" s="27"/>
      <c r="N3" s="27"/>
      <c r="O3" s="1651"/>
    </row>
    <row r="4" spans="1:15" x14ac:dyDescent="0.3">
      <c r="A4" s="1648"/>
      <c r="B4" s="1648"/>
      <c r="C4" s="1648"/>
      <c r="D4" s="1647" t="s">
        <v>84</v>
      </c>
      <c r="E4" s="1647"/>
      <c r="F4" s="1647"/>
      <c r="G4" s="1647"/>
      <c r="H4" s="1647"/>
      <c r="I4" s="1647"/>
      <c r="J4" s="27"/>
      <c r="K4" s="27"/>
      <c r="L4" s="27"/>
      <c r="M4" s="27"/>
      <c r="N4" s="27"/>
      <c r="O4" s="1651"/>
    </row>
    <row r="5" spans="1:15" x14ac:dyDescent="0.3">
      <c r="A5" s="1648"/>
      <c r="B5" s="1648"/>
      <c r="C5" s="1648"/>
      <c r="D5" s="1647" t="s">
        <v>85</v>
      </c>
      <c r="E5" s="1647"/>
      <c r="F5" s="1647"/>
      <c r="G5" s="1647"/>
      <c r="H5" s="1647"/>
      <c r="I5" s="1647"/>
      <c r="J5" s="27"/>
      <c r="K5" s="27"/>
      <c r="L5" s="27"/>
      <c r="M5" s="27"/>
      <c r="N5" s="27"/>
      <c r="O5" s="1651"/>
    </row>
    <row r="6" spans="1:15" x14ac:dyDescent="0.3">
      <c r="A6" s="1648"/>
      <c r="B6" s="1648"/>
      <c r="C6" s="1648"/>
      <c r="D6" s="27"/>
      <c r="E6" s="27"/>
      <c r="F6" s="27"/>
      <c r="G6" s="27"/>
      <c r="H6" s="27"/>
      <c r="I6" s="27"/>
      <c r="J6" s="27"/>
      <c r="K6" s="27"/>
      <c r="L6" s="27"/>
      <c r="M6" s="27"/>
      <c r="N6" s="27"/>
      <c r="O6" s="1651"/>
    </row>
    <row r="7" spans="1:15" x14ac:dyDescent="0.3">
      <c r="A7" s="1648"/>
      <c r="B7" s="1648"/>
      <c r="C7" s="1648"/>
      <c r="D7" s="1647" t="s">
        <v>86</v>
      </c>
      <c r="E7" s="1647"/>
      <c r="F7" s="1647"/>
      <c r="G7" s="1647"/>
      <c r="H7" s="1647"/>
      <c r="I7" s="1647"/>
      <c r="J7" s="27"/>
      <c r="K7" s="27"/>
      <c r="L7" s="27"/>
      <c r="M7" s="27"/>
      <c r="N7" s="27"/>
      <c r="O7" s="29">
        <v>45264.482613275461</v>
      </c>
    </row>
    <row r="8" spans="1:15" x14ac:dyDescent="0.3">
      <c r="A8" s="1646" t="s">
        <v>87</v>
      </c>
      <c r="B8" s="1646"/>
      <c r="C8" s="1646"/>
      <c r="D8" s="1646"/>
      <c r="E8" s="1646"/>
      <c r="F8" s="1646"/>
      <c r="G8" s="1646"/>
      <c r="H8" s="1646"/>
      <c r="I8" s="1646"/>
      <c r="J8" s="1646"/>
      <c r="K8" s="1646"/>
      <c r="L8" s="1646"/>
      <c r="M8" s="1646"/>
      <c r="N8" s="1646"/>
      <c r="O8" s="1646"/>
    </row>
    <row r="9" spans="1:15" ht="27.6" x14ac:dyDescent="0.3">
      <c r="A9" s="30" t="s">
        <v>88</v>
      </c>
      <c r="B9" s="30" t="s">
        <v>89</v>
      </c>
      <c r="C9" s="30" t="s">
        <v>90</v>
      </c>
      <c r="D9" s="30" t="s">
        <v>52</v>
      </c>
      <c r="E9" s="30" t="s">
        <v>91</v>
      </c>
      <c r="F9" s="30" t="s">
        <v>92</v>
      </c>
      <c r="G9" s="30" t="s">
        <v>34</v>
      </c>
      <c r="H9" s="30" t="s">
        <v>93</v>
      </c>
      <c r="I9" s="30" t="s">
        <v>94</v>
      </c>
      <c r="J9" s="30" t="s">
        <v>92</v>
      </c>
      <c r="K9" s="30" t="s">
        <v>95</v>
      </c>
      <c r="L9" s="30" t="s">
        <v>96</v>
      </c>
      <c r="M9" s="30" t="s">
        <v>97</v>
      </c>
      <c r="N9" s="30" t="s">
        <v>98</v>
      </c>
      <c r="O9" s="31" t="s">
        <v>99</v>
      </c>
    </row>
    <row r="10" spans="1:15" x14ac:dyDescent="0.3">
      <c r="A10" s="32" t="s">
        <v>49</v>
      </c>
      <c r="B10" s="33">
        <v>1</v>
      </c>
      <c r="C10" s="32" t="s">
        <v>109</v>
      </c>
      <c r="D10" s="32" t="s">
        <v>63</v>
      </c>
      <c r="E10" s="32">
        <v>1</v>
      </c>
      <c r="F10" s="34">
        <v>20000</v>
      </c>
      <c r="G10" s="34">
        <v>20000</v>
      </c>
      <c r="H10" s="32" t="s">
        <v>103</v>
      </c>
      <c r="I10" s="34">
        <v>9900</v>
      </c>
      <c r="J10" s="34">
        <v>9900</v>
      </c>
      <c r="K10" s="34" t="s">
        <v>104</v>
      </c>
      <c r="L10" s="35" t="s">
        <v>105</v>
      </c>
      <c r="M10" s="35" t="s">
        <v>105</v>
      </c>
      <c r="N10" s="34">
        <v>0</v>
      </c>
      <c r="O10" s="36" t="s">
        <v>11</v>
      </c>
    </row>
    <row r="11" spans="1:15" x14ac:dyDescent="0.3">
      <c r="A11" s="37" t="s">
        <v>49</v>
      </c>
      <c r="B11" s="38">
        <v>2</v>
      </c>
      <c r="C11" s="37" t="s">
        <v>110</v>
      </c>
      <c r="D11" s="37" t="s">
        <v>72</v>
      </c>
      <c r="E11" s="37">
        <v>1</v>
      </c>
      <c r="F11" s="39">
        <v>11500</v>
      </c>
      <c r="G11" s="39">
        <v>11500</v>
      </c>
      <c r="H11" s="37" t="s">
        <v>103</v>
      </c>
      <c r="I11" s="39">
        <v>7400</v>
      </c>
      <c r="J11" s="39">
        <v>7400</v>
      </c>
      <c r="K11" s="39" t="s">
        <v>104</v>
      </c>
      <c r="L11" s="40" t="s">
        <v>105</v>
      </c>
      <c r="M11" s="40" t="s">
        <v>105</v>
      </c>
      <c r="N11" s="39">
        <v>0</v>
      </c>
      <c r="O11" s="41" t="s">
        <v>11</v>
      </c>
    </row>
    <row r="12" spans="1:15" x14ac:dyDescent="0.3">
      <c r="A12" s="32" t="s">
        <v>106</v>
      </c>
      <c r="B12" s="33">
        <v>3</v>
      </c>
      <c r="C12" s="32" t="s">
        <v>111</v>
      </c>
      <c r="D12" s="32" t="s">
        <v>73</v>
      </c>
      <c r="E12" s="32">
        <v>1</v>
      </c>
      <c r="F12" s="34">
        <v>1000</v>
      </c>
      <c r="G12" s="34">
        <v>1000</v>
      </c>
      <c r="H12" s="32" t="s">
        <v>103</v>
      </c>
      <c r="I12" s="34">
        <v>900</v>
      </c>
      <c r="J12" s="34">
        <v>900</v>
      </c>
      <c r="K12" s="34" t="s">
        <v>104</v>
      </c>
      <c r="L12" s="35" t="s">
        <v>112</v>
      </c>
      <c r="M12" s="35" t="s">
        <v>105</v>
      </c>
      <c r="N12" s="34">
        <v>0</v>
      </c>
      <c r="O12" s="36" t="s">
        <v>74</v>
      </c>
    </row>
    <row r="13" spans="1:15" x14ac:dyDescent="0.3">
      <c r="A13" s="37" t="s">
        <v>106</v>
      </c>
      <c r="B13" s="38">
        <v>4</v>
      </c>
      <c r="C13" s="37" t="s">
        <v>113</v>
      </c>
      <c r="D13" s="37" t="s">
        <v>75</v>
      </c>
      <c r="E13" s="37">
        <v>1</v>
      </c>
      <c r="F13" s="39">
        <v>2000</v>
      </c>
      <c r="G13" s="39">
        <v>2000</v>
      </c>
      <c r="H13" s="37" t="s">
        <v>103</v>
      </c>
      <c r="I13" s="39">
        <v>500</v>
      </c>
      <c r="J13" s="39">
        <v>500</v>
      </c>
      <c r="K13" s="39" t="s">
        <v>104</v>
      </c>
      <c r="L13" s="40" t="s">
        <v>112</v>
      </c>
      <c r="M13" s="40" t="s">
        <v>105</v>
      </c>
      <c r="N13" s="39">
        <v>0</v>
      </c>
      <c r="O13" s="41" t="s">
        <v>76</v>
      </c>
    </row>
    <row r="14" spans="1:15" x14ac:dyDescent="0.3">
      <c r="A14" s="32" t="s">
        <v>106</v>
      </c>
      <c r="B14" s="33">
        <v>5</v>
      </c>
      <c r="C14" s="32" t="s">
        <v>114</v>
      </c>
      <c r="D14" s="32" t="s">
        <v>59</v>
      </c>
      <c r="E14" s="32">
        <v>1</v>
      </c>
      <c r="F14" s="34">
        <v>4000</v>
      </c>
      <c r="G14" s="34">
        <v>4000</v>
      </c>
      <c r="H14" s="32" t="s">
        <v>103</v>
      </c>
      <c r="I14" s="34">
        <v>2000</v>
      </c>
      <c r="J14" s="34">
        <v>2000</v>
      </c>
      <c r="K14" s="34" t="s">
        <v>104</v>
      </c>
      <c r="L14" s="35" t="s">
        <v>112</v>
      </c>
      <c r="M14" s="35" t="s">
        <v>105</v>
      </c>
      <c r="N14" s="34">
        <v>0</v>
      </c>
      <c r="O14" s="36" t="s">
        <v>61</v>
      </c>
    </row>
    <row r="15" spans="1:15" x14ac:dyDescent="0.3">
      <c r="A15" s="37" t="s">
        <v>108</v>
      </c>
      <c r="B15" s="38">
        <v>6</v>
      </c>
      <c r="C15" s="37" t="s">
        <v>115</v>
      </c>
      <c r="D15" s="37" t="s">
        <v>107</v>
      </c>
      <c r="E15" s="37">
        <v>1</v>
      </c>
      <c r="F15" s="39">
        <v>0</v>
      </c>
      <c r="G15" s="39">
        <v>0</v>
      </c>
      <c r="H15" s="37" t="s">
        <v>103</v>
      </c>
      <c r="I15" s="39">
        <v>1000</v>
      </c>
      <c r="J15" s="39">
        <v>1000</v>
      </c>
      <c r="K15" s="39" t="s">
        <v>104</v>
      </c>
      <c r="L15" s="40" t="s">
        <v>112</v>
      </c>
      <c r="M15" s="40" t="s">
        <v>105</v>
      </c>
      <c r="N15" s="39">
        <v>0</v>
      </c>
      <c r="O15" s="41" t="s">
        <v>11</v>
      </c>
    </row>
    <row r="16" spans="1:15" x14ac:dyDescent="0.3">
      <c r="A16" s="32" t="s">
        <v>106</v>
      </c>
      <c r="B16" s="33">
        <v>7</v>
      </c>
      <c r="C16" s="32" t="s">
        <v>116</v>
      </c>
      <c r="D16" s="32" t="s">
        <v>60</v>
      </c>
      <c r="E16" s="32">
        <v>1</v>
      </c>
      <c r="F16" s="34">
        <v>2000</v>
      </c>
      <c r="G16" s="34">
        <v>2000</v>
      </c>
      <c r="H16" s="32" t="s">
        <v>103</v>
      </c>
      <c r="I16" s="34">
        <v>1000</v>
      </c>
      <c r="J16" s="34">
        <v>1000</v>
      </c>
      <c r="K16" s="34" t="s">
        <v>104</v>
      </c>
      <c r="L16" s="35" t="s">
        <v>112</v>
      </c>
      <c r="M16" s="35" t="s">
        <v>105</v>
      </c>
      <c r="N16" s="34">
        <v>0</v>
      </c>
      <c r="O16" s="36" t="s">
        <v>62</v>
      </c>
    </row>
    <row r="17" spans="1:15" x14ac:dyDescent="0.3">
      <c r="A17" s="37" t="s">
        <v>108</v>
      </c>
      <c r="B17" s="38">
        <v>14</v>
      </c>
      <c r="C17" s="37" t="s">
        <v>117</v>
      </c>
      <c r="D17" s="37" t="s">
        <v>79</v>
      </c>
      <c r="E17" s="37">
        <v>1</v>
      </c>
      <c r="F17" s="39">
        <v>2500</v>
      </c>
      <c r="G17" s="39">
        <v>2500</v>
      </c>
      <c r="H17" s="37" t="s">
        <v>103</v>
      </c>
      <c r="I17" s="39">
        <v>2000</v>
      </c>
      <c r="J17" s="39">
        <v>2000</v>
      </c>
      <c r="K17" s="39" t="s">
        <v>118</v>
      </c>
      <c r="L17" s="40" t="s">
        <v>119</v>
      </c>
      <c r="M17" s="40" t="s">
        <v>105</v>
      </c>
      <c r="N17" s="39">
        <v>0</v>
      </c>
      <c r="O17" s="41" t="s">
        <v>11</v>
      </c>
    </row>
    <row r="18" spans="1:15" x14ac:dyDescent="0.3">
      <c r="A18" s="32" t="s">
        <v>49</v>
      </c>
      <c r="B18" s="33">
        <v>8</v>
      </c>
      <c r="C18" s="32" t="s">
        <v>120</v>
      </c>
      <c r="D18" s="32" t="s">
        <v>77</v>
      </c>
      <c r="E18" s="32">
        <v>1</v>
      </c>
      <c r="F18" s="34">
        <v>8500</v>
      </c>
      <c r="G18" s="34">
        <v>8500</v>
      </c>
      <c r="H18" s="32" t="s">
        <v>103</v>
      </c>
      <c r="I18" s="34">
        <v>2500</v>
      </c>
      <c r="J18" s="34">
        <v>2500</v>
      </c>
      <c r="K18" s="34" t="s">
        <v>104</v>
      </c>
      <c r="L18" s="35" t="s">
        <v>105</v>
      </c>
      <c r="M18" s="35" t="s">
        <v>105</v>
      </c>
      <c r="N18" s="34">
        <v>0</v>
      </c>
      <c r="O18" s="36" t="s">
        <v>11</v>
      </c>
    </row>
    <row r="19" spans="1:15" ht="72" x14ac:dyDescent="0.3">
      <c r="A19" s="37" t="s">
        <v>106</v>
      </c>
      <c r="B19" s="38">
        <v>9</v>
      </c>
      <c r="C19" s="37" t="s">
        <v>121</v>
      </c>
      <c r="D19" s="37" t="s">
        <v>64</v>
      </c>
      <c r="E19" s="37">
        <v>2</v>
      </c>
      <c r="F19" s="39">
        <v>2000</v>
      </c>
      <c r="G19" s="39">
        <v>4000</v>
      </c>
      <c r="H19" s="37" t="s">
        <v>103</v>
      </c>
      <c r="I19" s="39">
        <v>1000</v>
      </c>
      <c r="J19" s="39">
        <v>500</v>
      </c>
      <c r="K19" s="39" t="s">
        <v>104</v>
      </c>
      <c r="L19" s="40" t="s">
        <v>112</v>
      </c>
      <c r="M19" s="40" t="s">
        <v>105</v>
      </c>
      <c r="N19" s="39">
        <v>0</v>
      </c>
      <c r="O19" s="42" t="s">
        <v>65</v>
      </c>
    </row>
    <row r="20" spans="1:15" ht="28.8" x14ac:dyDescent="0.3">
      <c r="A20" s="32" t="s">
        <v>106</v>
      </c>
      <c r="B20" s="33">
        <v>10</v>
      </c>
      <c r="C20" s="32" t="s">
        <v>122</v>
      </c>
      <c r="D20" s="32" t="s">
        <v>66</v>
      </c>
      <c r="E20" s="32">
        <v>3</v>
      </c>
      <c r="F20" s="34">
        <v>1500</v>
      </c>
      <c r="G20" s="34">
        <v>4500</v>
      </c>
      <c r="H20" s="32" t="s">
        <v>103</v>
      </c>
      <c r="I20" s="34">
        <v>1500</v>
      </c>
      <c r="J20" s="34">
        <v>500</v>
      </c>
      <c r="K20" s="34" t="s">
        <v>104</v>
      </c>
      <c r="L20" s="35" t="s">
        <v>112</v>
      </c>
      <c r="M20" s="35" t="s">
        <v>105</v>
      </c>
      <c r="N20" s="34">
        <v>0</v>
      </c>
      <c r="O20" s="43" t="s">
        <v>67</v>
      </c>
    </row>
    <row r="21" spans="1:15" x14ac:dyDescent="0.3">
      <c r="A21" s="37" t="s">
        <v>49</v>
      </c>
      <c r="B21" s="38">
        <v>11</v>
      </c>
      <c r="C21" s="37" t="s">
        <v>123</v>
      </c>
      <c r="D21" s="37" t="s">
        <v>68</v>
      </c>
      <c r="E21" s="37">
        <v>1</v>
      </c>
      <c r="F21" s="39">
        <v>7000</v>
      </c>
      <c r="G21" s="39">
        <v>7000</v>
      </c>
      <c r="H21" s="37" t="s">
        <v>103</v>
      </c>
      <c r="I21" s="39">
        <v>300</v>
      </c>
      <c r="J21" s="39">
        <v>300</v>
      </c>
      <c r="K21" s="39" t="s">
        <v>104</v>
      </c>
      <c r="L21" s="40" t="s">
        <v>105</v>
      </c>
      <c r="M21" s="40" t="s">
        <v>105</v>
      </c>
      <c r="N21" s="39">
        <v>0</v>
      </c>
      <c r="O21" s="41" t="s">
        <v>11</v>
      </c>
    </row>
    <row r="22" spans="1:15" x14ac:dyDescent="0.3">
      <c r="A22" s="32" t="s">
        <v>49</v>
      </c>
      <c r="B22" s="33">
        <v>12</v>
      </c>
      <c r="C22" s="32" t="s">
        <v>124</v>
      </c>
      <c r="D22" s="32" t="s">
        <v>69</v>
      </c>
      <c r="E22" s="32">
        <v>1</v>
      </c>
      <c r="F22" s="34">
        <v>7000</v>
      </c>
      <c r="G22" s="34">
        <v>7000</v>
      </c>
      <c r="H22" s="32" t="s">
        <v>103</v>
      </c>
      <c r="I22" s="34">
        <v>300</v>
      </c>
      <c r="J22" s="34">
        <v>300</v>
      </c>
      <c r="K22" s="34" t="s">
        <v>104</v>
      </c>
      <c r="L22" s="35" t="s">
        <v>105</v>
      </c>
      <c r="M22" s="35" t="s">
        <v>105</v>
      </c>
      <c r="N22" s="34">
        <v>0</v>
      </c>
      <c r="O22" s="36" t="s">
        <v>11</v>
      </c>
    </row>
    <row r="23" spans="1:15" x14ac:dyDescent="0.3">
      <c r="A23" s="37" t="s">
        <v>106</v>
      </c>
      <c r="B23" s="38">
        <v>13</v>
      </c>
      <c r="C23" s="37" t="s">
        <v>125</v>
      </c>
      <c r="D23" s="37" t="s">
        <v>78</v>
      </c>
      <c r="E23" s="37">
        <v>1</v>
      </c>
      <c r="F23" s="39">
        <v>5000</v>
      </c>
      <c r="G23" s="39">
        <v>5000</v>
      </c>
      <c r="H23" s="37" t="s">
        <v>103</v>
      </c>
      <c r="I23" s="39">
        <v>200</v>
      </c>
      <c r="J23" s="39">
        <v>200</v>
      </c>
      <c r="K23" s="39" t="s">
        <v>104</v>
      </c>
      <c r="L23" s="40" t="s">
        <v>112</v>
      </c>
      <c r="M23" s="40" t="s">
        <v>105</v>
      </c>
      <c r="N23" s="39">
        <v>0</v>
      </c>
      <c r="O23" s="41" t="s">
        <v>11</v>
      </c>
    </row>
    <row r="24" spans="1:15" x14ac:dyDescent="0.3">
      <c r="A24" s="32" t="s">
        <v>106</v>
      </c>
      <c r="B24" s="33">
        <v>15</v>
      </c>
      <c r="C24" s="32" t="s">
        <v>126</v>
      </c>
      <c r="D24" s="32" t="s">
        <v>79</v>
      </c>
      <c r="E24" s="32">
        <v>1</v>
      </c>
      <c r="F24" s="34">
        <v>2000</v>
      </c>
      <c r="G24" s="34">
        <v>2000</v>
      </c>
      <c r="H24" s="32" t="s">
        <v>103</v>
      </c>
      <c r="I24" s="34">
        <v>100</v>
      </c>
      <c r="J24" s="34">
        <v>100</v>
      </c>
      <c r="K24" s="34" t="s">
        <v>104</v>
      </c>
      <c r="L24" s="35" t="s">
        <v>112</v>
      </c>
      <c r="M24" s="35" t="s">
        <v>105</v>
      </c>
      <c r="N24" s="34">
        <v>0</v>
      </c>
      <c r="O24" s="36" t="s">
        <v>11</v>
      </c>
    </row>
    <row r="25" spans="1:15" x14ac:dyDescent="0.3">
      <c r="A25" s="37"/>
      <c r="B25" s="38"/>
      <c r="C25" s="37"/>
      <c r="D25" s="37"/>
      <c r="E25" s="37"/>
      <c r="F25" s="39"/>
      <c r="G25" s="39"/>
      <c r="H25" s="37"/>
      <c r="I25" s="39"/>
      <c r="J25" s="39"/>
      <c r="K25" s="39"/>
      <c r="L25" s="40"/>
      <c r="M25" s="40"/>
      <c r="N25" s="39"/>
      <c r="O25" s="41"/>
    </row>
    <row r="26" spans="1:15" x14ac:dyDescent="0.3">
      <c r="A26" s="32" t="s">
        <v>100</v>
      </c>
      <c r="B26" s="33"/>
      <c r="C26" s="32"/>
      <c r="D26" s="32"/>
      <c r="E26" s="32"/>
      <c r="F26" s="34"/>
      <c r="G26" s="34"/>
      <c r="H26" s="32"/>
      <c r="I26" s="34"/>
      <c r="J26" s="34"/>
      <c r="K26" s="34"/>
      <c r="L26" s="35"/>
      <c r="M26" s="35"/>
      <c r="N26" s="34"/>
      <c r="O26" s="36"/>
    </row>
    <row r="27" spans="1:15" x14ac:dyDescent="0.3">
      <c r="A27" s="37" t="s">
        <v>101</v>
      </c>
      <c r="B27" s="38"/>
      <c r="C27" s="37"/>
      <c r="D27" s="37"/>
      <c r="E27" s="37"/>
      <c r="F27" s="39"/>
      <c r="G27" s="39"/>
      <c r="H27" s="37"/>
      <c r="I27" s="39"/>
      <c r="J27" s="39"/>
      <c r="K27" s="39"/>
      <c r="L27" s="40"/>
      <c r="M27" s="40"/>
      <c r="N27" s="39"/>
      <c r="O27" s="41"/>
    </row>
    <row r="28" spans="1:15" x14ac:dyDescent="0.3">
      <c r="A28" s="44" t="s">
        <v>102</v>
      </c>
      <c r="B28" s="45"/>
      <c r="C28" s="44"/>
      <c r="D28" s="44"/>
      <c r="E28" s="44"/>
      <c r="F28" s="46"/>
      <c r="G28" s="46"/>
      <c r="H28" s="44"/>
      <c r="I28" s="46"/>
      <c r="J28" s="46"/>
      <c r="K28" s="46"/>
      <c r="L28" s="47"/>
      <c r="M28" s="47"/>
      <c r="N28" s="46"/>
      <c r="O28" s="48"/>
    </row>
  </sheetData>
  <mergeCells count="9">
    <mergeCell ref="A8:O8"/>
    <mergeCell ref="A1:C7"/>
    <mergeCell ref="D1:I1"/>
    <mergeCell ref="D2:I2"/>
    <mergeCell ref="O2:O6"/>
    <mergeCell ref="D3:I3"/>
    <mergeCell ref="D4:I4"/>
    <mergeCell ref="D5:I5"/>
    <mergeCell ref="D7:I7"/>
  </mergeCells>
  <pageMargins left="0.7" right="0.7" top="0.75" bottom="0.75" header="0.3" footer="0.3"/>
  <pageSetup paperSize="9" fitToWidth="0"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71ACB-2A33-4DFE-B05C-79C718CF6527}">
  <sheetPr codeName="Planilha5"/>
  <dimension ref="B1:L52"/>
  <sheetViews>
    <sheetView showGridLines="0" workbookViewId="0">
      <selection activeCell="C39" sqref="C39:K45"/>
    </sheetView>
  </sheetViews>
  <sheetFormatPr defaultColWidth="8.88671875" defaultRowHeight="14.4" x14ac:dyDescent="0.3"/>
  <cols>
    <col min="1" max="2" width="1.5546875" customWidth="1"/>
    <col min="3" max="3" width="12.44140625" customWidth="1"/>
    <col min="4" max="4" width="4.5546875" customWidth="1"/>
    <col min="5" max="5" width="10.5546875" customWidth="1"/>
    <col min="6" max="6" width="7.5546875" bestFit="1" customWidth="1"/>
    <col min="7" max="7" width="11" customWidth="1"/>
    <col min="8" max="8" width="11.109375" customWidth="1"/>
    <col min="9" max="9" width="11.5546875" customWidth="1"/>
    <col min="10" max="10" width="4.5546875" customWidth="1"/>
    <col min="11" max="11" width="14.44140625" customWidth="1"/>
    <col min="12" max="12" width="1.5546875" customWidth="1"/>
  </cols>
  <sheetData>
    <row r="1" spans="2:12" ht="8.4" customHeight="1" thickBot="1" x14ac:dyDescent="0.35"/>
    <row r="2" spans="2:12" ht="38.4" customHeight="1" x14ac:dyDescent="0.4">
      <c r="B2" s="1655" t="s">
        <v>3</v>
      </c>
      <c r="C2" s="1656"/>
      <c r="D2" s="1656"/>
      <c r="E2" s="1656"/>
      <c r="F2" s="1656"/>
      <c r="G2" s="1656"/>
      <c r="H2" s="1656"/>
      <c r="I2" s="1656"/>
      <c r="J2" s="1656"/>
      <c r="K2" s="1656"/>
      <c r="L2" s="1657"/>
    </row>
    <row r="3" spans="2:12" ht="47.4" customHeight="1" thickBot="1" x14ac:dyDescent="0.35">
      <c r="B3" s="1658" t="s">
        <v>12</v>
      </c>
      <c r="C3" s="1659"/>
      <c r="D3" s="1659"/>
      <c r="E3" s="1659"/>
      <c r="F3" s="1659"/>
      <c r="G3" s="1659"/>
      <c r="H3" s="1659"/>
      <c r="I3" s="1659"/>
      <c r="J3" s="1659"/>
      <c r="K3" s="1659"/>
      <c r="L3" s="1660"/>
    </row>
    <row r="4" spans="2:12" ht="7.35" customHeight="1" thickBot="1" x14ac:dyDescent="0.35"/>
    <row r="5" spans="2:12" x14ac:dyDescent="0.3">
      <c r="B5" s="1"/>
      <c r="C5" s="2"/>
      <c r="D5" s="2"/>
      <c r="E5" s="2"/>
      <c r="F5" s="2"/>
      <c r="G5" s="2"/>
      <c r="H5" s="2"/>
      <c r="I5" s="2"/>
      <c r="J5" s="2"/>
      <c r="K5" s="2"/>
      <c r="L5" s="3"/>
    </row>
    <row r="6" spans="2:12" x14ac:dyDescent="0.3">
      <c r="B6" s="4"/>
      <c r="C6" s="1661" t="s">
        <v>13</v>
      </c>
      <c r="D6" s="1661"/>
      <c r="E6" s="1661"/>
      <c r="F6" s="1661"/>
      <c r="G6" s="1661"/>
      <c r="H6" s="1661"/>
      <c r="I6" s="1661"/>
      <c r="J6" s="1661"/>
      <c r="K6" s="1661"/>
      <c r="L6" s="5"/>
    </row>
    <row r="7" spans="2:12" ht="6" customHeight="1" x14ac:dyDescent="0.3">
      <c r="B7" s="4"/>
      <c r="L7" s="5"/>
    </row>
    <row r="8" spans="2:12" x14ac:dyDescent="0.3">
      <c r="B8" s="4"/>
      <c r="C8" s="6" t="s">
        <v>14</v>
      </c>
      <c r="D8" s="1662" t="s">
        <v>154</v>
      </c>
      <c r="E8" s="1663"/>
      <c r="F8" s="1663"/>
      <c r="G8" s="1663"/>
      <c r="H8" s="1663"/>
      <c r="I8" s="1663"/>
      <c r="J8" s="1663"/>
      <c r="K8" s="1664"/>
      <c r="L8" s="5"/>
    </row>
    <row r="9" spans="2:12" x14ac:dyDescent="0.3">
      <c r="B9" s="4"/>
      <c r="C9" s="7" t="s">
        <v>15</v>
      </c>
      <c r="D9" s="1652" t="s">
        <v>16</v>
      </c>
      <c r="E9" s="1653"/>
      <c r="F9" s="1653"/>
      <c r="G9" s="1653"/>
      <c r="H9" s="1653"/>
      <c r="I9" s="1653"/>
      <c r="J9" s="1653"/>
      <c r="K9" s="1654"/>
      <c r="L9" s="5"/>
    </row>
    <row r="10" spans="2:12" x14ac:dyDescent="0.3">
      <c r="B10" s="4"/>
      <c r="C10" s="7" t="s">
        <v>17</v>
      </c>
      <c r="D10" s="1652" t="s">
        <v>11</v>
      </c>
      <c r="E10" s="1653"/>
      <c r="F10" s="1653"/>
      <c r="G10" s="1653"/>
      <c r="H10" s="1653"/>
      <c r="I10" s="1653"/>
      <c r="J10" s="1653"/>
      <c r="K10" s="1654"/>
      <c r="L10" s="5"/>
    </row>
    <row r="11" spans="2:12" x14ac:dyDescent="0.3">
      <c r="B11" s="4"/>
      <c r="C11" s="7" t="s">
        <v>18</v>
      </c>
      <c r="D11" s="1652" t="s">
        <v>155</v>
      </c>
      <c r="E11" s="1653"/>
      <c r="F11" s="1653"/>
      <c r="G11" s="1653"/>
      <c r="H11" s="1653"/>
      <c r="I11" s="1653"/>
      <c r="J11" s="1653"/>
      <c r="K11" s="1654"/>
      <c r="L11" s="5"/>
    </row>
    <row r="12" spans="2:12" x14ac:dyDescent="0.3">
      <c r="B12" s="4"/>
      <c r="C12" s="10" t="s">
        <v>19</v>
      </c>
      <c r="D12" s="1665" t="s">
        <v>156</v>
      </c>
      <c r="E12" s="1666"/>
      <c r="F12" s="1666"/>
      <c r="G12" s="1666"/>
      <c r="H12" s="1667"/>
      <c r="I12" s="11" t="s">
        <v>20</v>
      </c>
      <c r="J12" s="1665" t="s">
        <v>153</v>
      </c>
      <c r="K12" s="1667"/>
      <c r="L12" s="5"/>
    </row>
    <row r="13" spans="2:12" ht="6" customHeight="1" thickBot="1" x14ac:dyDescent="0.35">
      <c r="B13" s="12"/>
      <c r="C13" s="13"/>
      <c r="D13" s="13"/>
      <c r="E13" s="13"/>
      <c r="F13" s="13"/>
      <c r="G13" s="13"/>
      <c r="H13" s="13"/>
      <c r="I13" s="13"/>
      <c r="J13" s="13"/>
      <c r="K13" s="13"/>
      <c r="L13" s="14"/>
    </row>
    <row r="14" spans="2:12" ht="7.35" customHeight="1" thickBot="1" x14ac:dyDescent="0.35"/>
    <row r="15" spans="2:12" ht="8.1" customHeight="1" x14ac:dyDescent="0.3">
      <c r="B15" s="1"/>
      <c r="C15" s="2"/>
      <c r="D15" s="2"/>
      <c r="E15" s="2"/>
      <c r="F15" s="2"/>
      <c r="G15" s="2"/>
      <c r="H15" s="2"/>
      <c r="I15" s="2"/>
      <c r="J15" s="2"/>
      <c r="K15" s="2"/>
      <c r="L15" s="3"/>
    </row>
    <row r="16" spans="2:12" x14ac:dyDescent="0.3">
      <c r="B16" s="4"/>
      <c r="C16" s="1661" t="s">
        <v>21</v>
      </c>
      <c r="D16" s="1661"/>
      <c r="E16" s="1661"/>
      <c r="F16" s="1661"/>
      <c r="G16" s="1661"/>
      <c r="H16" s="1661"/>
      <c r="I16" s="1661"/>
      <c r="J16" s="1661"/>
      <c r="K16" s="1661"/>
      <c r="L16" s="5"/>
    </row>
    <row r="17" spans="2:12" ht="9" customHeight="1" x14ac:dyDescent="0.3">
      <c r="B17" s="4"/>
      <c r="L17" s="5"/>
    </row>
    <row r="18" spans="2:12" x14ac:dyDescent="0.3">
      <c r="B18" s="4"/>
      <c r="C18" s="6"/>
      <c r="D18" s="1668" t="s">
        <v>127</v>
      </c>
      <c r="E18" s="1668"/>
      <c r="F18" s="1668"/>
      <c r="G18" s="1669"/>
      <c r="H18" s="1668" t="s">
        <v>22</v>
      </c>
      <c r="I18" s="1668"/>
      <c r="J18" s="1668"/>
      <c r="K18" s="1669"/>
      <c r="L18" s="5"/>
    </row>
    <row r="19" spans="2:12" x14ac:dyDescent="0.3">
      <c r="B19" s="4"/>
      <c r="C19" s="15" t="s">
        <v>23</v>
      </c>
      <c r="D19" s="1670" t="s">
        <v>158</v>
      </c>
      <c r="E19" s="1671"/>
      <c r="F19" s="1671"/>
      <c r="G19" s="1671"/>
      <c r="H19" s="1671"/>
      <c r="I19" s="1671"/>
      <c r="J19" s="1671"/>
      <c r="K19" s="1672"/>
      <c r="L19" s="5"/>
    </row>
    <row r="20" spans="2:12" x14ac:dyDescent="0.3">
      <c r="B20" s="4"/>
      <c r="C20" s="7" t="s">
        <v>24</v>
      </c>
      <c r="D20" s="1652"/>
      <c r="E20" s="1653"/>
      <c r="F20" s="1653"/>
      <c r="G20" s="1653"/>
      <c r="H20" s="1653"/>
      <c r="I20" s="1653"/>
      <c r="J20" s="1653"/>
      <c r="K20" s="1654"/>
      <c r="L20" s="5"/>
    </row>
    <row r="21" spans="2:12" x14ac:dyDescent="0.3">
      <c r="B21" s="4"/>
      <c r="C21" s="7" t="s">
        <v>25</v>
      </c>
      <c r="D21" s="1652" t="s">
        <v>162</v>
      </c>
      <c r="E21" s="1654"/>
      <c r="F21" s="7" t="s">
        <v>57</v>
      </c>
      <c r="G21" s="16" t="s">
        <v>163</v>
      </c>
      <c r="H21" s="7" t="s">
        <v>26</v>
      </c>
      <c r="I21" s="8" t="s">
        <v>164</v>
      </c>
      <c r="J21" s="7" t="s">
        <v>27</v>
      </c>
      <c r="K21" s="9" t="s">
        <v>11</v>
      </c>
      <c r="L21" s="5"/>
    </row>
    <row r="22" spans="2:12" x14ac:dyDescent="0.3">
      <c r="B22" s="4"/>
      <c r="C22" s="7" t="s">
        <v>28</v>
      </c>
      <c r="D22" s="1652" t="s">
        <v>157</v>
      </c>
      <c r="E22" s="1653"/>
      <c r="F22" s="1653"/>
      <c r="G22" s="1654"/>
      <c r="H22" s="7" t="s">
        <v>29</v>
      </c>
      <c r="I22" s="1652"/>
      <c r="J22" s="1653"/>
      <c r="K22" s="1654"/>
      <c r="L22" s="5"/>
    </row>
    <row r="23" spans="2:12" x14ac:dyDescent="0.3">
      <c r="B23" s="4"/>
      <c r="C23" s="10" t="s">
        <v>30</v>
      </c>
      <c r="D23" s="1665" t="s">
        <v>159</v>
      </c>
      <c r="E23" s="1666"/>
      <c r="F23" s="1666"/>
      <c r="G23" s="1667"/>
      <c r="H23" s="10" t="s">
        <v>31</v>
      </c>
      <c r="I23" s="1665" t="s">
        <v>11</v>
      </c>
      <c r="J23" s="1666"/>
      <c r="K23" s="1667"/>
      <c r="L23" s="5"/>
    </row>
    <row r="24" spans="2:12" ht="6.75" customHeight="1" thickBot="1" x14ac:dyDescent="0.35">
      <c r="B24" s="12"/>
      <c r="C24" s="13"/>
      <c r="D24" s="13"/>
      <c r="E24" s="13"/>
      <c r="F24" s="13"/>
      <c r="G24" s="13"/>
      <c r="H24" s="13"/>
      <c r="I24" s="13"/>
      <c r="J24" s="13"/>
      <c r="K24" s="13"/>
      <c r="L24" s="14"/>
    </row>
    <row r="25" spans="2:12" ht="9.75" customHeight="1" thickBot="1" x14ac:dyDescent="0.35"/>
    <row r="26" spans="2:12" ht="8.1" customHeight="1" x14ac:dyDescent="0.3">
      <c r="B26" s="1"/>
      <c r="C26" s="2"/>
      <c r="D26" s="2"/>
      <c r="E26" s="2"/>
      <c r="F26" s="2"/>
      <c r="G26" s="2"/>
      <c r="H26" s="2"/>
      <c r="I26" s="2"/>
      <c r="J26" s="2"/>
      <c r="K26" s="2"/>
      <c r="L26" s="3"/>
    </row>
    <row r="27" spans="2:12" x14ac:dyDescent="0.3">
      <c r="B27" s="4"/>
      <c r="C27" s="1661" t="s">
        <v>21</v>
      </c>
      <c r="D27" s="1661"/>
      <c r="E27" s="1661"/>
      <c r="F27" s="1661"/>
      <c r="G27" s="1661"/>
      <c r="H27" s="1661"/>
      <c r="I27" s="1661"/>
      <c r="J27" s="1661"/>
      <c r="K27" s="1661"/>
      <c r="L27" s="5"/>
    </row>
    <row r="28" spans="2:12" x14ac:dyDescent="0.3">
      <c r="B28" s="4"/>
      <c r="L28" s="5"/>
    </row>
    <row r="29" spans="2:12" x14ac:dyDescent="0.3">
      <c r="B29" s="4"/>
      <c r="C29" s="6" t="s">
        <v>32</v>
      </c>
      <c r="D29" s="1673" t="s">
        <v>33</v>
      </c>
      <c r="E29" s="1669"/>
      <c r="F29" s="1673" t="s">
        <v>34</v>
      </c>
      <c r="G29" s="1669"/>
      <c r="H29" s="1674" t="s">
        <v>35</v>
      </c>
      <c r="I29" s="1674"/>
      <c r="J29" s="1674"/>
      <c r="K29" s="1675"/>
      <c r="L29" s="5"/>
    </row>
    <row r="30" spans="2:12" x14ac:dyDescent="0.3">
      <c r="B30" s="4"/>
      <c r="C30" s="17" t="s">
        <v>36</v>
      </c>
      <c r="D30" s="1676" t="s">
        <v>160</v>
      </c>
      <c r="E30" s="1677"/>
      <c r="F30" s="1678" t="s">
        <v>165</v>
      </c>
      <c r="G30" s="1679"/>
      <c r="H30" s="18" t="s">
        <v>161</v>
      </c>
      <c r="I30" s="1673" t="s">
        <v>40</v>
      </c>
      <c r="J30" s="1669"/>
      <c r="K30" s="6" t="s">
        <v>38</v>
      </c>
      <c r="L30" s="5"/>
    </row>
    <row r="31" spans="2:12" x14ac:dyDescent="0.3">
      <c r="B31" s="4"/>
      <c r="C31" s="17" t="s">
        <v>39</v>
      </c>
      <c r="D31" s="1676" t="s">
        <v>11</v>
      </c>
      <c r="E31" s="1677"/>
      <c r="F31" s="1678" t="s">
        <v>11</v>
      </c>
      <c r="G31" s="1679"/>
      <c r="H31" s="17" t="s">
        <v>37</v>
      </c>
      <c r="I31" s="1682" t="s">
        <v>40</v>
      </c>
      <c r="J31" s="1683"/>
      <c r="K31" s="7" t="s">
        <v>38</v>
      </c>
      <c r="L31" s="5"/>
    </row>
    <row r="32" spans="2:12" x14ac:dyDescent="0.3">
      <c r="B32" s="4"/>
      <c r="C32" s="17" t="s">
        <v>41</v>
      </c>
      <c r="D32" s="1676" t="s">
        <v>11</v>
      </c>
      <c r="E32" s="1677"/>
      <c r="F32" s="1678" t="s">
        <v>11</v>
      </c>
      <c r="G32" s="1679"/>
      <c r="H32" s="17" t="s">
        <v>37</v>
      </c>
      <c r="I32" s="1682" t="s">
        <v>40</v>
      </c>
      <c r="J32" s="1683"/>
      <c r="K32" s="7" t="s">
        <v>38</v>
      </c>
      <c r="L32" s="5"/>
    </row>
    <row r="33" spans="2:12" x14ac:dyDescent="0.3">
      <c r="B33" s="4"/>
      <c r="C33" s="19" t="s">
        <v>42</v>
      </c>
      <c r="D33" s="1676" t="s">
        <v>11</v>
      </c>
      <c r="E33" s="1677"/>
      <c r="F33" s="1680" t="s">
        <v>11</v>
      </c>
      <c r="G33" s="1681"/>
      <c r="H33" s="17" t="s">
        <v>37</v>
      </c>
      <c r="I33" s="1682" t="s">
        <v>40</v>
      </c>
      <c r="J33" s="1683"/>
      <c r="K33" s="7" t="s">
        <v>38</v>
      </c>
      <c r="L33" s="5"/>
    </row>
    <row r="34" spans="2:12" x14ac:dyDescent="0.3">
      <c r="B34" s="4"/>
      <c r="C34" s="1684" t="s">
        <v>43</v>
      </c>
      <c r="D34" s="1685"/>
      <c r="E34" s="1686"/>
      <c r="F34" s="1687" t="s">
        <v>165</v>
      </c>
      <c r="G34" s="1688"/>
      <c r="H34" s="20"/>
      <c r="I34" s="21"/>
      <c r="J34" s="22"/>
      <c r="K34" s="20"/>
      <c r="L34" s="5"/>
    </row>
    <row r="35" spans="2:12" ht="15" thickBot="1" x14ac:dyDescent="0.35">
      <c r="B35" s="12"/>
      <c r="C35" s="13"/>
      <c r="D35" s="13"/>
      <c r="E35" s="13"/>
      <c r="F35" s="13"/>
      <c r="G35" s="13"/>
      <c r="H35" s="13"/>
      <c r="I35" s="13"/>
      <c r="J35" s="13"/>
      <c r="K35" s="13"/>
      <c r="L35" s="14"/>
    </row>
    <row r="36" spans="2:12" ht="15" thickBot="1" x14ac:dyDescent="0.35"/>
    <row r="37" spans="2:12" ht="6" customHeight="1" x14ac:dyDescent="0.3">
      <c r="B37" s="1"/>
      <c r="C37" s="2"/>
      <c r="D37" s="2"/>
      <c r="E37" s="2"/>
      <c r="F37" s="2"/>
      <c r="G37" s="2"/>
      <c r="H37" s="2"/>
      <c r="I37" s="2"/>
      <c r="J37" s="2"/>
      <c r="K37" s="2"/>
      <c r="L37" s="3"/>
    </row>
    <row r="38" spans="2:12" x14ac:dyDescent="0.3">
      <c r="B38" s="4"/>
      <c r="C38" s="1661" t="s">
        <v>44</v>
      </c>
      <c r="D38" s="1661"/>
      <c r="E38" s="1661"/>
      <c r="F38" s="1661"/>
      <c r="G38" s="1661"/>
      <c r="H38" s="1661"/>
      <c r="I38" s="1661"/>
      <c r="J38" s="1661"/>
      <c r="K38" s="1661"/>
      <c r="L38" s="5"/>
    </row>
    <row r="39" spans="2:12" x14ac:dyDescent="0.3">
      <c r="B39" s="4"/>
      <c r="C39" s="1691" t="s">
        <v>166</v>
      </c>
      <c r="D39" s="1691"/>
      <c r="E39" s="1691"/>
      <c r="F39" s="1691"/>
      <c r="G39" s="1691"/>
      <c r="H39" s="1691"/>
      <c r="I39" s="1691"/>
      <c r="J39" s="1691"/>
      <c r="K39" s="1691"/>
      <c r="L39" s="5"/>
    </row>
    <row r="40" spans="2:12" x14ac:dyDescent="0.3">
      <c r="B40" s="4"/>
      <c r="C40" s="1691"/>
      <c r="D40" s="1691"/>
      <c r="E40" s="1691"/>
      <c r="F40" s="1691"/>
      <c r="G40" s="1691"/>
      <c r="H40" s="1691"/>
      <c r="I40" s="1691"/>
      <c r="J40" s="1691"/>
      <c r="K40" s="1691"/>
      <c r="L40" s="5"/>
    </row>
    <row r="41" spans="2:12" x14ac:dyDescent="0.3">
      <c r="B41" s="4"/>
      <c r="C41" s="1691"/>
      <c r="D41" s="1691"/>
      <c r="E41" s="1691"/>
      <c r="F41" s="1691"/>
      <c r="G41" s="1691"/>
      <c r="H41" s="1691"/>
      <c r="I41" s="1691"/>
      <c r="J41" s="1691"/>
      <c r="K41" s="1691"/>
      <c r="L41" s="5"/>
    </row>
    <row r="42" spans="2:12" x14ac:dyDescent="0.3">
      <c r="B42" s="4"/>
      <c r="C42" s="1691"/>
      <c r="D42" s="1691"/>
      <c r="E42" s="1691"/>
      <c r="F42" s="1691"/>
      <c r="G42" s="1691"/>
      <c r="H42" s="1691"/>
      <c r="I42" s="1691"/>
      <c r="J42" s="1691"/>
      <c r="K42" s="1691"/>
      <c r="L42" s="5"/>
    </row>
    <row r="43" spans="2:12" x14ac:dyDescent="0.3">
      <c r="B43" s="4"/>
      <c r="C43" s="1691"/>
      <c r="D43" s="1691"/>
      <c r="E43" s="1691"/>
      <c r="F43" s="1691"/>
      <c r="G43" s="1691"/>
      <c r="H43" s="1691"/>
      <c r="I43" s="1691"/>
      <c r="J43" s="1691"/>
      <c r="K43" s="1691"/>
      <c r="L43" s="5"/>
    </row>
    <row r="44" spans="2:12" x14ac:dyDescent="0.3">
      <c r="B44" s="4"/>
      <c r="C44" s="1691"/>
      <c r="D44" s="1691"/>
      <c r="E44" s="1691"/>
      <c r="F44" s="1691"/>
      <c r="G44" s="1691"/>
      <c r="H44" s="1691"/>
      <c r="I44" s="1691"/>
      <c r="J44" s="1691"/>
      <c r="K44" s="1691"/>
      <c r="L44" s="5"/>
    </row>
    <row r="45" spans="2:12" x14ac:dyDescent="0.3">
      <c r="B45" s="4"/>
      <c r="C45" s="1692"/>
      <c r="D45" s="1692"/>
      <c r="E45" s="1692"/>
      <c r="F45" s="1692"/>
      <c r="G45" s="1692"/>
      <c r="H45" s="1692"/>
      <c r="I45" s="1692"/>
      <c r="J45" s="1692"/>
      <c r="K45" s="1692"/>
      <c r="L45" s="5"/>
    </row>
    <row r="46" spans="2:12" ht="8.4" customHeight="1" thickBot="1" x14ac:dyDescent="0.35">
      <c r="B46" s="12"/>
      <c r="C46" s="13"/>
      <c r="D46" s="13"/>
      <c r="E46" s="13"/>
      <c r="F46" s="13"/>
      <c r="G46" s="13"/>
      <c r="H46" s="13"/>
      <c r="I46" s="13"/>
      <c r="J46" s="13"/>
      <c r="K46" s="13"/>
      <c r="L46" s="14"/>
    </row>
    <row r="47" spans="2:12" ht="9" customHeight="1" thickBot="1" x14ac:dyDescent="0.35"/>
    <row r="48" spans="2:12" x14ac:dyDescent="0.3">
      <c r="B48" s="1689" t="s">
        <v>45</v>
      </c>
      <c r="C48" s="1690"/>
      <c r="D48" s="2"/>
      <c r="E48" s="2"/>
      <c r="F48" s="2"/>
      <c r="G48" s="2"/>
      <c r="H48" s="2"/>
      <c r="I48" s="2"/>
      <c r="J48" s="2"/>
      <c r="K48" s="2"/>
      <c r="L48" s="3"/>
    </row>
    <row r="49" spans="2:12" x14ac:dyDescent="0.3">
      <c r="B49" s="4"/>
      <c r="L49" s="5"/>
    </row>
    <row r="50" spans="2:12" x14ac:dyDescent="0.3">
      <c r="B50" s="4"/>
      <c r="C50" s="23"/>
      <c r="L50" s="5"/>
    </row>
    <row r="51" spans="2:12" x14ac:dyDescent="0.3">
      <c r="B51" s="4"/>
      <c r="C51" s="1642" t="s">
        <v>46</v>
      </c>
      <c r="D51" s="1642"/>
      <c r="E51" s="1642"/>
      <c r="F51" s="1642"/>
      <c r="H51" s="1642" t="s">
        <v>47</v>
      </c>
      <c r="I51" s="1642"/>
      <c r="J51" s="1642"/>
      <c r="K51" s="1642"/>
      <c r="L51" s="5"/>
    </row>
    <row r="52" spans="2:12" ht="15" thickBot="1" x14ac:dyDescent="0.35">
      <c r="B52" s="12"/>
      <c r="C52" s="13"/>
      <c r="D52" s="13"/>
      <c r="E52" s="13"/>
      <c r="F52" s="13"/>
      <c r="G52" s="13"/>
      <c r="H52" s="13"/>
      <c r="I52" s="13"/>
      <c r="J52" s="13"/>
      <c r="K52" s="13"/>
      <c r="L52" s="14"/>
    </row>
  </sheetData>
  <mergeCells count="42">
    <mergeCell ref="B48:C48"/>
    <mergeCell ref="C51:F51"/>
    <mergeCell ref="H51:K51"/>
    <mergeCell ref="C39:K45"/>
    <mergeCell ref="C38:K38"/>
    <mergeCell ref="D31:E31"/>
    <mergeCell ref="F31:G31"/>
    <mergeCell ref="I31:J31"/>
    <mergeCell ref="D32:E32"/>
    <mergeCell ref="F32:G32"/>
    <mergeCell ref="I32:J32"/>
    <mergeCell ref="D33:E33"/>
    <mergeCell ref="F33:G33"/>
    <mergeCell ref="I33:J33"/>
    <mergeCell ref="C34:E34"/>
    <mergeCell ref="F34:G34"/>
    <mergeCell ref="C27:K27"/>
    <mergeCell ref="D29:E29"/>
    <mergeCell ref="F29:G29"/>
    <mergeCell ref="H29:K29"/>
    <mergeCell ref="D30:E30"/>
    <mergeCell ref="F30:G30"/>
    <mergeCell ref="I30:J30"/>
    <mergeCell ref="D23:G23"/>
    <mergeCell ref="I23:K23"/>
    <mergeCell ref="D11:K11"/>
    <mergeCell ref="D12:H12"/>
    <mergeCell ref="J12:K12"/>
    <mergeCell ref="C16:K16"/>
    <mergeCell ref="D18:G18"/>
    <mergeCell ref="H18:K18"/>
    <mergeCell ref="D19:K19"/>
    <mergeCell ref="D20:K20"/>
    <mergeCell ref="D21:E21"/>
    <mergeCell ref="D22:G22"/>
    <mergeCell ref="I22:K22"/>
    <mergeCell ref="D10:K10"/>
    <mergeCell ref="B2:L2"/>
    <mergeCell ref="B3:L3"/>
    <mergeCell ref="C6:K6"/>
    <mergeCell ref="D8:K8"/>
    <mergeCell ref="D9:K9"/>
  </mergeCells>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388C4C5C67B1C40A7414AD25E2D3AE6" ma:contentTypeVersion="13" ma:contentTypeDescription="Crie um novo documento." ma:contentTypeScope="" ma:versionID="1b5178e88f018b74586964b6babab4f8">
  <xsd:schema xmlns:xsd="http://www.w3.org/2001/XMLSchema" xmlns:xs="http://www.w3.org/2001/XMLSchema" xmlns:p="http://schemas.microsoft.com/office/2006/metadata/properties" xmlns:ns2="29a79990-ee87-4241-abc6-9e01ab9b2464" xmlns:ns3="8f4bf414-7d56-47ef-876f-a064b6139123" targetNamespace="http://schemas.microsoft.com/office/2006/metadata/properties" ma:root="true" ma:fieldsID="266d05339a4efad8584a7b69e9357b72" ns2:_="" ns3:_="">
    <xsd:import namespace="29a79990-ee87-4241-abc6-9e01ab9b2464"/>
    <xsd:import namespace="8f4bf414-7d56-47ef-876f-a064b613912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BillingMetadata"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a79990-ee87-4241-abc6-9e01ab9b24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BillingMetadata" ma:index="15" nillable="true" ma:displayName="MediaServiceBillingMetadata" ma:hidden="true" ma:internalName="MediaServiceBillingMetadata" ma:readOnly="true">
      <xsd:simpleType>
        <xsd:restriction base="dms:Note"/>
      </xsd:simpleType>
    </xsd:element>
    <xsd:element name="lcf76f155ced4ddcb4097134ff3c332f" ma:index="17" nillable="true" ma:taxonomy="true" ma:internalName="lcf76f155ced4ddcb4097134ff3c332f" ma:taxonomyFieldName="MediaServiceImageTags" ma:displayName="Marcações de imagem" ma:readOnly="false" ma:fieldId="{5cf76f15-5ced-4ddc-b409-7134ff3c332f}" ma:taxonomyMulti="true" ma:sspId="dd800daa-7c7e-4072-b01c-3023f6f7afe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f4bf414-7d56-47ef-876f-a064b6139123"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689cacdc-4c80-4a01-81af-803e241e380a}" ma:internalName="TaxCatchAll" ma:showField="CatchAllData" ma:web="8f4bf414-7d56-47ef-876f-a064b613912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8f4bf414-7d56-47ef-876f-a064b6139123" xsi:nil="true"/>
    <lcf76f155ced4ddcb4097134ff3c332f xmlns="29a79990-ee87-4241-abc6-9e01ab9b2464">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7469E1-A5C8-4ED3-80DC-8683D4B112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a79990-ee87-4241-abc6-9e01ab9b2464"/>
    <ds:schemaRef ds:uri="8f4bf414-7d56-47ef-876f-a064b613912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F2A719E-479E-41E4-8A33-6AFDA9F259D9}">
  <ds:schemaRefs>
    <ds:schemaRef ds:uri="http://schemas.microsoft.com/DataMashup"/>
  </ds:schemaRefs>
</ds:datastoreItem>
</file>

<file path=customXml/itemProps3.xml><?xml version="1.0" encoding="utf-8"?>
<ds:datastoreItem xmlns:ds="http://schemas.openxmlformats.org/officeDocument/2006/customXml" ds:itemID="{000BC4C0-F685-45A1-BAF5-4B991AD95F45}">
  <ds:schemaRefs>
    <ds:schemaRef ds:uri="http://schemas.microsoft.com/office/2006/metadata/properties"/>
    <ds:schemaRef ds:uri="http://www.w3.org/XML/1998/namespace"/>
    <ds:schemaRef ds:uri="http://purl.org/dc/terms/"/>
    <ds:schemaRef ds:uri="http://purl.org/dc/dcmitype/"/>
    <ds:schemaRef ds:uri="29a79990-ee87-4241-abc6-9e01ab9b2464"/>
    <ds:schemaRef ds:uri="http://purl.org/dc/elements/1.1/"/>
    <ds:schemaRef ds:uri="http://schemas.microsoft.com/office/infopath/2007/PartnerControls"/>
    <ds:schemaRef ds:uri="http://schemas.microsoft.com/office/2006/documentManagement/types"/>
    <ds:schemaRef ds:uri="8f4bf414-7d56-47ef-876f-a064b6139123"/>
    <ds:schemaRef ds:uri="http://schemas.openxmlformats.org/package/2006/metadata/core-properties"/>
  </ds:schemaRefs>
</ds:datastoreItem>
</file>

<file path=customXml/itemProps4.xml><?xml version="1.0" encoding="utf-8"?>
<ds:datastoreItem xmlns:ds="http://schemas.openxmlformats.org/officeDocument/2006/customXml" ds:itemID="{BDE95446-691D-41A1-9323-50DC321C839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15</vt:i4>
      </vt:variant>
    </vt:vector>
  </HeadingPairs>
  <TitlesOfParts>
    <vt:vector size="34" baseType="lpstr">
      <vt:lpstr>RESUMO</vt:lpstr>
      <vt:lpstr>CUSTOS OP.</vt:lpstr>
      <vt:lpstr>Convenção de Vendas</vt:lpstr>
      <vt:lpstr>TOP CLUB + TOP TRADE</vt:lpstr>
      <vt:lpstr>Convenção de Vendas_ EXTRAS PRÉ</vt:lpstr>
      <vt:lpstr>Convenção de Vendas_ EXTRAS 2</vt:lpstr>
      <vt:lpstr>Hotel -</vt:lpstr>
      <vt:lpstr>Coletiva de Imprensa</vt:lpstr>
      <vt:lpstr>Coletiva de Imprensa - EXTRAS</vt:lpstr>
      <vt:lpstr>Lançamento de Produtos</vt:lpstr>
      <vt:lpstr>Lançamento de Produtos - EXTRAS</vt:lpstr>
      <vt:lpstr>COMPILADO</vt:lpstr>
      <vt:lpstr>Solicitações de Pagamento</vt:lpstr>
      <vt:lpstr>RELATÓRIO FULL</vt:lpstr>
      <vt:lpstr> CUSTOS OPERACIONAIS</vt:lpstr>
      <vt:lpstr>FORNECEDORES</vt:lpstr>
      <vt:lpstr>EXTRAS PARA INCLUIR </vt:lpstr>
      <vt:lpstr>ItensOrc</vt:lpstr>
      <vt:lpstr>Template SP</vt:lpstr>
      <vt:lpstr>ItensOrc!itensorc_desconto</vt:lpstr>
      <vt:lpstr>ItensOrc!itensorc_descricao</vt:lpstr>
      <vt:lpstr>ItensOrc!itensorc_encargos</vt:lpstr>
      <vt:lpstr>ItensOrc!itensorc_especifica</vt:lpstr>
      <vt:lpstr>ItensOrc!itensorc_item</vt:lpstr>
      <vt:lpstr>ItensOrc!itensorc_lancamento</vt:lpstr>
      <vt:lpstr>ItensOrc!itensorc_percentualhonorarios</vt:lpstr>
      <vt:lpstr>ItensOrc!itensorc_quantidade</vt:lpstr>
      <vt:lpstr>ItensOrc!itensorc_situacao</vt:lpstr>
      <vt:lpstr>ItensOrc!itensorc_subtipo</vt:lpstr>
      <vt:lpstr>ItensOrc!itensorc_tiporeceita</vt:lpstr>
      <vt:lpstr>ItensOrc!itensorc_valor</vt:lpstr>
      <vt:lpstr>ItensOrc!itensorc_valorfornecedor</vt:lpstr>
      <vt:lpstr>ItensOrc!itensorc_valorfornecedorunitario</vt:lpstr>
      <vt:lpstr>ItensOrc!itensorc_valorunitario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Rafael QdS</dc:creator>
  <cp:lastModifiedBy>Bruno Silva</cp:lastModifiedBy>
  <cp:lastPrinted>2026-03-17T16:00:43Z</cp:lastPrinted>
  <dcterms:created xsi:type="dcterms:W3CDTF">2023-09-21T21:02:20Z</dcterms:created>
  <dcterms:modified xsi:type="dcterms:W3CDTF">2026-03-24T21:36:35Z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0x010100F388C4C5C67B1C40A7414AD25E2D3AE6</vt:lpwstr>
  </property>
  <property fmtid="{D5CDD505-2E9C-101B-9397-08002B2CF9AE}" pid="3" name="MediaServiceImageTags">
    <vt:lpwstr/>
  </property>
</Properties>
</file>