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628" codeName="{DD97A8EA-9A9A-E61F-A557-7D5A7D7259CE}"/>
  <workbookPr codeName="EstaPastaDeTrabalho" hidePivotFieldList="1"/>
  <mc:AlternateContent xmlns:mc="http://schemas.openxmlformats.org/markup-compatibility/2006">
    <mc:Choice Requires="x15">
      <x15ac:absPath xmlns:x15ac="http://schemas.microsoft.com/office/spreadsheetml/2010/11/ac" url="D:\OGGI LIVE\Fechamentos\2026\JOBS\OGGI\01 janeiro\"/>
    </mc:Choice>
  </mc:AlternateContent>
  <xr:revisionPtr revIDLastSave="0" documentId="13_ncr:1_{BD26909E-575F-4400-A6F0-94F009F4EFDE}" xr6:coauthVersionLast="47" xr6:coauthVersionMax="47" xr10:uidLastSave="{00000000-0000-0000-0000-000000000000}"/>
  <bookViews>
    <workbookView xWindow="28692" yWindow="-108" windowWidth="29016" windowHeight="15696" tabRatio="822" xr2:uid="{83D4A4F0-59AC-45D6-BDA2-9A1B100CD857}"/>
  </bookViews>
  <sheets>
    <sheet name="RESUMO" sheetId="108" r:id="rId1"/>
    <sheet name="PRINCIPAL" sheetId="105" r:id="rId2"/>
    <sheet name="PRÊMIOS" sheetId="106" r:id="rId3"/>
    <sheet name="TOTAL" sheetId="107" state="hidden" r:id="rId4"/>
    <sheet name="Solicitações de Pagamento" sheetId="4" state="hidden" r:id="rId5"/>
    <sheet name="ItensOrc" sheetId="76" state="hidden" r:id="rId6"/>
    <sheet name="Template SP" sheetId="3" state="hidden" r:id="rId7"/>
  </sheets>
  <definedNames>
    <definedName name="_xlnm._FilterDatabase" localSheetId="2" hidden="1">PRÊMIOS!#REF!</definedName>
    <definedName name="_xlnm._FilterDatabase" localSheetId="1" hidden="1">PRINCIPAL!#REF!</definedName>
    <definedName name="_xlnm._FilterDatabase" localSheetId="3" hidden="1">TOTAL!#REF!</definedName>
    <definedName name="itensorc_desconto" localSheetId="5">ItensOrc!$M:$M</definedName>
    <definedName name="itensorc_desconto">#REF!</definedName>
    <definedName name="itensorc_descricao" localSheetId="5">ItensOrc!$D:$D</definedName>
    <definedName name="itensorc_descricao">#REF!</definedName>
    <definedName name="itensorc_encargos" localSheetId="5">ItensOrc!$N:$N</definedName>
    <definedName name="itensorc_encargos">#REF!</definedName>
    <definedName name="itensorc_especifica" localSheetId="5">ItensOrc!$O:$O</definedName>
    <definedName name="itensorc_especifica">#REF!</definedName>
    <definedName name="itensorc_item" localSheetId="5">ItensOrc!$C:$C</definedName>
    <definedName name="itensorc_item">#REF!</definedName>
    <definedName name="itensorc_lancamento" localSheetId="5">ItensOrc!$B:$B</definedName>
    <definedName name="itensorc_lancamento">#REF!</definedName>
    <definedName name="itensorc_percentualhonorarios" localSheetId="5">ItensOrc!$L:$L</definedName>
    <definedName name="itensorc_percentualhonorarios">#REF!</definedName>
    <definedName name="itensorc_quantidade" localSheetId="5">ItensOrc!$E:$E</definedName>
    <definedName name="itensorc_quantidade">#REF!</definedName>
    <definedName name="itensorc_situacao" localSheetId="5">ItensOrc!$H:$H</definedName>
    <definedName name="itensorc_situacao">#REF!</definedName>
    <definedName name="itensorc_subtipo" localSheetId="5">ItensOrc!$K:$K</definedName>
    <definedName name="itensorc_subtipo">#REF!</definedName>
    <definedName name="itensorc_tiporeceita" localSheetId="5">ItensOrc!$A:$A</definedName>
    <definedName name="itensorc_tiporeceita">#REF!</definedName>
    <definedName name="itensorc_valor" localSheetId="5">ItensOrc!$G:$G</definedName>
    <definedName name="itensorc_valor">#REF!</definedName>
    <definedName name="itensorc_valorfornecedor" localSheetId="5">ItensOrc!$I:$I</definedName>
    <definedName name="itensorc_valorfornecedor">#REF!</definedName>
    <definedName name="itensorc_valorfornecedorunitario" localSheetId="5">ItensOrc!$J:$J</definedName>
    <definedName name="itensorc_valorfornecedorunitario">#REF!</definedName>
    <definedName name="itensorc_valorunitario" localSheetId="5">ItensOrc!$F:$F</definedName>
    <definedName name="itensorc_valorunitario">#REF!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E23" i="108" l="1"/>
  <c r="AB27" i="106"/>
  <c r="AB26" i="106"/>
  <c r="AB50" i="105"/>
  <c r="AB25" i="106"/>
  <c r="AB49" i="105"/>
  <c r="T43" i="105"/>
  <c r="AC43" i="105"/>
  <c r="L26" i="106"/>
  <c r="C22" i="108"/>
  <c r="C21" i="108"/>
  <c r="C23" i="108" s="1"/>
  <c r="AB28" i="106"/>
  <c r="M49" i="105"/>
  <c r="AC18" i="106"/>
  <c r="AC27" i="105"/>
  <c r="AC28" i="105"/>
  <c r="AC42" i="105"/>
  <c r="AC44" i="105"/>
  <c r="AC34" i="105"/>
  <c r="AB20" i="105"/>
  <c r="AB21" i="105"/>
  <c r="AB22" i="105"/>
  <c r="AB23" i="105"/>
  <c r="AB25" i="105"/>
  <c r="AB26" i="105"/>
  <c r="AB29" i="105"/>
  <c r="AB32" i="105"/>
  <c r="AB33" i="105"/>
  <c r="AB36" i="105"/>
  <c r="AB37" i="105"/>
  <c r="AB38" i="105"/>
  <c r="AB40" i="105"/>
  <c r="AB41" i="105"/>
  <c r="AB42" i="105"/>
  <c r="AB17" i="105"/>
  <c r="AC22" i="106"/>
  <c r="E3" i="108"/>
  <c r="Q20" i="106"/>
  <c r="K20" i="106"/>
  <c r="D22" i="108" l="1"/>
  <c r="E22" i="108"/>
  <c r="F22" i="108" s="1"/>
  <c r="AC46" i="105"/>
  <c r="L20" i="106"/>
  <c r="V20" i="106"/>
  <c r="U20" i="106" l="1"/>
  <c r="W20" i="106" s="1"/>
  <c r="X20" i="106" s="1"/>
  <c r="AB20" i="106" s="1"/>
  <c r="Z20" i="106" l="1"/>
  <c r="Y21" i="106" l="1"/>
  <c r="Q19" i="106"/>
  <c r="V19" i="106" s="1"/>
  <c r="K19" i="106"/>
  <c r="V18" i="106"/>
  <c r="R18" i="106"/>
  <c r="AF18" i="106" s="1"/>
  <c r="K18" i="106"/>
  <c r="R17" i="106"/>
  <c r="Q17" i="106"/>
  <c r="K17" i="106"/>
  <c r="Q16" i="106"/>
  <c r="Q15" i="106"/>
  <c r="M14" i="106"/>
  <c r="M20" i="106" s="1"/>
  <c r="Z12" i="106"/>
  <c r="M10" i="106"/>
  <c r="L19" i="106" l="1"/>
  <c r="K22" i="106"/>
  <c r="K21" i="106"/>
  <c r="L17" i="106"/>
  <c r="M17" i="106" s="1"/>
  <c r="N20" i="106"/>
  <c r="Y20" i="106"/>
  <c r="M19" i="106"/>
  <c r="N19" i="106" s="1"/>
  <c r="U18" i="106"/>
  <c r="Z18" i="106" s="1"/>
  <c r="L18" i="106"/>
  <c r="V17" i="106"/>
  <c r="R44" i="105"/>
  <c r="Q44" i="105"/>
  <c r="K44" i="105"/>
  <c r="U19" i="106" l="1"/>
  <c r="W19" i="106" s="1"/>
  <c r="X19" i="106" s="1"/>
  <c r="AB19" i="106" s="1"/>
  <c r="T22" i="106"/>
  <c r="T21" i="106"/>
  <c r="AA19" i="106" s="1"/>
  <c r="L21" i="106"/>
  <c r="L22" i="106"/>
  <c r="AF17" i="106"/>
  <c r="N17" i="106"/>
  <c r="U17" i="106"/>
  <c r="M18" i="106"/>
  <c r="N18" i="106" s="1"/>
  <c r="W18" i="106"/>
  <c r="X18" i="106" s="1"/>
  <c r="AB18" i="106" s="1"/>
  <c r="U44" i="105"/>
  <c r="V44" i="105"/>
  <c r="L44" i="105"/>
  <c r="AA20" i="106" l="1"/>
  <c r="N21" i="106"/>
  <c r="M22" i="106"/>
  <c r="M21" i="106"/>
  <c r="N22" i="106"/>
  <c r="Y19" i="106"/>
  <c r="Z19" i="106"/>
  <c r="U21" i="106"/>
  <c r="U22" i="106"/>
  <c r="Z17" i="106"/>
  <c r="C17" i="107"/>
  <c r="AA18" i="106"/>
  <c r="W17" i="106"/>
  <c r="X17" i="106" s="1"/>
  <c r="Y18" i="106"/>
  <c r="W44" i="105"/>
  <c r="X44" i="105" s="1"/>
  <c r="AB44" i="105" s="1"/>
  <c r="AA44" i="105"/>
  <c r="Z44" i="105"/>
  <c r="X22" i="106" l="1"/>
  <c r="AB17" i="106"/>
  <c r="AB22" i="106" s="1"/>
  <c r="X21" i="106"/>
  <c r="Y17" i="106"/>
  <c r="Y22" i="106" s="1"/>
  <c r="Q30" i="105"/>
  <c r="K30" i="105"/>
  <c r="E17" i="107" l="1"/>
  <c r="V30" i="105"/>
  <c r="L30" i="105"/>
  <c r="Q29" i="105"/>
  <c r="K29" i="105"/>
  <c r="L29" i="105" s="1"/>
  <c r="Z22" i="106" l="1"/>
  <c r="AA22" i="106" s="1"/>
  <c r="U30" i="105"/>
  <c r="T29" i="105"/>
  <c r="V29" i="105"/>
  <c r="Z30" i="105" l="1"/>
  <c r="W30" i="105"/>
  <c r="X30" i="105" s="1"/>
  <c r="AB30" i="105" s="1"/>
  <c r="U29" i="105"/>
  <c r="R38" i="105"/>
  <c r="Q38" i="105"/>
  <c r="K38" i="105"/>
  <c r="K39" i="105" s="1"/>
  <c r="R43" i="105"/>
  <c r="Q43" i="105"/>
  <c r="V43" i="105" s="1"/>
  <c r="K43" i="105"/>
  <c r="Z29" i="105" l="1"/>
  <c r="W29" i="105"/>
  <c r="X29" i="105" s="1"/>
  <c r="L38" i="105"/>
  <c r="L39" i="105" s="1"/>
  <c r="T38" i="105"/>
  <c r="T39" i="105" s="1"/>
  <c r="V38" i="105"/>
  <c r="L43" i="105"/>
  <c r="AA43" i="105" l="1"/>
  <c r="AF38" i="105"/>
  <c r="U38" i="105"/>
  <c r="U39" i="105" s="1"/>
  <c r="U43" i="105"/>
  <c r="Z43" i="105" l="1"/>
  <c r="Z38" i="105"/>
  <c r="W38" i="105"/>
  <c r="X38" i="105" s="1"/>
  <c r="X39" i="105" s="1"/>
  <c r="W43" i="105"/>
  <c r="X43" i="105" s="1"/>
  <c r="AB43" i="105" s="1"/>
  <c r="K42" i="105"/>
  <c r="K45" i="105" s="1"/>
  <c r="Q41" i="105"/>
  <c r="Q40" i="105"/>
  <c r="L42" i="105" l="1"/>
  <c r="L45" i="105" s="1"/>
  <c r="R34" i="105" l="1"/>
  <c r="Q34" i="105"/>
  <c r="K34" i="105"/>
  <c r="K35" i="105" s="1"/>
  <c r="L34" i="105" l="1"/>
  <c r="L35" i="105" s="1"/>
  <c r="V34" i="105"/>
  <c r="R27" i="105"/>
  <c r="Q27" i="105"/>
  <c r="V27" i="105" s="1"/>
  <c r="K27" i="105"/>
  <c r="K31" i="105" s="1"/>
  <c r="R23" i="105"/>
  <c r="Q23" i="105"/>
  <c r="R22" i="105"/>
  <c r="K23" i="105"/>
  <c r="K22" i="105"/>
  <c r="K24" i="105" s="1"/>
  <c r="R42" i="105"/>
  <c r="Q42" i="105"/>
  <c r="Q37" i="105"/>
  <c r="Q36" i="105"/>
  <c r="Q33" i="105"/>
  <c r="Q32" i="105"/>
  <c r="R28" i="105"/>
  <c r="K28" i="105"/>
  <c r="Q26" i="105"/>
  <c r="Q25" i="105"/>
  <c r="Q21" i="105"/>
  <c r="Q20" i="105"/>
  <c r="K18" i="105"/>
  <c r="K17" i="105"/>
  <c r="Q18" i="105"/>
  <c r="R17" i="105"/>
  <c r="Q17" i="105"/>
  <c r="V17" i="105" s="1"/>
  <c r="Q16" i="105"/>
  <c r="Q15" i="105"/>
  <c r="M14" i="105"/>
  <c r="M44" i="105" s="1"/>
  <c r="Z12" i="105"/>
  <c r="M10" i="105"/>
  <c r="K19" i="105" l="1"/>
  <c r="K46" i="105"/>
  <c r="T35" i="105"/>
  <c r="AF34" i="105"/>
  <c r="N44" i="105"/>
  <c r="Y44" i="105"/>
  <c r="M29" i="105"/>
  <c r="N29" i="105" s="1"/>
  <c r="M30" i="105"/>
  <c r="U34" i="105"/>
  <c r="U35" i="105" s="1"/>
  <c r="M38" i="105"/>
  <c r="M39" i="105" s="1"/>
  <c r="M43" i="105"/>
  <c r="M42" i="105"/>
  <c r="V42" i="105"/>
  <c r="M34" i="105"/>
  <c r="M35" i="105" s="1"/>
  <c r="T42" i="105"/>
  <c r="L27" i="105"/>
  <c r="T22" i="105"/>
  <c r="V22" i="105"/>
  <c r="T23" i="105"/>
  <c r="AF23" i="105" s="1"/>
  <c r="L28" i="105"/>
  <c r="V23" i="105"/>
  <c r="L23" i="105"/>
  <c r="L22" i="105"/>
  <c r="L24" i="105" s="1"/>
  <c r="V28" i="105"/>
  <c r="T17" i="105"/>
  <c r="L17" i="105"/>
  <c r="L18" i="105"/>
  <c r="V18" i="105"/>
  <c r="T31" i="105" l="1"/>
  <c r="AA30" i="105" s="1"/>
  <c r="AF27" i="105"/>
  <c r="L19" i="105"/>
  <c r="L46" i="105"/>
  <c r="T24" i="105"/>
  <c r="AF42" i="105"/>
  <c r="T45" i="105"/>
  <c r="T19" i="105"/>
  <c r="T46" i="105"/>
  <c r="L31" i="105"/>
  <c r="M45" i="105"/>
  <c r="Y29" i="105"/>
  <c r="N30" i="105"/>
  <c r="Y30" i="105"/>
  <c r="U28" i="105"/>
  <c r="Z28" i="105" s="1"/>
  <c r="AF28" i="105"/>
  <c r="AF22" i="105"/>
  <c r="U18" i="105"/>
  <c r="M18" i="105"/>
  <c r="N34" i="105"/>
  <c r="N35" i="105" s="1"/>
  <c r="Z34" i="105"/>
  <c r="W34" i="105"/>
  <c r="X34" i="105" s="1"/>
  <c r="U23" i="105"/>
  <c r="Z23" i="105" s="1"/>
  <c r="Y38" i="105"/>
  <c r="N38" i="105"/>
  <c r="N39" i="105" s="1"/>
  <c r="U17" i="105"/>
  <c r="M27" i="105"/>
  <c r="M31" i="105" s="1"/>
  <c r="U42" i="105"/>
  <c r="U45" i="105" s="1"/>
  <c r="M22" i="105"/>
  <c r="M24" i="105" s="1"/>
  <c r="N42" i="105"/>
  <c r="AA22" i="105"/>
  <c r="U27" i="105"/>
  <c r="M28" i="105"/>
  <c r="N28" i="105" s="1"/>
  <c r="N43" i="105"/>
  <c r="Y43" i="105"/>
  <c r="U22" i="105"/>
  <c r="M23" i="105"/>
  <c r="M17" i="105"/>
  <c r="M19" i="105" s="1"/>
  <c r="X35" i="105" l="1"/>
  <c r="AB34" i="105"/>
  <c r="U31" i="105"/>
  <c r="U19" i="105"/>
  <c r="U46" i="105"/>
  <c r="M46" i="105"/>
  <c r="U24" i="105"/>
  <c r="N45" i="105"/>
  <c r="W28" i="105"/>
  <c r="X28" i="105" s="1"/>
  <c r="AA29" i="105"/>
  <c r="Z18" i="105"/>
  <c r="W18" i="105"/>
  <c r="X18" i="105" s="1"/>
  <c r="AB18" i="105" s="1"/>
  <c r="N18" i="105"/>
  <c r="N46" i="105" s="1"/>
  <c r="C16" i="107" s="1"/>
  <c r="C18" i="107" s="1"/>
  <c r="Y34" i="105"/>
  <c r="N27" i="105"/>
  <c r="N31" i="105" s="1"/>
  <c r="W23" i="105"/>
  <c r="X23" i="105" s="1"/>
  <c r="W17" i="105"/>
  <c r="X17" i="105" s="1"/>
  <c r="AA38" i="105"/>
  <c r="N22" i="105"/>
  <c r="N17" i="105"/>
  <c r="W42" i="105"/>
  <c r="X42" i="105" s="1"/>
  <c r="X45" i="105" s="1"/>
  <c r="Z42" i="105"/>
  <c r="Z17" i="105"/>
  <c r="Z27" i="105"/>
  <c r="W27" i="105"/>
  <c r="X27" i="105" s="1"/>
  <c r="Z22" i="105"/>
  <c r="AA28" i="105"/>
  <c r="W22" i="105"/>
  <c r="X22" i="105" s="1"/>
  <c r="N23" i="105"/>
  <c r="Y28" i="105" l="1"/>
  <c r="AB28" i="105"/>
  <c r="X31" i="105"/>
  <c r="AB27" i="105"/>
  <c r="AB46" i="105" s="1"/>
  <c r="X19" i="105"/>
  <c r="X46" i="105"/>
  <c r="N19" i="105"/>
  <c r="N24" i="105"/>
  <c r="X24" i="105"/>
  <c r="Y24" i="105"/>
  <c r="Y19" i="105"/>
  <c r="Y18" i="105"/>
  <c r="Y17" i="105"/>
  <c r="Y31" i="105"/>
  <c r="Y23" i="105"/>
  <c r="Y42" i="105"/>
  <c r="Y27" i="105"/>
  <c r="Y39" i="105"/>
  <c r="Y22" i="105"/>
  <c r="AA42" i="105"/>
  <c r="Y35" i="105"/>
  <c r="D21" i="108" l="1"/>
  <c r="AB51" i="105"/>
  <c r="AB52" i="105" s="1"/>
  <c r="Y46" i="105"/>
  <c r="E16" i="107" s="1"/>
  <c r="E18" i="107" s="1"/>
  <c r="E19" i="107" s="1"/>
  <c r="E20" i="107" s="1"/>
  <c r="Y45" i="105"/>
  <c r="E21" i="108" l="1"/>
  <c r="D23" i="108"/>
  <c r="Z46" i="105"/>
  <c r="AA46" i="105" s="1"/>
  <c r="F21" i="108" l="1"/>
  <c r="F23" i="108"/>
</calcChain>
</file>

<file path=xl/sharedStrings.xml><?xml version="1.0" encoding="utf-8"?>
<sst xmlns="http://schemas.openxmlformats.org/spreadsheetml/2006/main" count="687" uniqueCount="312">
  <si>
    <t>Oggi Comunicação e Eventos</t>
  </si>
  <si>
    <t>CUSTOS (valor de custo c/ NF ou recibo)</t>
  </si>
  <si>
    <t>DIFERENÇA NF (Lucro)</t>
  </si>
  <si>
    <t>SOLICITAÇÃO DE PAGAMENTO</t>
  </si>
  <si>
    <t>ÍNDICE</t>
  </si>
  <si>
    <t>ÍNDICE PUBLI</t>
  </si>
  <si>
    <t>CATEGORIA</t>
  </si>
  <si>
    <t>TIPO DE CUSTOS</t>
  </si>
  <si>
    <t>TIPO DE FATURAMENTO</t>
  </si>
  <si>
    <t>VALOR</t>
  </si>
  <si>
    <t>CNPJ</t>
  </si>
  <si>
    <t/>
  </si>
  <si>
    <t>PREENCHER OS CAMPOS CORRETAMENTE</t>
  </si>
  <si>
    <t>DADOS DO JOB</t>
  </si>
  <si>
    <t>Data:</t>
  </si>
  <si>
    <t>Contratante:</t>
  </si>
  <si>
    <t>Oggi Eventos</t>
  </si>
  <si>
    <t>Cliente:</t>
  </si>
  <si>
    <t>Job:</t>
  </si>
  <si>
    <t>Planilha:</t>
  </si>
  <si>
    <t>Item:</t>
  </si>
  <si>
    <t>DADOS PARA PAGAMENTO</t>
  </si>
  <si>
    <t>() Pessoa Jurídica</t>
  </si>
  <si>
    <t>Razão Social</t>
  </si>
  <si>
    <t>Fantasia:</t>
  </si>
  <si>
    <t>Banco:</t>
  </si>
  <si>
    <t>Conta:</t>
  </si>
  <si>
    <t>Pix:</t>
  </si>
  <si>
    <t>CNPJ:</t>
  </si>
  <si>
    <t>CPF:</t>
  </si>
  <si>
    <t>Contato:</t>
  </si>
  <si>
    <t>Celular:</t>
  </si>
  <si>
    <t>Parcela</t>
  </si>
  <si>
    <t>Data</t>
  </si>
  <si>
    <t>Valor</t>
  </si>
  <si>
    <t>Forma de Pagamento</t>
  </si>
  <si>
    <t>1ª</t>
  </si>
  <si>
    <t>(   ) Boleto</t>
  </si>
  <si>
    <t>(   ) Pix</t>
  </si>
  <si>
    <t>2ª</t>
  </si>
  <si>
    <t>(   ) Depósito</t>
  </si>
  <si>
    <t>3ª</t>
  </si>
  <si>
    <t>4ª</t>
  </si>
  <si>
    <t>TOTAL</t>
  </si>
  <si>
    <t>OBSERVAÇÕES</t>
  </si>
  <si>
    <t>APROVAÇÕES</t>
  </si>
  <si>
    <t>Solicitante</t>
  </si>
  <si>
    <t>Aprovação</t>
  </si>
  <si>
    <t>Índice</t>
  </si>
  <si>
    <t>Grupo</t>
  </si>
  <si>
    <t>Subgrupo</t>
  </si>
  <si>
    <t>Resumo</t>
  </si>
  <si>
    <t>Descrição</t>
  </si>
  <si>
    <t>Data da Solicitação</t>
  </si>
  <si>
    <t>RAZÃO SOCIAL</t>
  </si>
  <si>
    <t>CONTATO</t>
  </si>
  <si>
    <t>ENCARGOS PUBLI</t>
  </si>
  <si>
    <t>Agência</t>
  </si>
  <si>
    <t>FORNECEDOR</t>
  </si>
  <si>
    <t>DIREÇÃO DE PRODUÇÃO</t>
  </si>
  <si>
    <t>HEAD DE ATENDIMENTO</t>
  </si>
  <si>
    <t>Resp. pela gestão executiva operacional da ação. Pré Produção, implementação do projeto e pós produção.</t>
  </si>
  <si>
    <t xml:space="preserve">Resp. pela interface de atendimento junto ao cliente, elaboração de plano estratégico para briefing interno da agencia após reunião de Brainstorming,  alinhamentos gerais, fluxo interno, alterações e condução de pauta. </t>
  </si>
  <si>
    <t>CUSTOS INTERNOS</t>
  </si>
  <si>
    <t>BUFFET</t>
  </si>
  <si>
    <t>Coffee Break - 20pax
Coffee Break Chegada - 350 pax
Coffee Break tarde - 350 pax 
Coquetel Happy Hour - 350 pax
Estação Permanente - Café e agua plenária</t>
  </si>
  <si>
    <t>BAR</t>
  </si>
  <si>
    <t>Serviço de cerveja, prosecco
contratado para 300 pax</t>
  </si>
  <si>
    <t>ARTISTICO</t>
  </si>
  <si>
    <t>ATRAÇÃO</t>
  </si>
  <si>
    <t>PAGAMENTOS</t>
  </si>
  <si>
    <t>Solicitado</t>
  </si>
  <si>
    <t>PRODUÇÃO</t>
  </si>
  <si>
    <t>Planejamento</t>
  </si>
  <si>
    <t>Planejamento do Job</t>
  </si>
  <si>
    <t>Produção executiva</t>
  </si>
  <si>
    <t>Peterson</t>
  </si>
  <si>
    <t>Operacional</t>
  </si>
  <si>
    <t>MUSICO</t>
  </si>
  <si>
    <t>BANDA</t>
  </si>
  <si>
    <t>RAZÃO SOCIAL:OGGI COMUN. E EV. PROMO. UNIPESSOAL LTDA</t>
  </si>
  <si>
    <t xml:space="preserve">ENDEREÇO:R. ALMIRANTE PEREIRA GUIMARÃES, 327 - </t>
  </si>
  <si>
    <t>OC
38</t>
  </si>
  <si>
    <t>FONE: (11) 3871-5555  SÃO PAULO SP</t>
  </si>
  <si>
    <t>CNPJ: 07.559.587/0001-12</t>
  </si>
  <si>
    <t>INSCRIÇÃO MUNICIPAL: 3.441.108.9</t>
  </si>
  <si>
    <t>E-MAIL:</t>
  </si>
  <si>
    <t>Identificador=38-38-61b77ade14fb9af7e586617fa2e6823e374b1745</t>
  </si>
  <si>
    <t>Tipo Receita</t>
  </si>
  <si>
    <t>Lançamento</t>
  </si>
  <si>
    <t>Item do Orçamento</t>
  </si>
  <si>
    <t>Quantidade</t>
  </si>
  <si>
    <t>Valor Unitário</t>
  </si>
  <si>
    <t>Situação</t>
  </si>
  <si>
    <t>Valor Fornecedor</t>
  </si>
  <si>
    <t>Subtipo</t>
  </si>
  <si>
    <t>Honorários</t>
  </si>
  <si>
    <t>Desconto</t>
  </si>
  <si>
    <t>Encargos</t>
  </si>
  <si>
    <t>Especificação</t>
  </si>
  <si>
    <t>(*)Fim dos Itens</t>
  </si>
  <si>
    <t>Linhas iniciais de 1 a 9 e que contem o (*) não podem ser excluídas</t>
  </si>
  <si>
    <t>Para novos itens não preencher o campo Lançamento</t>
  </si>
  <si>
    <t>Aguardando Aprovação</t>
  </si>
  <si>
    <t>PM</t>
  </si>
  <si>
    <t>0,00%</t>
  </si>
  <si>
    <t>ServicosInternos</t>
  </si>
  <si>
    <t>CORTESIA LED</t>
  </si>
  <si>
    <t>ServicosTerceiros</t>
  </si>
  <si>
    <t xml:space="preserve">  1</t>
  </si>
  <si>
    <t xml:space="preserve">  1.  1</t>
  </si>
  <si>
    <t xml:space="preserve">  1.  1.  1</t>
  </si>
  <si>
    <t>8,00%</t>
  </si>
  <si>
    <t xml:space="preserve">  1.  1.  2</t>
  </si>
  <si>
    <t xml:space="preserve">  1.  1.  3</t>
  </si>
  <si>
    <t xml:space="preserve">  1.  1.  4</t>
  </si>
  <si>
    <t xml:space="preserve">  1.  1.  5</t>
  </si>
  <si>
    <t xml:space="preserve">  1.  1.  6</t>
  </si>
  <si>
    <t>PG</t>
  </si>
  <si>
    <t>15,00%</t>
  </si>
  <si>
    <t xml:space="preserve">  1.  2</t>
  </si>
  <si>
    <t xml:space="preserve">  1.  2.  1</t>
  </si>
  <si>
    <t xml:space="preserve">  1.  2.  2</t>
  </si>
  <si>
    <t xml:space="preserve">  2</t>
  </si>
  <si>
    <t xml:space="preserve">  2.  1</t>
  </si>
  <si>
    <t xml:space="preserve">  2.  1.  1</t>
  </si>
  <si>
    <t xml:space="preserve">  2.  1.  2</t>
  </si>
  <si>
    <t>( X ) Pessoa Jurídica</t>
  </si>
  <si>
    <t>ORÇAMENTO 5.1</t>
  </si>
  <si>
    <t>SUBTOTAL</t>
  </si>
  <si>
    <t>Peso</t>
  </si>
  <si>
    <t>RESUMO</t>
  </si>
  <si>
    <t>DESCRITIVO</t>
  </si>
  <si>
    <t>Qtd</t>
  </si>
  <si>
    <t>Diária</t>
  </si>
  <si>
    <t>R$ unit</t>
  </si>
  <si>
    <t>QTDE</t>
  </si>
  <si>
    <t>DIÁRIA</t>
  </si>
  <si>
    <t>VL. UNIT.</t>
  </si>
  <si>
    <t>SUB TOTAL</t>
  </si>
  <si>
    <t>DIFERENÇA</t>
  </si>
  <si>
    <t>% NOTA</t>
  </si>
  <si>
    <t>CUSTO NOTA</t>
  </si>
  <si>
    <t>CUSTO TOTAL (custo + dif. NF)</t>
  </si>
  <si>
    <t>CUSTO TOTAL + IMPOSTOS</t>
  </si>
  <si>
    <t>Margem</t>
  </si>
  <si>
    <t>Valor Total</t>
  </si>
  <si>
    <t>Saldo</t>
  </si>
  <si>
    <t>Fornecedor</t>
  </si>
  <si>
    <t>CPF/CNPJ</t>
  </si>
  <si>
    <t>Vazio</t>
  </si>
  <si>
    <t>PENDENTE</t>
  </si>
  <si>
    <t>EFETUADO</t>
  </si>
  <si>
    <t>1.1.2</t>
  </si>
  <si>
    <t xml:space="preserve"> </t>
  </si>
  <si>
    <t>SUBGRUPO</t>
  </si>
  <si>
    <t>AGENCIAMENTO</t>
  </si>
  <si>
    <t>IMPOSTOS</t>
  </si>
  <si>
    <t>Marg.</t>
  </si>
  <si>
    <t>ITEM</t>
  </si>
  <si>
    <t>GRUPO</t>
  </si>
  <si>
    <t>1.1</t>
  </si>
  <si>
    <t>1.1.1</t>
  </si>
  <si>
    <t>INTERNOS</t>
  </si>
  <si>
    <t>INTERNO</t>
  </si>
  <si>
    <t>DESDOBRAMENTO DE PEÇAS</t>
  </si>
  <si>
    <t>PRODUTOR</t>
  </si>
  <si>
    <t>FAT.OGGI</t>
  </si>
  <si>
    <t>2.1</t>
  </si>
  <si>
    <t>2.1.1</t>
  </si>
  <si>
    <t>SUBTOTAL SUBGRUPO</t>
  </si>
  <si>
    <t>Subtotal INTERNO</t>
  </si>
  <si>
    <t>OPERACIONAL</t>
  </si>
  <si>
    <t>2.1.2</t>
  </si>
  <si>
    <t>3.1</t>
  </si>
  <si>
    <t>3.1.1</t>
  </si>
  <si>
    <t>4.1</t>
  </si>
  <si>
    <t>4.1.1</t>
  </si>
  <si>
    <t xml:space="preserve">Subtotal </t>
  </si>
  <si>
    <t>5.1</t>
  </si>
  <si>
    <t>SERVIÇOS</t>
  </si>
  <si>
    <t>5.1.1</t>
  </si>
  <si>
    <t>6.1</t>
  </si>
  <si>
    <t>6.1.1</t>
  </si>
  <si>
    <t>6.1.2</t>
  </si>
  <si>
    <t>SUBTOTAL PLANILHA</t>
  </si>
  <si>
    <t xml:space="preserve">TOTAL </t>
  </si>
  <si>
    <t>Marg. Lucro</t>
  </si>
  <si>
    <t>Lucro</t>
  </si>
  <si>
    <t>CLIENTE:  LACTALIS</t>
  </si>
  <si>
    <t>ATENDIMENTO: NILSON MIGUEL</t>
  </si>
  <si>
    <t>Subtotal HOTEL - PERÍODO DE 13 A 14 DE JANEIRO</t>
  </si>
  <si>
    <t xml:space="preserve">CÓDIGO DO JOB: L_059 </t>
  </si>
  <si>
    <t>LOCAL: WTORRE</t>
  </si>
  <si>
    <t>EVENTO: ATIVAÇÃO DE LANÇAMENTO DE APP</t>
  </si>
  <si>
    <t>DATA: 28/10</t>
  </si>
  <si>
    <t>PRODUTOR: PATRICK SILVA</t>
  </si>
  <si>
    <t>NOME PLANILHA: L_059 Ativação de Lançamento APP</t>
  </si>
  <si>
    <t>PRÉ EVENTO</t>
  </si>
  <si>
    <t xml:space="preserve">Balões </t>
  </si>
  <si>
    <t>Arcos orgânicos para portas em formato de L nas cores azul e dourado. Medidas aprox. (lateral de 2,5 x largura de 2,3)</t>
  </si>
  <si>
    <t>Promotor</t>
  </si>
  <si>
    <t>EVENTO EM OUTRAS CIDADES</t>
  </si>
  <si>
    <t>Mochila Pirulito com haste de aluminio e area de personalização 35cm diâmetro;</t>
  </si>
  <si>
    <t>Promotores</t>
  </si>
  <si>
    <t>Mochilas Pirulito</t>
  </si>
  <si>
    <t>EVENTO</t>
  </si>
  <si>
    <t>Produtor</t>
  </si>
  <si>
    <t>Produtor que acompanhará a montagem, evento e desmontagem;</t>
  </si>
  <si>
    <t>Cabine de prêmios com papéis personalizados com brindes.
Valor considerando personalização, entrega, instalação e retirada.
Necessidade: Tomada - 0,45kva (consumo).</t>
  </si>
  <si>
    <t>MAQUINAS DE BRINDES</t>
  </si>
  <si>
    <t>Subtotal MAQUINAS DE BRINDES</t>
  </si>
  <si>
    <t>Custo Operacionais</t>
  </si>
  <si>
    <r>
      <t xml:space="preserve">Custos Operacionais 
</t>
    </r>
    <r>
      <rPr>
        <sz val="12"/>
        <color rgb="FFFF0000"/>
        <rFont val="Trebuchet MS"/>
        <family val="2"/>
      </rPr>
      <t>(Valor a ser reembolsado de acordo com apresentação de notas)</t>
    </r>
  </si>
  <si>
    <t>Cabine de Prêmios (Turbilhão)</t>
  </si>
  <si>
    <r>
      <t xml:space="preserve">Promotor para entrega de flyers + brindes em todas as mesas antes da chegada dos colaboradores </t>
    </r>
    <r>
      <rPr>
        <sz val="12"/>
        <color rgb="FFFF0000"/>
        <rFont val="Trebuchet MS"/>
        <family val="2"/>
      </rPr>
      <t>(Valor negociado de R$750,00 p/ R$550,00)</t>
    </r>
    <r>
      <rPr>
        <sz val="12"/>
        <color theme="1"/>
        <rFont val="Trebuchet MS"/>
        <family val="2"/>
      </rPr>
      <t xml:space="preserve">
</t>
    </r>
    <r>
      <rPr>
        <sz val="12"/>
        <color rgb="FFFF0000"/>
        <rFont val="Trebuchet MS"/>
        <family val="2"/>
      </rPr>
      <t>Flyer - Responsábilidade Lactalis.</t>
    </r>
  </si>
  <si>
    <r>
      <t xml:space="preserve">02 Promotores para suporte durante a ativação e entrega de brindes;
</t>
    </r>
    <r>
      <rPr>
        <sz val="12"/>
        <color rgb="FFFF0000"/>
        <rFont val="Trebuchet MS"/>
        <family val="2"/>
      </rPr>
      <t>(Valor negociado)</t>
    </r>
  </si>
  <si>
    <r>
      <t xml:space="preserve">Backdrop, brindes, personalização das maquinas e camisetas;
</t>
    </r>
    <r>
      <rPr>
        <sz val="12"/>
        <color rgb="FFFF0000"/>
        <rFont val="Trebuchet MS"/>
        <family val="2"/>
      </rPr>
      <t>Responsábilidade Lactalis.</t>
    </r>
  </si>
  <si>
    <r>
      <t xml:space="preserve">02 Promotores para suporte durante o evento.
Cidades: Pará de Minas, Araras, Carambeí, Ijuí, Teutônia e Uberlândia.
</t>
    </r>
    <r>
      <rPr>
        <sz val="12"/>
        <color rgb="FFFF0000"/>
        <rFont val="Trebuchet MS"/>
        <family val="2"/>
      </rPr>
      <t>(Valor negociado - esse valor considera o deslocamento)</t>
    </r>
  </si>
  <si>
    <t>3.1.2</t>
  </si>
  <si>
    <r>
      <t xml:space="preserve">Produtor executivo dedicado, responsável pela pré-produção, implementação do projeto e pós produção
</t>
    </r>
    <r>
      <rPr>
        <sz val="12"/>
        <color rgb="FFFF0000"/>
        <rFont val="Trebuchet MS"/>
        <family val="2"/>
      </rPr>
      <t>Valor negociado com a diretoria Oggi.</t>
    </r>
  </si>
  <si>
    <t>Prova de impressão;</t>
  </si>
  <si>
    <t>3.1.3</t>
  </si>
  <si>
    <t>10/10/2025</t>
  </si>
  <si>
    <t>L_059 Ativação de Lançamento APP.V05.xlsm</t>
  </si>
  <si>
    <t>04.897.888/0001-68</t>
  </si>
  <si>
    <t>ART PLUS EDITORACAO E GRAFICA LTDA</t>
  </si>
  <si>
    <t>(11) 4543-1525 / (11) 4543-1545 / (011) 4543-1545</t>
  </si>
  <si>
    <t>R$ 3.100,00</t>
  </si>
  <si>
    <t>( X ) Pix</t>
  </si>
  <si>
    <t>_x000D_
ART PLUS EDITORACAO E GRAFICA LTDA</t>
  </si>
  <si>
    <t>_x000D_
04.897.888/0001-68</t>
  </si>
  <si>
    <t>Patrick</t>
  </si>
  <si>
    <t>24/10/2025</t>
  </si>
  <si>
    <t>52.228.054/0001-02</t>
  </si>
  <si>
    <t>52.228.054 YLA VITORIA COELHO MAGALHAES</t>
  </si>
  <si>
    <t>(11) 9475-3969</t>
  </si>
  <si>
    <t>R$ 1.800,00</t>
  </si>
  <si>
    <t>_x000D_
52.228.054 YLA VITORIA COELHO MAGALHAES</t>
  </si>
  <si>
    <t>_x000D_
52.228.054/0001-02</t>
  </si>
  <si>
    <t>3.1.4</t>
  </si>
  <si>
    <t>Reimpressão das artes;</t>
  </si>
  <si>
    <t>28/10/2025</t>
  </si>
  <si>
    <t>10.955.428/0001-41</t>
  </si>
  <si>
    <t>CP MODELS AGENCY LTDA.</t>
  </si>
  <si>
    <t>(16) 3301-1996 / (16) 3301-1998</t>
  </si>
  <si>
    <t>R$ 640,00</t>
  </si>
  <si>
    <t>02 Promotores para suporte durante o evento.
Cidades: Pará de Minas, Araras, Carambeí, Ijuí, Teutônia e Uberlândia.
(Valor negociado - esse valor considera o deslocamento)</t>
  </si>
  <si>
    <t>6.1.3</t>
  </si>
  <si>
    <t>Compra de Chips</t>
  </si>
  <si>
    <t>04/11/2025</t>
  </si>
  <si>
    <t>067.601.426-75</t>
  </si>
  <si>
    <t xml:space="preserve">CAIO CESAR SANTOS GUERRA </t>
  </si>
  <si>
    <t>R$ 1.280,00</t>
  </si>
  <si>
    <t>14.956.683/0001-60</t>
  </si>
  <si>
    <t>M.C. GAMES DIVERSOES LTDA</t>
  </si>
  <si>
    <t>(11) 3904-8900</t>
  </si>
  <si>
    <t>R$ 3.280,00</t>
  </si>
  <si>
    <t>_x000D_
M.C. GAMES DIVERSOES LTDA</t>
  </si>
  <si>
    <t>_x000D_
14.956.683/0001-60</t>
  </si>
  <si>
    <t>32.174.129/0001-02</t>
  </si>
  <si>
    <t>META MARKETING PROMOCIONAL LTDA</t>
  </si>
  <si>
    <t>(51) 9150-1483</t>
  </si>
  <si>
    <t>R$ 1.400,00</t>
  </si>
  <si>
    <t>_x000D_
10.955.428/0001-41_x000D_
067.601.426-75_x000D_
32.174.129/0001-02</t>
  </si>
  <si>
    <t xml:space="preserve">
CP MODELS AGENCY LTDA.
CAIO CESAR SANTOS GUERRA 
META MARKETING PROMOCIONAL LTDA</t>
  </si>
  <si>
    <t>49.274.951/0001-48</t>
  </si>
  <si>
    <t>49.274.951 MONYQUE GONCALVES PEREIRA</t>
  </si>
  <si>
    <t>(11) 7071-7094</t>
  </si>
  <si>
    <t>R$ 600,00</t>
  </si>
  <si>
    <t>_x000D_
49.274.951 MONYQUE GONCALVES PEREIRA</t>
  </si>
  <si>
    <t>_x000D_
49.274.951/0001-48</t>
  </si>
  <si>
    <t>05/11/2025</t>
  </si>
  <si>
    <t>BRADESCO</t>
  </si>
  <si>
    <t>2029</t>
  </si>
  <si>
    <t>52926-5</t>
  </si>
  <si>
    <t>email</t>
  </si>
  <si>
    <t>10/11/25</t>
  </si>
  <si>
    <t>R$ 400,00</t>
  </si>
  <si>
    <t>PIX monyque.potter@outlook.com</t>
  </si>
  <si>
    <t>02 Promotores para suporte durante a ativação e entrega de brindes;
(Valor negociado)</t>
  </si>
  <si>
    <t>PREMIAÇÃO</t>
  </si>
  <si>
    <t>Alexa</t>
  </si>
  <si>
    <t>Echo Pop (Geração mais recente) | Smart speaker compacto com som envolvente e Alexa | Cor Branca ou Preta</t>
  </si>
  <si>
    <t>Tablet Galaxy</t>
  </si>
  <si>
    <t>TAB A9 EE 8,7" 64GB 4G Grafite</t>
  </si>
  <si>
    <t>Smartwatch Samsung Galaxy Fit3 Display 1.6" Grafite</t>
  </si>
  <si>
    <t>Smatwatch</t>
  </si>
  <si>
    <t>Compra de chips ou recarga de acordo com a região;</t>
  </si>
  <si>
    <t>1.1.3</t>
  </si>
  <si>
    <t>O Frete será inserido na "Planilha Final" após o calculo no site no momento da compra;</t>
  </si>
  <si>
    <t xml:space="preserve">PLANILHA </t>
  </si>
  <si>
    <t>INVESTIMENTO</t>
  </si>
  <si>
    <t xml:space="preserve">PRINCIPAL </t>
  </si>
  <si>
    <t>PRÊMIOS</t>
  </si>
  <si>
    <t>1.1.4</t>
  </si>
  <si>
    <t>VÍDEO</t>
  </si>
  <si>
    <t>STUDIO ROCA</t>
  </si>
  <si>
    <t>VENDA</t>
  </si>
  <si>
    <t xml:space="preserve">CUSTO </t>
  </si>
  <si>
    <t>LUCRO</t>
  </si>
  <si>
    <t>CUSTO TOTAL</t>
  </si>
  <si>
    <t>ART PLUS</t>
  </si>
  <si>
    <t>YLA VICTÓRIA</t>
  </si>
  <si>
    <t>CP MODELS</t>
  </si>
  <si>
    <t>CYNTHIA LEME</t>
  </si>
  <si>
    <t>MONYQUE GONÇALVES</t>
  </si>
  <si>
    <t>MONYQUE</t>
  </si>
  <si>
    <t>M C GAMES</t>
  </si>
  <si>
    <t>META MKT - CAIO CESAR- MONYQUE GONÇAVES- SUMAIA</t>
  </si>
  <si>
    <t>PRINCIPAL</t>
  </si>
  <si>
    <t>SK COPIADORA / CARTÃO ISABELA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</si>
</sst>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0">
    <numFmt numFmtId="8" formatCode="&quot;R$&quot;\ #,##0.00;[Red]\-&quot;R$&quot;\ #,##0.00"/>
    <numFmt numFmtId="44" formatCode="_-&quot;R$&quot;\ * #,##0.00_-;\-&quot;R$&quot;\ * #,##0.00_-;_-&quot;R$&quot;\ * &quot;-&quot;??_-;_-@_-"/>
    <numFmt numFmtId="164" formatCode="00&quot;/&quot;00&quot;/&quot;0000"/>
    <numFmt numFmtId="165" formatCode="_(&quot;R$ &quot;* #,##0.00_);_(&quot;R$ &quot;* \(#,##0.00\);_(&quot;R$ &quot;* &quot;-&quot;??_);_(@_)"/>
    <numFmt numFmtId="166" formatCode="_-[$R$-416]\ * #,##0.00_-;\-[$R$-416]\ * #,##0.00_-;_-[$R$-416]\ * &quot;-&quot;??_-;_-@_-"/>
    <numFmt numFmtId="167" formatCode="_(&quot;R$&quot;* #,##0.00_);_(&quot;R$&quot;* \(#,##0.00\);_(&quot;R$&quot;* &quot;-&quot;??_);_(@_)"/>
    <numFmt numFmtId="168" formatCode="0.000000000%"/>
    <numFmt numFmtId="169" formatCode="_-&quot;R$&quot;* #,##0.00_-;\-&quot;R$&quot;* #,##0.00_-;_-&quot;R$&quot;* &quot;-&quot;??_-;_-@_-"/>
    <numFmt numFmtId="170" formatCode="&quot;R$&quot;\ #,##0.00"/>
    <numFmt numFmtId="171" formatCode="0.0%"/>
  </numFmts>
  <fonts count="67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name val="Arial"/>
      <family val="2"/>
    </font>
    <font>
      <b/>
      <sz val="12"/>
      <name val="Trebuchet MS"/>
      <family val="2"/>
    </font>
    <font>
      <b/>
      <sz val="20"/>
      <name val="Trebuchet MS"/>
      <family val="2"/>
    </font>
    <font>
      <b/>
      <sz val="14"/>
      <name val="Trebuchet MS"/>
      <family val="2"/>
    </font>
    <font>
      <b/>
      <sz val="13"/>
      <name val="Trebuchet MS"/>
      <family val="2"/>
    </font>
    <font>
      <sz val="11"/>
      <name val="Verdana"/>
      <family val="2"/>
    </font>
    <font>
      <b/>
      <sz val="12"/>
      <color indexed="63"/>
      <name val="Trebuchet MS"/>
      <family val="2"/>
    </font>
    <font>
      <b/>
      <sz val="18"/>
      <color theme="1"/>
      <name val="Arial"/>
      <family val="2"/>
    </font>
    <font>
      <b/>
      <sz val="12"/>
      <color theme="1"/>
      <name val="Arial"/>
      <family val="2"/>
    </font>
    <font>
      <sz val="12"/>
      <color theme="0"/>
      <name val="Trebuchet MS"/>
      <family val="2"/>
    </font>
    <font>
      <sz val="11"/>
      <color indexed="8"/>
      <name val="Calibri"/>
      <family val="2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4"/>
      <color theme="1"/>
      <name val="Trebuchet MS"/>
      <family val="2"/>
    </font>
    <font>
      <sz val="8"/>
      <color rgb="FFFFFFFF"/>
      <name val="Arial"/>
      <family val="2"/>
    </font>
    <font>
      <b/>
      <sz val="10"/>
      <color rgb="FFFFFFFF"/>
      <name val="Arial"/>
      <family val="2"/>
    </font>
    <font>
      <sz val="12"/>
      <color rgb="FFFFFFFF"/>
      <name val="Arial"/>
      <family val="2"/>
    </font>
    <font>
      <b/>
      <sz val="18"/>
      <color rgb="FFFFFFFF"/>
      <name val="Arial"/>
      <family val="2"/>
    </font>
    <font>
      <b/>
      <sz val="11"/>
      <color rgb="FFFFFFFF"/>
      <name val="Arial"/>
      <family val="2"/>
    </font>
    <font>
      <sz val="10"/>
      <name val="Verdana"/>
      <family val="2"/>
    </font>
    <font>
      <sz val="12"/>
      <color theme="1"/>
      <name val="Trebuchet MS"/>
      <family val="2"/>
    </font>
    <font>
      <b/>
      <sz val="12"/>
      <color theme="1"/>
      <name val="Trebuchet MS"/>
      <family val="2"/>
    </font>
    <font>
      <b/>
      <sz val="14"/>
      <color theme="0"/>
      <name val="Trebuchet MS"/>
      <family val="2"/>
    </font>
    <font>
      <b/>
      <sz val="12"/>
      <color theme="0"/>
      <name val="Trebuchet MS"/>
      <family val="2"/>
    </font>
    <font>
      <b/>
      <sz val="16"/>
      <color theme="0"/>
      <name val="Trebuchet MS"/>
      <family val="2"/>
    </font>
    <font>
      <b/>
      <sz val="10"/>
      <color theme="0"/>
      <name val="Trebuchet MS"/>
      <family val="2"/>
    </font>
    <font>
      <sz val="8"/>
      <color theme="1"/>
      <name val="Calibri"/>
      <family val="2"/>
      <scheme val="minor"/>
    </font>
    <font>
      <b/>
      <sz val="8"/>
      <name val="Trebuchet MS"/>
      <family val="2"/>
    </font>
    <font>
      <b/>
      <sz val="8"/>
      <color theme="1"/>
      <name val="Trebuchet MS"/>
      <family val="2"/>
    </font>
    <font>
      <sz val="8"/>
      <color theme="1"/>
      <name val="Trebuchet MS"/>
      <family val="2"/>
    </font>
    <font>
      <sz val="12"/>
      <color rgb="FFFF0000"/>
      <name val="Trebuchet MS"/>
      <family val="2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4"/>
      <color theme="1"/>
      <name val="Gadugi"/>
      <family val="2"/>
    </font>
    <font>
      <b/>
      <sz val="20"/>
      <color indexed="63"/>
      <name val="Trebuchet MS"/>
      <family val="2"/>
    </font>
    <font>
      <sz val="20"/>
      <color theme="1"/>
      <name val="Calibri"/>
      <family val="2"/>
      <scheme val="minor"/>
    </font>
    <font>
      <b/>
      <sz val="20"/>
      <color rgb="FFFF0000"/>
      <name val="Trebuchet MS"/>
      <family val="2"/>
    </font>
    <font>
      <b/>
      <sz val="20"/>
      <color rgb="FF00B050"/>
      <name val="Trebuchet MS"/>
      <family val="2"/>
    </font>
    <font>
      <b/>
      <sz val="18"/>
      <name val="Trebuchet MS"/>
      <family val="2"/>
    </font>
    <font>
      <b/>
      <sz val="18"/>
      <color theme="1"/>
      <name val="Trebuchet MS"/>
      <family val="2"/>
    </font>
    <font>
      <sz val="14"/>
      <color theme="1"/>
      <name val="Trebuchet MS"/>
      <family val="2"/>
    </font>
    <font>
      <b/>
      <sz val="16"/>
      <name val="Trebuchet MS"/>
      <family val="2"/>
    </font>
    <font>
      <b/>
      <sz val="16"/>
      <color theme="1"/>
      <name val="Trebuchet MS"/>
      <family val="2"/>
    </font>
    <font>
      <sz val="18"/>
      <color theme="1"/>
      <name val="Calibri"/>
      <family val="2"/>
      <scheme val="minor"/>
    </font>
    <font>
      <b/>
      <sz val="18"/>
      <name val="Calibri"/>
      <family val="2"/>
      <scheme val="minor"/>
    </font>
    <font>
      <b/>
      <sz val="18"/>
      <color rgb="FFFF0000"/>
      <name val="Calibri"/>
      <family val="2"/>
      <scheme val="minor"/>
    </font>
    <font>
      <b/>
      <sz val="18"/>
      <color rgb="FF00B0F0"/>
      <name val="Calibri"/>
      <family val="2"/>
      <scheme val="minor"/>
    </font>
    <font>
      <b/>
      <sz val="18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2"/>
      <color theme="1"/>
      <name val="Gadugi"/>
      <family val="2"/>
    </font>
    <font>
      <b/>
      <sz val="18"/>
      <color indexed="63"/>
      <name val="Trebuchet MS"/>
      <family val="2"/>
    </font>
    <font>
      <b/>
      <sz val="18"/>
      <color rgb="FFFF0000"/>
      <name val="Trebuchet MS"/>
      <family val="2"/>
    </font>
    <font>
      <b/>
      <sz val="18"/>
      <color rgb="FF00B050"/>
      <name val="Trebuchet MS"/>
      <family val="2"/>
    </font>
    <font>
      <sz val="18"/>
      <color rgb="FFFF0000"/>
      <name val="Trebuchet MS"/>
      <family val="2"/>
    </font>
    <font>
      <sz val="18"/>
      <color rgb="FF00B050"/>
      <name val="Trebuchet MS"/>
      <family val="2"/>
    </font>
    <font>
      <sz val="18"/>
      <color rgb="FF00B050"/>
      <name val="Calibri"/>
      <family val="2"/>
      <scheme val="minor"/>
    </font>
    <font>
      <sz val="20"/>
      <color rgb="FFFF0000"/>
      <name val="Trebuchet MS"/>
      <family val="2"/>
    </font>
    <font>
      <sz val="20"/>
      <color rgb="FF00B050"/>
      <name val="Trebuchet MS"/>
      <family val="2"/>
    </font>
    <font>
      <sz val="20"/>
      <color rgb="FF00B050"/>
      <name val="Calibri"/>
      <family val="2"/>
      <scheme val="minor"/>
    </font>
    <font>
      <b/>
      <sz val="20"/>
      <color rgb="FF00B050"/>
      <name val="Calibri"/>
      <family val="2"/>
      <scheme val="minor"/>
    </font>
    <font>
      <b/>
      <sz val="10"/>
      <color theme="1"/>
      <name val="Trebuchet MS"/>
      <family val="2"/>
    </font>
    <font>
      <b/>
      <sz val="16"/>
      <color theme="1"/>
      <name val="Calibri"/>
      <family val="2"/>
      <scheme val="minor"/>
    </font>
  </fonts>
  <fills count="25">
    <fill>
      <patternFill patternType="none"/>
    </fill>
    <fill>
      <patternFill patternType="gray125"/>
    </fill>
    <fill>
      <patternFill patternType="solid">
        <fgColor rgb="FFFFFF99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theme="7" tint="-0.249977111117893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rgb="FFFF964F"/>
        <bgColor indexed="64"/>
      </patternFill>
    </fill>
    <fill>
      <patternFill patternType="solid">
        <fgColor rgb="FF0476D0"/>
      </patternFill>
    </fill>
    <fill>
      <patternFill patternType="solid">
        <fgColor rgb="FFF0F0F0"/>
      </patternFill>
    </fill>
    <fill>
      <patternFill patternType="solid">
        <fgColor theme="3" tint="0.3999450666829432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FDE9D9"/>
        <bgColor indexed="64"/>
      </patternFill>
    </fill>
    <fill>
      <patternFill patternType="solid">
        <fgColor rgb="FFE4DFEC"/>
        <bgColor indexed="64"/>
      </patternFill>
    </fill>
    <fill>
      <patternFill patternType="solid">
        <fgColor theme="3" tint="-0.249977111117893"/>
        <bgColor indexed="64"/>
      </patternFill>
    </fill>
    <fill>
      <patternFill patternType="solid">
        <fgColor theme="3" tint="-0.49998474074526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9" tint="0.79998168889431442"/>
        <bgColor indexed="64"/>
      </patternFill>
    </fill>
  </fills>
  <borders count="93">
    <border>
      <left/>
      <right/>
      <top/>
      <bottom/>
      <diagonal/>
    </border>
    <border>
      <left/>
      <right/>
      <top/>
      <bottom style="hair">
        <color auto="1"/>
      </bottom>
      <diagonal/>
    </border>
    <border>
      <left/>
      <right/>
      <top style="hair">
        <color auto="1"/>
      </top>
      <bottom style="hair">
        <color auto="1"/>
      </bottom>
      <diagonal/>
    </border>
    <border>
      <left style="medium">
        <color indexed="64"/>
      </left>
      <right style="thin">
        <color rgb="FF000000"/>
      </right>
      <top style="medium">
        <color indexed="64"/>
      </top>
      <bottom style="medium">
        <color indexed="64"/>
      </bottom>
      <diagonal/>
    </border>
    <border>
      <left/>
      <right style="thin">
        <color rgb="FF000000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/>
      <top style="thin">
        <color auto="1"/>
      </top>
      <bottom style="hair">
        <color auto="1"/>
      </bottom>
      <diagonal/>
    </border>
    <border>
      <left/>
      <right/>
      <top style="thin">
        <color auto="1"/>
      </top>
      <bottom style="hair">
        <color auto="1"/>
      </bottom>
      <diagonal/>
    </border>
    <border>
      <left/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indexed="64"/>
      </left>
      <right style="thin">
        <color auto="1"/>
      </right>
      <top style="hair">
        <color auto="1"/>
      </top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 style="hair">
        <color indexed="64"/>
      </bottom>
      <diagonal/>
    </border>
    <border>
      <left/>
      <right style="thin">
        <color auto="1"/>
      </right>
      <top style="hair">
        <color auto="1"/>
      </top>
      <bottom style="hair">
        <color indexed="64"/>
      </bottom>
      <diagonal/>
    </border>
    <border>
      <left style="thin">
        <color indexed="64"/>
      </left>
      <right style="thin">
        <color auto="1"/>
      </right>
      <top style="hair">
        <color auto="1"/>
      </top>
      <bottom style="thin">
        <color indexed="64"/>
      </bottom>
      <diagonal/>
    </border>
    <border>
      <left style="thin">
        <color auto="1"/>
      </left>
      <right/>
      <top style="hair">
        <color auto="1"/>
      </top>
      <bottom style="thin">
        <color indexed="64"/>
      </bottom>
      <diagonal/>
    </border>
    <border>
      <left/>
      <right/>
      <top style="hair">
        <color auto="1"/>
      </top>
      <bottom style="thin">
        <color indexed="64"/>
      </bottom>
      <diagonal/>
    </border>
    <border>
      <left/>
      <right style="thin">
        <color indexed="64"/>
      </right>
      <top style="hair">
        <color auto="1"/>
      </top>
      <bottom style="thin">
        <color indexed="64"/>
      </bottom>
      <diagonal/>
    </border>
    <border>
      <left style="thin">
        <color indexed="64"/>
      </left>
      <right style="thin">
        <color auto="1"/>
      </right>
      <top/>
      <bottom style="hair">
        <color indexed="64"/>
      </bottom>
      <diagonal/>
    </border>
    <border>
      <left style="thin">
        <color indexed="64"/>
      </left>
      <right/>
      <top/>
      <bottom style="hair">
        <color indexed="64"/>
      </bottom>
      <diagonal/>
    </border>
    <border>
      <left/>
      <right style="thin">
        <color auto="1"/>
      </right>
      <top/>
      <bottom style="hair">
        <color indexed="64"/>
      </bottom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indexed="64"/>
      </left>
      <right style="thin">
        <color auto="1"/>
      </right>
      <top style="hair">
        <color auto="1"/>
      </top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/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thin">
        <color rgb="FF000000"/>
      </right>
      <top style="medium">
        <color indexed="64"/>
      </top>
      <bottom style="thin">
        <color rgb="FF000000"/>
      </bottom>
      <diagonal/>
    </border>
    <border>
      <left/>
      <right/>
      <top style="thin">
        <color rgb="FFA9A9A9"/>
      </top>
      <bottom/>
      <diagonal/>
    </border>
    <border>
      <left style="thin">
        <color rgb="FFBFD7ED"/>
      </left>
      <right/>
      <top style="thin">
        <color rgb="FFBFD7ED"/>
      </top>
      <bottom/>
      <diagonal/>
    </border>
    <border>
      <left style="thin">
        <color rgb="FFBFD7ED"/>
      </left>
      <right style="thin">
        <color rgb="FFBFD7ED"/>
      </right>
      <top style="thin">
        <color rgb="FFBFD7ED"/>
      </top>
      <bottom/>
      <diagonal/>
    </border>
    <border>
      <left style="thin">
        <color rgb="FFA9A9A9"/>
      </left>
      <right/>
      <top style="thin">
        <color rgb="FFA9A9A9"/>
      </top>
      <bottom/>
      <diagonal/>
    </border>
    <border>
      <left style="thin">
        <color rgb="FFA9A9A9"/>
      </left>
      <right style="thin">
        <color rgb="FFA9A9A9"/>
      </right>
      <top style="thin">
        <color rgb="FFA9A9A9"/>
      </top>
      <bottom/>
      <diagonal/>
    </border>
    <border>
      <left style="thin">
        <color rgb="FFA9A9A9"/>
      </left>
      <right/>
      <top style="thin">
        <color rgb="FFA9A9A9"/>
      </top>
      <bottom style="thin">
        <color rgb="FFA9A9A9"/>
      </bottom>
      <diagonal/>
    </border>
    <border>
      <left style="thin">
        <color rgb="FFA9A9A9"/>
      </left>
      <right style="thin">
        <color rgb="FFA9A9A9"/>
      </right>
      <top style="thin">
        <color rgb="FFA9A9A9"/>
      </top>
      <bottom style="thin">
        <color rgb="FFA9A9A9"/>
      </bottom>
      <diagonal/>
    </border>
    <border>
      <left style="thin">
        <color theme="0" tint="-0.14990691854609822"/>
      </left>
      <right/>
      <top style="thin">
        <color theme="0" tint="-0.14990691854609822"/>
      </top>
      <bottom/>
      <diagonal/>
    </border>
    <border>
      <left style="thin">
        <color theme="0" tint="-0.14990691854609822"/>
      </left>
      <right style="thin">
        <color theme="0" tint="-0.14990691854609822"/>
      </right>
      <top style="thin">
        <color theme="0" tint="-0.14990691854609822"/>
      </top>
      <bottom/>
      <diagonal/>
    </border>
    <border>
      <left/>
      <right/>
      <top style="thin">
        <color theme="0" tint="-0.14990691854609822"/>
      </top>
      <bottom/>
      <diagonal/>
    </border>
    <border>
      <left style="thin">
        <color auto="1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auto="1"/>
      </right>
      <top style="medium">
        <color indexed="64"/>
      </top>
      <bottom style="medium">
        <color indexed="64"/>
      </bottom>
      <diagonal/>
    </border>
    <border>
      <left style="thin">
        <color rgb="FF000000"/>
      </left>
      <right style="thin">
        <color rgb="FF000000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auto="1"/>
      </left>
      <right style="thin">
        <color auto="1"/>
      </right>
      <top style="medium">
        <color auto="1"/>
      </top>
      <bottom/>
      <diagonal/>
    </border>
    <border>
      <left style="thin">
        <color auto="1"/>
      </left>
      <right style="thin">
        <color auto="1"/>
      </right>
      <top style="medium">
        <color auto="1"/>
      </top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thin">
        <color auto="1"/>
      </left>
      <right style="medium">
        <color auto="1"/>
      </right>
      <top style="medium">
        <color auto="1"/>
      </top>
      <bottom/>
      <diagonal/>
    </border>
    <border>
      <left style="thin">
        <color indexed="64"/>
      </left>
      <right/>
      <top/>
      <bottom/>
      <diagonal/>
    </border>
    <border>
      <left style="thin">
        <color theme="0" tint="-0.14990691854609822"/>
      </left>
      <right/>
      <top/>
      <bottom/>
      <diagonal/>
    </border>
    <border>
      <left style="thin">
        <color theme="0" tint="-0.14990691854609822"/>
      </left>
      <right/>
      <top style="thin">
        <color theme="0" tint="-0.14990691854609822"/>
      </top>
      <bottom style="thin">
        <color theme="0" tint="-0.14990691854609822"/>
      </bottom>
      <diagonal/>
    </border>
    <border>
      <left style="thin">
        <color theme="0" tint="-0.14990691854609822"/>
      </left>
      <right style="thin">
        <color theme="0" tint="-0.14990691854609822"/>
      </right>
      <top style="thin">
        <color theme="0" tint="-0.14990691854609822"/>
      </top>
      <bottom style="thin">
        <color theme="0" tint="-0.14990691854609822"/>
      </bottom>
      <diagonal/>
    </border>
    <border>
      <left/>
      <right/>
      <top style="thin">
        <color theme="0" tint="-0.14990691854609822"/>
      </top>
      <bottom style="thin">
        <color theme="0" tint="-0.14990691854609822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/>
      <diagonal/>
    </border>
    <border>
      <left/>
      <right style="medium">
        <color auto="1"/>
      </right>
      <top style="medium">
        <color indexed="64"/>
      </top>
      <bottom style="medium">
        <color indexed="64"/>
      </bottom>
      <diagonal/>
    </border>
    <border>
      <left/>
      <right style="medium">
        <color auto="1"/>
      </right>
      <top style="medium">
        <color indexed="64"/>
      </top>
      <bottom/>
      <diagonal/>
    </border>
    <border>
      <left/>
      <right style="medium">
        <color auto="1"/>
      </right>
      <top/>
      <bottom style="medium">
        <color indexed="64"/>
      </bottom>
      <diagonal/>
    </border>
    <border>
      <left style="medium">
        <color auto="1"/>
      </left>
      <right style="thin">
        <color auto="1"/>
      </right>
      <top/>
      <bottom/>
      <diagonal/>
    </border>
    <border>
      <left/>
      <right style="medium">
        <color auto="1"/>
      </right>
      <top style="medium">
        <color indexed="64"/>
      </top>
      <bottom style="medium">
        <color indexed="64"/>
      </bottom>
      <diagonal/>
    </border>
    <border>
      <left/>
      <right style="medium">
        <color auto="1"/>
      </right>
      <top style="medium">
        <color indexed="64"/>
      </top>
      <bottom/>
      <diagonal/>
    </border>
    <border>
      <left/>
      <right style="medium">
        <color auto="1"/>
      </right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auto="1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auto="1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</borders>
  <cellStyleXfs count="18">
    <xf numFmtId="0" fontId="0" fillId="0" borderId="0"/>
    <xf numFmtId="9" fontId="1" fillId="0" borderId="0" applyFont="0" applyFill="0" applyBorder="0" applyAlignment="0" applyProtection="0"/>
    <xf numFmtId="0" fontId="3" fillId="0" borderId="0"/>
    <xf numFmtId="0" fontId="8" fillId="0" borderId="0"/>
    <xf numFmtId="165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167" fontId="13" fillId="0" borderId="0" applyFont="0" applyFill="0" applyBorder="0" applyAlignment="0" applyProtection="0"/>
    <xf numFmtId="0" fontId="14" fillId="0" borderId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3" fillId="0" borderId="0" applyFont="0" applyFill="0" applyBorder="0" applyAlignment="0" applyProtection="0"/>
    <xf numFmtId="44" fontId="1" fillId="0" borderId="0" applyFont="0" applyFill="0" applyBorder="0" applyAlignment="0" applyProtection="0"/>
    <xf numFmtId="0" fontId="22" fillId="0" borderId="0"/>
    <xf numFmtId="0" fontId="1" fillId="0" borderId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3" fillId="0" borderId="0" applyFont="0" applyFill="0" applyBorder="0" applyAlignment="0" applyProtection="0"/>
    <xf numFmtId="44" fontId="1" fillId="0" borderId="0" applyFont="0" applyFill="0" applyBorder="0" applyAlignment="0" applyProtection="0"/>
  </cellStyleXfs>
  <cellXfs count="420">
    <xf numFmtId="0" fontId="0" fillId="0" borderId="0" xfId="0"/>
    <xf numFmtId="0" fontId="0" fillId="0" borderId="11" xfId="0" applyBorder="1"/>
    <xf numFmtId="0" fontId="0" fillId="0" borderId="12" xfId="0" applyBorder="1"/>
    <xf numFmtId="0" fontId="0" fillId="0" borderId="13" xfId="0" applyBorder="1"/>
    <xf numFmtId="0" fontId="0" fillId="0" borderId="17" xfId="0" applyBorder="1"/>
    <xf numFmtId="0" fontId="0" fillId="0" borderId="18" xfId="0" applyBorder="1"/>
    <xf numFmtId="0" fontId="2" fillId="0" borderId="19" xfId="0" applyFont="1" applyBorder="1"/>
    <xf numFmtId="0" fontId="2" fillId="0" borderId="23" xfId="0" applyFont="1" applyBorder="1"/>
    <xf numFmtId="0" fontId="0" fillId="0" borderId="2" xfId="0" applyBorder="1" applyAlignment="1">
      <alignment horizontal="left"/>
    </xf>
    <xf numFmtId="0" fontId="0" fillId="0" borderId="25" xfId="0" applyBorder="1" applyAlignment="1">
      <alignment horizontal="left"/>
    </xf>
    <xf numFmtId="0" fontId="2" fillId="0" borderId="26" xfId="0" applyFont="1" applyBorder="1"/>
    <xf numFmtId="0" fontId="2" fillId="0" borderId="26" xfId="0" applyFont="1" applyBorder="1" applyAlignment="1">
      <alignment horizontal="center"/>
    </xf>
    <xf numFmtId="0" fontId="0" fillId="0" borderId="14" xfId="0" applyBorder="1"/>
    <xf numFmtId="0" fontId="0" fillId="0" borderId="15" xfId="0" applyBorder="1"/>
    <xf numFmtId="0" fontId="0" fillId="0" borderId="16" xfId="0" applyBorder="1"/>
    <xf numFmtId="0" fontId="2" fillId="0" borderId="30" xfId="0" applyFont="1" applyBorder="1"/>
    <xf numFmtId="0" fontId="2" fillId="0" borderId="2" xfId="0" applyFont="1" applyBorder="1" applyAlignment="1">
      <alignment horizontal="left"/>
    </xf>
    <xf numFmtId="0" fontId="2" fillId="0" borderId="23" xfId="0" applyFont="1" applyBorder="1" applyAlignment="1">
      <alignment horizontal="center"/>
    </xf>
    <xf numFmtId="0" fontId="2" fillId="0" borderId="19" xfId="0" applyFont="1" applyBorder="1" applyAlignment="1">
      <alignment horizontal="center"/>
    </xf>
    <xf numFmtId="0" fontId="2" fillId="0" borderId="34" xfId="0" applyFont="1" applyBorder="1" applyAlignment="1">
      <alignment horizontal="center"/>
    </xf>
    <xf numFmtId="0" fontId="0" fillId="0" borderId="26" xfId="0" applyBorder="1"/>
    <xf numFmtId="0" fontId="0" fillId="0" borderId="27" xfId="0" applyBorder="1"/>
    <xf numFmtId="0" fontId="0" fillId="0" borderId="29" xfId="0" applyBorder="1"/>
    <xf numFmtId="0" fontId="0" fillId="0" borderId="0" xfId="0" applyAlignment="1">
      <alignment horizontal="right"/>
    </xf>
    <xf numFmtId="0" fontId="12" fillId="4" borderId="35" xfId="0" applyFont="1" applyFill="1" applyBorder="1"/>
    <xf numFmtId="0" fontId="12" fillId="4" borderId="36" xfId="0" applyFont="1" applyFill="1" applyBorder="1"/>
    <xf numFmtId="0" fontId="0" fillId="0" borderId="0" xfId="1" applyNumberFormat="1" applyFont="1"/>
    <xf numFmtId="0" fontId="15" fillId="0" borderId="0" xfId="0" applyFont="1"/>
    <xf numFmtId="165" fontId="9" fillId="6" borderId="38" xfId="4" applyFont="1" applyFill="1" applyBorder="1" applyAlignment="1">
      <alignment horizontal="center" vertical="center" wrapText="1"/>
    </xf>
    <xf numFmtId="168" fontId="2" fillId="0" borderId="5" xfId="1" applyNumberFormat="1" applyFont="1" applyBorder="1"/>
    <xf numFmtId="164" fontId="6" fillId="0" borderId="0" xfId="2" applyNumberFormat="1" applyFont="1" applyAlignment="1">
      <alignment horizontal="left" vertical="center"/>
    </xf>
    <xf numFmtId="166" fontId="9" fillId="0" borderId="40" xfId="4" applyNumberFormat="1" applyFont="1" applyBorder="1" applyAlignment="1">
      <alignment horizontal="center" vertical="center" wrapText="1"/>
    </xf>
    <xf numFmtId="0" fontId="17" fillId="8" borderId="41" xfId="0" applyFont="1" applyFill="1" applyBorder="1" applyAlignment="1">
      <alignment vertical="center"/>
    </xf>
    <xf numFmtId="0" fontId="19" fillId="8" borderId="41" xfId="0" applyFont="1" applyFill="1" applyBorder="1" applyAlignment="1">
      <alignment horizontal="center" vertical="center"/>
    </xf>
    <xf numFmtId="22" fontId="17" fillId="8" borderId="41" xfId="0" applyNumberFormat="1" applyFont="1" applyFill="1" applyBorder="1" applyAlignment="1">
      <alignment horizontal="center" vertical="center"/>
    </xf>
    <xf numFmtId="0" fontId="21" fillId="8" borderId="42" xfId="0" applyFont="1" applyFill="1" applyBorder="1" applyAlignment="1">
      <alignment horizontal="center" vertical="center" wrapText="1"/>
    </xf>
    <xf numFmtId="0" fontId="21" fillId="8" borderId="43" xfId="0" applyFont="1" applyFill="1" applyBorder="1" applyAlignment="1">
      <alignment horizontal="center" vertical="center" wrapText="1"/>
    </xf>
    <xf numFmtId="0" fontId="0" fillId="9" borderId="44" xfId="0" applyFill="1" applyBorder="1" applyAlignment="1">
      <alignment vertical="center"/>
    </xf>
    <xf numFmtId="0" fontId="0" fillId="9" borderId="44" xfId="0" applyFill="1" applyBorder="1" applyAlignment="1">
      <alignment horizontal="right" vertical="center"/>
    </xf>
    <xf numFmtId="4" fontId="0" fillId="9" borderId="44" xfId="0" applyNumberFormat="1" applyFill="1" applyBorder="1" applyAlignment="1">
      <alignment horizontal="right" vertical="center"/>
    </xf>
    <xf numFmtId="9" fontId="0" fillId="9" borderId="44" xfId="0" applyNumberFormat="1" applyFill="1" applyBorder="1" applyAlignment="1">
      <alignment horizontal="right" vertical="center"/>
    </xf>
    <xf numFmtId="0" fontId="0" fillId="9" borderId="45" xfId="0" applyFill="1" applyBorder="1" applyAlignment="1">
      <alignment vertical="center"/>
    </xf>
    <xf numFmtId="0" fontId="0" fillId="0" borderId="44" xfId="0" applyBorder="1" applyAlignment="1">
      <alignment vertical="center"/>
    </xf>
    <xf numFmtId="0" fontId="0" fillId="0" borderId="44" xfId="0" applyBorder="1" applyAlignment="1">
      <alignment horizontal="right" vertical="center"/>
    </xf>
    <xf numFmtId="4" fontId="0" fillId="0" borderId="44" xfId="0" applyNumberFormat="1" applyBorder="1" applyAlignment="1">
      <alignment horizontal="right" vertical="center"/>
    </xf>
    <xf numFmtId="9" fontId="0" fillId="0" borderId="44" xfId="0" applyNumberFormat="1" applyBorder="1" applyAlignment="1">
      <alignment horizontal="right" vertical="center"/>
    </xf>
    <xf numFmtId="0" fontId="0" fillId="0" borderId="45" xfId="0" applyBorder="1" applyAlignment="1">
      <alignment vertical="center"/>
    </xf>
    <xf numFmtId="0" fontId="0" fillId="0" borderId="45" xfId="0" applyBorder="1" applyAlignment="1">
      <alignment vertical="center" wrapText="1"/>
    </xf>
    <xf numFmtId="0" fontId="0" fillId="9" borderId="45" xfId="0" applyFill="1" applyBorder="1" applyAlignment="1">
      <alignment vertical="center" wrapText="1"/>
    </xf>
    <xf numFmtId="0" fontId="0" fillId="9" borderId="46" xfId="0" applyFill="1" applyBorder="1" applyAlignment="1">
      <alignment vertical="center"/>
    </xf>
    <xf numFmtId="0" fontId="0" fillId="9" borderId="46" xfId="0" applyFill="1" applyBorder="1" applyAlignment="1">
      <alignment horizontal="right" vertical="center"/>
    </xf>
    <xf numFmtId="4" fontId="0" fillId="9" borderId="46" xfId="0" applyNumberFormat="1" applyFill="1" applyBorder="1" applyAlignment="1">
      <alignment horizontal="right" vertical="center"/>
    </xf>
    <xf numFmtId="9" fontId="0" fillId="9" borderId="46" xfId="0" applyNumberFormat="1" applyFill="1" applyBorder="1" applyAlignment="1">
      <alignment horizontal="right" vertical="center"/>
    </xf>
    <xf numFmtId="0" fontId="0" fillId="9" borderId="47" xfId="0" applyFill="1" applyBorder="1" applyAlignment="1">
      <alignment vertical="center"/>
    </xf>
    <xf numFmtId="164" fontId="6" fillId="0" borderId="20" xfId="2" applyNumberFormat="1" applyFont="1" applyBorder="1" applyAlignment="1" applyProtection="1">
      <alignment horizontal="left" vertical="center"/>
      <protection locked="0"/>
    </xf>
    <xf numFmtId="164" fontId="6" fillId="0" borderId="22" xfId="2" applyNumberFormat="1" applyFont="1" applyBorder="1" applyAlignment="1" applyProtection="1">
      <alignment horizontal="left" vertical="center"/>
      <protection locked="0"/>
    </xf>
    <xf numFmtId="164" fontId="6" fillId="0" borderId="31" xfId="2" applyNumberFormat="1" applyFont="1" applyBorder="1" applyAlignment="1" applyProtection="1">
      <alignment horizontal="left" vertical="center"/>
      <protection locked="0"/>
    </xf>
    <xf numFmtId="164" fontId="6" fillId="0" borderId="32" xfId="2" applyNumberFormat="1" applyFont="1" applyBorder="1" applyAlignment="1" applyProtection="1">
      <alignment horizontal="left" vertical="center"/>
      <protection locked="0"/>
    </xf>
    <xf numFmtId="0" fontId="7" fillId="0" borderId="25" xfId="2" applyFont="1" applyBorder="1" applyAlignment="1" applyProtection="1">
      <alignment horizontal="left" vertical="center"/>
      <protection locked="0"/>
    </xf>
    <xf numFmtId="0" fontId="6" fillId="0" borderId="25" xfId="2" applyFont="1" applyBorder="1" applyAlignment="1" applyProtection="1">
      <alignment horizontal="left" vertical="center"/>
      <protection locked="0"/>
    </xf>
    <xf numFmtId="14" fontId="7" fillId="0" borderId="32" xfId="2" applyNumberFormat="1" applyFont="1" applyBorder="1" applyAlignment="1" applyProtection="1">
      <alignment horizontal="left" vertical="center"/>
      <protection locked="0"/>
    </xf>
    <xf numFmtId="164" fontId="6" fillId="0" borderId="39" xfId="2" applyNumberFormat="1" applyFont="1" applyBorder="1" applyAlignment="1" applyProtection="1">
      <alignment horizontal="left" vertical="center"/>
      <protection locked="0"/>
    </xf>
    <xf numFmtId="0" fontId="6" fillId="0" borderId="29" xfId="2" applyFont="1" applyBorder="1" applyAlignment="1" applyProtection="1">
      <alignment horizontal="left" vertical="center"/>
      <protection locked="0"/>
    </xf>
    <xf numFmtId="165" fontId="9" fillId="6" borderId="52" xfId="4" applyFont="1" applyFill="1" applyBorder="1" applyAlignment="1">
      <alignment horizontal="center" vertical="center" wrapText="1"/>
    </xf>
    <xf numFmtId="165" fontId="9" fillId="6" borderId="51" xfId="4" applyFont="1" applyFill="1" applyBorder="1" applyAlignment="1">
      <alignment horizontal="center" vertical="center" wrapText="1"/>
    </xf>
    <xf numFmtId="37" fontId="9" fillId="6" borderId="3" xfId="3" applyNumberFormat="1" applyFont="1" applyFill="1" applyBorder="1" applyAlignment="1">
      <alignment horizontal="center" vertical="center"/>
    </xf>
    <xf numFmtId="40" fontId="9" fillId="6" borderId="53" xfId="4" applyNumberFormat="1" applyFont="1" applyFill="1" applyBorder="1" applyAlignment="1">
      <alignment horizontal="center" vertical="center"/>
    </xf>
    <xf numFmtId="10" fontId="24" fillId="6" borderId="57" xfId="1" applyNumberFormat="1" applyFont="1" applyFill="1" applyBorder="1" applyAlignment="1">
      <alignment horizontal="center" vertical="center" wrapText="1"/>
    </xf>
    <xf numFmtId="0" fontId="4" fillId="6" borderId="56" xfId="3" applyFont="1" applyFill="1" applyBorder="1" applyAlignment="1">
      <alignment horizontal="left" vertical="center"/>
    </xf>
    <xf numFmtId="0" fontId="4" fillId="6" borderId="57" xfId="3" applyFont="1" applyFill="1" applyBorder="1" applyAlignment="1">
      <alignment horizontal="center" vertical="center"/>
    </xf>
    <xf numFmtId="0" fontId="24" fillId="6" borderId="57" xfId="3" applyFont="1" applyFill="1" applyBorder="1" applyAlignment="1">
      <alignment horizontal="center" vertical="center"/>
    </xf>
    <xf numFmtId="169" fontId="24" fillId="6" borderId="57" xfId="3" applyNumberFormat="1" applyFont="1" applyFill="1" applyBorder="1" applyAlignment="1">
      <alignment horizontal="center" vertical="center" wrapText="1"/>
    </xf>
    <xf numFmtId="0" fontId="24" fillId="6" borderId="58" xfId="3" applyFont="1" applyFill="1" applyBorder="1" applyAlignment="1">
      <alignment horizontal="center" vertical="center" wrapText="1"/>
    </xf>
    <xf numFmtId="0" fontId="24" fillId="6" borderId="59" xfId="3" applyFont="1" applyFill="1" applyBorder="1" applyAlignment="1">
      <alignment horizontal="center" vertical="center" wrapText="1"/>
    </xf>
    <xf numFmtId="37" fontId="9" fillId="6" borderId="56" xfId="3" applyNumberFormat="1" applyFont="1" applyFill="1" applyBorder="1" applyAlignment="1">
      <alignment horizontal="center" vertical="center"/>
    </xf>
    <xf numFmtId="37" fontId="9" fillId="6" borderId="57" xfId="3" applyNumberFormat="1" applyFont="1" applyFill="1" applyBorder="1" applyAlignment="1">
      <alignment horizontal="center" vertical="center"/>
    </xf>
    <xf numFmtId="40" fontId="9" fillId="6" borderId="57" xfId="4" applyNumberFormat="1" applyFont="1" applyFill="1" applyBorder="1" applyAlignment="1">
      <alignment horizontal="center" vertical="center"/>
    </xf>
    <xf numFmtId="165" fontId="9" fillId="6" borderId="57" xfId="4" applyFont="1" applyFill="1" applyBorder="1" applyAlignment="1">
      <alignment horizontal="right" vertical="center"/>
    </xf>
    <xf numFmtId="40" fontId="9" fillId="6" borderId="57" xfId="4" applyNumberFormat="1" applyFont="1" applyFill="1" applyBorder="1" applyAlignment="1">
      <alignment horizontal="center" vertical="center" wrapText="1"/>
    </xf>
    <xf numFmtId="10" fontId="9" fillId="6" borderId="57" xfId="5" applyNumberFormat="1" applyFont="1" applyFill="1" applyBorder="1" applyAlignment="1">
      <alignment horizontal="center" vertical="center" wrapText="1"/>
    </xf>
    <xf numFmtId="165" fontId="9" fillId="6" borderId="57" xfId="4" applyFont="1" applyFill="1" applyBorder="1" applyAlignment="1">
      <alignment horizontal="center" vertical="center" wrapText="1"/>
    </xf>
    <xf numFmtId="165" fontId="9" fillId="6" borderId="59" xfId="4" applyFont="1" applyFill="1" applyBorder="1" applyAlignment="1">
      <alignment horizontal="center" vertical="center" wrapText="1"/>
    </xf>
    <xf numFmtId="44" fontId="23" fillId="0" borderId="66" xfId="8" applyFont="1" applyBorder="1" applyAlignment="1">
      <alignment vertical="center"/>
    </xf>
    <xf numFmtId="0" fontId="23" fillId="0" borderId="66" xfId="0" applyFont="1" applyBorder="1" applyAlignment="1">
      <alignment horizontal="left" vertical="center" wrapText="1"/>
    </xf>
    <xf numFmtId="44" fontId="23" fillId="13" borderId="7" xfId="8" applyFont="1" applyFill="1" applyBorder="1" applyAlignment="1">
      <alignment vertical="center"/>
    </xf>
    <xf numFmtId="9" fontId="23" fillId="14" borderId="7" xfId="1" applyFont="1" applyFill="1" applyBorder="1" applyAlignment="1">
      <alignment vertical="center"/>
    </xf>
    <xf numFmtId="44" fontId="23" fillId="14" borderId="7" xfId="8" applyFont="1" applyFill="1" applyBorder="1" applyAlignment="1">
      <alignment vertical="center"/>
    </xf>
    <xf numFmtId="44" fontId="23" fillId="14" borderId="66" xfId="8" applyFont="1" applyFill="1" applyBorder="1" applyAlignment="1">
      <alignment vertical="center"/>
    </xf>
    <xf numFmtId="44" fontId="23" fillId="15" borderId="7" xfId="8" applyFont="1" applyFill="1" applyBorder="1" applyAlignment="1">
      <alignment vertical="center"/>
    </xf>
    <xf numFmtId="0" fontId="23" fillId="0" borderId="68" xfId="0" applyFont="1" applyBorder="1" applyAlignment="1">
      <alignment horizontal="left" vertical="center" wrapText="1"/>
    </xf>
    <xf numFmtId="44" fontId="23" fillId="0" borderId="68" xfId="8" applyFont="1" applyBorder="1" applyAlignment="1">
      <alignment vertical="center"/>
    </xf>
    <xf numFmtId="44" fontId="23" fillId="13" borderId="65" xfId="8" applyFont="1" applyFill="1" applyBorder="1" applyAlignment="1">
      <alignment vertical="center"/>
    </xf>
    <xf numFmtId="44" fontId="23" fillId="15" borderId="65" xfId="8" applyFont="1" applyFill="1" applyBorder="1" applyAlignment="1">
      <alignment vertical="center"/>
    </xf>
    <xf numFmtId="9" fontId="23" fillId="14" borderId="65" xfId="1" applyFont="1" applyFill="1" applyBorder="1" applyAlignment="1">
      <alignment vertical="center"/>
    </xf>
    <xf numFmtId="44" fontId="23" fillId="14" borderId="65" xfId="8" applyFont="1" applyFill="1" applyBorder="1" applyAlignment="1">
      <alignment vertical="center"/>
    </xf>
    <xf numFmtId="44" fontId="23" fillId="0" borderId="55" xfId="8" applyFont="1" applyBorder="1" applyAlignment="1">
      <alignment vertical="center"/>
    </xf>
    <xf numFmtId="44" fontId="23" fillId="0" borderId="76" xfId="8" applyFont="1" applyBorder="1" applyAlignment="1">
      <alignment vertical="center"/>
    </xf>
    <xf numFmtId="0" fontId="2" fillId="12" borderId="10" xfId="0" applyFont="1" applyFill="1" applyBorder="1" applyAlignment="1">
      <alignment horizontal="center" vertical="center"/>
    </xf>
    <xf numFmtId="10" fontId="23" fillId="15" borderId="10" xfId="0" applyNumberFormat="1" applyFont="1" applyFill="1" applyBorder="1" applyAlignment="1">
      <alignment horizontal="center" vertical="center"/>
    </xf>
    <xf numFmtId="44" fontId="23" fillId="13" borderId="66" xfId="8" applyFont="1" applyFill="1" applyBorder="1" applyAlignment="1">
      <alignment vertical="center"/>
    </xf>
    <xf numFmtId="44" fontId="23" fillId="14" borderId="76" xfId="8" applyFont="1" applyFill="1" applyBorder="1" applyAlignment="1">
      <alignment vertical="center"/>
    </xf>
    <xf numFmtId="44" fontId="16" fillId="14" borderId="77" xfId="8" applyFont="1" applyFill="1" applyBorder="1" applyAlignment="1">
      <alignment vertical="center"/>
    </xf>
    <xf numFmtId="44" fontId="23" fillId="14" borderId="55" xfId="8" applyFont="1" applyFill="1" applyBorder="1" applyAlignment="1">
      <alignment vertical="center"/>
    </xf>
    <xf numFmtId="0" fontId="24" fillId="12" borderId="58" xfId="0" applyFont="1" applyFill="1" applyBorder="1" applyAlignment="1">
      <alignment horizontal="center" vertical="center"/>
    </xf>
    <xf numFmtId="0" fontId="24" fillId="12" borderId="57" xfId="0" applyFont="1" applyFill="1" applyBorder="1" applyAlignment="1">
      <alignment horizontal="center" vertical="center"/>
    </xf>
    <xf numFmtId="44" fontId="25" fillId="10" borderId="15" xfId="0" applyNumberFormat="1" applyFont="1" applyFill="1" applyBorder="1" applyAlignment="1">
      <alignment horizontal="right"/>
    </xf>
    <xf numFmtId="170" fontId="25" fillId="10" borderId="15" xfId="0" applyNumberFormat="1" applyFont="1" applyFill="1" applyBorder="1" applyAlignment="1">
      <alignment horizontal="right"/>
    </xf>
    <xf numFmtId="44" fontId="16" fillId="15" borderId="15" xfId="0" applyNumberFormat="1" applyFont="1" applyFill="1" applyBorder="1"/>
    <xf numFmtId="0" fontId="0" fillId="14" borderId="15" xfId="0" applyFill="1" applyBorder="1"/>
    <xf numFmtId="44" fontId="16" fillId="14" borderId="15" xfId="0" applyNumberFormat="1" applyFont="1" applyFill="1" applyBorder="1"/>
    <xf numFmtId="0" fontId="23" fillId="0" borderId="68" xfId="0" applyFont="1" applyBorder="1" applyAlignment="1">
      <alignment horizontal="center" vertical="center"/>
    </xf>
    <xf numFmtId="0" fontId="23" fillId="0" borderId="66" xfId="0" applyFont="1" applyBorder="1" applyAlignment="1">
      <alignment horizontal="center" vertical="center"/>
    </xf>
    <xf numFmtId="44" fontId="23" fillId="0" borderId="69" xfId="8" applyFont="1" applyBorder="1" applyAlignment="1">
      <alignment vertical="center"/>
    </xf>
    <xf numFmtId="170" fontId="24" fillId="12" borderId="58" xfId="8" applyNumberFormat="1" applyFont="1" applyFill="1" applyBorder="1" applyAlignment="1">
      <alignment horizontal="center" vertical="center"/>
    </xf>
    <xf numFmtId="170" fontId="24" fillId="12" borderId="57" xfId="8" applyNumberFormat="1" applyFont="1" applyFill="1" applyBorder="1" applyAlignment="1">
      <alignment horizontal="center" vertical="center"/>
    </xf>
    <xf numFmtId="10" fontId="24" fillId="12" borderId="10" xfId="0" applyNumberFormat="1" applyFont="1" applyFill="1" applyBorder="1" applyAlignment="1">
      <alignment horizontal="center" vertical="center"/>
    </xf>
    <xf numFmtId="0" fontId="27" fillId="17" borderId="6" xfId="0" applyFont="1" applyFill="1" applyBorder="1"/>
    <xf numFmtId="0" fontId="27" fillId="17" borderId="37" xfId="0" applyFont="1" applyFill="1" applyBorder="1"/>
    <xf numFmtId="44" fontId="27" fillId="17" borderId="37" xfId="0" applyNumberFormat="1" applyFont="1" applyFill="1" applyBorder="1"/>
    <xf numFmtId="0" fontId="29" fillId="0" borderId="0" xfId="0" applyFont="1"/>
    <xf numFmtId="0" fontId="30" fillId="0" borderId="0" xfId="2" applyFont="1" applyAlignment="1">
      <alignment horizontal="left" vertical="center" wrapText="1"/>
    </xf>
    <xf numFmtId="0" fontId="31" fillId="5" borderId="0" xfId="0" applyFont="1" applyFill="1"/>
    <xf numFmtId="0" fontId="32" fillId="0" borderId="48" xfId="0" applyFont="1" applyBorder="1" applyAlignment="1">
      <alignment horizontal="left" vertical="center"/>
    </xf>
    <xf numFmtId="0" fontId="32" fillId="0" borderId="50" xfId="0" applyFont="1" applyBorder="1" applyAlignment="1">
      <alignment horizontal="left" vertical="center"/>
    </xf>
    <xf numFmtId="0" fontId="32" fillId="0" borderId="48" xfId="0" applyFont="1" applyBorder="1" applyAlignment="1">
      <alignment horizontal="left" vertical="center" wrapText="1"/>
    </xf>
    <xf numFmtId="0" fontId="32" fillId="0" borderId="61" xfId="0" applyFont="1" applyBorder="1" applyAlignment="1">
      <alignment horizontal="left" vertical="center" wrapText="1"/>
    </xf>
    <xf numFmtId="0" fontId="32" fillId="0" borderId="0" xfId="0" applyFont="1" applyAlignment="1">
      <alignment horizontal="left" vertical="center" wrapText="1"/>
    </xf>
    <xf numFmtId="0" fontId="32" fillId="0" borderId="50" xfId="0" applyFont="1" applyBorder="1" applyAlignment="1">
      <alignment horizontal="left" vertical="center" wrapText="1"/>
    </xf>
    <xf numFmtId="1" fontId="23" fillId="13" borderId="70" xfId="0" applyNumberFormat="1" applyFont="1" applyFill="1" applyBorder="1" applyAlignment="1">
      <alignment horizontal="center" vertical="center"/>
    </xf>
    <xf numFmtId="1" fontId="23" fillId="13" borderId="66" xfId="0" applyNumberFormat="1" applyFont="1" applyFill="1" applyBorder="1" applyAlignment="1">
      <alignment horizontal="center" vertical="center"/>
    </xf>
    <xf numFmtId="1" fontId="23" fillId="13" borderId="72" xfId="0" applyNumberFormat="1" applyFont="1" applyFill="1" applyBorder="1" applyAlignment="1">
      <alignment horizontal="center" vertical="center"/>
    </xf>
    <xf numFmtId="1" fontId="23" fillId="13" borderId="65" xfId="0" applyNumberFormat="1" applyFont="1" applyFill="1" applyBorder="1" applyAlignment="1">
      <alignment horizontal="center" vertical="center"/>
    </xf>
    <xf numFmtId="1" fontId="23" fillId="13" borderId="71" xfId="0" applyNumberFormat="1" applyFont="1" applyFill="1" applyBorder="1" applyAlignment="1">
      <alignment horizontal="center" vertical="center"/>
    </xf>
    <xf numFmtId="1" fontId="23" fillId="13" borderId="7" xfId="0" applyNumberFormat="1" applyFont="1" applyFill="1" applyBorder="1" applyAlignment="1">
      <alignment horizontal="center" vertical="center"/>
    </xf>
    <xf numFmtId="44" fontId="28" fillId="17" borderId="12" xfId="8" applyFont="1" applyFill="1" applyBorder="1" applyAlignment="1">
      <alignment horizontal="center"/>
    </xf>
    <xf numFmtId="44" fontId="16" fillId="14" borderId="18" xfId="8" applyFont="1" applyFill="1" applyBorder="1"/>
    <xf numFmtId="44" fontId="23" fillId="0" borderId="78" xfId="8" applyFont="1" applyBorder="1" applyAlignment="1">
      <alignment vertical="center"/>
    </xf>
    <xf numFmtId="44" fontId="23" fillId="0" borderId="66" xfId="8" applyFont="1" applyFill="1" applyBorder="1" applyAlignment="1">
      <alignment vertical="center"/>
    </xf>
    <xf numFmtId="0" fontId="23" fillId="11" borderId="66" xfId="0" applyFont="1" applyFill="1" applyBorder="1" applyAlignment="1">
      <alignment horizontal="center" vertical="center"/>
    </xf>
    <xf numFmtId="0" fontId="24" fillId="12" borderId="80" xfId="0" applyFon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170" fontId="25" fillId="10" borderId="81" xfId="0" applyNumberFormat="1" applyFont="1" applyFill="1" applyBorder="1" applyAlignment="1">
      <alignment horizontal="right"/>
    </xf>
    <xf numFmtId="1" fontId="23" fillId="13" borderId="17" xfId="0" applyNumberFormat="1" applyFont="1" applyFill="1" applyBorder="1" applyAlignment="1">
      <alignment horizontal="center" vertical="center"/>
    </xf>
    <xf numFmtId="44" fontId="23" fillId="13" borderId="60" xfId="8" applyFont="1" applyFill="1" applyBorder="1" applyAlignment="1">
      <alignment vertical="center"/>
    </xf>
    <xf numFmtId="44" fontId="23" fillId="15" borderId="60" xfId="8" applyFont="1" applyFill="1" applyBorder="1" applyAlignment="1">
      <alignment vertical="center"/>
    </xf>
    <xf numFmtId="9" fontId="23" fillId="14" borderId="60" xfId="1" applyFont="1" applyFill="1" applyBorder="1" applyAlignment="1">
      <alignment vertical="center"/>
    </xf>
    <xf numFmtId="44" fontId="23" fillId="14" borderId="60" xfId="8" applyFont="1" applyFill="1" applyBorder="1" applyAlignment="1">
      <alignment vertical="center"/>
    </xf>
    <xf numFmtId="44" fontId="23" fillId="14" borderId="78" xfId="8" applyFont="1" applyFill="1" applyBorder="1" applyAlignment="1">
      <alignment vertical="center"/>
    </xf>
    <xf numFmtId="9" fontId="27" fillId="17" borderId="15" xfId="1" applyFont="1" applyFill="1" applyBorder="1"/>
    <xf numFmtId="1" fontId="23" fillId="13" borderId="60" xfId="0" applyNumberFormat="1" applyFont="1" applyFill="1" applyBorder="1" applyAlignment="1">
      <alignment horizontal="center" vertical="center"/>
    </xf>
    <xf numFmtId="0" fontId="29" fillId="0" borderId="61" xfId="0" applyFont="1" applyBorder="1" applyAlignment="1">
      <alignment horizontal="left" vertical="center" wrapText="1"/>
    </xf>
    <xf numFmtId="0" fontId="29" fillId="0" borderId="0" xfId="0" applyFont="1" applyAlignment="1">
      <alignment horizontal="left" vertical="center" wrapText="1"/>
    </xf>
    <xf numFmtId="171" fontId="24" fillId="6" borderId="56" xfId="1" applyNumberFormat="1" applyFont="1" applyFill="1" applyBorder="1" applyAlignment="1">
      <alignment horizontal="center" vertical="center" wrapText="1"/>
    </xf>
    <xf numFmtId="170" fontId="26" fillId="12" borderId="80" xfId="8" applyNumberFormat="1" applyFont="1" applyFill="1" applyBorder="1" applyAlignment="1">
      <alignment horizontal="center" vertical="center"/>
    </xf>
    <xf numFmtId="0" fontId="23" fillId="0" borderId="48" xfId="0" applyFont="1" applyBorder="1" applyAlignment="1">
      <alignment horizontal="left" vertical="center" wrapText="1"/>
    </xf>
    <xf numFmtId="0" fontId="23" fillId="0" borderId="62" xfId="0" applyFont="1" applyBorder="1" applyAlignment="1">
      <alignment horizontal="left" vertical="center" wrapText="1"/>
    </xf>
    <xf numFmtId="0" fontId="23" fillId="0" borderId="61" xfId="0" applyFont="1" applyBorder="1" applyAlignment="1">
      <alignment horizontal="left" vertical="center" wrapText="1"/>
    </xf>
    <xf numFmtId="44" fontId="28" fillId="17" borderId="0" xfId="8" applyFont="1" applyFill="1" applyBorder="1" applyAlignment="1">
      <alignment horizontal="center"/>
    </xf>
    <xf numFmtId="0" fontId="27" fillId="17" borderId="37" xfId="0" applyFont="1" applyFill="1" applyBorder="1" applyAlignment="1">
      <alignment horizontal="center" vertical="center"/>
    </xf>
    <xf numFmtId="0" fontId="23" fillId="0" borderId="69" xfId="0" applyFont="1" applyBorder="1" applyAlignment="1">
      <alignment horizontal="left" vertical="center" wrapText="1"/>
    </xf>
    <xf numFmtId="0" fontId="23" fillId="0" borderId="69" xfId="0" applyFont="1" applyBorder="1" applyAlignment="1">
      <alignment horizontal="center" vertical="center"/>
    </xf>
    <xf numFmtId="0" fontId="23" fillId="0" borderId="82" xfId="0" applyFont="1" applyBorder="1" applyAlignment="1">
      <alignment horizontal="left" vertical="center" wrapText="1"/>
    </xf>
    <xf numFmtId="0" fontId="23" fillId="0" borderId="70" xfId="0" applyFont="1" applyBorder="1" applyAlignment="1">
      <alignment horizontal="left" vertical="center" wrapText="1"/>
    </xf>
    <xf numFmtId="164" fontId="16" fillId="0" borderId="31" xfId="2" applyNumberFormat="1" applyFont="1" applyBorder="1" applyAlignment="1" applyProtection="1">
      <alignment horizontal="left" vertical="center"/>
      <protection locked="0"/>
    </xf>
    <xf numFmtId="0" fontId="23" fillId="0" borderId="0" xfId="0" applyFont="1" applyAlignment="1">
      <alignment horizontal="left" vertical="center" wrapText="1"/>
    </xf>
    <xf numFmtId="0" fontId="23" fillId="0" borderId="64" xfId="0" applyFont="1" applyBorder="1" applyAlignment="1">
      <alignment horizontal="left" vertical="center" wrapText="1"/>
    </xf>
    <xf numFmtId="170" fontId="25" fillId="10" borderId="0" xfId="0" applyNumberFormat="1" applyFont="1" applyFill="1" applyAlignment="1">
      <alignment horizontal="right"/>
    </xf>
    <xf numFmtId="0" fontId="23" fillId="0" borderId="50" xfId="0" applyFont="1" applyBorder="1" applyAlignment="1">
      <alignment horizontal="left" vertical="center" wrapText="1"/>
    </xf>
    <xf numFmtId="170" fontId="25" fillId="10" borderId="18" xfId="0" applyNumberFormat="1" applyFont="1" applyFill="1" applyBorder="1" applyAlignment="1">
      <alignment horizontal="right"/>
    </xf>
    <xf numFmtId="44" fontId="27" fillId="17" borderId="83" xfId="0" applyNumberFormat="1" applyFont="1" applyFill="1" applyBorder="1"/>
    <xf numFmtId="44" fontId="25" fillId="10" borderId="86" xfId="8" applyFont="1" applyFill="1" applyBorder="1" applyAlignment="1">
      <alignment horizontal="right"/>
    </xf>
    <xf numFmtId="44" fontId="16" fillId="15" borderId="86" xfId="8" applyFont="1" applyFill="1" applyBorder="1" applyAlignment="1">
      <alignment vertical="center"/>
    </xf>
    <xf numFmtId="9" fontId="23" fillId="14" borderId="86" xfId="1" applyFont="1" applyFill="1" applyBorder="1" applyAlignment="1">
      <alignment vertical="center"/>
    </xf>
    <xf numFmtId="44" fontId="23" fillId="14" borderId="86" xfId="8" applyFont="1" applyFill="1" applyBorder="1" applyAlignment="1">
      <alignment vertical="center"/>
    </xf>
    <xf numFmtId="44" fontId="16" fillId="14" borderId="86" xfId="8" applyFont="1" applyFill="1" applyBorder="1" applyAlignment="1">
      <alignment vertical="center"/>
    </xf>
    <xf numFmtId="170" fontId="25" fillId="10" borderId="68" xfId="8" applyNumberFormat="1" applyFont="1" applyFill="1" applyBorder="1" applyAlignment="1">
      <alignment horizontal="right"/>
    </xf>
    <xf numFmtId="170" fontId="25" fillId="10" borderId="55" xfId="8" applyNumberFormat="1" applyFont="1" applyFill="1" applyBorder="1" applyAlignment="1">
      <alignment horizontal="right"/>
    </xf>
    <xf numFmtId="0" fontId="23" fillId="11" borderId="70" xfId="0" applyFont="1" applyFill="1" applyBorder="1" applyAlignment="1">
      <alignment horizontal="left" vertical="center" wrapText="1"/>
    </xf>
    <xf numFmtId="0" fontId="24" fillId="12" borderId="84" xfId="0" applyFont="1" applyFill="1" applyBorder="1" applyAlignment="1">
      <alignment horizontal="center" vertical="center"/>
    </xf>
    <xf numFmtId="170" fontId="25" fillId="10" borderId="85" xfId="0" applyNumberFormat="1" applyFont="1" applyFill="1" applyBorder="1" applyAlignment="1">
      <alignment horizontal="right"/>
    </xf>
    <xf numFmtId="44" fontId="16" fillId="14" borderId="85" xfId="8" applyFont="1" applyFill="1" applyBorder="1"/>
    <xf numFmtId="44" fontId="23" fillId="15" borderId="66" xfId="8" applyFont="1" applyFill="1" applyBorder="1" applyAlignment="1">
      <alignment vertical="center"/>
    </xf>
    <xf numFmtId="9" fontId="23" fillId="14" borderId="66" xfId="1" applyFont="1" applyFill="1" applyBorder="1" applyAlignment="1">
      <alignment vertical="center"/>
    </xf>
    <xf numFmtId="0" fontId="23" fillId="11" borderId="54" xfId="0" applyFont="1" applyFill="1" applyBorder="1" applyAlignment="1">
      <alignment horizontal="left" vertical="center" wrapText="1"/>
    </xf>
    <xf numFmtId="0" fontId="23" fillId="11" borderId="82" xfId="0" applyFont="1" applyFill="1" applyBorder="1" applyAlignment="1">
      <alignment horizontal="left" vertical="center" wrapText="1"/>
    </xf>
    <xf numFmtId="8" fontId="23" fillId="13" borderId="7" xfId="0" applyNumberFormat="1" applyFont="1" applyFill="1" applyBorder="1"/>
    <xf numFmtId="44" fontId="23" fillId="13" borderId="9" xfId="0" applyNumberFormat="1" applyFont="1" applyFill="1" applyBorder="1"/>
    <xf numFmtId="14" fontId="23" fillId="13" borderId="10" xfId="0" applyNumberFormat="1" applyFont="1" applyFill="1" applyBorder="1"/>
    <xf numFmtId="0" fontId="23" fillId="13" borderId="7" xfId="0" applyFont="1" applyFill="1" applyBorder="1" applyAlignment="1">
      <alignment wrapText="1"/>
    </xf>
    <xf numFmtId="0" fontId="23" fillId="13" borderId="10" xfId="0" applyFont="1" applyFill="1" applyBorder="1" applyAlignment="1">
      <alignment wrapText="1"/>
    </xf>
    <xf numFmtId="0" fontId="0" fillId="0" borderId="0" xfId="0" applyAlignment="1">
      <alignment wrapText="1"/>
    </xf>
    <xf numFmtId="0" fontId="27" fillId="17" borderId="6" xfId="0" applyFont="1" applyFill="1" applyBorder="1" applyAlignment="1">
      <alignment horizontal="center"/>
    </xf>
    <xf numFmtId="44" fontId="25" fillId="10" borderId="0" xfId="0" applyNumberFormat="1" applyFont="1" applyFill="1" applyAlignment="1">
      <alignment horizontal="right"/>
    </xf>
    <xf numFmtId="44" fontId="16" fillId="15" borderId="0" xfId="0" applyNumberFormat="1" applyFont="1" applyFill="1"/>
    <xf numFmtId="0" fontId="0" fillId="14" borderId="0" xfId="0" applyFill="1"/>
    <xf numFmtId="44" fontId="16" fillId="14" borderId="0" xfId="0" applyNumberFormat="1" applyFont="1" applyFill="1"/>
    <xf numFmtId="10" fontId="9" fillId="6" borderId="87" xfId="5" applyNumberFormat="1" applyFont="1" applyFill="1" applyBorder="1" applyAlignment="1">
      <alignment horizontal="center" vertical="center" wrapText="1"/>
    </xf>
    <xf numFmtId="0" fontId="2" fillId="12" borderId="70" xfId="0" applyFont="1" applyFill="1" applyBorder="1" applyAlignment="1">
      <alignment horizontal="center" vertical="center"/>
    </xf>
    <xf numFmtId="10" fontId="23" fillId="15" borderId="70" xfId="0" applyNumberFormat="1" applyFont="1" applyFill="1" applyBorder="1" applyAlignment="1">
      <alignment horizontal="center" vertical="center"/>
    </xf>
    <xf numFmtId="0" fontId="4" fillId="6" borderId="52" xfId="3" applyFont="1" applyFill="1" applyBorder="1" applyAlignment="1">
      <alignment horizontal="left" vertical="center"/>
    </xf>
    <xf numFmtId="0" fontId="4" fillId="6" borderId="89" xfId="3" applyFont="1" applyFill="1" applyBorder="1" applyAlignment="1">
      <alignment horizontal="center" vertical="center"/>
    </xf>
    <xf numFmtId="0" fontId="24" fillId="6" borderId="89" xfId="3" applyFont="1" applyFill="1" applyBorder="1" applyAlignment="1">
      <alignment horizontal="center" vertical="center"/>
    </xf>
    <xf numFmtId="169" fontId="24" fillId="6" borderId="89" xfId="3" applyNumberFormat="1" applyFont="1" applyFill="1" applyBorder="1" applyAlignment="1">
      <alignment horizontal="center" vertical="center" wrapText="1"/>
    </xf>
    <xf numFmtId="0" fontId="24" fillId="6" borderId="89" xfId="3" applyFont="1" applyFill="1" applyBorder="1" applyAlignment="1">
      <alignment horizontal="center" vertical="center" wrapText="1"/>
    </xf>
    <xf numFmtId="171" fontId="24" fillId="6" borderId="89" xfId="1" applyNumberFormat="1" applyFont="1" applyFill="1" applyBorder="1" applyAlignment="1">
      <alignment horizontal="center" vertical="center" wrapText="1"/>
    </xf>
    <xf numFmtId="10" fontId="24" fillId="6" borderId="89" xfId="1" applyNumberFormat="1" applyFont="1" applyFill="1" applyBorder="1" applyAlignment="1">
      <alignment horizontal="center" vertical="center" wrapText="1"/>
    </xf>
    <xf numFmtId="0" fontId="24" fillId="6" borderId="51" xfId="3" applyFont="1" applyFill="1" applyBorder="1" applyAlignment="1">
      <alignment horizontal="center" vertical="center" wrapText="1"/>
    </xf>
    <xf numFmtId="0" fontId="0" fillId="0" borderId="90" xfId="0" applyBorder="1" applyAlignment="1">
      <alignment vertical="center"/>
    </xf>
    <xf numFmtId="170" fontId="0" fillId="0" borderId="77" xfId="0" applyNumberFormat="1" applyBorder="1" applyAlignment="1">
      <alignment vertical="center"/>
    </xf>
    <xf numFmtId="0" fontId="34" fillId="19" borderId="56" xfId="0" applyFont="1" applyFill="1" applyBorder="1" applyAlignment="1">
      <alignment horizontal="center" vertical="center"/>
    </xf>
    <xf numFmtId="0" fontId="34" fillId="19" borderId="59" xfId="0" applyFont="1" applyFill="1" applyBorder="1" applyAlignment="1">
      <alignment horizontal="center" vertical="center"/>
    </xf>
    <xf numFmtId="0" fontId="0" fillId="0" borderId="87" xfId="0" applyBorder="1" applyAlignment="1">
      <alignment horizontal="left" vertical="center"/>
    </xf>
    <xf numFmtId="170" fontId="0" fillId="0" borderId="88" xfId="0" applyNumberFormat="1" applyBorder="1" applyAlignment="1">
      <alignment vertical="center"/>
    </xf>
    <xf numFmtId="0" fontId="2" fillId="0" borderId="6" xfId="0" applyFont="1" applyBorder="1" applyAlignment="1">
      <alignment horizontal="left" vertical="center"/>
    </xf>
    <xf numFmtId="170" fontId="2" fillId="0" borderId="83" xfId="0" applyNumberFormat="1" applyFont="1" applyBorder="1" applyAlignment="1">
      <alignment vertical="center"/>
    </xf>
    <xf numFmtId="170" fontId="0" fillId="0" borderId="0" xfId="0" applyNumberFormat="1" applyAlignment="1">
      <alignment horizontal="left" vertical="center"/>
    </xf>
    <xf numFmtId="170" fontId="0" fillId="0" borderId="0" xfId="0" applyNumberFormat="1" applyAlignment="1">
      <alignment horizontal="left"/>
    </xf>
    <xf numFmtId="10" fontId="35" fillId="0" borderId="0" xfId="0" applyNumberFormat="1" applyFont="1" applyAlignment="1">
      <alignment horizontal="left" vertical="center"/>
    </xf>
    <xf numFmtId="0" fontId="0" fillId="0" borderId="0" xfId="0" applyAlignment="1">
      <alignment horizontal="center"/>
    </xf>
    <xf numFmtId="49" fontId="24" fillId="0" borderId="49" xfId="0" applyNumberFormat="1" applyFont="1" applyBorder="1" applyAlignment="1">
      <alignment horizontal="left" vertical="center" wrapText="1"/>
    </xf>
    <xf numFmtId="49" fontId="24" fillId="0" borderId="63" xfId="0" applyNumberFormat="1" applyFont="1" applyBorder="1" applyAlignment="1">
      <alignment horizontal="left" vertical="center" wrapText="1"/>
    </xf>
    <xf numFmtId="49" fontId="6" fillId="0" borderId="0" xfId="2" applyNumberFormat="1" applyFont="1" applyAlignment="1">
      <alignment horizontal="left" vertical="center" wrapText="1"/>
    </xf>
    <xf numFmtId="0" fontId="37" fillId="0" borderId="0" xfId="0" applyFont="1" applyAlignment="1">
      <alignment horizontal="center"/>
    </xf>
    <xf numFmtId="0" fontId="38" fillId="0" borderId="0" xfId="0" applyFont="1" applyAlignment="1">
      <alignment horizontal="center"/>
    </xf>
    <xf numFmtId="0" fontId="37" fillId="0" borderId="0" xfId="0" applyFont="1"/>
    <xf numFmtId="49" fontId="37" fillId="0" borderId="0" xfId="0" applyNumberFormat="1" applyFont="1"/>
    <xf numFmtId="49" fontId="16" fillId="5" borderId="0" xfId="0" applyNumberFormat="1" applyFont="1" applyFill="1"/>
    <xf numFmtId="49" fontId="16" fillId="0" borderId="49" xfId="0" applyNumberFormat="1" applyFont="1" applyBorder="1" applyAlignment="1">
      <alignment horizontal="left" vertical="center"/>
    </xf>
    <xf numFmtId="49" fontId="16" fillId="0" borderId="49" xfId="0" applyNumberFormat="1" applyFont="1" applyBorder="1" applyAlignment="1">
      <alignment horizontal="left" vertical="center" wrapText="1"/>
    </xf>
    <xf numFmtId="49" fontId="16" fillId="0" borderId="63" xfId="0" applyNumberFormat="1" applyFont="1" applyBorder="1" applyAlignment="1">
      <alignment horizontal="left" vertical="center" wrapText="1"/>
    </xf>
    <xf numFmtId="10" fontId="23" fillId="15" borderId="0" xfId="0" applyNumberFormat="1" applyFont="1" applyFill="1" applyAlignment="1">
      <alignment horizontal="center" vertical="center"/>
    </xf>
    <xf numFmtId="10" fontId="9" fillId="6" borderId="91" xfId="5" applyNumberFormat="1" applyFont="1" applyFill="1" applyBorder="1" applyAlignment="1">
      <alignment horizontal="center" vertical="center" wrapText="1"/>
    </xf>
    <xf numFmtId="0" fontId="2" fillId="12" borderId="7" xfId="0" applyFont="1" applyFill="1" applyBorder="1" applyAlignment="1">
      <alignment horizontal="center" vertical="center"/>
    </xf>
    <xf numFmtId="10" fontId="23" fillId="15" borderId="8" xfId="0" applyNumberFormat="1" applyFont="1" applyFill="1" applyBorder="1" applyAlignment="1">
      <alignment horizontal="center" vertical="center"/>
    </xf>
    <xf numFmtId="10" fontId="23" fillId="15" borderId="92" xfId="0" applyNumberFormat="1" applyFont="1" applyFill="1" applyBorder="1" applyAlignment="1">
      <alignment horizontal="center" vertical="center"/>
    </xf>
    <xf numFmtId="10" fontId="23" fillId="15" borderId="7" xfId="0" applyNumberFormat="1" applyFont="1" applyFill="1" applyBorder="1" applyAlignment="1">
      <alignment horizontal="center" vertical="center"/>
    </xf>
    <xf numFmtId="10" fontId="24" fillId="12" borderId="7" xfId="0" applyNumberFormat="1" applyFont="1" applyFill="1" applyBorder="1" applyAlignment="1">
      <alignment horizontal="center" vertical="center"/>
    </xf>
    <xf numFmtId="44" fontId="27" fillId="17" borderId="15" xfId="8" applyFont="1" applyFill="1" applyBorder="1"/>
    <xf numFmtId="0" fontId="40" fillId="11" borderId="66" xfId="0" applyFont="1" applyFill="1" applyBorder="1"/>
    <xf numFmtId="166" fontId="41" fillId="11" borderId="66" xfId="4" applyNumberFormat="1" applyFont="1" applyFill="1" applyBorder="1" applyAlignment="1">
      <alignment horizontal="center" vertical="center" wrapText="1"/>
    </xf>
    <xf numFmtId="166" fontId="42" fillId="11" borderId="66" xfId="4" applyNumberFormat="1" applyFont="1" applyFill="1" applyBorder="1" applyAlignment="1">
      <alignment horizontal="center" vertical="center" wrapText="1"/>
    </xf>
    <xf numFmtId="164" fontId="43" fillId="0" borderId="20" xfId="2" applyNumberFormat="1" applyFont="1" applyBorder="1" applyAlignment="1" applyProtection="1">
      <alignment horizontal="left" vertical="center"/>
      <protection locked="0"/>
    </xf>
    <xf numFmtId="164" fontId="43" fillId="0" borderId="22" xfId="2" applyNumberFormat="1" applyFont="1" applyBorder="1" applyAlignment="1" applyProtection="1">
      <alignment horizontal="left" vertical="center"/>
      <protection locked="0"/>
    </xf>
    <xf numFmtId="164" fontId="43" fillId="0" borderId="31" xfId="2" applyNumberFormat="1" applyFont="1" applyBorder="1" applyAlignment="1" applyProtection="1">
      <alignment horizontal="left" vertical="center"/>
      <protection locked="0"/>
    </xf>
    <xf numFmtId="164" fontId="43" fillId="0" borderId="32" xfId="2" applyNumberFormat="1" applyFont="1" applyBorder="1" applyAlignment="1" applyProtection="1">
      <alignment horizontal="left" vertical="center"/>
      <protection locked="0"/>
    </xf>
    <xf numFmtId="0" fontId="43" fillId="0" borderId="25" xfId="2" applyFont="1" applyBorder="1" applyAlignment="1" applyProtection="1">
      <alignment horizontal="left" vertical="center"/>
      <protection locked="0"/>
    </xf>
    <xf numFmtId="164" fontId="44" fillId="0" borderId="31" xfId="2" applyNumberFormat="1" applyFont="1" applyBorder="1" applyAlignment="1" applyProtection="1">
      <alignment horizontal="left" vertical="center"/>
      <protection locked="0"/>
    </xf>
    <xf numFmtId="14" fontId="43" fillId="0" borderId="32" xfId="2" applyNumberFormat="1" applyFont="1" applyBorder="1" applyAlignment="1" applyProtection="1">
      <alignment horizontal="left" vertical="center"/>
      <protection locked="0"/>
    </xf>
    <xf numFmtId="164" fontId="43" fillId="0" borderId="39" xfId="2" applyNumberFormat="1" applyFont="1" applyBorder="1" applyAlignment="1" applyProtection="1">
      <alignment horizontal="left" vertical="center"/>
      <protection locked="0"/>
    </xf>
    <xf numFmtId="0" fontId="43" fillId="0" borderId="29" xfId="2" applyFont="1" applyBorder="1" applyAlignment="1" applyProtection="1">
      <alignment horizontal="left" vertical="center"/>
      <protection locked="0"/>
    </xf>
    <xf numFmtId="0" fontId="45" fillId="0" borderId="0" xfId="0" applyFont="1"/>
    <xf numFmtId="0" fontId="45" fillId="0" borderId="0" xfId="0" applyFont="1" applyAlignment="1">
      <alignment horizontal="center"/>
    </xf>
    <xf numFmtId="16" fontId="45" fillId="20" borderId="11" xfId="0" applyNumberFormat="1" applyFont="1" applyFill="1" applyBorder="1"/>
    <xf numFmtId="16" fontId="45" fillId="20" borderId="12" xfId="0" applyNumberFormat="1" applyFont="1" applyFill="1" applyBorder="1"/>
    <xf numFmtId="16" fontId="45" fillId="21" borderId="14" xfId="0" applyNumberFormat="1" applyFont="1" applyFill="1" applyBorder="1"/>
    <xf numFmtId="16" fontId="45" fillId="21" borderId="15" xfId="0" applyNumberFormat="1" applyFont="1" applyFill="1" applyBorder="1"/>
    <xf numFmtId="0" fontId="45" fillId="22" borderId="17" xfId="0" applyFont="1" applyFill="1" applyBorder="1" applyAlignment="1">
      <alignment horizontal="right"/>
    </xf>
    <xf numFmtId="0" fontId="45" fillId="22" borderId="0" xfId="0" applyFont="1" applyFill="1" applyAlignment="1">
      <alignment horizontal="right"/>
    </xf>
    <xf numFmtId="0" fontId="25" fillId="19" borderId="14" xfId="0" applyFont="1" applyFill="1" applyBorder="1"/>
    <xf numFmtId="0" fontId="25" fillId="19" borderId="15" xfId="0" applyFont="1" applyFill="1" applyBorder="1"/>
    <xf numFmtId="164" fontId="6" fillId="0" borderId="0" xfId="2" applyNumberFormat="1" applyFont="1" applyAlignment="1" applyProtection="1">
      <alignment horizontal="left" vertical="center"/>
      <protection locked="0"/>
    </xf>
    <xf numFmtId="0" fontId="6" fillId="0" borderId="0" xfId="2" applyFont="1" applyAlignment="1" applyProtection="1">
      <alignment horizontal="left" vertical="center"/>
      <protection locked="0"/>
    </xf>
    <xf numFmtId="14" fontId="6" fillId="0" borderId="0" xfId="2" applyNumberFormat="1" applyFont="1" applyAlignment="1" applyProtection="1">
      <alignment horizontal="left" vertical="center"/>
      <protection locked="0"/>
    </xf>
    <xf numFmtId="0" fontId="25" fillId="23" borderId="66" xfId="0" applyFont="1" applyFill="1" applyBorder="1" applyAlignment="1">
      <alignment horizontal="center"/>
    </xf>
    <xf numFmtId="0" fontId="16" fillId="11" borderId="66" xfId="0" applyFont="1" applyFill="1" applyBorder="1" applyAlignment="1">
      <alignment horizontal="center"/>
    </xf>
    <xf numFmtId="44" fontId="16" fillId="0" borderId="66" xfId="8" applyFont="1" applyBorder="1"/>
    <xf numFmtId="9" fontId="16" fillId="0" borderId="66" xfId="1" applyFont="1" applyBorder="1" applyAlignment="1">
      <alignment horizontal="center"/>
    </xf>
    <xf numFmtId="44" fontId="25" fillId="23" borderId="66" xfId="0" applyNumberFormat="1" applyFont="1" applyFill="1" applyBorder="1" applyAlignment="1">
      <alignment horizontal="center"/>
    </xf>
    <xf numFmtId="44" fontId="25" fillId="23" borderId="66" xfId="8" applyFont="1" applyFill="1" applyBorder="1"/>
    <xf numFmtId="44" fontId="45" fillId="0" borderId="0" xfId="0" applyNumberFormat="1" applyFont="1"/>
    <xf numFmtId="164" fontId="46" fillId="0" borderId="20" xfId="2" applyNumberFormat="1" applyFont="1" applyBorder="1" applyAlignment="1" applyProtection="1">
      <alignment horizontal="left" vertical="center"/>
      <protection locked="0"/>
    </xf>
    <xf numFmtId="164" fontId="46" fillId="0" borderId="22" xfId="2" applyNumberFormat="1" applyFont="1" applyBorder="1" applyAlignment="1" applyProtection="1">
      <alignment horizontal="left" vertical="center"/>
      <protection locked="0"/>
    </xf>
    <xf numFmtId="164" fontId="46" fillId="0" borderId="31" xfId="2" applyNumberFormat="1" applyFont="1" applyBorder="1" applyAlignment="1" applyProtection="1">
      <alignment horizontal="left" vertical="center"/>
      <protection locked="0"/>
    </xf>
    <xf numFmtId="164" fontId="46" fillId="0" borderId="32" xfId="2" applyNumberFormat="1" applyFont="1" applyBorder="1" applyAlignment="1" applyProtection="1">
      <alignment horizontal="left" vertical="center"/>
      <protection locked="0"/>
    </xf>
    <xf numFmtId="0" fontId="46" fillId="0" borderId="25" xfId="2" applyFont="1" applyBorder="1" applyAlignment="1" applyProtection="1">
      <alignment horizontal="left" vertical="center"/>
      <protection locked="0"/>
    </xf>
    <xf numFmtId="164" fontId="47" fillId="0" borderId="31" xfId="2" applyNumberFormat="1" applyFont="1" applyBorder="1" applyAlignment="1" applyProtection="1">
      <alignment horizontal="left" vertical="center"/>
      <protection locked="0"/>
    </xf>
    <xf numFmtId="14" fontId="46" fillId="0" borderId="32" xfId="2" applyNumberFormat="1" applyFont="1" applyBorder="1" applyAlignment="1" applyProtection="1">
      <alignment horizontal="left" vertical="center"/>
      <protection locked="0"/>
    </xf>
    <xf numFmtId="164" fontId="46" fillId="0" borderId="39" xfId="2" applyNumberFormat="1" applyFont="1" applyBorder="1" applyAlignment="1" applyProtection="1">
      <alignment horizontal="left" vertical="center"/>
      <protection locked="0"/>
    </xf>
    <xf numFmtId="0" fontId="46" fillId="0" borderId="29" xfId="2" applyFont="1" applyBorder="1" applyAlignment="1" applyProtection="1">
      <alignment horizontal="left" vertical="center"/>
      <protection locked="0"/>
    </xf>
    <xf numFmtId="0" fontId="49" fillId="0" borderId="66" xfId="0" applyFont="1" applyBorder="1" applyAlignment="1">
      <alignment horizontal="center"/>
    </xf>
    <xf numFmtId="0" fontId="50" fillId="0" borderId="66" xfId="0" applyFont="1" applyBorder="1" applyAlignment="1">
      <alignment horizontal="center"/>
    </xf>
    <xf numFmtId="0" fontId="51" fillId="0" borderId="66" xfId="0" applyFont="1" applyBorder="1" applyAlignment="1">
      <alignment horizontal="center"/>
    </xf>
    <xf numFmtId="44" fontId="52" fillId="0" borderId="66" xfId="8" applyFont="1" applyBorder="1"/>
    <xf numFmtId="49" fontId="4" fillId="0" borderId="0" xfId="2" applyNumberFormat="1" applyFont="1" applyAlignment="1">
      <alignment horizontal="left" vertical="center" wrapText="1"/>
    </xf>
    <xf numFmtId="0" fontId="53" fillId="0" borderId="0" xfId="0" applyFont="1" applyAlignment="1">
      <alignment horizontal="center"/>
    </xf>
    <xf numFmtId="0" fontId="54" fillId="0" borderId="0" xfId="0" applyFont="1" applyAlignment="1">
      <alignment horizontal="center"/>
    </xf>
    <xf numFmtId="0" fontId="53" fillId="0" borderId="0" xfId="0" applyFont="1"/>
    <xf numFmtId="49" fontId="53" fillId="0" borderId="0" xfId="0" applyNumberFormat="1" applyFont="1"/>
    <xf numFmtId="49" fontId="24" fillId="5" borderId="0" xfId="0" applyNumberFormat="1" applyFont="1" applyFill="1"/>
    <xf numFmtId="49" fontId="24" fillId="0" borderId="49" xfId="0" applyNumberFormat="1" applyFont="1" applyBorder="1" applyAlignment="1">
      <alignment horizontal="left" vertical="center"/>
    </xf>
    <xf numFmtId="0" fontId="48" fillId="11" borderId="66" xfId="0" applyFont="1" applyFill="1" applyBorder="1"/>
    <xf numFmtId="166" fontId="56" fillId="11" borderId="66" xfId="4" applyNumberFormat="1" applyFont="1" applyFill="1" applyBorder="1" applyAlignment="1">
      <alignment horizontal="center" vertical="center" wrapText="1"/>
    </xf>
    <xf numFmtId="166" fontId="57" fillId="11" borderId="66" xfId="4" applyNumberFormat="1" applyFont="1" applyFill="1" applyBorder="1" applyAlignment="1">
      <alignment horizontal="center" vertical="center" wrapText="1"/>
    </xf>
    <xf numFmtId="0" fontId="0" fillId="11" borderId="0" xfId="0" applyFill="1" applyAlignment="1">
      <alignment horizontal="center"/>
    </xf>
    <xf numFmtId="0" fontId="0" fillId="11" borderId="0" xfId="0" applyFill="1"/>
    <xf numFmtId="37" fontId="9" fillId="11" borderId="0" xfId="3" applyNumberFormat="1" applyFont="1" applyFill="1" applyAlignment="1">
      <alignment horizontal="center" vertical="center"/>
    </xf>
    <xf numFmtId="40" fontId="9" fillId="11" borderId="0" xfId="4" applyNumberFormat="1" applyFont="1" applyFill="1" applyBorder="1" applyAlignment="1">
      <alignment horizontal="center" vertical="center"/>
    </xf>
    <xf numFmtId="44" fontId="58" fillId="11" borderId="66" xfId="0" applyNumberFormat="1" applyFont="1" applyFill="1" applyBorder="1" applyAlignment="1">
      <alignment horizontal="center" vertical="center"/>
    </xf>
    <xf numFmtId="44" fontId="59" fillId="11" borderId="66" xfId="8" applyFont="1" applyFill="1" applyBorder="1" applyAlignment="1">
      <alignment horizontal="center" vertical="center"/>
    </xf>
    <xf numFmtId="44" fontId="57" fillId="11" borderId="66" xfId="8" applyFont="1" applyFill="1" applyBorder="1"/>
    <xf numFmtId="44" fontId="60" fillId="11" borderId="66" xfId="8" applyFont="1" applyFill="1" applyBorder="1"/>
    <xf numFmtId="44" fontId="61" fillId="11" borderId="66" xfId="0" applyNumberFormat="1" applyFont="1" applyFill="1" applyBorder="1" applyAlignment="1">
      <alignment horizontal="center" vertical="center"/>
    </xf>
    <xf numFmtId="44" fontId="42" fillId="11" borderId="66" xfId="8" applyFont="1" applyFill="1" applyBorder="1" applyAlignment="1">
      <alignment horizontal="center"/>
    </xf>
    <xf numFmtId="44" fontId="62" fillId="11" borderId="66" xfId="8" applyFont="1" applyFill="1" applyBorder="1" applyAlignment="1">
      <alignment horizontal="center" vertical="center"/>
    </xf>
    <xf numFmtId="44" fontId="63" fillId="11" borderId="66" xfId="8" applyFont="1" applyFill="1" applyBorder="1"/>
    <xf numFmtId="44" fontId="64" fillId="11" borderId="66" xfId="8" applyFont="1" applyFill="1" applyBorder="1" applyAlignment="1">
      <alignment horizontal="center" vertical="center"/>
    </xf>
    <xf numFmtId="44" fontId="42" fillId="11" borderId="66" xfId="8" applyFont="1" applyFill="1" applyBorder="1" applyAlignment="1">
      <alignment horizontal="center" vertical="center"/>
    </xf>
    <xf numFmtId="44" fontId="42" fillId="11" borderId="66" xfId="8" applyFont="1" applyFill="1" applyBorder="1"/>
    <xf numFmtId="0" fontId="65" fillId="0" borderId="0" xfId="0" applyFont="1" applyAlignment="1">
      <alignment horizontal="center" wrapText="1"/>
    </xf>
    <xf numFmtId="0" fontId="65" fillId="24" borderId="66" xfId="0" applyFont="1" applyFill="1" applyBorder="1" applyAlignment="1">
      <alignment horizontal="center" wrapText="1"/>
    </xf>
    <xf numFmtId="44" fontId="37" fillId="18" borderId="66" xfId="0" applyNumberFormat="1" applyFont="1" applyFill="1" applyBorder="1"/>
    <xf numFmtId="44" fontId="50" fillId="0" borderId="66" xfId="8" applyFont="1" applyBorder="1"/>
    <xf numFmtId="44" fontId="51" fillId="0" borderId="66" xfId="8" applyFont="1" applyBorder="1"/>
    <xf numFmtId="9" fontId="51" fillId="0" borderId="66" xfId="1" applyFont="1" applyBorder="1" applyAlignment="1">
      <alignment horizontal="center"/>
    </xf>
    <xf numFmtId="0" fontId="65" fillId="24" borderId="66" xfId="0" applyFont="1" applyFill="1" applyBorder="1" applyAlignment="1">
      <alignment horizontal="center" vertical="center" wrapText="1"/>
    </xf>
    <xf numFmtId="44" fontId="66" fillId="18" borderId="66" xfId="0" applyNumberFormat="1" applyFont="1" applyFill="1" applyBorder="1"/>
    <xf numFmtId="44" fontId="0" fillId="0" borderId="0" xfId="0" applyNumberFormat="1"/>
    <xf numFmtId="44" fontId="45" fillId="0" borderId="84" xfId="0" applyNumberFormat="1" applyFont="1" applyBorder="1" applyAlignment="1">
      <alignment horizontal="center" vertical="center"/>
    </xf>
    <xf numFmtId="0" fontId="45" fillId="0" borderId="85" xfId="0" applyFont="1" applyBorder="1" applyAlignment="1">
      <alignment horizontal="center" vertical="center"/>
    </xf>
    <xf numFmtId="0" fontId="5" fillId="0" borderId="0" xfId="2" applyFont="1" applyAlignment="1">
      <alignment horizontal="left" vertical="center" wrapText="1"/>
    </xf>
    <xf numFmtId="0" fontId="5" fillId="0" borderId="0" xfId="2" applyFont="1" applyAlignment="1">
      <alignment horizontal="left" vertical="top"/>
    </xf>
    <xf numFmtId="0" fontId="9" fillId="2" borderId="3" xfId="3" applyFont="1" applyFill="1" applyBorder="1" applyAlignment="1">
      <alignment horizontal="center" vertical="center"/>
    </xf>
    <xf numFmtId="0" fontId="9" fillId="2" borderId="4" xfId="3" applyFont="1" applyFill="1" applyBorder="1" applyAlignment="1">
      <alignment horizontal="center" vertical="center"/>
    </xf>
    <xf numFmtId="0" fontId="9" fillId="2" borderId="5" xfId="3" applyFont="1" applyFill="1" applyBorder="1" applyAlignment="1">
      <alignment horizontal="center" vertical="center"/>
    </xf>
    <xf numFmtId="0" fontId="9" fillId="3" borderId="6" xfId="0" applyFont="1" applyFill="1" applyBorder="1" applyAlignment="1">
      <alignment horizontal="center" vertical="center" wrapText="1"/>
    </xf>
    <xf numFmtId="0" fontId="9" fillId="3" borderId="37" xfId="0" applyFont="1" applyFill="1" applyBorder="1" applyAlignment="1">
      <alignment horizontal="center" vertical="center" wrapText="1"/>
    </xf>
    <xf numFmtId="0" fontId="9" fillId="3" borderId="5" xfId="0" applyFont="1" applyFill="1" applyBorder="1" applyAlignment="1">
      <alignment horizontal="center" vertical="center" wrapText="1"/>
    </xf>
    <xf numFmtId="166" fontId="9" fillId="4" borderId="6" xfId="4" applyNumberFormat="1" applyFont="1" applyFill="1" applyBorder="1" applyAlignment="1">
      <alignment horizontal="center" vertical="center" wrapText="1"/>
    </xf>
    <xf numFmtId="166" fontId="9" fillId="4" borderId="37" xfId="4" applyNumberFormat="1" applyFont="1" applyFill="1" applyBorder="1" applyAlignment="1">
      <alignment horizontal="center" vertical="center" wrapText="1"/>
    </xf>
    <xf numFmtId="166" fontId="9" fillId="4" borderId="5" xfId="4" applyNumberFormat="1" applyFont="1" applyFill="1" applyBorder="1" applyAlignment="1">
      <alignment horizontal="center" vertical="center" wrapText="1"/>
    </xf>
    <xf numFmtId="166" fontId="9" fillId="4" borderId="17" xfId="4" applyNumberFormat="1" applyFont="1" applyFill="1" applyBorder="1" applyAlignment="1">
      <alignment horizontal="center" vertical="center" wrapText="1"/>
    </xf>
    <xf numFmtId="166" fontId="9" fillId="4" borderId="0" xfId="4" applyNumberFormat="1" applyFont="1" applyFill="1" applyBorder="1" applyAlignment="1">
      <alignment horizontal="center" vertical="center" wrapText="1"/>
    </xf>
    <xf numFmtId="0" fontId="25" fillId="16" borderId="6" xfId="0" applyFont="1" applyFill="1" applyBorder="1" applyAlignment="1">
      <alignment horizontal="center"/>
    </xf>
    <xf numFmtId="0" fontId="25" fillId="16" borderId="37" xfId="0" applyFont="1" applyFill="1" applyBorder="1" applyAlignment="1">
      <alignment horizontal="center"/>
    </xf>
    <xf numFmtId="0" fontId="25" fillId="16" borderId="79" xfId="0" applyFont="1" applyFill="1" applyBorder="1" applyAlignment="1">
      <alignment horizontal="center"/>
    </xf>
    <xf numFmtId="0" fontId="25" fillId="16" borderId="83" xfId="0" applyFont="1" applyFill="1" applyBorder="1" applyAlignment="1">
      <alignment horizontal="center"/>
    </xf>
    <xf numFmtId="166" fontId="39" fillId="11" borderId="66" xfId="4" applyNumberFormat="1" applyFont="1" applyFill="1" applyBorder="1" applyAlignment="1">
      <alignment horizontal="center" vertical="center" wrapText="1"/>
    </xf>
    <xf numFmtId="0" fontId="25" fillId="16" borderId="17" xfId="0" applyFont="1" applyFill="1" applyBorder="1" applyAlignment="1">
      <alignment horizontal="center"/>
    </xf>
    <xf numFmtId="0" fontId="25" fillId="16" borderId="0" xfId="0" applyFont="1" applyFill="1" applyAlignment="1">
      <alignment horizontal="center"/>
    </xf>
    <xf numFmtId="0" fontId="25" fillId="16" borderId="18" xfId="0" applyFont="1" applyFill="1" applyBorder="1" applyAlignment="1">
      <alignment horizontal="center"/>
    </xf>
    <xf numFmtId="0" fontId="25" fillId="10" borderId="11" xfId="0" applyFont="1" applyFill="1" applyBorder="1" applyAlignment="1">
      <alignment horizontal="left"/>
    </xf>
    <xf numFmtId="0" fontId="25" fillId="10" borderId="12" xfId="0" applyFont="1" applyFill="1" applyBorder="1" applyAlignment="1">
      <alignment horizontal="left"/>
    </xf>
    <xf numFmtId="0" fontId="25" fillId="10" borderId="67" xfId="0" applyFont="1" applyFill="1" applyBorder="1" applyAlignment="1">
      <alignment horizontal="left"/>
    </xf>
    <xf numFmtId="0" fontId="25" fillId="10" borderId="84" xfId="0" applyFont="1" applyFill="1" applyBorder="1" applyAlignment="1">
      <alignment horizontal="left"/>
    </xf>
    <xf numFmtId="0" fontId="25" fillId="10" borderId="17" xfId="0" applyFont="1" applyFill="1" applyBorder="1" applyAlignment="1">
      <alignment horizontal="left"/>
    </xf>
    <xf numFmtId="0" fontId="25" fillId="10" borderId="0" xfId="0" applyFont="1" applyFill="1" applyAlignment="1">
      <alignment horizontal="left"/>
    </xf>
    <xf numFmtId="0" fontId="25" fillId="10" borderId="14" xfId="0" applyFont="1" applyFill="1" applyBorder="1" applyAlignment="1">
      <alignment horizontal="left"/>
    </xf>
    <xf numFmtId="0" fontId="25" fillId="10" borderId="15" xfId="0" applyFont="1" applyFill="1" applyBorder="1" applyAlignment="1">
      <alignment horizontal="left"/>
    </xf>
    <xf numFmtId="0" fontId="25" fillId="10" borderId="73" xfId="0" applyFont="1" applyFill="1" applyBorder="1" applyAlignment="1">
      <alignment horizontal="left"/>
    </xf>
    <xf numFmtId="0" fontId="25" fillId="10" borderId="74" xfId="0" applyFont="1" applyFill="1" applyBorder="1" applyAlignment="1">
      <alignment horizontal="left"/>
    </xf>
    <xf numFmtId="0" fontId="25" fillId="16" borderId="11" xfId="0" applyFont="1" applyFill="1" applyBorder="1" applyAlignment="1">
      <alignment horizontal="center"/>
    </xf>
    <xf numFmtId="0" fontId="25" fillId="16" borderId="12" xfId="0" applyFont="1" applyFill="1" applyBorder="1" applyAlignment="1">
      <alignment horizontal="center"/>
    </xf>
    <xf numFmtId="0" fontId="25" fillId="16" borderId="80" xfId="0" applyFont="1" applyFill="1" applyBorder="1" applyAlignment="1">
      <alignment horizontal="center"/>
    </xf>
    <xf numFmtId="0" fontId="25" fillId="16" borderId="84" xfId="0" applyFont="1" applyFill="1" applyBorder="1" applyAlignment="1">
      <alignment horizontal="center"/>
    </xf>
    <xf numFmtId="0" fontId="25" fillId="10" borderId="72" xfId="0" applyFont="1" applyFill="1" applyBorder="1" applyAlignment="1">
      <alignment horizontal="left"/>
    </xf>
    <xf numFmtId="0" fontId="25" fillId="10" borderId="8" xfId="0" applyFont="1" applyFill="1" applyBorder="1" applyAlignment="1">
      <alignment horizontal="left"/>
    </xf>
    <xf numFmtId="0" fontId="25" fillId="10" borderId="33" xfId="0" applyFont="1" applyFill="1" applyBorder="1" applyAlignment="1">
      <alignment horizontal="left"/>
    </xf>
    <xf numFmtId="1" fontId="25" fillId="10" borderId="73" xfId="0" applyNumberFormat="1" applyFont="1" applyFill="1" applyBorder="1" applyAlignment="1">
      <alignment horizontal="left"/>
    </xf>
    <xf numFmtId="1" fontId="25" fillId="10" borderId="74" xfId="0" applyNumberFormat="1" applyFont="1" applyFill="1" applyBorder="1" applyAlignment="1">
      <alignment horizontal="left"/>
    </xf>
    <xf numFmtId="1" fontId="25" fillId="10" borderId="75" xfId="0" applyNumberFormat="1" applyFont="1" applyFill="1" applyBorder="1" applyAlignment="1">
      <alignment horizontal="left"/>
    </xf>
    <xf numFmtId="1" fontId="25" fillId="16" borderId="11" xfId="0" applyNumberFormat="1" applyFont="1" applyFill="1" applyBorder="1" applyAlignment="1">
      <alignment horizontal="center"/>
    </xf>
    <xf numFmtId="1" fontId="25" fillId="16" borderId="12" xfId="0" applyNumberFormat="1" applyFont="1" applyFill="1" applyBorder="1" applyAlignment="1">
      <alignment horizontal="center"/>
    </xf>
    <xf numFmtId="1" fontId="25" fillId="16" borderId="84" xfId="0" applyNumberFormat="1" applyFont="1" applyFill="1" applyBorder="1" applyAlignment="1">
      <alignment horizontal="center"/>
    </xf>
    <xf numFmtId="1" fontId="25" fillId="10" borderId="11" xfId="0" applyNumberFormat="1" applyFont="1" applyFill="1" applyBorder="1" applyAlignment="1">
      <alignment horizontal="left"/>
    </xf>
    <xf numFmtId="1" fontId="25" fillId="10" borderId="12" xfId="0" applyNumberFormat="1" applyFont="1" applyFill="1" applyBorder="1" applyAlignment="1">
      <alignment horizontal="left"/>
    </xf>
    <xf numFmtId="1" fontId="25" fillId="10" borderId="84" xfId="0" applyNumberFormat="1" applyFont="1" applyFill="1" applyBorder="1" applyAlignment="1">
      <alignment horizontal="left"/>
    </xf>
    <xf numFmtId="0" fontId="36" fillId="18" borderId="12" xfId="0" applyFont="1" applyFill="1" applyBorder="1" applyAlignment="1">
      <alignment horizontal="right" vertical="center"/>
    </xf>
    <xf numFmtId="0" fontId="25" fillId="16" borderId="14" xfId="0" applyFont="1" applyFill="1" applyBorder="1" applyAlignment="1">
      <alignment horizontal="center"/>
    </xf>
    <xf numFmtId="0" fontId="25" fillId="16" borderId="15" xfId="0" applyFont="1" applyFill="1" applyBorder="1" applyAlignment="1">
      <alignment horizontal="center"/>
    </xf>
    <xf numFmtId="0" fontId="25" fillId="16" borderId="85" xfId="0" applyFont="1" applyFill="1" applyBorder="1" applyAlignment="1">
      <alignment horizontal="center"/>
    </xf>
    <xf numFmtId="166" fontId="9" fillId="11" borderId="0" xfId="4" applyNumberFormat="1" applyFont="1" applyFill="1" applyBorder="1" applyAlignment="1">
      <alignment horizontal="center" vertical="center" wrapText="1"/>
    </xf>
    <xf numFmtId="166" fontId="55" fillId="11" borderId="66" xfId="4" applyNumberFormat="1" applyFont="1" applyFill="1" applyBorder="1" applyAlignment="1">
      <alignment horizontal="center" vertical="center" wrapText="1"/>
    </xf>
    <xf numFmtId="0" fontId="17" fillId="8" borderId="41" xfId="0" applyFont="1" applyFill="1" applyBorder="1" applyAlignment="1">
      <alignment horizontal="left" vertical="center"/>
    </xf>
    <xf numFmtId="0" fontId="17" fillId="8" borderId="41" xfId="0" applyFont="1" applyFill="1" applyBorder="1" applyAlignment="1">
      <alignment vertical="center"/>
    </xf>
    <xf numFmtId="0" fontId="17" fillId="8" borderId="0" xfId="0" applyFont="1" applyFill="1" applyAlignment="1">
      <alignment vertical="center"/>
    </xf>
    <xf numFmtId="0" fontId="18" fillId="8" borderId="41" xfId="0" applyFont="1" applyFill="1" applyBorder="1" applyAlignment="1">
      <alignment horizontal="left" vertical="top"/>
    </xf>
    <xf numFmtId="0" fontId="20" fillId="8" borderId="41" xfId="0" applyFont="1" applyFill="1" applyBorder="1" applyAlignment="1">
      <alignment horizontal="center" vertical="center" wrapText="1"/>
    </xf>
    <xf numFmtId="0" fontId="20" fillId="8" borderId="0" xfId="0" applyFont="1" applyFill="1" applyAlignment="1">
      <alignment horizontal="center" vertical="center" wrapText="1"/>
    </xf>
    <xf numFmtId="0" fontId="0" fillId="0" borderId="24" xfId="0" applyBorder="1" applyAlignment="1">
      <alignment horizontal="left"/>
    </xf>
    <xf numFmtId="0" fontId="0" fillId="0" borderId="2" xfId="0" applyBorder="1" applyAlignment="1">
      <alignment horizontal="left"/>
    </xf>
    <xf numFmtId="0" fontId="0" fillId="0" borderId="25" xfId="0" applyBorder="1" applyAlignment="1">
      <alignment horizontal="left"/>
    </xf>
    <xf numFmtId="0" fontId="10" fillId="0" borderId="11" xfId="0" applyFont="1" applyBorder="1" applyAlignment="1">
      <alignment horizontal="center"/>
    </xf>
    <xf numFmtId="0" fontId="10" fillId="0" borderId="12" xfId="0" applyFont="1" applyBorder="1" applyAlignment="1">
      <alignment horizontal="center"/>
    </xf>
    <xf numFmtId="0" fontId="10" fillId="0" borderId="13" xfId="0" applyFont="1" applyBorder="1" applyAlignment="1">
      <alignment horizontal="center"/>
    </xf>
    <xf numFmtId="0" fontId="11" fillId="0" borderId="14" xfId="0" applyFont="1" applyBorder="1" applyAlignment="1">
      <alignment horizontal="center" vertical="center"/>
    </xf>
    <xf numFmtId="0" fontId="11" fillId="0" borderId="15" xfId="0" applyFont="1" applyBorder="1" applyAlignment="1">
      <alignment horizontal="center" vertical="center"/>
    </xf>
    <xf numFmtId="0" fontId="11" fillId="0" borderId="16" xfId="0" applyFont="1" applyBorder="1" applyAlignment="1">
      <alignment horizontal="center" vertical="center"/>
    </xf>
    <xf numFmtId="0" fontId="2" fillId="7" borderId="0" xfId="0" applyFont="1" applyFill="1" applyAlignment="1">
      <alignment horizontal="center"/>
    </xf>
    <xf numFmtId="0" fontId="0" fillId="0" borderId="20" xfId="0" applyBorder="1" applyAlignment="1">
      <alignment horizontal="left"/>
    </xf>
    <xf numFmtId="0" fontId="0" fillId="0" borderId="21" xfId="0" applyBorder="1" applyAlignment="1">
      <alignment horizontal="left"/>
    </xf>
    <xf numFmtId="0" fontId="0" fillId="0" borderId="22" xfId="0" applyBorder="1" applyAlignment="1">
      <alignment horizontal="left"/>
    </xf>
    <xf numFmtId="0" fontId="0" fillId="0" borderId="27" xfId="0" applyBorder="1" applyAlignment="1">
      <alignment horizontal="left"/>
    </xf>
    <xf numFmtId="0" fontId="0" fillId="0" borderId="28" xfId="0" applyBorder="1" applyAlignment="1">
      <alignment horizontal="left"/>
    </xf>
    <xf numFmtId="0" fontId="0" fillId="0" borderId="29" xfId="0" applyBorder="1" applyAlignment="1">
      <alignment horizontal="left"/>
    </xf>
    <xf numFmtId="0" fontId="2" fillId="0" borderId="21" xfId="0" applyFont="1" applyBorder="1" applyAlignment="1">
      <alignment horizontal="center"/>
    </xf>
    <xf numFmtId="0" fontId="2" fillId="0" borderId="22" xfId="0" applyFont="1" applyBorder="1" applyAlignment="1">
      <alignment horizontal="center"/>
    </xf>
    <xf numFmtId="0" fontId="0" fillId="0" borderId="31" xfId="0" applyBorder="1" applyAlignment="1">
      <alignment horizontal="left"/>
    </xf>
    <xf numFmtId="0" fontId="0" fillId="0" borderId="1" xfId="0" applyBorder="1" applyAlignment="1">
      <alignment horizontal="left"/>
    </xf>
    <xf numFmtId="0" fontId="0" fillId="0" borderId="32" xfId="0" applyBorder="1" applyAlignment="1">
      <alignment horizontal="left"/>
    </xf>
    <xf numFmtId="0" fontId="2" fillId="0" borderId="20" xfId="0" applyFont="1" applyBorder="1" applyAlignment="1">
      <alignment horizontal="center"/>
    </xf>
    <xf numFmtId="0" fontId="2" fillId="0" borderId="8" xfId="0" applyFont="1" applyBorder="1" applyAlignment="1">
      <alignment horizontal="center"/>
    </xf>
    <xf numFmtId="0" fontId="2" fillId="0" borderId="33" xfId="0" applyFont="1" applyBorder="1" applyAlignment="1">
      <alignment horizontal="center"/>
    </xf>
    <xf numFmtId="0" fontId="0" fillId="0" borderId="24" xfId="0" applyBorder="1" applyAlignment="1">
      <alignment horizontal="center"/>
    </xf>
    <xf numFmtId="0" fontId="0" fillId="0" borderId="25" xfId="0" applyBorder="1" applyAlignment="1">
      <alignment horizontal="center"/>
    </xf>
    <xf numFmtId="44" fontId="0" fillId="0" borderId="24" xfId="8" applyFont="1" applyBorder="1" applyAlignment="1">
      <alignment horizontal="center"/>
    </xf>
    <xf numFmtId="44" fontId="0" fillId="0" borderId="25" xfId="8" applyFont="1" applyBorder="1" applyAlignment="1">
      <alignment horizontal="center"/>
    </xf>
    <xf numFmtId="44" fontId="0" fillId="0" borderId="27" xfId="8" applyFont="1" applyBorder="1" applyAlignment="1">
      <alignment horizontal="center"/>
    </xf>
    <xf numFmtId="44" fontId="0" fillId="0" borderId="29" xfId="8" applyFont="1" applyBorder="1" applyAlignment="1">
      <alignment horizontal="center"/>
    </xf>
    <xf numFmtId="0" fontId="2" fillId="0" borderId="24" xfId="0" applyFont="1" applyBorder="1" applyAlignment="1">
      <alignment horizontal="center"/>
    </xf>
    <xf numFmtId="0" fontId="2" fillId="0" borderId="25" xfId="0" applyFont="1" applyBorder="1" applyAlignment="1">
      <alignment horizontal="center"/>
    </xf>
    <xf numFmtId="0" fontId="2" fillId="0" borderId="7" xfId="0" applyFont="1" applyBorder="1" applyAlignment="1">
      <alignment horizontal="center"/>
    </xf>
    <xf numFmtId="0" fontId="2" fillId="0" borderId="9" xfId="0" applyFont="1" applyBorder="1" applyAlignment="1">
      <alignment horizontal="center"/>
    </xf>
    <xf numFmtId="0" fontId="2" fillId="0" borderId="10" xfId="0" applyFont="1" applyBorder="1" applyAlignment="1">
      <alignment horizontal="center"/>
    </xf>
    <xf numFmtId="0" fontId="0" fillId="0" borderId="7" xfId="0" applyBorder="1" applyAlignment="1">
      <alignment horizontal="center"/>
    </xf>
    <xf numFmtId="0" fontId="0" fillId="0" borderId="10" xfId="0" applyBorder="1" applyAlignment="1">
      <alignment horizontal="center"/>
    </xf>
    <xf numFmtId="0" fontId="2" fillId="0" borderId="11" xfId="0" applyFont="1" applyBorder="1" applyAlignment="1">
      <alignment horizontal="left"/>
    </xf>
    <xf numFmtId="0" fontId="2" fillId="0" borderId="12" xfId="0" applyFont="1" applyBorder="1" applyAlignment="1">
      <alignment horizontal="left"/>
    </xf>
    <xf numFmtId="0" fontId="0" fillId="0" borderId="0" xfId="0" applyAlignment="1">
      <alignment horizontal="center"/>
    </xf>
    <xf numFmtId="0" fontId="0" fillId="0" borderId="0" xfId="0" applyAlignment="1">
      <alignment horizontal="left" vertical="top" wrapText="1"/>
    </xf>
    <xf numFmtId="0" fontId="0" fillId="0" borderId="1" xfId="0" applyBorder="1" applyAlignment="1">
      <alignment horizontal="left" vertical="top" wrapText="1"/>
    </xf>
  </cellXfs>
  <cellStyles count="18">
    <cellStyle name="Moeda" xfId="8" builtinId="4"/>
    <cellStyle name="Moeda 2" xfId="4" xr:uid="{88D8EF41-8435-41DD-B95B-CB2197D8CF8B}"/>
    <cellStyle name="Moeda 3" xfId="9" xr:uid="{18A079E9-578A-4840-BD6F-5C55BE5AE376}"/>
    <cellStyle name="Moeda 3 2" xfId="15" xr:uid="{53D7C568-CC58-4B15-B9DD-1867C128147F}"/>
    <cellStyle name="Moeda 4" xfId="6" xr:uid="{87039FAF-445E-422B-A516-66BA7E305CF9}"/>
    <cellStyle name="Moeda 4 2" xfId="10" xr:uid="{636A40C2-255F-46EF-84CA-98953AE8866B}"/>
    <cellStyle name="Moeda 4 2 2" xfId="16" xr:uid="{7BDB4489-6168-4BE0-A964-5DE628ED1876}"/>
    <cellStyle name="Moeda 5" xfId="11" xr:uid="{2124AE60-0557-4AC3-B48A-633CB17E3340}"/>
    <cellStyle name="Moeda 5 2" xfId="17" xr:uid="{0C993D40-EFA9-480A-9766-C4BE8F04E4F7}"/>
    <cellStyle name="Moeda 6" xfId="14" xr:uid="{574A822A-71B7-46B2-A0C3-1C5E8591DADA}"/>
    <cellStyle name="Normal" xfId="0" builtinId="0"/>
    <cellStyle name="Normal 2" xfId="2" xr:uid="{BD42359E-6099-413E-81D2-0E0BA4C03DB2}"/>
    <cellStyle name="Normal 3" xfId="7" xr:uid="{68151FFA-A329-4F7F-B412-27BE57253D9C}"/>
    <cellStyle name="Normal 3 2" xfId="13" xr:uid="{EDD1A25C-4E09-47DE-9478-AA6861AFB48F}"/>
    <cellStyle name="Normal 6" xfId="12" xr:uid="{2888F636-9924-454F-857E-E38553BD81CD}"/>
    <cellStyle name="Normal_Plan1" xfId="3" xr:uid="{ABCD160A-D73A-4213-9DF3-17A45862579B}"/>
    <cellStyle name="Porcentagem" xfId="1" builtinId="5"/>
    <cellStyle name="Porcentagem 2" xfId="5" xr:uid="{58C97418-D6D1-4F2E-95E9-1B0ADE8B90D4}"/>
  </cellStyles>
  <dxfs count="0"/>
  <tableStyles count="0" defaultTableStyle="TableStyleMedium2" defaultPivotStyle="PivotStyleLight16"/>
  <colors>
    <mruColors>
      <color rgb="FFFFCCCC"/>
      <color rgb="FFFFFFFF"/>
      <color rgb="FF0476D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openxmlformats.org/officeDocument/2006/relationships/customXml" Target="../customXml/item2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4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Relationship Id="rId14" Type="http://schemas.openxmlformats.org/officeDocument/2006/relationships/customXml" Target="../customXml/item3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4" Type="http://schemas.openxmlformats.org/officeDocument/2006/relationships/image" Target="../media/image4.emf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4" Type="http://schemas.openxmlformats.org/officeDocument/2006/relationships/image" Target="../media/image4.emf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4" Type="http://schemas.openxmlformats.org/officeDocument/2006/relationships/image" Target="../media/image4.emf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pn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6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5</xdr:col>
      <xdr:colOff>106475</xdr:colOff>
      <xdr:row>0</xdr:row>
      <xdr:rowOff>139700</xdr:rowOff>
    </xdr:from>
    <xdr:to>
      <xdr:col>5</xdr:col>
      <xdr:colOff>1114992</xdr:colOff>
      <xdr:row>1</xdr:row>
      <xdr:rowOff>57150</xdr:rowOff>
    </xdr:to>
    <xdr:sp macro="" textlink="">
      <xdr:nvSpPr>
        <xdr:cNvPr id="2" name="Label1" hidden="1">
          <a:extLst>
            <a:ext uri="{63B3BB69-23CF-44E3-9099-C40C66FF867C}">
              <a14:compatExt xmlns:a14="http://schemas.microsoft.com/office/drawing/2010/main" spid="_x0000_s28673"/>
            </a:ext>
            <a:ext uri="{FF2B5EF4-FFF2-40B4-BE49-F238E27FC236}">
              <a16:creationId xmlns:a16="http://schemas.microsoft.com/office/drawing/2014/main" id="{90FEBAFD-2E43-45A4-AD08-3818C619ACEF}"/>
            </a:ext>
          </a:extLst>
        </xdr:cNvPr>
        <xdr:cNvSpPr/>
      </xdr:nvSpPr>
      <xdr:spPr bwMode="auto">
        <a:xfrm>
          <a:off x="673893" y="139700"/>
          <a:ext cx="985385" cy="5461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absolute">
    <xdr:from>
      <xdr:col>1</xdr:col>
      <xdr:colOff>250031</xdr:colOff>
      <xdr:row>0</xdr:row>
      <xdr:rowOff>130971</xdr:rowOff>
    </xdr:from>
    <xdr:to>
      <xdr:col>5</xdr:col>
      <xdr:colOff>88217</xdr:colOff>
      <xdr:row>0</xdr:row>
      <xdr:rowOff>506413</xdr:rowOff>
    </xdr:to>
    <xdr:pic macro="[0]!ChamaForm_Menu">
      <xdr:nvPicPr>
        <xdr:cNvPr id="3" name="Imagem 2">
          <a:extLst>
            <a:ext uri="{FF2B5EF4-FFF2-40B4-BE49-F238E27FC236}">
              <a16:creationId xmlns:a16="http://schemas.microsoft.com/office/drawing/2014/main" id="{F12CC40E-B75F-490B-B22A-0E1CA27D0A3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0031" y="130971"/>
          <a:ext cx="405604" cy="375442"/>
        </a:xfrm>
        <a:prstGeom prst="rect">
          <a:avLst/>
        </a:prstGeom>
      </xdr:spPr>
    </xdr:pic>
    <xdr:clientData/>
  </xdr:twoCellAnchor>
  <xdr:twoCellAnchor editAs="absolute">
    <xdr:from>
      <xdr:col>45</xdr:col>
      <xdr:colOff>554566</xdr:colOff>
      <xdr:row>0</xdr:row>
      <xdr:rowOff>190500</xdr:rowOff>
    </xdr:from>
    <xdr:to>
      <xdr:col>47</xdr:col>
      <xdr:colOff>351389</xdr:colOff>
      <xdr:row>1</xdr:row>
      <xdr:rowOff>114300</xdr:rowOff>
    </xdr:to>
    <xdr:sp macro="" textlink="">
      <xdr:nvSpPr>
        <xdr:cNvPr id="4" name="Label2" hidden="1">
          <a:extLst>
            <a:ext uri="{63B3BB69-23CF-44E3-9099-C40C66FF867C}">
              <a14:compatExt xmlns:a14="http://schemas.microsoft.com/office/drawing/2010/main" spid="_x0000_s28674"/>
            </a:ext>
            <a:ext uri="{FF2B5EF4-FFF2-40B4-BE49-F238E27FC236}">
              <a16:creationId xmlns:a16="http://schemas.microsoft.com/office/drawing/2014/main" id="{5374160F-F6EE-433E-B6F5-7F4FD3B6AF91}"/>
            </a:ext>
          </a:extLst>
        </xdr:cNvPr>
        <xdr:cNvSpPr/>
      </xdr:nvSpPr>
      <xdr:spPr bwMode="auto">
        <a:xfrm>
          <a:off x="29748389" y="190500"/>
          <a:ext cx="989716" cy="55245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absolute">
    <xdr:from>
      <xdr:col>44</xdr:col>
      <xdr:colOff>562276</xdr:colOff>
      <xdr:row>0</xdr:row>
      <xdr:rowOff>182566</xdr:rowOff>
    </xdr:from>
    <xdr:to>
      <xdr:col>45</xdr:col>
      <xdr:colOff>475188</xdr:colOff>
      <xdr:row>0</xdr:row>
      <xdr:rowOff>545308</xdr:rowOff>
    </xdr:to>
    <xdr:pic macro="[0]!ChamaForm_Menu">
      <xdr:nvPicPr>
        <xdr:cNvPr id="5" name="Imagem 4">
          <a:extLst>
            <a:ext uri="{FF2B5EF4-FFF2-40B4-BE49-F238E27FC236}">
              <a16:creationId xmlns:a16="http://schemas.microsoft.com/office/drawing/2014/main" id="{4269C661-4421-4F03-8DC2-600A3D42D1D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9249913" y="182566"/>
          <a:ext cx="431798" cy="362742"/>
        </a:xfrm>
        <a:prstGeom prst="rect">
          <a:avLst/>
        </a:prstGeom>
      </xdr:spPr>
    </xdr:pic>
    <xdr:clientData/>
  </xdr:twoCellAnchor>
  <xdr:oneCellAnchor>
    <xdr:from>
      <xdr:col>8</xdr:col>
      <xdr:colOff>233435</xdr:colOff>
      <xdr:row>4</xdr:row>
      <xdr:rowOff>77294</xdr:rowOff>
    </xdr:from>
    <xdr:ext cx="1578692" cy="1133741"/>
    <xdr:pic>
      <xdr:nvPicPr>
        <xdr:cNvPr id="6" name="Imagem 5">
          <a:extLst>
            <a:ext uri="{FF2B5EF4-FFF2-40B4-BE49-F238E27FC236}">
              <a16:creationId xmlns:a16="http://schemas.microsoft.com/office/drawing/2014/main" id="{92F4CA0F-3CBD-4278-AA2C-1F5B5EB5FBC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9064471" y="1506044"/>
          <a:ext cx="1578692" cy="1133741"/>
        </a:xfrm>
        <a:prstGeom prst="rect">
          <a:avLst/>
        </a:prstGeom>
      </xdr:spPr>
    </xdr:pic>
    <xdr:clientData/>
  </xdr:oneCellAnchor>
  <xdr:twoCellAnchor editAs="absolute">
    <xdr:from>
      <xdr:col>5</xdr:col>
      <xdr:colOff>83457</xdr:colOff>
      <xdr:row>0</xdr:row>
      <xdr:rowOff>114300</xdr:rowOff>
    </xdr:from>
    <xdr:to>
      <xdr:col>5</xdr:col>
      <xdr:colOff>1011646</xdr:colOff>
      <xdr:row>1</xdr:row>
      <xdr:rowOff>48895</xdr:rowOff>
    </xdr:to>
    <xdr:pic>
      <xdr:nvPicPr>
        <xdr:cNvPr id="7" name="Label1">
          <a:extLst>
            <a:ext uri="{FF2B5EF4-FFF2-40B4-BE49-F238E27FC236}">
              <a16:creationId xmlns:a16="http://schemas.microsoft.com/office/drawing/2014/main" id="{DA5CCEA0-0C0C-4273-8023-76657717ADDB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57225" y="114300"/>
          <a:ext cx="903242" cy="563245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absolute">
    <xdr:from>
      <xdr:col>45</xdr:col>
      <xdr:colOff>466301</xdr:colOff>
      <xdr:row>0</xdr:row>
      <xdr:rowOff>152400</xdr:rowOff>
    </xdr:from>
    <xdr:to>
      <xdr:col>47</xdr:col>
      <xdr:colOff>321702</xdr:colOff>
      <xdr:row>1</xdr:row>
      <xdr:rowOff>102235</xdr:rowOff>
    </xdr:to>
    <xdr:pic>
      <xdr:nvPicPr>
        <xdr:cNvPr id="8" name="Label2">
          <a:extLst>
            <a:ext uri="{FF2B5EF4-FFF2-40B4-BE49-F238E27FC236}">
              <a16:creationId xmlns:a16="http://schemas.microsoft.com/office/drawing/2014/main" id="{D217D222-5F52-423D-8271-92A04CB7946B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9631549" y="152400"/>
          <a:ext cx="1095919" cy="578485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5</xdr:col>
      <xdr:colOff>188118</xdr:colOff>
      <xdr:row>0</xdr:row>
      <xdr:rowOff>139700</xdr:rowOff>
    </xdr:from>
    <xdr:to>
      <xdr:col>5</xdr:col>
      <xdr:colOff>1190285</xdr:colOff>
      <xdr:row>1</xdr:row>
      <xdr:rowOff>57150</xdr:rowOff>
    </xdr:to>
    <xdr:sp macro="" textlink="">
      <xdr:nvSpPr>
        <xdr:cNvPr id="2" name="Label1" hidden="1">
          <a:extLst>
            <a:ext uri="{63B3BB69-23CF-44E3-9099-C40C66FF867C}">
              <a14:compatExt xmlns:a14="http://schemas.microsoft.com/office/drawing/2010/main" spid="_x0000_s28673"/>
            </a:ext>
            <a:ext uri="{FF2B5EF4-FFF2-40B4-BE49-F238E27FC236}">
              <a16:creationId xmlns:a16="http://schemas.microsoft.com/office/drawing/2014/main" id="{9C8B7AF9-814D-424B-9169-0939B44FA8DB}"/>
            </a:ext>
          </a:extLst>
        </xdr:cNvPr>
        <xdr:cNvSpPr/>
      </xdr:nvSpPr>
      <xdr:spPr bwMode="auto">
        <a:xfrm>
          <a:off x="673893" y="142875"/>
          <a:ext cx="991735" cy="542925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absolute">
    <xdr:from>
      <xdr:col>1</xdr:col>
      <xdr:colOff>250031</xdr:colOff>
      <xdr:row>0</xdr:row>
      <xdr:rowOff>130971</xdr:rowOff>
    </xdr:from>
    <xdr:to>
      <xdr:col>5</xdr:col>
      <xdr:colOff>169860</xdr:colOff>
      <xdr:row>0</xdr:row>
      <xdr:rowOff>506413</xdr:rowOff>
    </xdr:to>
    <xdr:pic macro="[0]!ChamaForm_Menu">
      <xdr:nvPicPr>
        <xdr:cNvPr id="3" name="Imagem 2">
          <a:extLst>
            <a:ext uri="{FF2B5EF4-FFF2-40B4-BE49-F238E27FC236}">
              <a16:creationId xmlns:a16="http://schemas.microsoft.com/office/drawing/2014/main" id="{1763EBBB-FF13-446D-AF16-DB03EADD58A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0031" y="130971"/>
          <a:ext cx="405604" cy="372267"/>
        </a:xfrm>
        <a:prstGeom prst="rect">
          <a:avLst/>
        </a:prstGeom>
      </xdr:spPr>
    </xdr:pic>
    <xdr:clientData/>
  </xdr:twoCellAnchor>
  <xdr:twoCellAnchor editAs="absolute">
    <xdr:from>
      <xdr:col>43</xdr:col>
      <xdr:colOff>131838</xdr:colOff>
      <xdr:row>0</xdr:row>
      <xdr:rowOff>190500</xdr:rowOff>
    </xdr:from>
    <xdr:to>
      <xdr:col>44</xdr:col>
      <xdr:colOff>515582</xdr:colOff>
      <xdr:row>1</xdr:row>
      <xdr:rowOff>114300</xdr:rowOff>
    </xdr:to>
    <xdr:sp macro="" textlink="">
      <xdr:nvSpPr>
        <xdr:cNvPr id="4" name="Label2" hidden="1">
          <a:extLst>
            <a:ext uri="{63B3BB69-23CF-44E3-9099-C40C66FF867C}">
              <a14:compatExt xmlns:a14="http://schemas.microsoft.com/office/drawing/2010/main" spid="_x0000_s28674"/>
            </a:ext>
            <a:ext uri="{FF2B5EF4-FFF2-40B4-BE49-F238E27FC236}">
              <a16:creationId xmlns:a16="http://schemas.microsoft.com/office/drawing/2014/main" id="{0B564B4E-59AE-4817-B9B8-EC049F045267}"/>
            </a:ext>
          </a:extLst>
        </xdr:cNvPr>
        <xdr:cNvSpPr/>
      </xdr:nvSpPr>
      <xdr:spPr bwMode="auto">
        <a:xfrm>
          <a:off x="29773638" y="190500"/>
          <a:ext cx="1011941" cy="55245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absolute">
    <xdr:from>
      <xdr:col>42</xdr:col>
      <xdr:colOff>241148</xdr:colOff>
      <xdr:row>0</xdr:row>
      <xdr:rowOff>182566</xdr:rowOff>
    </xdr:from>
    <xdr:to>
      <xdr:col>43</xdr:col>
      <xdr:colOff>65160</xdr:colOff>
      <xdr:row>0</xdr:row>
      <xdr:rowOff>545308</xdr:rowOff>
    </xdr:to>
    <xdr:pic macro="[0]!ChamaForm_Menu">
      <xdr:nvPicPr>
        <xdr:cNvPr id="5" name="Imagem 4">
          <a:extLst>
            <a:ext uri="{FF2B5EF4-FFF2-40B4-BE49-F238E27FC236}">
              <a16:creationId xmlns:a16="http://schemas.microsoft.com/office/drawing/2014/main" id="{4A06D853-590A-4405-8D4D-A1B6F0D236A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9270627" y="179391"/>
          <a:ext cx="426808" cy="362742"/>
        </a:xfrm>
        <a:prstGeom prst="rect">
          <a:avLst/>
        </a:prstGeom>
      </xdr:spPr>
    </xdr:pic>
    <xdr:clientData/>
  </xdr:twoCellAnchor>
  <xdr:oneCellAnchor>
    <xdr:from>
      <xdr:col>9</xdr:col>
      <xdr:colOff>1125427</xdr:colOff>
      <xdr:row>4</xdr:row>
      <xdr:rowOff>190500</xdr:rowOff>
    </xdr:from>
    <xdr:ext cx="1917693" cy="1377195"/>
    <xdr:pic>
      <xdr:nvPicPr>
        <xdr:cNvPr id="6" name="Imagem 5">
          <a:extLst>
            <a:ext uri="{FF2B5EF4-FFF2-40B4-BE49-F238E27FC236}">
              <a16:creationId xmlns:a16="http://schemas.microsoft.com/office/drawing/2014/main" id="{260C4213-2F5C-44C4-82C5-DB165B46239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9833998" y="1619250"/>
          <a:ext cx="1917693" cy="1377195"/>
        </a:xfrm>
        <a:prstGeom prst="rect">
          <a:avLst/>
        </a:prstGeom>
      </xdr:spPr>
    </xdr:pic>
    <xdr:clientData/>
  </xdr:oneCellAnchor>
  <xdr:twoCellAnchor editAs="absolute">
    <xdr:from>
      <xdr:col>5</xdr:col>
      <xdr:colOff>171450</xdr:colOff>
      <xdr:row>0</xdr:row>
      <xdr:rowOff>114300</xdr:rowOff>
    </xdr:from>
    <xdr:to>
      <xdr:col>5</xdr:col>
      <xdr:colOff>1093289</xdr:colOff>
      <xdr:row>1</xdr:row>
      <xdr:rowOff>48895</xdr:rowOff>
    </xdr:to>
    <xdr:pic>
      <xdr:nvPicPr>
        <xdr:cNvPr id="7" name="Label1">
          <a:extLst>
            <a:ext uri="{FF2B5EF4-FFF2-40B4-BE49-F238E27FC236}">
              <a16:creationId xmlns:a16="http://schemas.microsoft.com/office/drawing/2014/main" id="{ED428664-B5CF-41BF-93A6-89D65EE71AD3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57225" y="114300"/>
          <a:ext cx="911407" cy="56007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absolute">
    <xdr:from>
      <xdr:col>43</xdr:col>
      <xdr:colOff>46748</xdr:colOff>
      <xdr:row>0</xdr:row>
      <xdr:rowOff>152400</xdr:rowOff>
    </xdr:from>
    <xdr:to>
      <xdr:col>44</xdr:col>
      <xdr:colOff>514470</xdr:colOff>
      <xdr:row>1</xdr:row>
      <xdr:rowOff>102235</xdr:rowOff>
    </xdr:to>
    <xdr:pic>
      <xdr:nvPicPr>
        <xdr:cNvPr id="8" name="Label2">
          <a:extLst>
            <a:ext uri="{FF2B5EF4-FFF2-40B4-BE49-F238E27FC236}">
              <a16:creationId xmlns:a16="http://schemas.microsoft.com/office/drawing/2014/main" id="{99DDB5AC-59A1-4F66-9FC9-996BA1A2883E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9688548" y="152400"/>
          <a:ext cx="1086394" cy="58166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674800</xdr:colOff>
      <xdr:row>0</xdr:row>
      <xdr:rowOff>142875</xdr:rowOff>
    </xdr:from>
    <xdr:to>
      <xdr:col>1</xdr:col>
      <xdr:colOff>925399</xdr:colOff>
      <xdr:row>1</xdr:row>
      <xdr:rowOff>57150</xdr:rowOff>
    </xdr:to>
    <xdr:sp macro="" textlink="">
      <xdr:nvSpPr>
        <xdr:cNvPr id="2" name="Label1" hidden="1">
          <a:extLst>
            <a:ext uri="{63B3BB69-23CF-44E3-9099-C40C66FF867C}">
              <a14:compatExt xmlns:a14="http://schemas.microsoft.com/office/drawing/2010/main" spid="_x0000_s28673"/>
            </a:ext>
            <a:ext uri="{FF2B5EF4-FFF2-40B4-BE49-F238E27FC236}">
              <a16:creationId xmlns:a16="http://schemas.microsoft.com/office/drawing/2014/main" id="{17189C6A-2C53-43DB-AF97-5FB1D4B8A9F2}"/>
            </a:ext>
          </a:extLst>
        </xdr:cNvPr>
        <xdr:cNvSpPr/>
      </xdr:nvSpPr>
      <xdr:spPr bwMode="auto">
        <a:xfrm>
          <a:off x="673893" y="139700"/>
          <a:ext cx="991735" cy="5461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absolute">
    <xdr:from>
      <xdr:col>0</xdr:col>
      <xdr:colOff>250031</xdr:colOff>
      <xdr:row>0</xdr:row>
      <xdr:rowOff>130971</xdr:rowOff>
    </xdr:from>
    <xdr:to>
      <xdr:col>0</xdr:col>
      <xdr:colOff>656542</xdr:colOff>
      <xdr:row>0</xdr:row>
      <xdr:rowOff>503238</xdr:rowOff>
    </xdr:to>
    <xdr:pic macro="[0]!ChamaForm_Menu">
      <xdr:nvPicPr>
        <xdr:cNvPr id="3" name="Imagem 2">
          <a:extLst>
            <a:ext uri="{FF2B5EF4-FFF2-40B4-BE49-F238E27FC236}">
              <a16:creationId xmlns:a16="http://schemas.microsoft.com/office/drawing/2014/main" id="{99253974-467E-4B51-9914-0628B0667A0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0031" y="130971"/>
          <a:ext cx="405604" cy="375442"/>
        </a:xfrm>
        <a:prstGeom prst="rect">
          <a:avLst/>
        </a:prstGeom>
      </xdr:spPr>
    </xdr:pic>
    <xdr:clientData/>
  </xdr:twoCellAnchor>
  <xdr:twoCellAnchor editAs="absolute">
    <xdr:from>
      <xdr:col>22</xdr:col>
      <xdr:colOff>145445</xdr:colOff>
      <xdr:row>0</xdr:row>
      <xdr:rowOff>190500</xdr:rowOff>
    </xdr:from>
    <xdr:to>
      <xdr:col>22</xdr:col>
      <xdr:colOff>1135161</xdr:colOff>
      <xdr:row>1</xdr:row>
      <xdr:rowOff>114300</xdr:rowOff>
    </xdr:to>
    <xdr:sp macro="" textlink="">
      <xdr:nvSpPr>
        <xdr:cNvPr id="4" name="Label2" hidden="1">
          <a:extLst>
            <a:ext uri="{63B3BB69-23CF-44E3-9099-C40C66FF867C}">
              <a14:compatExt xmlns:a14="http://schemas.microsoft.com/office/drawing/2010/main" spid="_x0000_s28674"/>
            </a:ext>
            <a:ext uri="{FF2B5EF4-FFF2-40B4-BE49-F238E27FC236}">
              <a16:creationId xmlns:a16="http://schemas.microsoft.com/office/drawing/2014/main" id="{071F535C-F992-42F2-8814-0D550DF5981D}"/>
            </a:ext>
          </a:extLst>
        </xdr:cNvPr>
        <xdr:cNvSpPr/>
      </xdr:nvSpPr>
      <xdr:spPr bwMode="auto">
        <a:xfrm>
          <a:off x="29784977" y="190500"/>
          <a:ext cx="989716" cy="55245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absolute">
    <xdr:from>
      <xdr:col>21</xdr:col>
      <xdr:colOff>1017662</xdr:colOff>
      <xdr:row>0</xdr:row>
      <xdr:rowOff>179391</xdr:rowOff>
    </xdr:from>
    <xdr:to>
      <xdr:col>22</xdr:col>
      <xdr:colOff>69242</xdr:colOff>
      <xdr:row>0</xdr:row>
      <xdr:rowOff>542133</xdr:rowOff>
    </xdr:to>
    <xdr:pic macro="[0]!ChamaForm_Menu">
      <xdr:nvPicPr>
        <xdr:cNvPr id="5" name="Imagem 4">
          <a:extLst>
            <a:ext uri="{FF2B5EF4-FFF2-40B4-BE49-F238E27FC236}">
              <a16:creationId xmlns:a16="http://schemas.microsoft.com/office/drawing/2014/main" id="{EC917D45-025A-4990-8B3F-08DB5AE22B2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9280152" y="182566"/>
          <a:ext cx="428622" cy="362742"/>
        </a:xfrm>
        <a:prstGeom prst="rect">
          <a:avLst/>
        </a:prstGeom>
      </xdr:spPr>
    </xdr:pic>
    <xdr:clientData/>
  </xdr:twoCellAnchor>
  <xdr:oneCellAnchor>
    <xdr:from>
      <xdr:col>4</xdr:col>
      <xdr:colOff>1047749</xdr:colOff>
      <xdr:row>6</xdr:row>
      <xdr:rowOff>237744</xdr:rowOff>
    </xdr:from>
    <xdr:ext cx="1491907" cy="1071416"/>
    <xdr:pic>
      <xdr:nvPicPr>
        <xdr:cNvPr id="6" name="Imagem 5">
          <a:extLst>
            <a:ext uri="{FF2B5EF4-FFF2-40B4-BE49-F238E27FC236}">
              <a16:creationId xmlns:a16="http://schemas.microsoft.com/office/drawing/2014/main" id="{7CBDEFE9-74E5-43B0-9C26-038D38B2C1A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6980463" y="2156351"/>
          <a:ext cx="1491907" cy="1071416"/>
        </a:xfrm>
        <a:prstGeom prst="rect">
          <a:avLst/>
        </a:prstGeom>
      </xdr:spPr>
    </xdr:pic>
    <xdr:clientData/>
  </xdr:oneCellAnchor>
  <xdr:twoCellAnchor editAs="absolute">
    <xdr:from>
      <xdr:col>0</xdr:col>
      <xdr:colOff>654957</xdr:colOff>
      <xdr:row>0</xdr:row>
      <xdr:rowOff>114300</xdr:rowOff>
    </xdr:from>
    <xdr:to>
      <xdr:col>1</xdr:col>
      <xdr:colOff>828403</xdr:colOff>
      <xdr:row>1</xdr:row>
      <xdr:rowOff>45720</xdr:rowOff>
    </xdr:to>
    <xdr:pic>
      <xdr:nvPicPr>
        <xdr:cNvPr id="7" name="Label1">
          <a:extLst>
            <a:ext uri="{FF2B5EF4-FFF2-40B4-BE49-F238E27FC236}">
              <a16:creationId xmlns:a16="http://schemas.microsoft.com/office/drawing/2014/main" id="{7B8925BA-0103-4D0D-A96C-2BB5D6BD8AD7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57225" y="114300"/>
          <a:ext cx="911407" cy="563245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absolute">
    <xdr:from>
      <xdr:col>22</xdr:col>
      <xdr:colOff>44480</xdr:colOff>
      <xdr:row>0</xdr:row>
      <xdr:rowOff>152400</xdr:rowOff>
    </xdr:from>
    <xdr:to>
      <xdr:col>22</xdr:col>
      <xdr:colOff>1153099</xdr:colOff>
      <xdr:row>1</xdr:row>
      <xdr:rowOff>105410</xdr:rowOff>
    </xdr:to>
    <xdr:pic>
      <xdr:nvPicPr>
        <xdr:cNvPr id="8" name="Label2">
          <a:extLst>
            <a:ext uri="{FF2B5EF4-FFF2-40B4-BE49-F238E27FC236}">
              <a16:creationId xmlns:a16="http://schemas.microsoft.com/office/drawing/2014/main" id="{4CCCD029-B897-4BBF-BC44-5D279246E72C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9690362" y="152400"/>
          <a:ext cx="1086394" cy="578485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0</xdr:colOff>
      <xdr:row>0</xdr:row>
      <xdr:rowOff>0</xdr:rowOff>
    </xdr:from>
    <xdr:ext cx="2667000" cy="1238250"/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2667000" cy="1238250"/>
        </a:xfrm>
        <a:prstGeom prst="rect">
          <a:avLst/>
        </a:prstGeom>
      </xdr:spPr>
    </xdr:pic>
    <xdr:clientData/>
  </xdr:one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167640</xdr:colOff>
      <xdr:row>49</xdr:row>
      <xdr:rowOff>137160</xdr:rowOff>
    </xdr:from>
    <xdr:to>
      <xdr:col>5</xdr:col>
      <xdr:colOff>259080</xdr:colOff>
      <xdr:row>49</xdr:row>
      <xdr:rowOff>137160</xdr:rowOff>
    </xdr:to>
    <xdr:cxnSp macro="">
      <xdr:nvCxnSpPr>
        <xdr:cNvPr id="2" name="Conector reto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CxnSpPr/>
      </xdr:nvCxnSpPr>
      <xdr:spPr>
        <a:xfrm>
          <a:off x="396240" y="8717280"/>
          <a:ext cx="1996440" cy="0"/>
        </a:xfrm>
        <a:prstGeom prst="line">
          <a:avLst/>
        </a:prstGeom>
        <a:ln>
          <a:solidFill>
            <a:sysClr val="windowText" lastClr="00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487680</xdr:colOff>
      <xdr:row>49</xdr:row>
      <xdr:rowOff>137160</xdr:rowOff>
    </xdr:from>
    <xdr:to>
      <xdr:col>10</xdr:col>
      <xdr:colOff>472440</xdr:colOff>
      <xdr:row>49</xdr:row>
      <xdr:rowOff>137160</xdr:rowOff>
    </xdr:to>
    <xdr:cxnSp macro="">
      <xdr:nvCxnSpPr>
        <xdr:cNvPr id="3" name="Conector reto 2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CxnSpPr/>
      </xdr:nvCxnSpPr>
      <xdr:spPr>
        <a:xfrm>
          <a:off x="3665220" y="8717280"/>
          <a:ext cx="1874520" cy="0"/>
        </a:xfrm>
        <a:prstGeom prst="line">
          <a:avLst/>
        </a:prstGeom>
        <a:ln>
          <a:solidFill>
            <a:sysClr val="windowText" lastClr="00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oneCellAnchor>
    <xdr:from>
      <xdr:col>10</xdr:col>
      <xdr:colOff>53340</xdr:colOff>
      <xdr:row>1</xdr:row>
      <xdr:rowOff>91440</xdr:rowOff>
    </xdr:from>
    <xdr:ext cx="916651" cy="861060"/>
    <xdr:pic>
      <xdr:nvPicPr>
        <xdr:cNvPr id="4" name="Picture 28">
          <a:extLst>
            <a:ext uri="{FF2B5EF4-FFF2-40B4-BE49-F238E27FC236}">
              <a16:creationId xmlns:a16="http://schemas.microsoft.com/office/drawing/2014/main" id="{00000000-0008-0000-0400-000004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5120640" y="198120"/>
          <a:ext cx="916651" cy="86106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</xdr:wsDr>
</file>

<file path=xl/theme/theme1.xml><?xml version="1.0" encoding="utf-8"?>
<a:theme xmlns:a="http://schemas.openxmlformats.org/drawingml/2006/main" name="Tema do Office 2013 - 2022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txDef>
      <a:spPr>
        <a:noFill/>
      </a:spPr>
      <a:bodyPr vertOverflow="clip" horzOverflow="clip" wrap="none" rtlCol="0" anchor="t">
        <a:noAutofit/>
      </a:bodyPr>
      <a:lstStyle>
        <a:defPPr algn="ctr">
          <a:defRPr sz="1600" b="0">
            <a:latin typeface="Abadi" panose="020B0604020104020204" pitchFamily="34" charset="0"/>
          </a:defRPr>
        </a:defPPr>
      </a:lstStyle>
      <a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a:style>
    </a:txDef>
  </a:objectDefaults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A92E75-0602-4A60-962B-91D6CDB4E3E1}">
  <dimension ref="A1:K29"/>
  <sheetViews>
    <sheetView showGridLines="0" tabSelected="1" topLeftCell="A8" zoomScale="82" zoomScaleNormal="82" workbookViewId="0">
      <selection activeCell="N27" sqref="N27"/>
    </sheetView>
  </sheetViews>
  <sheetFormatPr defaultColWidth="8.77734375" defaultRowHeight="18" x14ac:dyDescent="0.35"/>
  <cols>
    <col min="1" max="1" width="8.77734375" style="250"/>
    <col min="2" max="2" width="26.21875" style="250" customWidth="1"/>
    <col min="3" max="3" width="50.77734375" style="250" customWidth="1"/>
    <col min="4" max="4" width="20.44140625" style="250" customWidth="1"/>
    <col min="5" max="5" width="20" style="250" bestFit="1" customWidth="1"/>
    <col min="6" max="6" width="8.109375" style="251" customWidth="1"/>
    <col min="7" max="7" width="12.77734375" style="250" bestFit="1" customWidth="1"/>
    <col min="8" max="8" width="14.5546875" style="250" bestFit="1" customWidth="1"/>
    <col min="9" max="10" width="8.77734375" style="250"/>
    <col min="11" max="11" width="18.44140625" style="250" bestFit="1" customWidth="1"/>
    <col min="12" max="16384" width="8.77734375" style="250"/>
  </cols>
  <sheetData>
    <row r="1" spans="1:5" s="251" customFormat="1" hidden="1" x14ac:dyDescent="0.35">
      <c r="A1" s="250"/>
      <c r="B1" s="250"/>
      <c r="C1" s="250"/>
      <c r="D1" s="250"/>
      <c r="E1" s="250"/>
    </row>
    <row r="2" spans="1:5" s="251" customFormat="1" hidden="1" x14ac:dyDescent="0.35">
      <c r="A2" s="250"/>
      <c r="B2" s="250"/>
      <c r="C2" s="250"/>
      <c r="D2" s="250"/>
      <c r="E2" s="250"/>
    </row>
    <row r="3" spans="1:5" s="251" customFormat="1" hidden="1" x14ac:dyDescent="0.35">
      <c r="A3" s="250"/>
      <c r="B3" s="250"/>
      <c r="C3" s="252">
        <v>45866</v>
      </c>
      <c r="D3" s="253"/>
      <c r="E3" s="317" t="e">
        <f>SUM(#REF!)</f>
        <v>#REF!</v>
      </c>
    </row>
    <row r="4" spans="1:5" s="251" customFormat="1" ht="15.45" hidden="1" customHeight="1" thickBot="1" x14ac:dyDescent="0.4">
      <c r="A4" s="250"/>
      <c r="B4" s="250"/>
      <c r="C4" s="254">
        <v>45867</v>
      </c>
      <c r="D4" s="255"/>
      <c r="E4" s="318"/>
    </row>
    <row r="5" spans="1:5" s="251" customFormat="1" hidden="1" x14ac:dyDescent="0.35">
      <c r="A5" s="250"/>
      <c r="B5" s="250"/>
      <c r="C5" s="256" t="s">
        <v>296</v>
      </c>
      <c r="D5" s="257"/>
      <c r="E5" s="250"/>
    </row>
    <row r="6" spans="1:5" s="251" customFormat="1" hidden="1" x14ac:dyDescent="0.35">
      <c r="A6" s="250"/>
      <c r="B6" s="250"/>
      <c r="C6" s="256" t="s">
        <v>297</v>
      </c>
      <c r="D6" s="257"/>
      <c r="E6" s="250"/>
    </row>
    <row r="7" spans="1:5" s="251" customFormat="1" ht="18.600000000000001" hidden="1" thickBot="1" x14ac:dyDescent="0.4">
      <c r="A7" s="250"/>
      <c r="B7" s="250"/>
      <c r="C7" s="258" t="s">
        <v>43</v>
      </c>
      <c r="D7" s="259"/>
      <c r="E7" s="250"/>
    </row>
    <row r="9" spans="1:5" s="251" customFormat="1" ht="24" customHeight="1" x14ac:dyDescent="0.35">
      <c r="A9" s="250"/>
      <c r="B9" s="250"/>
      <c r="C9" s="250"/>
      <c r="D9" s="250"/>
      <c r="E9" s="250"/>
    </row>
    <row r="11" spans="1:5" s="251" customFormat="1" ht="18" customHeight="1" x14ac:dyDescent="0.35">
      <c r="A11" s="250"/>
      <c r="B11" s="270" t="s">
        <v>192</v>
      </c>
      <c r="C11" s="271"/>
      <c r="D11" s="260"/>
      <c r="E11" s="250"/>
    </row>
    <row r="12" spans="1:5" s="251" customFormat="1" ht="18" customHeight="1" x14ac:dyDescent="0.35">
      <c r="A12" s="250"/>
      <c r="B12" s="272" t="s">
        <v>189</v>
      </c>
      <c r="C12" s="273"/>
      <c r="D12" s="260"/>
      <c r="E12" s="250"/>
    </row>
    <row r="13" spans="1:5" s="251" customFormat="1" ht="18" customHeight="1" x14ac:dyDescent="0.35">
      <c r="A13" s="250"/>
      <c r="B13" s="272" t="s">
        <v>194</v>
      </c>
      <c r="C13" s="274"/>
      <c r="D13" s="261"/>
      <c r="E13" s="250"/>
    </row>
    <row r="14" spans="1:5" s="251" customFormat="1" ht="18" customHeight="1" x14ac:dyDescent="0.35">
      <c r="A14" s="250"/>
      <c r="B14" s="272" t="s">
        <v>193</v>
      </c>
      <c r="C14" s="274"/>
      <c r="D14" s="261"/>
      <c r="E14" s="250"/>
    </row>
    <row r="15" spans="1:5" s="251" customFormat="1" ht="18" customHeight="1" x14ac:dyDescent="0.35">
      <c r="A15" s="250"/>
      <c r="B15" s="275" t="s">
        <v>195</v>
      </c>
      <c r="C15" s="276"/>
      <c r="D15" s="262"/>
      <c r="E15" s="250"/>
    </row>
    <row r="16" spans="1:5" s="251" customFormat="1" ht="18" customHeight="1" x14ac:dyDescent="0.35">
      <c r="A16" s="250"/>
      <c r="B16" s="272" t="s">
        <v>190</v>
      </c>
      <c r="C16" s="274"/>
      <c r="D16" s="261"/>
      <c r="E16" s="250"/>
    </row>
    <row r="17" spans="2:11" ht="18" customHeight="1" x14ac:dyDescent="0.35">
      <c r="B17" s="272" t="s">
        <v>196</v>
      </c>
      <c r="C17" s="274"/>
      <c r="D17" s="261"/>
    </row>
    <row r="18" spans="2:11" ht="18" customHeight="1" x14ac:dyDescent="0.35">
      <c r="B18" s="277" t="s">
        <v>197</v>
      </c>
      <c r="C18" s="278"/>
      <c r="D18" s="261"/>
    </row>
    <row r="20" spans="2:11" ht="15.45" customHeight="1" x14ac:dyDescent="0.35">
      <c r="B20" s="263"/>
      <c r="C20" s="263" t="s">
        <v>298</v>
      </c>
      <c r="D20" s="263" t="s">
        <v>299</v>
      </c>
      <c r="E20" s="263" t="s">
        <v>300</v>
      </c>
    </row>
    <row r="21" spans="2:11" ht="27" customHeight="1" x14ac:dyDescent="0.35">
      <c r="B21" s="264" t="s">
        <v>310</v>
      </c>
      <c r="C21" s="265">
        <f>PRINCIPAL!N46</f>
        <v>32962.832422020634</v>
      </c>
      <c r="D21" s="265">
        <f>PRINCIPAL!AB50</f>
        <v>21114.208687499999</v>
      </c>
      <c r="E21" s="265">
        <f>C21-D21</f>
        <v>11848.623734520635</v>
      </c>
      <c r="F21" s="266">
        <f>E21*100%/C21</f>
        <v>0.3594540536694058</v>
      </c>
    </row>
    <row r="22" spans="2:11" ht="30.45" customHeight="1" x14ac:dyDescent="0.35">
      <c r="B22" s="264" t="s">
        <v>294</v>
      </c>
      <c r="C22" s="265">
        <f>PRÊMIOS!N22</f>
        <v>6103.7343109233261</v>
      </c>
      <c r="D22" s="265">
        <f>PRÊMIOS!AB26</f>
        <v>3316.6512499999999</v>
      </c>
      <c r="E22" s="265">
        <f>C22-D22</f>
        <v>2787.0830609233262</v>
      </c>
      <c r="F22" s="266">
        <f>E22*100%/C22</f>
        <v>0.45661932825868984</v>
      </c>
    </row>
    <row r="23" spans="2:11" ht="24" customHeight="1" x14ac:dyDescent="0.35">
      <c r="B23" s="263"/>
      <c r="C23" s="267">
        <f>SUM(C21:C22)</f>
        <v>39066.56673294396</v>
      </c>
      <c r="D23" s="268">
        <f>SUM(D21:D22)</f>
        <v>24430.859937499998</v>
      </c>
      <c r="E23" s="268">
        <f>SUM(E21:E22)</f>
        <v>14635.706795443963</v>
      </c>
      <c r="F23" s="266">
        <f>E23*100%/C23</f>
        <v>0.37463509131714917</v>
      </c>
    </row>
    <row r="24" spans="2:11" ht="24" customHeight="1" x14ac:dyDescent="0.35">
      <c r="E24" s="269"/>
      <c r="K24" s="269"/>
    </row>
    <row r="25" spans="2:11" ht="199.95" hidden="1" customHeight="1" x14ac:dyDescent="0.35"/>
    <row r="29" spans="2:11" x14ac:dyDescent="0.35">
      <c r="C29" s="269"/>
    </row>
  </sheetData>
  <mergeCells count="1">
    <mergeCell ref="E3:E4"/>
  </mergeCells>
  <pageMargins left="0.51181102362204722" right="0.51181102362204722" top="0.78740157480314965" bottom="0.78740157480314965" header="0.31496062992125984" footer="0.31496062992125984"/>
  <pageSetup paperSize="9" orientation="landscape" horizontalDpi="360" verticalDpi="36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F06EAA-2976-4100-9892-3543EF884670}">
  <sheetPr codeName="Planilha16">
    <pageSetUpPr autoPageBreaks="0"/>
  </sheetPr>
  <dimension ref="A1:AO61"/>
  <sheetViews>
    <sheetView showGridLines="0" zoomScale="70" zoomScaleNormal="70" workbookViewId="0">
      <pane ySplit="1" topLeftCell="A40" activePane="bottomLeft" state="frozen"/>
      <selection activeCell="N39" sqref="N39"/>
      <selection pane="bottomLeft" activeCell="AB51" sqref="AB51"/>
    </sheetView>
  </sheetViews>
  <sheetFormatPr defaultRowHeight="18" x14ac:dyDescent="0.35"/>
  <cols>
    <col min="1" max="1" width="8.21875" style="119" hidden="1" customWidth="1"/>
    <col min="2" max="2" width="8.21875" style="224" customWidth="1"/>
    <col min="3" max="3" width="5.44140625" style="119" hidden="1" customWidth="1"/>
    <col min="4" max="4" width="6" style="119" hidden="1" customWidth="1"/>
    <col min="5" max="5" width="9.5546875" style="119" hidden="1" customWidth="1"/>
    <col min="6" max="6" width="30.77734375" customWidth="1"/>
    <col min="7" max="7" width="71.21875" customWidth="1"/>
    <col min="8" max="9" width="7.77734375" style="140" customWidth="1"/>
    <col min="10" max="10" width="17.21875" bestFit="1" customWidth="1"/>
    <col min="11" max="11" width="24.5546875" bestFit="1" customWidth="1"/>
    <col min="12" max="13" width="22.77734375" bestFit="1" customWidth="1"/>
    <col min="14" max="14" width="24.5546875" bestFit="1" customWidth="1"/>
    <col min="15" max="15" width="3.21875" hidden="1" customWidth="1"/>
    <col min="16" max="16" width="1.77734375" hidden="1" customWidth="1"/>
    <col min="17" max="17" width="7.77734375" style="140" customWidth="1"/>
    <col min="18" max="18" width="7.77734375" style="140" hidden="1" customWidth="1"/>
    <col min="19" max="19" width="17" hidden="1" customWidth="1"/>
    <col min="20" max="20" width="23.44140625" bestFit="1" customWidth="1"/>
    <col min="21" max="21" width="23.44140625" hidden="1" customWidth="1"/>
    <col min="22" max="23" width="22.77734375" hidden="1" customWidth="1"/>
    <col min="24" max="24" width="28.21875" bestFit="1" customWidth="1"/>
    <col min="25" max="25" width="28.21875" hidden="1" customWidth="1"/>
    <col min="26" max="26" width="19.77734375" hidden="1" customWidth="1"/>
    <col min="27" max="27" width="25.21875" hidden="1" customWidth="1"/>
    <col min="28" max="28" width="27" customWidth="1"/>
    <col min="29" max="29" width="30.6640625" bestFit="1" customWidth="1"/>
    <col min="30" max="30" width="8.21875" hidden="1" customWidth="1"/>
    <col min="31" max="32" width="33" hidden="1" customWidth="1"/>
    <col min="33" max="33" width="28" hidden="1" customWidth="1"/>
    <col min="34" max="34" width="1.21875" hidden="1" customWidth="1"/>
    <col min="35" max="35" width="81.5546875" hidden="1" customWidth="1"/>
    <col min="36" max="36" width="36.77734375" hidden="1" customWidth="1"/>
    <col min="37" max="37" width="1.5546875" hidden="1" customWidth="1"/>
    <col min="38" max="38" width="20.21875" hidden="1" customWidth="1"/>
    <col min="39" max="39" width="25.21875" hidden="1" customWidth="1"/>
    <col min="40" max="40" width="24.77734375" hidden="1" customWidth="1"/>
    <col min="41" max="41" width="16.21875" style="308" customWidth="1"/>
    <col min="42" max="42" width="21.21875" customWidth="1"/>
  </cols>
  <sheetData>
    <row r="1" spans="1:38" ht="49.5" customHeight="1" x14ac:dyDescent="0.35">
      <c r="B1" s="221"/>
      <c r="C1" s="120"/>
      <c r="D1" s="120"/>
      <c r="F1" s="319" t="s">
        <v>128</v>
      </c>
      <c r="G1" s="319"/>
    </row>
    <row r="2" spans="1:38" ht="24.75" customHeight="1" x14ac:dyDescent="0.35">
      <c r="B2" s="222"/>
      <c r="D2" s="120"/>
      <c r="F2" s="320" t="s">
        <v>0</v>
      </c>
      <c r="G2" s="320"/>
    </row>
    <row r="3" spans="1:38" x14ac:dyDescent="0.35">
      <c r="B3" s="223"/>
      <c r="F3" s="30"/>
      <c r="G3" s="30"/>
    </row>
    <row r="4" spans="1:38" ht="23.4" x14ac:dyDescent="0.35">
      <c r="F4" s="241" t="s">
        <v>192</v>
      </c>
      <c r="G4" s="242"/>
    </row>
    <row r="5" spans="1:38" ht="23.4" x14ac:dyDescent="0.35">
      <c r="F5" s="243" t="s">
        <v>189</v>
      </c>
      <c r="G5" s="244"/>
    </row>
    <row r="6" spans="1:38" ht="23.4" x14ac:dyDescent="0.35">
      <c r="F6" s="243" t="s">
        <v>194</v>
      </c>
      <c r="G6" s="245"/>
    </row>
    <row r="7" spans="1:38" ht="21.75" customHeight="1" x14ac:dyDescent="0.35">
      <c r="F7" s="243" t="s">
        <v>193</v>
      </c>
      <c r="G7" s="245"/>
    </row>
    <row r="8" spans="1:38" ht="23.4" x14ac:dyDescent="0.35">
      <c r="F8" s="246" t="s">
        <v>195</v>
      </c>
      <c r="G8" s="247"/>
    </row>
    <row r="9" spans="1:38" ht="23.4" x14ac:dyDescent="0.35">
      <c r="F9" s="243" t="s">
        <v>190</v>
      </c>
      <c r="G9" s="245"/>
      <c r="M9">
        <v>0.80469999999999997</v>
      </c>
    </row>
    <row r="10" spans="1:38" ht="27" customHeight="1" x14ac:dyDescent="0.35">
      <c r="F10" s="243" t="s">
        <v>196</v>
      </c>
      <c r="G10" s="245"/>
      <c r="M10">
        <f>1-M9</f>
        <v>0.19530000000000003</v>
      </c>
    </row>
    <row r="11" spans="1:38" ht="24" thickBot="1" x14ac:dyDescent="0.4">
      <c r="F11" s="248" t="s">
        <v>197</v>
      </c>
      <c r="G11" s="249"/>
    </row>
    <row r="12" spans="1:38" ht="18.600000000000001" thickBot="1" x14ac:dyDescent="0.4">
      <c r="B12" s="225"/>
      <c r="M12" s="26"/>
      <c r="Q12" s="321" t="s">
        <v>1</v>
      </c>
      <c r="R12" s="322"/>
      <c r="S12" s="322"/>
      <c r="T12" s="323"/>
      <c r="U12" s="324" t="s">
        <v>2</v>
      </c>
      <c r="V12" s="325"/>
      <c r="W12" s="325"/>
      <c r="X12" s="326"/>
      <c r="Y12" s="28" t="s">
        <v>56</v>
      </c>
      <c r="Z12" s="29" t="e">
        <f>(1/(1-#REF!))-1</f>
        <v>#REF!</v>
      </c>
      <c r="AE12" s="327" t="s">
        <v>3</v>
      </c>
      <c r="AF12" s="328"/>
      <c r="AG12" s="329"/>
      <c r="AI12" s="330" t="s">
        <v>58</v>
      </c>
      <c r="AJ12" s="331"/>
      <c r="AL12" s="31" t="s">
        <v>71</v>
      </c>
    </row>
    <row r="13" spans="1:38" ht="16.05" customHeight="1" thickBot="1" x14ac:dyDescent="0.4">
      <c r="A13" s="121" t="s">
        <v>4</v>
      </c>
      <c r="B13" s="226" t="s">
        <v>5</v>
      </c>
      <c r="C13" s="121" t="s">
        <v>6</v>
      </c>
      <c r="D13" s="121" t="s">
        <v>7</v>
      </c>
      <c r="E13" s="121" t="s">
        <v>8</v>
      </c>
      <c r="M13" s="27">
        <v>0.80469999999999997</v>
      </c>
    </row>
    <row r="14" spans="1:38" ht="27.45" customHeight="1" thickBot="1" x14ac:dyDescent="0.4">
      <c r="A14" s="122">
        <v>0</v>
      </c>
      <c r="B14" s="227"/>
      <c r="C14" s="123"/>
      <c r="D14" s="124"/>
      <c r="E14" s="124"/>
      <c r="F14" s="68" t="s">
        <v>131</v>
      </c>
      <c r="G14" s="69" t="s">
        <v>132</v>
      </c>
      <c r="H14" s="70" t="s">
        <v>133</v>
      </c>
      <c r="I14" s="70" t="s">
        <v>134</v>
      </c>
      <c r="J14" s="71" t="s">
        <v>135</v>
      </c>
      <c r="K14" s="72" t="s">
        <v>9</v>
      </c>
      <c r="L14" s="152">
        <v>7.4999999999999997E-2</v>
      </c>
      <c r="M14" s="67">
        <f>1-M13</f>
        <v>0.19530000000000003</v>
      </c>
      <c r="N14" s="73" t="s">
        <v>129</v>
      </c>
      <c r="Q14" s="74" t="s">
        <v>136</v>
      </c>
      <c r="R14" s="75" t="s">
        <v>137</v>
      </c>
      <c r="S14" s="76" t="s">
        <v>138</v>
      </c>
      <c r="T14" s="77" t="s">
        <v>139</v>
      </c>
      <c r="U14" s="78" t="s">
        <v>140</v>
      </c>
      <c r="V14" s="79" t="s">
        <v>141</v>
      </c>
      <c r="W14" s="80" t="s">
        <v>142</v>
      </c>
      <c r="X14" s="80" t="s">
        <v>143</v>
      </c>
      <c r="Y14" s="81" t="s">
        <v>144</v>
      </c>
      <c r="Z14" s="196" t="s">
        <v>145</v>
      </c>
      <c r="AA14" s="231" t="s">
        <v>130</v>
      </c>
      <c r="AB14" s="336" t="s">
        <v>70</v>
      </c>
      <c r="AC14" s="336"/>
      <c r="AE14" s="63" t="s">
        <v>146</v>
      </c>
      <c r="AF14" s="64" t="s">
        <v>147</v>
      </c>
      <c r="AG14" s="64" t="s">
        <v>33</v>
      </c>
      <c r="AI14" s="65" t="s">
        <v>148</v>
      </c>
      <c r="AJ14" s="66" t="s">
        <v>149</v>
      </c>
      <c r="AK14" t="s">
        <v>150</v>
      </c>
      <c r="AL14" t="s">
        <v>150</v>
      </c>
    </row>
    <row r="15" spans="1:38" ht="21.45" customHeight="1" thickBot="1" x14ac:dyDescent="0.55000000000000004">
      <c r="A15" s="125">
        <v>1</v>
      </c>
      <c r="B15" s="228">
        <v>1</v>
      </c>
      <c r="C15" s="126" t="s">
        <v>160</v>
      </c>
      <c r="D15" s="125"/>
      <c r="E15" s="125"/>
      <c r="F15" s="337" t="s">
        <v>163</v>
      </c>
      <c r="G15" s="338"/>
      <c r="H15" s="338"/>
      <c r="I15" s="338"/>
      <c r="J15" s="338"/>
      <c r="K15" s="338"/>
      <c r="L15" s="338"/>
      <c r="M15" s="338"/>
      <c r="N15" s="339"/>
      <c r="Q15" s="337" t="str">
        <f>IF(F15&lt;&gt;"",F15,"")</f>
        <v>INTERNOS</v>
      </c>
      <c r="R15" s="338"/>
      <c r="S15" s="338"/>
      <c r="T15" s="338"/>
      <c r="U15" s="338"/>
      <c r="V15" s="338"/>
      <c r="W15" s="338"/>
      <c r="X15" s="338"/>
      <c r="Y15" s="339"/>
      <c r="AB15" s="238"/>
      <c r="AC15" s="238"/>
    </row>
    <row r="16" spans="1:38" ht="25.05" customHeight="1" x14ac:dyDescent="0.35">
      <c r="A16" s="124">
        <v>2</v>
      </c>
      <c r="B16" s="228" t="s">
        <v>161</v>
      </c>
      <c r="C16" s="127" t="s">
        <v>155</v>
      </c>
      <c r="D16" s="124"/>
      <c r="E16" s="124"/>
      <c r="F16" s="340" t="s">
        <v>163</v>
      </c>
      <c r="G16" s="341"/>
      <c r="H16" s="341"/>
      <c r="I16" s="341"/>
      <c r="J16" s="341"/>
      <c r="K16" s="342"/>
      <c r="L16" s="103" t="s">
        <v>156</v>
      </c>
      <c r="M16" s="104" t="s">
        <v>157</v>
      </c>
      <c r="N16" s="139" t="s">
        <v>129</v>
      </c>
      <c r="Q16" s="340" t="str">
        <f>IF(F16&lt;&gt;"",F16,"")</f>
        <v>INTERNOS</v>
      </c>
      <c r="R16" s="341"/>
      <c r="S16" s="341"/>
      <c r="T16" s="341"/>
      <c r="U16" s="341"/>
      <c r="V16" s="341"/>
      <c r="W16" s="341"/>
      <c r="X16" s="341"/>
      <c r="Y16" s="343"/>
      <c r="Z16" s="97" t="s">
        <v>158</v>
      </c>
      <c r="AA16" s="232" t="s">
        <v>130</v>
      </c>
      <c r="AB16" s="239" t="s">
        <v>151</v>
      </c>
      <c r="AC16" s="240" t="s">
        <v>152</v>
      </c>
    </row>
    <row r="17" spans="1:41" ht="46.05" customHeight="1" x14ac:dyDescent="0.35">
      <c r="A17" s="156">
        <v>3</v>
      </c>
      <c r="B17" s="228" t="s">
        <v>162</v>
      </c>
      <c r="C17" s="151" t="s">
        <v>159</v>
      </c>
      <c r="D17" s="150" t="s">
        <v>164</v>
      </c>
      <c r="E17" s="150" t="s">
        <v>167</v>
      </c>
      <c r="F17" s="162" t="s">
        <v>165</v>
      </c>
      <c r="G17" s="83" t="s">
        <v>217</v>
      </c>
      <c r="H17" s="111">
        <v>1</v>
      </c>
      <c r="I17" s="111">
        <v>0</v>
      </c>
      <c r="J17" s="137">
        <v>8000</v>
      </c>
      <c r="K17" s="82">
        <f>IF(F17&lt;&gt;"",H17*I17*J17,"")</f>
        <v>0</v>
      </c>
      <c r="L17" s="90">
        <f t="shared" ref="L17:L18" si="0">IF(K17&lt;&gt;"",IF(D17="INTERNO",0,K17*$L$14),"")</f>
        <v>0</v>
      </c>
      <c r="M17" s="90">
        <f t="shared" ref="M17:M18" si="1">IF(K17&lt;&gt;"",IF(E17="FAT.OGGI",SUM(K17:L17)*(1/(1-$M$14)-1),L17*(1/(1-$M$14)-1)),"")</f>
        <v>0</v>
      </c>
      <c r="N17" s="95">
        <f t="shared" ref="N17:N18" si="2">SUM(K17:M17)</f>
        <v>0</v>
      </c>
      <c r="Q17" s="130">
        <f t="shared" ref="Q17:R18" si="3">IF(H17&lt;&gt;"",H17,"")</f>
        <v>1</v>
      </c>
      <c r="R17" s="131">
        <f t="shared" si="3"/>
        <v>0</v>
      </c>
      <c r="S17" s="91">
        <v>0</v>
      </c>
      <c r="T17" s="91">
        <f t="shared" ref="T17" si="4">IF(Q17&lt;&gt;"",Q17*R17*S17,"")</f>
        <v>0</v>
      </c>
      <c r="U17" s="92">
        <f t="shared" ref="U17:U18" si="5">IF(Q17&lt;&gt;"",K17-T17,"")</f>
        <v>0</v>
      </c>
      <c r="V17" s="93">
        <f t="shared" ref="V17:V18" si="6">IF(Q17&lt;&gt;"",0%,"")</f>
        <v>0</v>
      </c>
      <c r="W17" s="94">
        <f t="shared" ref="W17:W18" si="7">IF(Q17&lt;&gt;"",V17*U17,"")</f>
        <v>0</v>
      </c>
      <c r="X17" s="94">
        <f t="shared" ref="X17:X18" si="8">IF(Q17&lt;&gt;"",W17+T17,"")</f>
        <v>0</v>
      </c>
      <c r="Y17" s="102">
        <f t="shared" ref="Y17:Y19" si="9">IF(Q17&lt;&gt;"",X17+M17,"")</f>
        <v>0</v>
      </c>
      <c r="Z17" s="98" t="e">
        <f t="shared" ref="Z17:Z18" si="10">IF(Q17&lt;&gt;"",U17/K17,"")</f>
        <v>#DIV/0!</v>
      </c>
      <c r="AA17" s="233"/>
      <c r="AB17" s="301">
        <f>X17-AC17</f>
        <v>0</v>
      </c>
      <c r="AC17" s="303"/>
    </row>
    <row r="18" spans="1:41" ht="66.599999999999994" customHeight="1" x14ac:dyDescent="0.35">
      <c r="A18" s="154">
        <v>4</v>
      </c>
      <c r="B18" s="228" t="s">
        <v>153</v>
      </c>
      <c r="C18" s="151" t="s">
        <v>159</v>
      </c>
      <c r="D18" s="150" t="s">
        <v>164</v>
      </c>
      <c r="E18" s="150" t="s">
        <v>167</v>
      </c>
      <c r="F18" s="177" t="s">
        <v>166</v>
      </c>
      <c r="G18" s="83" t="s">
        <v>220</v>
      </c>
      <c r="H18" s="111">
        <v>1</v>
      </c>
      <c r="I18" s="138">
        <v>1</v>
      </c>
      <c r="J18" s="137">
        <v>4500</v>
      </c>
      <c r="K18" s="82">
        <f t="shared" ref="K18" si="11">IF(F18&lt;&gt;"",H18*I18*J18,"")</f>
        <v>4500</v>
      </c>
      <c r="L18" s="82">
        <f t="shared" si="0"/>
        <v>0</v>
      </c>
      <c r="M18" s="82">
        <f t="shared" si="1"/>
        <v>1092.1461414191629</v>
      </c>
      <c r="N18" s="96">
        <f t="shared" si="2"/>
        <v>5592.1461414191626</v>
      </c>
      <c r="Q18" s="132">
        <f t="shared" si="3"/>
        <v>1</v>
      </c>
      <c r="R18" s="133">
        <v>1</v>
      </c>
      <c r="S18" s="84">
        <v>2000</v>
      </c>
      <c r="T18" s="84"/>
      <c r="U18" s="88">
        <f t="shared" si="5"/>
        <v>4500</v>
      </c>
      <c r="V18" s="85">
        <f t="shared" si="6"/>
        <v>0</v>
      </c>
      <c r="W18" s="86">
        <f t="shared" si="7"/>
        <v>0</v>
      </c>
      <c r="X18" s="86">
        <f t="shared" si="8"/>
        <v>0</v>
      </c>
      <c r="Y18" s="100">
        <f t="shared" si="9"/>
        <v>1092.1461414191629</v>
      </c>
      <c r="Z18" s="98">
        <f t="shared" si="10"/>
        <v>1</v>
      </c>
      <c r="AA18" s="234"/>
      <c r="AB18" s="301">
        <f t="shared" ref="AB18:AB44" si="12">X18-AC18</f>
        <v>0</v>
      </c>
      <c r="AC18" s="303"/>
    </row>
    <row r="19" spans="1:41" ht="36" customHeight="1" thickBot="1" x14ac:dyDescent="0.55000000000000004">
      <c r="A19" s="150">
        <v>5</v>
      </c>
      <c r="B19" s="228"/>
      <c r="C19" s="151" t="s">
        <v>170</v>
      </c>
      <c r="D19" s="150"/>
      <c r="E19" s="150"/>
      <c r="F19" s="344" t="s">
        <v>171</v>
      </c>
      <c r="G19" s="345"/>
      <c r="H19" s="345"/>
      <c r="I19" s="345"/>
      <c r="J19" s="345"/>
      <c r="K19" s="166">
        <f>SUM(K17:K18)</f>
        <v>4500</v>
      </c>
      <c r="L19" s="166">
        <f>SUM(L17:L18)</f>
        <v>0</v>
      </c>
      <c r="M19" s="166">
        <f>SUM(M17:M18)</f>
        <v>1092.1461414191629</v>
      </c>
      <c r="N19" s="168">
        <f>SUM(N17:N18)</f>
        <v>5592.1461414191626</v>
      </c>
      <c r="Q19" s="344" t="s">
        <v>191</v>
      </c>
      <c r="R19" s="345"/>
      <c r="S19" s="345"/>
      <c r="T19" s="192">
        <f>SUM(T17:T18)</f>
        <v>0</v>
      </c>
      <c r="U19" s="193">
        <f>SUM(U17:U18)</f>
        <v>4500</v>
      </c>
      <c r="V19" s="194"/>
      <c r="W19" s="194"/>
      <c r="X19" s="195">
        <f>SUM(X17:X18)</f>
        <v>0</v>
      </c>
      <c r="Y19" s="135">
        <f t="shared" si="9"/>
        <v>1092.1461414191629</v>
      </c>
      <c r="Z19" s="157" t="s">
        <v>187</v>
      </c>
      <c r="AA19" s="157" t="s">
        <v>188</v>
      </c>
      <c r="AB19" s="301"/>
      <c r="AC19" s="302"/>
    </row>
    <row r="20" spans="1:41" ht="33" thickBot="1" x14ac:dyDescent="0.55000000000000004">
      <c r="A20" s="154">
        <v>6</v>
      </c>
      <c r="B20" s="228">
        <v>2</v>
      </c>
      <c r="C20" s="167" t="s">
        <v>160</v>
      </c>
      <c r="D20" s="154"/>
      <c r="E20" s="154"/>
      <c r="F20" s="332" t="s">
        <v>198</v>
      </c>
      <c r="G20" s="333"/>
      <c r="H20" s="333"/>
      <c r="I20" s="333"/>
      <c r="J20" s="333"/>
      <c r="K20" s="333"/>
      <c r="L20" s="333"/>
      <c r="M20" s="333"/>
      <c r="N20" s="334"/>
      <c r="Q20" s="332" t="str">
        <f>IF(F20&lt;&gt;"",F20,"")</f>
        <v>PRÉ EVENTO</v>
      </c>
      <c r="R20" s="333"/>
      <c r="S20" s="333"/>
      <c r="T20" s="333"/>
      <c r="U20" s="333"/>
      <c r="V20" s="333"/>
      <c r="W20" s="333"/>
      <c r="X20" s="333"/>
      <c r="Y20" s="335"/>
      <c r="AB20" s="301">
        <f t="shared" si="12"/>
        <v>0</v>
      </c>
      <c r="AC20" s="304"/>
    </row>
    <row r="21" spans="1:41" ht="24.6" customHeight="1" x14ac:dyDescent="0.35">
      <c r="A21" s="154">
        <v>7</v>
      </c>
      <c r="B21" s="228" t="s">
        <v>168</v>
      </c>
      <c r="C21" s="167" t="s">
        <v>155</v>
      </c>
      <c r="D21" s="154"/>
      <c r="E21" s="154"/>
      <c r="F21" s="340" t="s">
        <v>198</v>
      </c>
      <c r="G21" s="341"/>
      <c r="H21" s="341"/>
      <c r="I21" s="341"/>
      <c r="J21" s="341"/>
      <c r="K21" s="342"/>
      <c r="L21" s="103" t="s">
        <v>156</v>
      </c>
      <c r="M21" s="104" t="s">
        <v>157</v>
      </c>
      <c r="N21" s="139" t="s">
        <v>129</v>
      </c>
      <c r="Q21" s="340" t="str">
        <f>IF(F21&lt;&gt;"",F21,"")</f>
        <v>PRÉ EVENTO</v>
      </c>
      <c r="R21" s="341"/>
      <c r="S21" s="341"/>
      <c r="T21" s="341"/>
      <c r="U21" s="341"/>
      <c r="V21" s="341"/>
      <c r="W21" s="341"/>
      <c r="X21" s="341"/>
      <c r="Y21" s="343"/>
      <c r="Z21" s="197" t="s">
        <v>158</v>
      </c>
      <c r="AA21" s="232" t="s">
        <v>130</v>
      </c>
      <c r="AB21" s="301">
        <f t="shared" si="12"/>
        <v>0</v>
      </c>
      <c r="AC21" s="305"/>
    </row>
    <row r="22" spans="1:41" ht="52.05" customHeight="1" x14ac:dyDescent="0.35">
      <c r="A22" s="154">
        <v>8</v>
      </c>
      <c r="B22" s="228" t="s">
        <v>169</v>
      </c>
      <c r="C22" s="167" t="s">
        <v>159</v>
      </c>
      <c r="D22" s="154" t="s">
        <v>172</v>
      </c>
      <c r="E22" s="154" t="s">
        <v>167</v>
      </c>
      <c r="F22" s="183" t="s">
        <v>199</v>
      </c>
      <c r="G22" s="89" t="s">
        <v>200</v>
      </c>
      <c r="H22" s="110">
        <v>2</v>
      </c>
      <c r="I22" s="110">
        <v>1</v>
      </c>
      <c r="J22" s="90">
        <v>1250</v>
      </c>
      <c r="K22" s="90">
        <f>IF(F22&lt;&gt;"",H22*I22*J22,"")</f>
        <v>2500</v>
      </c>
      <c r="L22" s="90">
        <f>IF(K22&lt;&gt;"",IF(D22="INTERNO",0,K22*$L$14),"")</f>
        <v>187.5</v>
      </c>
      <c r="M22" s="90">
        <f>IF(K22&lt;&gt;"",IF(E22="FAT.OGGI",SUM(K22:L22)*(1/(1-$M$14)-1),L22*(1/(1-$M$14)-1)),"")</f>
        <v>652.25394556977778</v>
      </c>
      <c r="N22" s="95">
        <f>SUM(K22:M22)</f>
        <v>3339.7539455697779</v>
      </c>
      <c r="Q22" s="130">
        <v>1</v>
      </c>
      <c r="R22" s="131">
        <f t="shared" ref="Q22:R23" si="13">IF(I22&lt;&gt;"",I22,"")</f>
        <v>1</v>
      </c>
      <c r="S22" s="91">
        <v>1800</v>
      </c>
      <c r="T22" s="91">
        <f>IF(Q22&lt;&gt;"",Q22*R22*S22,"")</f>
        <v>1800</v>
      </c>
      <c r="U22" s="92">
        <f>IF(Q22&lt;&gt;"",K22-T22,"")</f>
        <v>700</v>
      </c>
      <c r="V22" s="93">
        <f>IF(Q22&lt;&gt;"",0%,"")</f>
        <v>0</v>
      </c>
      <c r="W22" s="94">
        <f>IF(Q22&lt;&gt;"",V22*U22,"")</f>
        <v>0</v>
      </c>
      <c r="X22" s="94">
        <f>IF(Q22&lt;&gt;"",W22+T22,"")</f>
        <v>1800</v>
      </c>
      <c r="Y22" s="102">
        <f>IF(Q22&lt;&gt;"",X22+M22,"")</f>
        <v>2452.2539455697779</v>
      </c>
      <c r="Z22" s="198">
        <f>IF(Q22&lt;&gt;"",U22/K22,"")</f>
        <v>0.28000000000000003</v>
      </c>
      <c r="AA22" s="235" t="e">
        <f>T22/#REF!</f>
        <v>#REF!</v>
      </c>
      <c r="AB22" s="301">
        <f t="shared" si="12"/>
        <v>0</v>
      </c>
      <c r="AC22" s="303">
        <v>1800</v>
      </c>
      <c r="AE22" s="185">
        <v>1800</v>
      </c>
      <c r="AF22" s="186">
        <f>T22-AE22</f>
        <v>0</v>
      </c>
      <c r="AG22" s="187">
        <v>45954</v>
      </c>
      <c r="AI22" s="188" t="s">
        <v>238</v>
      </c>
      <c r="AJ22" s="189" t="s">
        <v>239</v>
      </c>
      <c r="AO22" s="309" t="s">
        <v>303</v>
      </c>
    </row>
    <row r="23" spans="1:41" ht="64.8" x14ac:dyDescent="0.35">
      <c r="A23" s="154">
        <v>9</v>
      </c>
      <c r="B23" s="228" t="s">
        <v>173</v>
      </c>
      <c r="C23" s="167" t="s">
        <v>159</v>
      </c>
      <c r="D23" s="154" t="s">
        <v>172</v>
      </c>
      <c r="E23" s="154" t="s">
        <v>167</v>
      </c>
      <c r="F23" s="177" t="s">
        <v>201</v>
      </c>
      <c r="G23" s="83" t="s">
        <v>215</v>
      </c>
      <c r="H23" s="111">
        <v>1</v>
      </c>
      <c r="I23" s="111">
        <v>1</v>
      </c>
      <c r="J23" s="82">
        <v>550</v>
      </c>
      <c r="K23" s="82">
        <f>IF(F23&lt;&gt;"",H23*I23*J23,"")</f>
        <v>550</v>
      </c>
      <c r="L23" s="82">
        <f>IF(K23&lt;&gt;"",IF(D23="INTERNO",0,K23*$L$14),"")</f>
        <v>41.25</v>
      </c>
      <c r="M23" s="82">
        <f>IF(K23&lt;&gt;"",IF(E23="FAT.OGGI",SUM(K23:L23)*(1/(1-$M$14)-1),L23*(1/(1-$M$14)-1)),"")</f>
        <v>143.49586802535111</v>
      </c>
      <c r="N23" s="96">
        <f>SUM(K23:M23)</f>
        <v>734.74586802535111</v>
      </c>
      <c r="Q23" s="132">
        <f t="shared" si="13"/>
        <v>1</v>
      </c>
      <c r="R23" s="133">
        <f t="shared" si="13"/>
        <v>1</v>
      </c>
      <c r="S23" s="84">
        <v>350</v>
      </c>
      <c r="T23" s="84">
        <f>IF(Q23&lt;&gt;"",Q23*R23*S23,"")</f>
        <v>350</v>
      </c>
      <c r="U23" s="88">
        <f>IF(Q23&lt;&gt;"",K23-T23,"")</f>
        <v>200</v>
      </c>
      <c r="V23" s="85">
        <f>IF(Q23&lt;&gt;"",0%,"")</f>
        <v>0</v>
      </c>
      <c r="W23" s="86">
        <f>IF(Q23&lt;&gt;"",V23*U23,"")</f>
        <v>0</v>
      </c>
      <c r="X23" s="86">
        <f>IF(Q23&lt;&gt;"",W23+T23,"")</f>
        <v>350</v>
      </c>
      <c r="Y23" s="100">
        <f>IF(Q23&lt;&gt;"",X23+M23,"")</f>
        <v>493.49586802535111</v>
      </c>
      <c r="Z23" s="198">
        <f>IF(Q23&lt;&gt;"",U23/K23,"")</f>
        <v>0.36363636363636365</v>
      </c>
      <c r="AA23" s="234"/>
      <c r="AB23" s="301">
        <f t="shared" si="12"/>
        <v>0</v>
      </c>
      <c r="AC23" s="303">
        <v>350</v>
      </c>
      <c r="AE23" s="185">
        <v>350</v>
      </c>
      <c r="AF23" s="186">
        <f>T23-AE23</f>
        <v>0</v>
      </c>
      <c r="AG23" s="187">
        <v>45966</v>
      </c>
      <c r="AI23" s="188" t="s">
        <v>270</v>
      </c>
      <c r="AJ23" s="189" t="s">
        <v>271</v>
      </c>
      <c r="AO23" s="309" t="s">
        <v>307</v>
      </c>
    </row>
    <row r="24" spans="1:41" ht="41.55" customHeight="1" thickBot="1" x14ac:dyDescent="0.55000000000000004">
      <c r="A24" s="154">
        <v>10</v>
      </c>
      <c r="B24" s="228"/>
      <c r="C24" s="167" t="s">
        <v>170</v>
      </c>
      <c r="D24" s="154"/>
      <c r="E24" s="154"/>
      <c r="F24" s="346" t="s">
        <v>178</v>
      </c>
      <c r="G24" s="347"/>
      <c r="H24" s="347"/>
      <c r="I24" s="347"/>
      <c r="J24" s="347"/>
      <c r="K24" s="106">
        <f>SUM(K22:K23)</f>
        <v>3050</v>
      </c>
      <c r="L24" s="106">
        <f>SUM(L22:L23)</f>
        <v>228.75</v>
      </c>
      <c r="M24" s="106">
        <f>SUM(M22:M23)</f>
        <v>795.7498135951289</v>
      </c>
      <c r="N24" s="141">
        <f>SUM(N22:N23)</f>
        <v>4074.4998135951291</v>
      </c>
      <c r="Q24" s="346" t="s">
        <v>178</v>
      </c>
      <c r="R24" s="347"/>
      <c r="S24" s="347"/>
      <c r="T24" s="105">
        <f>SUM(T22:T23)</f>
        <v>2150</v>
      </c>
      <c r="U24" s="107">
        <f>SUM(U22:U23)</f>
        <v>900</v>
      </c>
      <c r="V24" s="108"/>
      <c r="W24" s="108"/>
      <c r="X24" s="109">
        <f>SUM(X22:X23)</f>
        <v>2150</v>
      </c>
      <c r="Y24" s="180">
        <f>IF(Q24&lt;&gt;"",X24+M24,"")</f>
        <v>2945.7498135951291</v>
      </c>
      <c r="AB24" s="301"/>
      <c r="AC24" s="304"/>
    </row>
    <row r="25" spans="1:41" ht="33" thickBot="1" x14ac:dyDescent="0.55000000000000004">
      <c r="A25" s="154">
        <v>11</v>
      </c>
      <c r="B25" s="228">
        <v>3</v>
      </c>
      <c r="C25" s="167" t="s">
        <v>160</v>
      </c>
      <c r="D25" s="154"/>
      <c r="E25" s="154"/>
      <c r="F25" s="332" t="s">
        <v>202</v>
      </c>
      <c r="G25" s="333"/>
      <c r="H25" s="333"/>
      <c r="I25" s="333"/>
      <c r="J25" s="333"/>
      <c r="K25" s="333"/>
      <c r="L25" s="333"/>
      <c r="M25" s="333"/>
      <c r="N25" s="334"/>
      <c r="Q25" s="332" t="str">
        <f>IF(F25&lt;&gt;"",F25,"")</f>
        <v>EVENTO EM OUTRAS CIDADES</v>
      </c>
      <c r="R25" s="333"/>
      <c r="S25" s="333"/>
      <c r="T25" s="333"/>
      <c r="U25" s="333"/>
      <c r="V25" s="333"/>
      <c r="W25" s="333"/>
      <c r="X25" s="333"/>
      <c r="Y25" s="335"/>
      <c r="AB25" s="301">
        <f t="shared" si="12"/>
        <v>0</v>
      </c>
      <c r="AC25" s="304"/>
    </row>
    <row r="26" spans="1:41" ht="31.5" customHeight="1" x14ac:dyDescent="0.35">
      <c r="A26" s="154">
        <v>12</v>
      </c>
      <c r="B26" s="228" t="s">
        <v>174</v>
      </c>
      <c r="C26" s="167" t="s">
        <v>155</v>
      </c>
      <c r="D26" s="154"/>
      <c r="E26" s="154"/>
      <c r="F26" s="340" t="s">
        <v>202</v>
      </c>
      <c r="G26" s="341"/>
      <c r="H26" s="341"/>
      <c r="I26" s="341"/>
      <c r="J26" s="341"/>
      <c r="K26" s="342"/>
      <c r="L26" s="103" t="s">
        <v>156</v>
      </c>
      <c r="M26" s="104" t="s">
        <v>157</v>
      </c>
      <c r="N26" s="139" t="s">
        <v>129</v>
      </c>
      <c r="Q26" s="340" t="str">
        <f>IF(F26&lt;&gt;"",F26,"")</f>
        <v>EVENTO EM OUTRAS CIDADES</v>
      </c>
      <c r="R26" s="341"/>
      <c r="S26" s="341"/>
      <c r="T26" s="341"/>
      <c r="U26" s="341"/>
      <c r="V26" s="341"/>
      <c r="W26" s="341"/>
      <c r="X26" s="341"/>
      <c r="Y26" s="343"/>
      <c r="Z26" s="197" t="s">
        <v>158</v>
      </c>
      <c r="AA26" s="232" t="s">
        <v>130</v>
      </c>
      <c r="AB26" s="301">
        <f t="shared" si="12"/>
        <v>0</v>
      </c>
      <c r="AC26" s="305"/>
    </row>
    <row r="27" spans="1:41" ht="67.5" customHeight="1" x14ac:dyDescent="0.35">
      <c r="A27" s="154">
        <v>13</v>
      </c>
      <c r="B27" s="228" t="s">
        <v>175</v>
      </c>
      <c r="C27" s="167" t="s">
        <v>159</v>
      </c>
      <c r="D27" s="154" t="s">
        <v>172</v>
      </c>
      <c r="E27" s="154" t="s">
        <v>167</v>
      </c>
      <c r="F27" s="177" t="s">
        <v>204</v>
      </c>
      <c r="G27" s="83" t="s">
        <v>218</v>
      </c>
      <c r="H27" s="111">
        <v>2</v>
      </c>
      <c r="I27" s="111">
        <v>6</v>
      </c>
      <c r="J27" s="82">
        <v>500</v>
      </c>
      <c r="K27" s="82">
        <f t="shared" ref="K27:K28" si="14">IF(F27&lt;&gt;"",H27*I27*J27,"")</f>
        <v>6000</v>
      </c>
      <c r="L27" s="82">
        <f t="shared" ref="L27:L28" si="15">IF(K27&lt;&gt;"",IF(D27="INTERNO",0,K27*$L$14),"")</f>
        <v>450</v>
      </c>
      <c r="M27" s="82">
        <f t="shared" ref="M27:M28" si="16">IF(K27&lt;&gt;"",IF(E27="FAT.OGGI",SUM(K27:L27)*(1/(1-$M$14)-1),L27*(1/(1-$M$14)-1)),"")</f>
        <v>1565.4094693674667</v>
      </c>
      <c r="N27" s="96">
        <f t="shared" ref="N27:N28" si="17">SUM(K27:M27)</f>
        <v>8015.409469367467</v>
      </c>
      <c r="Q27" s="130">
        <f t="shared" ref="Q27" si="18">IF(H27&lt;&gt;"",H27,"")</f>
        <v>2</v>
      </c>
      <c r="R27" s="131">
        <f t="shared" ref="R27" si="19">IF(I27&lt;&gt;"",I27,"")</f>
        <v>6</v>
      </c>
      <c r="S27" s="91">
        <v>320</v>
      </c>
      <c r="T27" s="91">
        <v>4160</v>
      </c>
      <c r="U27" s="92">
        <f t="shared" ref="U27:U28" si="20">IF(Q27&lt;&gt;"",K27-T27,"")</f>
        <v>1840</v>
      </c>
      <c r="V27" s="93">
        <f t="shared" ref="V27:V28" si="21">IF(Q27&lt;&gt;"",0%,"")</f>
        <v>0</v>
      </c>
      <c r="W27" s="94">
        <f t="shared" ref="W27:W28" si="22">IF(Q27&lt;&gt;"",V27*U27,"")</f>
        <v>0</v>
      </c>
      <c r="X27" s="94">
        <f t="shared" ref="X27:X28" si="23">IF(Q27&lt;&gt;"",W27+T27,"")</f>
        <v>4160</v>
      </c>
      <c r="Y27" s="102">
        <f t="shared" ref="Y27:Y31" si="24">IF(Q27&lt;&gt;"",X27+M27,"")</f>
        <v>5725.409469367467</v>
      </c>
      <c r="Z27" s="198">
        <f t="shared" ref="Z27:Z28" si="25">IF(Q27&lt;&gt;"",U27/K27,"")</f>
        <v>0.30666666666666664</v>
      </c>
      <c r="AA27" s="230"/>
      <c r="AB27" s="301">
        <f t="shared" si="12"/>
        <v>0</v>
      </c>
      <c r="AC27" s="303">
        <f>1400+1280+400+400+680</f>
        <v>4160</v>
      </c>
      <c r="AE27" s="185">
        <v>3320</v>
      </c>
      <c r="AF27" s="186">
        <f>T27-AE27</f>
        <v>840</v>
      </c>
      <c r="AG27" s="187">
        <v>45965</v>
      </c>
      <c r="AI27" s="188" t="s">
        <v>265</v>
      </c>
      <c r="AJ27" s="189" t="s">
        <v>264</v>
      </c>
      <c r="AO27" s="314" t="s">
        <v>309</v>
      </c>
    </row>
    <row r="28" spans="1:41" ht="54.6" customHeight="1" x14ac:dyDescent="0.35">
      <c r="A28" s="156">
        <v>14</v>
      </c>
      <c r="B28" s="228" t="s">
        <v>219</v>
      </c>
      <c r="C28" s="164" t="s">
        <v>159</v>
      </c>
      <c r="D28" s="156" t="s">
        <v>172</v>
      </c>
      <c r="E28" s="156" t="s">
        <v>167</v>
      </c>
      <c r="F28" s="177" t="s">
        <v>205</v>
      </c>
      <c r="G28" s="83" t="s">
        <v>203</v>
      </c>
      <c r="H28" s="111">
        <v>12</v>
      </c>
      <c r="I28" s="111">
        <v>1</v>
      </c>
      <c r="J28" s="82">
        <v>290</v>
      </c>
      <c r="K28" s="82">
        <f t="shared" si="14"/>
        <v>3480</v>
      </c>
      <c r="L28" s="82">
        <f t="shared" si="15"/>
        <v>261</v>
      </c>
      <c r="M28" s="82">
        <f t="shared" si="16"/>
        <v>907.93749223313068</v>
      </c>
      <c r="N28" s="96">
        <f t="shared" si="17"/>
        <v>4648.9374922331308</v>
      </c>
      <c r="Q28" s="128">
        <v>1</v>
      </c>
      <c r="R28" s="129">
        <f t="shared" ref="R28" si="26">IF(I28&lt;&gt;"",I28,"")</f>
        <v>1</v>
      </c>
      <c r="S28" s="99">
        <v>3600</v>
      </c>
      <c r="T28" s="99">
        <v>3100</v>
      </c>
      <c r="U28" s="181">
        <f t="shared" si="20"/>
        <v>380</v>
      </c>
      <c r="V28" s="182">
        <f t="shared" si="21"/>
        <v>0</v>
      </c>
      <c r="W28" s="87">
        <f t="shared" si="22"/>
        <v>0</v>
      </c>
      <c r="X28" s="87">
        <f t="shared" si="23"/>
        <v>3100</v>
      </c>
      <c r="Y28" s="100">
        <f t="shared" si="24"/>
        <v>4007.9374922331308</v>
      </c>
      <c r="Z28" s="198">
        <f t="shared" si="25"/>
        <v>0.10919540229885058</v>
      </c>
      <c r="AA28" s="230">
        <f>T28/$T$31</f>
        <v>0.39948453608247425</v>
      </c>
      <c r="AB28" s="301">
        <f t="shared" si="12"/>
        <v>0</v>
      </c>
      <c r="AC28" s="303">
        <f>3100</f>
        <v>3100</v>
      </c>
      <c r="AE28" s="185">
        <v>3600</v>
      </c>
      <c r="AF28" s="186">
        <f>T28-AE28</f>
        <v>-500</v>
      </c>
      <c r="AG28" s="187">
        <v>45940</v>
      </c>
      <c r="AI28" s="188" t="s">
        <v>230</v>
      </c>
      <c r="AJ28" s="189" t="s">
        <v>231</v>
      </c>
      <c r="AO28" s="309" t="s">
        <v>302</v>
      </c>
    </row>
    <row r="29" spans="1:41" ht="41.55" customHeight="1" x14ac:dyDescent="0.35">
      <c r="A29" s="156">
        <v>15</v>
      </c>
      <c r="B29" s="228" t="s">
        <v>222</v>
      </c>
      <c r="C29" s="164" t="s">
        <v>159</v>
      </c>
      <c r="D29" s="156" t="s">
        <v>172</v>
      </c>
      <c r="E29" s="156" t="s">
        <v>167</v>
      </c>
      <c r="F29" s="177" t="s">
        <v>205</v>
      </c>
      <c r="G29" s="83" t="s">
        <v>221</v>
      </c>
      <c r="H29" s="111">
        <v>1</v>
      </c>
      <c r="I29" s="111">
        <v>1</v>
      </c>
      <c r="J29" s="82">
        <v>100</v>
      </c>
      <c r="K29" s="82">
        <f t="shared" ref="K29" si="27">IF(F29&lt;&gt;"",H29*I29*J29,"")</f>
        <v>100</v>
      </c>
      <c r="L29" s="82">
        <f t="shared" ref="L29" si="28">IF(K29&lt;&gt;"",IF(D29="INTERNO",0,K29*$L$14),"")</f>
        <v>7.5</v>
      </c>
      <c r="M29" s="82">
        <f t="shared" ref="M29" si="29">IF(K29&lt;&gt;"",IF(E29="FAT.OGGI",SUM(K29:L29)*(1/(1-$M$14)-1),L29*(1/(1-$M$14)-1)),"")</f>
        <v>26.09015782279111</v>
      </c>
      <c r="N29" s="96">
        <f t="shared" ref="N29" si="30">SUM(K29:M29)</f>
        <v>133.5901578227911</v>
      </c>
      <c r="Q29" s="128">
        <f t="shared" ref="Q29" si="31">IF(H29&lt;&gt;"",H29,"")</f>
        <v>1</v>
      </c>
      <c r="R29" s="129">
        <v>0</v>
      </c>
      <c r="S29" s="99">
        <v>100</v>
      </c>
      <c r="T29" s="99">
        <f t="shared" ref="T29" si="32">IF(Q29&lt;&gt;"",Q29*R29*S29,"")</f>
        <v>0</v>
      </c>
      <c r="U29" s="181">
        <f t="shared" ref="U29" si="33">IF(Q29&lt;&gt;"",K29-T29,"")</f>
        <v>100</v>
      </c>
      <c r="V29" s="182">
        <f t="shared" ref="V29" si="34">IF(Q29&lt;&gt;"",0%,"")</f>
        <v>0</v>
      </c>
      <c r="W29" s="87">
        <f t="shared" ref="W29" si="35">IF(Q29&lt;&gt;"",V29*U29,"")</f>
        <v>0</v>
      </c>
      <c r="X29" s="87">
        <f t="shared" ref="X29" si="36">IF(Q29&lt;&gt;"",W29+T29,"")</f>
        <v>0</v>
      </c>
      <c r="Y29" s="100">
        <f t="shared" ref="Y29" si="37">IF(Q29&lt;&gt;"",X29+M29,"")</f>
        <v>26.09015782279111</v>
      </c>
      <c r="Z29" s="198">
        <f t="shared" ref="Z29" si="38">IF(Q29&lt;&gt;"",U29/K29,"")</f>
        <v>1</v>
      </c>
      <c r="AA29" s="230">
        <f>T29/$T$31</f>
        <v>0</v>
      </c>
      <c r="AB29" s="301">
        <f t="shared" si="12"/>
        <v>0</v>
      </c>
      <c r="AC29" s="303"/>
    </row>
    <row r="30" spans="1:41" ht="41.55" customHeight="1" x14ac:dyDescent="0.35">
      <c r="A30" s="156">
        <v>16</v>
      </c>
      <c r="B30" s="228" t="s">
        <v>240</v>
      </c>
      <c r="C30" s="164" t="s">
        <v>159</v>
      </c>
      <c r="D30" s="156" t="s">
        <v>172</v>
      </c>
      <c r="E30" s="156" t="s">
        <v>167</v>
      </c>
      <c r="F30" s="184" t="s">
        <v>205</v>
      </c>
      <c r="G30" s="159" t="s">
        <v>241</v>
      </c>
      <c r="H30" s="160">
        <v>1</v>
      </c>
      <c r="I30" s="160">
        <v>1</v>
      </c>
      <c r="J30" s="112">
        <v>500</v>
      </c>
      <c r="K30" s="112">
        <f t="shared" ref="K30" si="39">IF(F30&lt;&gt;"",H30*I30*J30,"")</f>
        <v>500</v>
      </c>
      <c r="L30" s="112">
        <f t="shared" ref="L30" si="40">IF(K30&lt;&gt;"",IF(D30="INTERNO",0,K30*$L$14),"")</f>
        <v>37.5</v>
      </c>
      <c r="M30" s="112">
        <f t="shared" ref="M30" si="41">IF(K30&lt;&gt;"",IF(E30="FAT.OGGI",SUM(K30:L30)*(1/(1-$M$14)-1),L30*(1/(1-$M$14)-1)),"")</f>
        <v>130.45078911395555</v>
      </c>
      <c r="N30" s="136">
        <f t="shared" ref="N30" si="42">SUM(K30:M30)</f>
        <v>667.95078911395558</v>
      </c>
      <c r="Q30" s="128">
        <f t="shared" ref="Q30" si="43">IF(H30&lt;&gt;"",H30,"")</f>
        <v>1</v>
      </c>
      <c r="R30" s="129">
        <v>0</v>
      </c>
      <c r="S30" s="99">
        <v>500</v>
      </c>
      <c r="T30" s="99">
        <v>500</v>
      </c>
      <c r="U30" s="181">
        <f t="shared" ref="U30" si="44">IF(Q30&lt;&gt;"",K30-T30,"")</f>
        <v>0</v>
      </c>
      <c r="V30" s="182">
        <f t="shared" ref="V30" si="45">IF(Q30&lt;&gt;"",0%,"")</f>
        <v>0</v>
      </c>
      <c r="W30" s="87">
        <f t="shared" ref="W30" si="46">IF(Q30&lt;&gt;"",V30*U30,"")</f>
        <v>0</v>
      </c>
      <c r="X30" s="87">
        <f t="shared" ref="X30" si="47">IF(Q30&lt;&gt;"",W30+T30,"")</f>
        <v>500</v>
      </c>
      <c r="Y30" s="100">
        <f t="shared" ref="Y30" si="48">IF(Q30&lt;&gt;"",X30+M30,"")</f>
        <v>630.45078911395558</v>
      </c>
      <c r="Z30" s="198">
        <f t="shared" ref="Z30" si="49">IF(Q30&lt;&gt;"",U30/K30,"")</f>
        <v>0</v>
      </c>
      <c r="AA30" s="234">
        <f>T30/$T$31</f>
        <v>6.4432989690721643E-2</v>
      </c>
      <c r="AB30" s="301">
        <f t="shared" si="12"/>
        <v>0</v>
      </c>
      <c r="AC30" s="303">
        <v>500</v>
      </c>
      <c r="AO30" s="309" t="s">
        <v>302</v>
      </c>
    </row>
    <row r="31" spans="1:41" ht="32.549999999999997" customHeight="1" thickBot="1" x14ac:dyDescent="0.55000000000000004">
      <c r="A31" s="154">
        <v>17</v>
      </c>
      <c r="B31" s="228"/>
      <c r="C31" s="167" t="s">
        <v>170</v>
      </c>
      <c r="D31" s="154"/>
      <c r="E31" s="154"/>
      <c r="F31" s="348" t="s">
        <v>178</v>
      </c>
      <c r="G31" s="349"/>
      <c r="H31" s="349"/>
      <c r="I31" s="349"/>
      <c r="J31" s="349"/>
      <c r="K31" s="106">
        <f>SUM(K27:K30)</f>
        <v>10080</v>
      </c>
      <c r="L31" s="106">
        <f>SUM(L27:L30)</f>
        <v>756</v>
      </c>
      <c r="M31" s="106">
        <f>SUM(M27:M30)</f>
        <v>2629.8879085373442</v>
      </c>
      <c r="N31" s="141">
        <f>SUM(N27:N30)</f>
        <v>13465.887908537345</v>
      </c>
      <c r="Q31" s="346"/>
      <c r="R31" s="347"/>
      <c r="S31" s="347"/>
      <c r="T31" s="105">
        <f>SUM(T27:T30)</f>
        <v>7760</v>
      </c>
      <c r="U31" s="107">
        <f>SUM(U27:U30)</f>
        <v>2320</v>
      </c>
      <c r="V31" s="108"/>
      <c r="W31" s="108"/>
      <c r="X31" s="109">
        <f>SUM(X27:X30)</f>
        <v>7760</v>
      </c>
      <c r="Y31" s="180" t="str">
        <f t="shared" si="24"/>
        <v/>
      </c>
      <c r="AB31" s="301"/>
      <c r="AC31" s="304"/>
    </row>
    <row r="32" spans="1:41" ht="33" thickBot="1" x14ac:dyDescent="0.55000000000000004">
      <c r="A32" s="154">
        <v>18</v>
      </c>
      <c r="B32" s="228">
        <v>4</v>
      </c>
      <c r="C32" s="167" t="s">
        <v>160</v>
      </c>
      <c r="D32" s="154"/>
      <c r="E32" s="154"/>
      <c r="F32" s="332" t="s">
        <v>206</v>
      </c>
      <c r="G32" s="333"/>
      <c r="H32" s="333"/>
      <c r="I32" s="333"/>
      <c r="J32" s="333"/>
      <c r="K32" s="333"/>
      <c r="L32" s="333"/>
      <c r="M32" s="333"/>
      <c r="N32" s="334"/>
      <c r="Q32" s="332" t="str">
        <f>IF(F32&lt;&gt;"",F32,"")</f>
        <v>EVENTO</v>
      </c>
      <c r="R32" s="333"/>
      <c r="S32" s="333"/>
      <c r="T32" s="333"/>
      <c r="U32" s="333"/>
      <c r="V32" s="333"/>
      <c r="W32" s="333"/>
      <c r="X32" s="333"/>
      <c r="Y32" s="335"/>
      <c r="AB32" s="301">
        <f t="shared" si="12"/>
        <v>0</v>
      </c>
      <c r="AC32" s="304"/>
    </row>
    <row r="33" spans="1:41" ht="29.1" customHeight="1" x14ac:dyDescent="0.35">
      <c r="A33" s="154">
        <v>19</v>
      </c>
      <c r="B33" s="228" t="s">
        <v>176</v>
      </c>
      <c r="C33" s="167" t="s">
        <v>155</v>
      </c>
      <c r="D33" s="154"/>
      <c r="E33" s="154"/>
      <c r="F33" s="340" t="s">
        <v>206</v>
      </c>
      <c r="G33" s="341"/>
      <c r="H33" s="341"/>
      <c r="I33" s="341"/>
      <c r="J33" s="341"/>
      <c r="K33" s="342"/>
      <c r="L33" s="103" t="s">
        <v>156</v>
      </c>
      <c r="M33" s="104" t="s">
        <v>157</v>
      </c>
      <c r="N33" s="178" t="s">
        <v>129</v>
      </c>
      <c r="Q33" s="340" t="str">
        <f>IF(F33&lt;&gt;"",F33,"")</f>
        <v>EVENTO</v>
      </c>
      <c r="R33" s="341"/>
      <c r="S33" s="341"/>
      <c r="T33" s="341"/>
      <c r="U33" s="341"/>
      <c r="V33" s="341"/>
      <c r="W33" s="341"/>
      <c r="X33" s="341"/>
      <c r="Y33" s="343"/>
      <c r="Z33" s="197" t="s">
        <v>158</v>
      </c>
      <c r="AA33" s="232" t="s">
        <v>130</v>
      </c>
      <c r="AB33" s="301">
        <f t="shared" si="12"/>
        <v>0</v>
      </c>
      <c r="AC33" s="305"/>
    </row>
    <row r="34" spans="1:41" ht="44.55" customHeight="1" x14ac:dyDescent="0.35">
      <c r="A34" s="154">
        <v>20</v>
      </c>
      <c r="B34" s="228" t="s">
        <v>177</v>
      </c>
      <c r="C34" s="167" t="s">
        <v>159</v>
      </c>
      <c r="D34" s="154" t="s">
        <v>172</v>
      </c>
      <c r="E34" s="154" t="s">
        <v>167</v>
      </c>
      <c r="F34" s="177" t="s">
        <v>204</v>
      </c>
      <c r="G34" s="83" t="s">
        <v>216</v>
      </c>
      <c r="H34" s="111">
        <v>2</v>
      </c>
      <c r="I34" s="111">
        <v>1</v>
      </c>
      <c r="J34" s="82">
        <v>550</v>
      </c>
      <c r="K34" s="82">
        <f>IF(F34&lt;&gt;"",H34*I34*J34,"")</f>
        <v>1100</v>
      </c>
      <c r="L34" s="82">
        <f>IF(K34&lt;&gt;"",IF(D34="INTERNO",0,K34*$L$14),"")</f>
        <v>82.5</v>
      </c>
      <c r="M34" s="82">
        <f>IF(K34&lt;&gt;"",IF(E34="FAT.OGGI",SUM(K34:L34)*(1/(1-$M$14)-1),L34*(1/(1-$M$14)-1)),"")</f>
        <v>286.99173605070223</v>
      </c>
      <c r="N34" s="96">
        <f>SUM(K34:M34)</f>
        <v>1469.4917360507022</v>
      </c>
      <c r="Q34" s="132">
        <f t="shared" ref="Q34" si="50">IF(H34&lt;&gt;"",H34,"")</f>
        <v>2</v>
      </c>
      <c r="R34" s="133">
        <f t="shared" ref="R34" si="51">IF(I34&lt;&gt;"",I34,"")</f>
        <v>1</v>
      </c>
      <c r="S34" s="84">
        <v>400</v>
      </c>
      <c r="T34" s="84">
        <v>640</v>
      </c>
      <c r="U34" s="88">
        <f>IF(Q34&lt;&gt;"",K34-T34,"")</f>
        <v>460</v>
      </c>
      <c r="V34" s="85">
        <f>IF(Q34&lt;&gt;"",0%,"")</f>
        <v>0</v>
      </c>
      <c r="W34" s="86">
        <f>IF(Q34&lt;&gt;"",V34*U34,"")</f>
        <v>0</v>
      </c>
      <c r="X34" s="86">
        <f>IF(Q34&lt;&gt;"",W34+T34,"")</f>
        <v>640</v>
      </c>
      <c r="Y34" s="100">
        <f t="shared" ref="Y34:Y35" si="52">IF(Q34&lt;&gt;"",X34+M34,"")</f>
        <v>926.99173605070223</v>
      </c>
      <c r="Z34" s="198">
        <f>IF(Q34&lt;&gt;"",U34/K34,"")</f>
        <v>0.41818181818181815</v>
      </c>
      <c r="AA34" s="234"/>
      <c r="AB34" s="301">
        <f t="shared" si="12"/>
        <v>0</v>
      </c>
      <c r="AC34" s="303">
        <f>640</f>
        <v>640</v>
      </c>
      <c r="AE34" s="185">
        <v>800</v>
      </c>
      <c r="AF34" s="186">
        <f>T34-AE34</f>
        <v>-160</v>
      </c>
      <c r="AG34" s="187">
        <v>45966</v>
      </c>
      <c r="AI34" s="188" t="s">
        <v>270</v>
      </c>
      <c r="AJ34" s="189" t="s">
        <v>271</v>
      </c>
      <c r="AO34" s="309" t="s">
        <v>304</v>
      </c>
    </row>
    <row r="35" spans="1:41" ht="33" customHeight="1" thickBot="1" x14ac:dyDescent="0.55000000000000004">
      <c r="A35" s="156">
        <v>21</v>
      </c>
      <c r="B35" s="228"/>
      <c r="C35" s="164" t="s">
        <v>170</v>
      </c>
      <c r="D35" s="156"/>
      <c r="E35" s="156"/>
      <c r="F35" s="346" t="s">
        <v>178</v>
      </c>
      <c r="G35" s="347"/>
      <c r="H35" s="347"/>
      <c r="I35" s="347"/>
      <c r="J35" s="347"/>
      <c r="K35" s="106">
        <f>SUM(K34:K34)</f>
        <v>1100</v>
      </c>
      <c r="L35" s="106">
        <f>SUM(L34:L34)</f>
        <v>82.5</v>
      </c>
      <c r="M35" s="106">
        <f>SUM(M34:M34)</f>
        <v>286.99173605070223</v>
      </c>
      <c r="N35" s="179">
        <f>SUM(N34:N34)</f>
        <v>1469.4917360507022</v>
      </c>
      <c r="Q35" s="346" t="s">
        <v>178</v>
      </c>
      <c r="R35" s="347"/>
      <c r="S35" s="347"/>
      <c r="T35" s="105">
        <f>SUM(T34:T34)</f>
        <v>640</v>
      </c>
      <c r="U35" s="107">
        <f>SUM(U34:U34)</f>
        <v>460</v>
      </c>
      <c r="V35" s="108"/>
      <c r="W35" s="108"/>
      <c r="X35" s="109">
        <f>SUM(X34:X34)</f>
        <v>640</v>
      </c>
      <c r="Y35" s="180">
        <f t="shared" si="52"/>
        <v>926.99173605070223</v>
      </c>
      <c r="AB35" s="301"/>
      <c r="AC35" s="304"/>
    </row>
    <row r="36" spans="1:41" ht="33" thickBot="1" x14ac:dyDescent="0.55000000000000004">
      <c r="A36" s="154">
        <v>22</v>
      </c>
      <c r="B36" s="228">
        <v>5</v>
      </c>
      <c r="C36" s="167" t="s">
        <v>160</v>
      </c>
      <c r="D36" s="154"/>
      <c r="E36" s="154"/>
      <c r="F36" s="350" t="s">
        <v>210</v>
      </c>
      <c r="G36" s="351"/>
      <c r="H36" s="351"/>
      <c r="I36" s="351"/>
      <c r="J36" s="351"/>
      <c r="K36" s="351"/>
      <c r="L36" s="351"/>
      <c r="M36" s="351"/>
      <c r="N36" s="352"/>
      <c r="Q36" s="350" t="str">
        <f>IF(F36&lt;&gt;"",F36,"")</f>
        <v>MAQUINAS DE BRINDES</v>
      </c>
      <c r="R36" s="351"/>
      <c r="S36" s="351"/>
      <c r="T36" s="351"/>
      <c r="U36" s="351"/>
      <c r="V36" s="351"/>
      <c r="W36" s="351"/>
      <c r="X36" s="351"/>
      <c r="Y36" s="353"/>
      <c r="AB36" s="301">
        <f t="shared" si="12"/>
        <v>0</v>
      </c>
      <c r="AC36" s="304"/>
    </row>
    <row r="37" spans="1:41" ht="32.1" customHeight="1" x14ac:dyDescent="0.35">
      <c r="A37" s="154">
        <v>23</v>
      </c>
      <c r="B37" s="228" t="s">
        <v>179</v>
      </c>
      <c r="C37" s="167" t="s">
        <v>155</v>
      </c>
      <c r="D37" s="154"/>
      <c r="E37" s="154"/>
      <c r="F37" s="340" t="s">
        <v>210</v>
      </c>
      <c r="G37" s="341"/>
      <c r="H37" s="341"/>
      <c r="I37" s="341"/>
      <c r="J37" s="341"/>
      <c r="K37" s="342"/>
      <c r="L37" s="103" t="s">
        <v>156</v>
      </c>
      <c r="M37" s="104" t="s">
        <v>157</v>
      </c>
      <c r="N37" s="139" t="s">
        <v>129</v>
      </c>
      <c r="Q37" s="340" t="str">
        <f>IF(F37&lt;&gt;"",F37,"")</f>
        <v>MAQUINAS DE BRINDES</v>
      </c>
      <c r="R37" s="341"/>
      <c r="S37" s="341"/>
      <c r="T37" s="341"/>
      <c r="U37" s="341"/>
      <c r="V37" s="341"/>
      <c r="W37" s="341"/>
      <c r="X37" s="341"/>
      <c r="Y37" s="343"/>
      <c r="Z37" s="97" t="s">
        <v>158</v>
      </c>
      <c r="AA37" s="232" t="s">
        <v>130</v>
      </c>
      <c r="AB37" s="301">
        <f t="shared" si="12"/>
        <v>0</v>
      </c>
      <c r="AC37" s="305"/>
    </row>
    <row r="38" spans="1:41" ht="67.05" customHeight="1" x14ac:dyDescent="0.35">
      <c r="A38" s="154">
        <v>24</v>
      </c>
      <c r="B38" s="228" t="s">
        <v>181</v>
      </c>
      <c r="C38" s="167" t="s">
        <v>159</v>
      </c>
      <c r="D38" s="154" t="s">
        <v>172</v>
      </c>
      <c r="E38" s="154" t="s">
        <v>167</v>
      </c>
      <c r="F38" s="161" t="s">
        <v>214</v>
      </c>
      <c r="G38" s="159" t="s">
        <v>209</v>
      </c>
      <c r="H38" s="160">
        <v>1</v>
      </c>
      <c r="I38" s="160">
        <v>1</v>
      </c>
      <c r="J38" s="112">
        <v>4730</v>
      </c>
      <c r="K38" s="112">
        <f>IF(F38&lt;&gt;"",H38*I38*J38,"")</f>
        <v>4730</v>
      </c>
      <c r="L38" s="112">
        <f>IF(K38&lt;&gt;"",IF(D38="INTERNO",0,K38*$L$14),"")</f>
        <v>354.75</v>
      </c>
      <c r="M38" s="112">
        <f>IF(K38&lt;&gt;"",IF(E38="FAT.OGGI",SUM(K38:L38)*(1/(1-$M$14)-1),L38*(1/(1-$M$14)-1)),"")</f>
        <v>1234.0644650180195</v>
      </c>
      <c r="N38" s="136">
        <f>SUM(K38:M38)</f>
        <v>6318.8144650180193</v>
      </c>
      <c r="Q38" s="142">
        <f>IF(H38&lt;&gt;"",H38,"")</f>
        <v>1</v>
      </c>
      <c r="R38" s="149">
        <f>IF(I38&lt;&gt;"",I38,"")</f>
        <v>1</v>
      </c>
      <c r="S38" s="143">
        <v>3280</v>
      </c>
      <c r="T38" s="143">
        <f>IF(Q38&lt;&gt;"",Q38*R38*S38,"")</f>
        <v>3280</v>
      </c>
      <c r="U38" s="144">
        <f>IF(Q38&lt;&gt;"",K38-T38,"")</f>
        <v>1450</v>
      </c>
      <c r="V38" s="145">
        <f>IF(Q38&lt;&gt;"",0%,"")</f>
        <v>0</v>
      </c>
      <c r="W38" s="146">
        <f>IF(Q38&lt;&gt;"",V38*U38,"")</f>
        <v>0</v>
      </c>
      <c r="X38" s="146">
        <f>IF(Q38&lt;&gt;"",W38+T38,"")</f>
        <v>3280</v>
      </c>
      <c r="Y38" s="147">
        <f>IF(Q38&lt;&gt;"",X38+M38,"")</f>
        <v>4514.0644650180193</v>
      </c>
      <c r="Z38" s="98">
        <f>IF(Q38&lt;&gt;"",U38/K38,"")</f>
        <v>0.30655391120507397</v>
      </c>
      <c r="AA38" s="235">
        <f>T38/$T$39</f>
        <v>1</v>
      </c>
      <c r="AB38" s="301">
        <f t="shared" si="12"/>
        <v>0</v>
      </c>
      <c r="AC38" s="303">
        <v>3280</v>
      </c>
      <c r="AE38" s="185">
        <v>3280</v>
      </c>
      <c r="AF38" s="186">
        <f>T38-AE38</f>
        <v>0</v>
      </c>
      <c r="AG38" s="187">
        <v>45965</v>
      </c>
      <c r="AI38" s="188" t="s">
        <v>258</v>
      </c>
      <c r="AJ38" s="189" t="s">
        <v>259</v>
      </c>
      <c r="AO38" s="309" t="s">
        <v>308</v>
      </c>
    </row>
    <row r="39" spans="1:41" ht="38.1" customHeight="1" thickBot="1" x14ac:dyDescent="0.4">
      <c r="A39" s="154">
        <v>25</v>
      </c>
      <c r="B39" s="228"/>
      <c r="C39" s="167" t="s">
        <v>170</v>
      </c>
      <c r="D39" s="154"/>
      <c r="E39" s="154"/>
      <c r="F39" s="354" t="s">
        <v>211</v>
      </c>
      <c r="G39" s="355"/>
      <c r="H39" s="355"/>
      <c r="I39" s="355"/>
      <c r="J39" s="356"/>
      <c r="K39" s="175">
        <f>SUM(K38:K38)</f>
        <v>4730</v>
      </c>
      <c r="L39" s="175">
        <f>SUM(L38:L38)</f>
        <v>354.75</v>
      </c>
      <c r="M39" s="175">
        <f>SUM(M38:M38)</f>
        <v>1234.0644650180195</v>
      </c>
      <c r="N39" s="176">
        <f>SUM(N38:N38)</f>
        <v>6318.8144650180193</v>
      </c>
      <c r="Q39" s="357" t="s">
        <v>211</v>
      </c>
      <c r="R39" s="358"/>
      <c r="S39" s="359"/>
      <c r="T39" s="170">
        <f>SUM(T38:T38)</f>
        <v>3280</v>
      </c>
      <c r="U39" s="171">
        <f>SUM(U38:U38)</f>
        <v>1450</v>
      </c>
      <c r="V39" s="172"/>
      <c r="W39" s="173"/>
      <c r="X39" s="174">
        <f>SUM(X38:X38)</f>
        <v>3280</v>
      </c>
      <c r="Y39" s="101">
        <f>IF(Q39&lt;&gt;"",X39+M39,"")</f>
        <v>4514.0644650180193</v>
      </c>
      <c r="Z39" s="98"/>
      <c r="AA39" s="235"/>
      <c r="AB39" s="301"/>
      <c r="AC39" s="303"/>
    </row>
    <row r="40" spans="1:41" ht="38.1" customHeight="1" thickBot="1" x14ac:dyDescent="0.4">
      <c r="A40" s="154">
        <v>26</v>
      </c>
      <c r="B40" s="228">
        <v>6</v>
      </c>
      <c r="C40" s="167" t="s">
        <v>160</v>
      </c>
      <c r="D40" s="154"/>
      <c r="E40" s="154"/>
      <c r="F40" s="332" t="s">
        <v>180</v>
      </c>
      <c r="G40" s="333"/>
      <c r="H40" s="333"/>
      <c r="I40" s="333"/>
      <c r="J40" s="333"/>
      <c r="K40" s="333"/>
      <c r="L40" s="333"/>
      <c r="M40" s="333"/>
      <c r="N40" s="334"/>
      <c r="Q40" s="360" t="str">
        <f>IF(F40&lt;&gt;"",F40,"")</f>
        <v>SERVIÇOS</v>
      </c>
      <c r="R40" s="361"/>
      <c r="S40" s="361"/>
      <c r="T40" s="361"/>
      <c r="U40" s="361"/>
      <c r="V40" s="361"/>
      <c r="W40" s="361"/>
      <c r="X40" s="361"/>
      <c r="Y40" s="362"/>
      <c r="Z40" s="98"/>
      <c r="AA40" s="235"/>
      <c r="AB40" s="301">
        <f t="shared" si="12"/>
        <v>0</v>
      </c>
      <c r="AC40" s="303"/>
    </row>
    <row r="41" spans="1:41" ht="38.1" customHeight="1" x14ac:dyDescent="0.35">
      <c r="A41" s="155">
        <v>27</v>
      </c>
      <c r="B41" s="228" t="s">
        <v>182</v>
      </c>
      <c r="C41" s="165" t="s">
        <v>155</v>
      </c>
      <c r="D41" s="155"/>
      <c r="E41" s="155"/>
      <c r="F41" s="340" t="s">
        <v>180</v>
      </c>
      <c r="G41" s="341"/>
      <c r="H41" s="341"/>
      <c r="I41" s="341"/>
      <c r="J41" s="341"/>
      <c r="K41" s="342"/>
      <c r="L41" s="113" t="s">
        <v>156</v>
      </c>
      <c r="M41" s="114" t="s">
        <v>157</v>
      </c>
      <c r="N41" s="153" t="s">
        <v>129</v>
      </c>
      <c r="Q41" s="363" t="str">
        <f>IF(F41&lt;&gt;"",F41,"")</f>
        <v>SERVIÇOS</v>
      </c>
      <c r="R41" s="364"/>
      <c r="S41" s="364"/>
      <c r="T41" s="364"/>
      <c r="U41" s="364"/>
      <c r="V41" s="364"/>
      <c r="W41" s="364"/>
      <c r="X41" s="364"/>
      <c r="Y41" s="365"/>
      <c r="Z41" s="115" t="s">
        <v>158</v>
      </c>
      <c r="AA41" s="236" t="s">
        <v>130</v>
      </c>
      <c r="AB41" s="301">
        <f t="shared" si="12"/>
        <v>0</v>
      </c>
      <c r="AC41" s="306"/>
    </row>
    <row r="42" spans="1:41" ht="63.45" customHeight="1" x14ac:dyDescent="0.35">
      <c r="A42" s="156">
        <v>28</v>
      </c>
      <c r="B42" s="228" t="s">
        <v>183</v>
      </c>
      <c r="C42" s="164" t="s">
        <v>159</v>
      </c>
      <c r="D42" s="156" t="s">
        <v>172</v>
      </c>
      <c r="E42" s="156" t="s">
        <v>167</v>
      </c>
      <c r="F42" s="177" t="s">
        <v>207</v>
      </c>
      <c r="G42" s="83" t="s">
        <v>208</v>
      </c>
      <c r="H42" s="111">
        <v>1</v>
      </c>
      <c r="I42" s="111">
        <v>1</v>
      </c>
      <c r="J42" s="82">
        <v>850</v>
      </c>
      <c r="K42" s="82">
        <f>IF(F42&lt;&gt;"",H42*I42*J42,"")</f>
        <v>850</v>
      </c>
      <c r="L42" s="82">
        <f>IF(K42&lt;&gt;"",IF(D42="INTERNO",0,K42*$L$14),"")</f>
        <v>63.75</v>
      </c>
      <c r="M42" s="82">
        <f>IF(K42&lt;&gt;"",IF(E42="FAT.OGGI",SUM(K42:L42)*(1/(1-$M$14)-1),L42*(1/(1-$M$14)-1)),"")</f>
        <v>221.76634149372444</v>
      </c>
      <c r="N42" s="96">
        <f>SUM(K42:M42)</f>
        <v>1135.5163414937244</v>
      </c>
      <c r="Q42" s="130">
        <f>IF(H42&lt;&gt;"",H42,"")</f>
        <v>1</v>
      </c>
      <c r="R42" s="131">
        <f>IF(I42&lt;&gt;"",I42,"")</f>
        <v>1</v>
      </c>
      <c r="S42" s="91">
        <v>600</v>
      </c>
      <c r="T42" s="91">
        <f>IF(Q42&lt;&gt;"",Q42*R42*S42,"")</f>
        <v>600</v>
      </c>
      <c r="U42" s="92">
        <f>IF(Q42&lt;&gt;"",K42-T42,"")</f>
        <v>250</v>
      </c>
      <c r="V42" s="93">
        <f>IF(Q42&lt;&gt;"",0%,"")</f>
        <v>0</v>
      </c>
      <c r="W42" s="94">
        <f>IF(Q42&lt;&gt;"",V42*U42,"")</f>
        <v>0</v>
      </c>
      <c r="X42" s="94">
        <f>IF(Q42&lt;&gt;"",W42+T42,"")</f>
        <v>600</v>
      </c>
      <c r="Y42" s="102">
        <f>IF(Q42&lt;&gt;"",X42+M42,"")</f>
        <v>821.76634149372444</v>
      </c>
      <c r="Z42" s="98">
        <f>IF(Q42&lt;&gt;"",U42/K42,"")</f>
        <v>0.29411764705882354</v>
      </c>
      <c r="AA42" s="235">
        <f>T42/$T$45</f>
        <v>0.18151949973225873</v>
      </c>
      <c r="AB42" s="301">
        <f t="shared" si="12"/>
        <v>0</v>
      </c>
      <c r="AC42" s="303">
        <f>600</f>
        <v>600</v>
      </c>
      <c r="AE42" s="185">
        <v>600</v>
      </c>
      <c r="AF42" s="186">
        <f>T42-AE42</f>
        <v>0</v>
      </c>
      <c r="AG42" s="187">
        <v>45965</v>
      </c>
      <c r="AI42" s="188" t="s">
        <v>270</v>
      </c>
      <c r="AJ42" s="189" t="s">
        <v>271</v>
      </c>
      <c r="AO42" s="309" t="s">
        <v>306</v>
      </c>
    </row>
    <row r="43" spans="1:41" ht="50.1" customHeight="1" x14ac:dyDescent="0.35">
      <c r="A43" s="154">
        <v>29</v>
      </c>
      <c r="B43" s="228" t="s">
        <v>184</v>
      </c>
      <c r="C43" s="167" t="s">
        <v>159</v>
      </c>
      <c r="D43" s="154" t="s">
        <v>172</v>
      </c>
      <c r="E43" s="154" t="s">
        <v>167</v>
      </c>
      <c r="F43" s="177" t="s">
        <v>212</v>
      </c>
      <c r="G43" s="83" t="s">
        <v>213</v>
      </c>
      <c r="H43" s="111">
        <v>1</v>
      </c>
      <c r="I43" s="111">
        <v>1</v>
      </c>
      <c r="J43" s="82">
        <v>198.55</v>
      </c>
      <c r="K43" s="82">
        <f t="shared" ref="K43" si="53">IF(F43&lt;&gt;"",H43*I43*J43,"")</f>
        <v>198.55</v>
      </c>
      <c r="L43" s="82">
        <f t="shared" ref="L43" si="54">IF(K43&lt;&gt;"",IF(D43="INTERNO",0,K43*$L$14),"")</f>
        <v>14.891249999999999</v>
      </c>
      <c r="M43" s="82">
        <f t="shared" ref="M43" si="55">IF(K43&lt;&gt;"",IF(E43="FAT.OGGI",SUM(K43:L43)*(1/(1-$M$14)-1),L43*(1/(1-$M$14)-1)),"")</f>
        <v>51.802008357151756</v>
      </c>
      <c r="N43" s="96">
        <f t="shared" ref="N43" si="56">SUM(K43:M43)</f>
        <v>265.24325835715177</v>
      </c>
      <c r="Q43" s="128">
        <f t="shared" ref="Q43:R43" si="57">IF(H43&lt;&gt;"",H43,"")</f>
        <v>1</v>
      </c>
      <c r="R43" s="129">
        <f t="shared" si="57"/>
        <v>1</v>
      </c>
      <c r="S43" s="99">
        <v>0</v>
      </c>
      <c r="T43" s="99">
        <f>1027.43+1618</f>
        <v>2645.4300000000003</v>
      </c>
      <c r="U43" s="92">
        <f t="shared" ref="U43" si="58">IF(Q43&lt;&gt;"",K43-T43,"")</f>
        <v>-2446.88</v>
      </c>
      <c r="V43" s="93">
        <f t="shared" ref="V43" si="59">IF(Q43&lt;&gt;"",0%,"")</f>
        <v>0</v>
      </c>
      <c r="W43" s="94">
        <f t="shared" ref="W43" si="60">IF(Q43&lt;&gt;"",V43*U43,"")</f>
        <v>0</v>
      </c>
      <c r="X43" s="94">
        <f t="shared" ref="X43" si="61">IF(Q43&lt;&gt;"",W43+T43,"")</f>
        <v>2645.4300000000003</v>
      </c>
      <c r="Y43" s="102">
        <f t="shared" ref="Y43" si="62">IF(Q43&lt;&gt;"",X43+M43,"")</f>
        <v>2697.2320083571522</v>
      </c>
      <c r="Z43" s="98">
        <f t="shared" ref="Z43" si="63">IF(Q43&lt;&gt;"",U43/K43,"")</f>
        <v>-12.323747166960462</v>
      </c>
      <c r="AA43" s="235" t="e">
        <f t="shared" ref="AA43" si="64">T43/$T$53</f>
        <v>#DIV/0!</v>
      </c>
      <c r="AB43" s="301">
        <f t="shared" si="12"/>
        <v>0</v>
      </c>
      <c r="AC43" s="303">
        <f>187+95.91+102.64+140+253.44+248.44+1618</f>
        <v>2645.4300000000003</v>
      </c>
      <c r="AO43" s="309" t="s">
        <v>311</v>
      </c>
    </row>
    <row r="44" spans="1:41" ht="50.1" customHeight="1" thickBot="1" x14ac:dyDescent="0.4">
      <c r="A44" s="154">
        <v>30</v>
      </c>
      <c r="B44" s="228" t="s">
        <v>248</v>
      </c>
      <c r="C44" s="167" t="s">
        <v>159</v>
      </c>
      <c r="D44" s="154" t="s">
        <v>172</v>
      </c>
      <c r="E44" s="154" t="s">
        <v>167</v>
      </c>
      <c r="F44" s="177" t="s">
        <v>249</v>
      </c>
      <c r="G44" s="83" t="s">
        <v>288</v>
      </c>
      <c r="H44" s="111">
        <v>2</v>
      </c>
      <c r="I44" s="111">
        <v>6</v>
      </c>
      <c r="J44" s="82">
        <v>40</v>
      </c>
      <c r="K44" s="82">
        <f t="shared" ref="K44" si="65">IF(F44&lt;&gt;"",H44*I44*J44,"")</f>
        <v>480</v>
      </c>
      <c r="L44" s="82">
        <f t="shared" ref="L44" si="66">IF(K44&lt;&gt;"",IF(D44="INTERNO",0,K44*$L$14),"")</f>
        <v>36</v>
      </c>
      <c r="M44" s="82">
        <f t="shared" ref="M44" si="67">IF(K44&lt;&gt;"",IF(E44="FAT.OGGI",SUM(K44:L44)*(1/(1-$M$14)-1),L44*(1/(1-$M$14)-1)),"")</f>
        <v>125.23275754939733</v>
      </c>
      <c r="N44" s="96">
        <f t="shared" ref="N44" si="68">SUM(K44:M44)</f>
        <v>641.23275754939732</v>
      </c>
      <c r="Q44" s="128">
        <f t="shared" ref="Q44" si="69">IF(H44&lt;&gt;"",H44,"")</f>
        <v>2</v>
      </c>
      <c r="R44" s="129">
        <f t="shared" ref="R44" si="70">IF(I44&lt;&gt;"",I44,"")</f>
        <v>6</v>
      </c>
      <c r="S44" s="99">
        <v>40</v>
      </c>
      <c r="T44" s="99">
        <v>60</v>
      </c>
      <c r="U44" s="88">
        <f t="shared" ref="U44" si="71">IF(Q44&lt;&gt;"",K44-T44,"")</f>
        <v>420</v>
      </c>
      <c r="V44" s="85">
        <f t="shared" ref="V44" si="72">IF(Q44&lt;&gt;"",0%,"")</f>
        <v>0</v>
      </c>
      <c r="W44" s="86">
        <f t="shared" ref="W44" si="73">IF(Q44&lt;&gt;"",V44*U44,"")</f>
        <v>0</v>
      </c>
      <c r="X44" s="86">
        <f t="shared" ref="X44" si="74">IF(Q44&lt;&gt;"",W44+T44,"")</f>
        <v>60</v>
      </c>
      <c r="Y44" s="100">
        <f t="shared" ref="Y44" si="75">IF(Q44&lt;&gt;"",X44+M44,"")</f>
        <v>185.23275754939732</v>
      </c>
      <c r="Z44" s="98">
        <f t="shared" ref="Z44" si="76">IF(Q44&lt;&gt;"",U44/K44,"")</f>
        <v>0.875</v>
      </c>
      <c r="AA44" s="235" t="e">
        <f t="shared" ref="AA44" si="77">T44/$T$53</f>
        <v>#DIV/0!</v>
      </c>
      <c r="AB44" s="301">
        <f t="shared" si="12"/>
        <v>0</v>
      </c>
      <c r="AC44" s="303">
        <f>60</f>
        <v>60</v>
      </c>
      <c r="AO44" s="309" t="s">
        <v>305</v>
      </c>
    </row>
    <row r="45" spans="1:41" ht="28.05" customHeight="1" thickBot="1" x14ac:dyDescent="0.55000000000000004">
      <c r="A45" s="154">
        <v>31</v>
      </c>
      <c r="B45" s="228"/>
      <c r="C45" s="167" t="s">
        <v>170</v>
      </c>
      <c r="D45" s="154"/>
      <c r="E45" s="154"/>
      <c r="F45" s="348" t="s">
        <v>178</v>
      </c>
      <c r="G45" s="349"/>
      <c r="H45" s="349"/>
      <c r="I45" s="349"/>
      <c r="J45" s="349"/>
      <c r="K45" s="106">
        <f>SUM(K42:K44)</f>
        <v>1528.55</v>
      </c>
      <c r="L45" s="106">
        <f>SUM(L42:L44)</f>
        <v>114.64125</v>
      </c>
      <c r="M45" s="106">
        <f>SUM(M42:M44)</f>
        <v>398.80110740027351</v>
      </c>
      <c r="N45" s="141">
        <f>SUM(N42:N44)</f>
        <v>2041.9923574002735</v>
      </c>
      <c r="Q45" s="346" t="s">
        <v>178</v>
      </c>
      <c r="R45" s="347"/>
      <c r="S45" s="347"/>
      <c r="T45" s="105">
        <f>SUM(T42:T44)</f>
        <v>3305.4300000000003</v>
      </c>
      <c r="U45" s="107">
        <f>SUM(U42:U44)</f>
        <v>-1776.88</v>
      </c>
      <c r="V45" s="108"/>
      <c r="W45" s="108"/>
      <c r="X45" s="109">
        <f>SUM(X42:X44)</f>
        <v>3305.4300000000003</v>
      </c>
      <c r="Y45" s="180">
        <f>IF(Q45&lt;&gt;"",X45+M45,"")</f>
        <v>3704.2311074002737</v>
      </c>
      <c r="Z45" s="134" t="s">
        <v>187</v>
      </c>
      <c r="AA45" s="134" t="s">
        <v>188</v>
      </c>
      <c r="AB45" s="301"/>
      <c r="AC45" s="302"/>
    </row>
    <row r="46" spans="1:41" ht="45.6" customHeight="1" thickBot="1" x14ac:dyDescent="0.55000000000000004">
      <c r="A46" s="155">
        <v>32</v>
      </c>
      <c r="B46" s="229"/>
      <c r="C46" s="165" t="s">
        <v>185</v>
      </c>
      <c r="D46" s="155"/>
      <c r="E46" s="155"/>
      <c r="F46" s="116" t="s">
        <v>186</v>
      </c>
      <c r="G46" s="117"/>
      <c r="H46" s="158"/>
      <c r="I46" s="158"/>
      <c r="J46" s="117"/>
      <c r="K46" s="118">
        <f>SUM(K17:K18)+SUM(K22:K23)+SUM(K27:K30)+SUM(K34:K34)+SUM(K38:K38)+SUM(K42:K44)</f>
        <v>24988.55</v>
      </c>
      <c r="L46" s="118">
        <f>SUM(L17:L18)+SUM(L22:L23)+SUM(L27:L30)+SUM(L34:L34)+SUM(L38:L38)+SUM(L42:L44)</f>
        <v>1536.6412499999999</v>
      </c>
      <c r="M46" s="118">
        <f>SUM(M17:M18)+SUM(M22:M23)+SUM(M27:M30)+SUM(M34:M34)+SUM(M38:M38)+SUM(M42:M44)</f>
        <v>6437.6411720206315</v>
      </c>
      <c r="N46" s="169">
        <f>SUM(N17:N18)+SUM(N22:N23)+SUM(N27:N30)+SUM(N34:N34)+SUM(N38:N38)+SUM(N42:N44)</f>
        <v>32962.832422020634</v>
      </c>
      <c r="Q46" s="191" t="s">
        <v>43</v>
      </c>
      <c r="R46" s="158"/>
      <c r="S46" s="117"/>
      <c r="T46" s="118">
        <f>SUM(T17:T18)+SUM(T22:T23)+SUM(T27:T30)+SUM(T34:T34)+SUM(T38:T38)+SUM(T42:T44)</f>
        <v>17135.43</v>
      </c>
      <c r="U46" s="118">
        <f>SUM(U17:U18)+SUM(U22:U23)+SUM(U27:U30)+SUM(U34:U34)+SUM(U38:U38)+SUM(U42:U44)</f>
        <v>7853.12</v>
      </c>
      <c r="V46" s="117"/>
      <c r="W46" s="117"/>
      <c r="X46" s="118">
        <f>SUM(X17:X18)+SUM(X22:X23)+SUM(X27:X30)+SUM(X34:X34)+SUM(X38:X38)+SUM(X42:X44)</f>
        <v>17135.43</v>
      </c>
      <c r="Y46" s="169">
        <f>SUM(Y17:Y18)+SUM(Y22:Y23)+SUM(Y27:Y30)+SUM(Y34:Y34)+SUM(Y38:Y38)+SUM(Y42:Y44)</f>
        <v>23573.071172020631</v>
      </c>
      <c r="Z46" s="148">
        <f>IF(Q46&lt;&gt;"",(N46-Y46)/N46,"")</f>
        <v>0.28485905366940573</v>
      </c>
      <c r="AA46" s="237">
        <f>IF(Z46&lt;&gt;"",(N46-Y46),"")</f>
        <v>9389.7612500000032</v>
      </c>
      <c r="AB46" s="301">
        <f>SUM(AB17:AB45)</f>
        <v>0</v>
      </c>
      <c r="AC46" s="307">
        <f>SUM(AC17:AC45)</f>
        <v>17135.43</v>
      </c>
    </row>
    <row r="48" spans="1:41" ht="23.4" x14ac:dyDescent="0.45">
      <c r="AB48" s="282">
        <v>0</v>
      </c>
      <c r="AC48" s="279" t="s">
        <v>156</v>
      </c>
    </row>
    <row r="49" spans="13:29" ht="23.4" x14ac:dyDescent="0.45">
      <c r="M49" s="310">
        <f>K46+L46</f>
        <v>26525.19125</v>
      </c>
      <c r="AB49" s="311">
        <f>M49*0.15</f>
        <v>3978.7786874999997</v>
      </c>
      <c r="AC49" s="280" t="s">
        <v>157</v>
      </c>
    </row>
    <row r="50" spans="13:29" ht="23.4" x14ac:dyDescent="0.45">
      <c r="AB50" s="311">
        <f>X46+AB49</f>
        <v>21114.208687499999</v>
      </c>
      <c r="AC50" s="280" t="s">
        <v>301</v>
      </c>
    </row>
    <row r="51" spans="13:29" ht="23.4" x14ac:dyDescent="0.45">
      <c r="AB51" s="312">
        <f>N46-AB50</f>
        <v>11848.623734520635</v>
      </c>
      <c r="AC51" s="281" t="s">
        <v>300</v>
      </c>
    </row>
    <row r="52" spans="13:29" ht="23.4" x14ac:dyDescent="0.45">
      <c r="AB52" s="313">
        <f>AB51*100%/N46</f>
        <v>0.3594540536694058</v>
      </c>
      <c r="AC52" s="281"/>
    </row>
    <row r="59" spans="13:29" x14ac:dyDescent="0.35">
      <c r="AB59" s="316"/>
    </row>
    <row r="61" spans="13:29" x14ac:dyDescent="0.35">
      <c r="AB61" s="316"/>
    </row>
  </sheetData>
  <mergeCells count="43">
    <mergeCell ref="F37:K37"/>
    <mergeCell ref="Q37:Y37"/>
    <mergeCell ref="F45:J45"/>
    <mergeCell ref="Q45:S45"/>
    <mergeCell ref="F39:J39"/>
    <mergeCell ref="Q39:S39"/>
    <mergeCell ref="F40:N40"/>
    <mergeCell ref="Q40:Y40"/>
    <mergeCell ref="F41:K41"/>
    <mergeCell ref="Q41:Y41"/>
    <mergeCell ref="F33:K33"/>
    <mergeCell ref="Q33:Y33"/>
    <mergeCell ref="F35:J35"/>
    <mergeCell ref="Q35:S35"/>
    <mergeCell ref="F36:N36"/>
    <mergeCell ref="Q36:Y36"/>
    <mergeCell ref="F26:K26"/>
    <mergeCell ref="Q26:Y26"/>
    <mergeCell ref="F31:J31"/>
    <mergeCell ref="Q31:S31"/>
    <mergeCell ref="F32:N32"/>
    <mergeCell ref="Q32:Y32"/>
    <mergeCell ref="F21:K21"/>
    <mergeCell ref="Q21:Y21"/>
    <mergeCell ref="F24:J24"/>
    <mergeCell ref="Q24:S24"/>
    <mergeCell ref="F25:N25"/>
    <mergeCell ref="Q25:Y25"/>
    <mergeCell ref="AI12:AJ12"/>
    <mergeCell ref="F20:N20"/>
    <mergeCell ref="Q20:Y20"/>
    <mergeCell ref="AB14:AC14"/>
    <mergeCell ref="F15:N15"/>
    <mergeCell ref="Q15:Y15"/>
    <mergeCell ref="F16:K16"/>
    <mergeCell ref="Q16:Y16"/>
    <mergeCell ref="F19:J19"/>
    <mergeCell ref="Q19:S19"/>
    <mergeCell ref="F1:G1"/>
    <mergeCell ref="F2:G2"/>
    <mergeCell ref="Q12:T12"/>
    <mergeCell ref="U12:X12"/>
    <mergeCell ref="AE12:AG12"/>
  </mergeCells>
  <dataValidations count="3">
    <dataValidation type="list" allowBlank="1" showInputMessage="1" showErrorMessage="1" sqref="E17:E18 E22:E23 E34 E27:E30 E38:E44" xr:uid="{8D3852FD-8A59-41EB-B2FA-D2918B1AF0E5}">
      <formula1>"FAT.OGGI,FAT.CLIENTE"</formula1>
    </dataValidation>
    <dataValidation type="list" allowBlank="1" showInputMessage="1" showErrorMessage="1" sqref="D46 D22:D23 D17:D18 D34 D27:D30 D38:D44" xr:uid="{17FA4E1B-3FFD-4749-8E8B-C35BC01D8FA6}">
      <formula1>"INTERNO,OPERACIONAL"</formula1>
    </dataValidation>
    <dataValidation type="list" allowBlank="1" showInputMessage="1" showErrorMessage="1" sqref="E46" xr:uid="{891F784F-ECF2-4705-9961-B263F16D12A8}">
      <formula1>"FAT.OGGI,FAT.CLIENTE "</formula1>
    </dataValidation>
  </dataValidations>
  <pageMargins left="0.511811024" right="0.511811024" top="0.78740157499999996" bottom="0.78740157499999996" header="0.31496062000000002" footer="0.31496062000000002"/>
  <pageSetup paperSize="9" orientation="portrait" horizontalDpi="360" verticalDpi="360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BF52305-94F1-4FFF-B1E7-BF297D26655C}">
  <sheetPr codeName="Planilha17">
    <pageSetUpPr autoPageBreaks="0"/>
  </sheetPr>
  <dimension ref="A1:AM28"/>
  <sheetViews>
    <sheetView showGridLines="0" topLeftCell="H1" zoomScale="70" zoomScaleNormal="70" workbookViewId="0">
      <pane ySplit="1" topLeftCell="A16" activePane="bottomLeft" state="frozen"/>
      <selection activeCell="N39" sqref="N39"/>
      <selection pane="bottomLeft" activeCell="AB28" sqref="AB28"/>
    </sheetView>
  </sheetViews>
  <sheetFormatPr defaultRowHeight="15.6" x14ac:dyDescent="0.3"/>
  <cols>
    <col min="1" max="1" width="8.21875" style="119" hidden="1" customWidth="1"/>
    <col min="2" max="2" width="6.88671875" style="286" customWidth="1"/>
    <col min="3" max="3" width="5.44140625" style="119" hidden="1" customWidth="1"/>
    <col min="4" max="4" width="6" style="119" hidden="1" customWidth="1"/>
    <col min="5" max="5" width="10.44140625" style="119" hidden="1" customWidth="1"/>
    <col min="6" max="6" width="30.77734375" customWidth="1"/>
    <col min="7" max="7" width="71.21875" customWidth="1"/>
    <col min="8" max="9" width="7.77734375" style="140" customWidth="1"/>
    <col min="10" max="10" width="17.21875" bestFit="1" customWidth="1"/>
    <col min="11" max="11" width="23.44140625" bestFit="1" customWidth="1"/>
    <col min="12" max="12" width="21.77734375" customWidth="1"/>
    <col min="13" max="13" width="22.77734375" bestFit="1" customWidth="1"/>
    <col min="14" max="14" width="22.77734375" customWidth="1"/>
    <col min="15" max="15" width="3.21875" hidden="1" customWidth="1"/>
    <col min="16" max="16" width="1.77734375" hidden="1" customWidth="1"/>
    <col min="17" max="17" width="9.5546875" style="140" customWidth="1"/>
    <col min="18" max="18" width="8.77734375" style="140" hidden="1" customWidth="1"/>
    <col min="19" max="19" width="17" hidden="1" customWidth="1"/>
    <col min="20" max="20" width="23.44140625" bestFit="1" customWidth="1"/>
    <col min="21" max="21" width="23.44140625" hidden="1" customWidth="1"/>
    <col min="22" max="23" width="22.77734375" hidden="1" customWidth="1"/>
    <col min="24" max="24" width="28.21875" bestFit="1" customWidth="1"/>
    <col min="25" max="25" width="28.21875" hidden="1" customWidth="1"/>
    <col min="26" max="26" width="19.77734375" hidden="1" customWidth="1"/>
    <col min="27" max="27" width="25.21875" hidden="1" customWidth="1"/>
    <col min="28" max="29" width="25.21875" customWidth="1"/>
    <col min="30" max="30" width="8.21875" hidden="1" customWidth="1"/>
    <col min="31" max="32" width="33" hidden="1" customWidth="1"/>
    <col min="33" max="33" width="28" hidden="1" customWidth="1"/>
    <col min="34" max="34" width="1.21875" hidden="1" customWidth="1"/>
    <col min="35" max="35" width="16.6640625" style="218" customWidth="1"/>
    <col min="36" max="36" width="36.77734375" hidden="1" customWidth="1"/>
    <col min="37" max="37" width="1.5546875" hidden="1" customWidth="1"/>
    <col min="38" max="38" width="20.21875" hidden="1" customWidth="1"/>
    <col min="39" max="39" width="25.21875" hidden="1" customWidth="1"/>
    <col min="40" max="40" width="24.77734375" bestFit="1" customWidth="1"/>
    <col min="42" max="42" width="21.21875" customWidth="1"/>
  </cols>
  <sheetData>
    <row r="1" spans="1:38" ht="49.5" customHeight="1" x14ac:dyDescent="0.3">
      <c r="B1" s="283"/>
      <c r="C1" s="120"/>
      <c r="D1" s="120"/>
      <c r="F1" s="319" t="s">
        <v>128</v>
      </c>
      <c r="G1" s="319"/>
    </row>
    <row r="2" spans="1:38" ht="24.75" customHeight="1" x14ac:dyDescent="0.3">
      <c r="B2" s="284"/>
      <c r="D2" s="120"/>
      <c r="F2" s="320" t="s">
        <v>0</v>
      </c>
      <c r="G2" s="320"/>
    </row>
    <row r="3" spans="1:38" ht="18" x14ac:dyDescent="0.3">
      <c r="B3" s="285"/>
      <c r="F3" s="30"/>
      <c r="G3" s="30"/>
    </row>
    <row r="4" spans="1:38" ht="18" x14ac:dyDescent="0.3">
      <c r="F4" s="54" t="s">
        <v>192</v>
      </c>
      <c r="G4" s="55"/>
    </row>
    <row r="5" spans="1:38" ht="18" x14ac:dyDescent="0.3">
      <c r="F5" s="56" t="s">
        <v>189</v>
      </c>
      <c r="G5" s="57"/>
    </row>
    <row r="6" spans="1:38" ht="18" x14ac:dyDescent="0.3">
      <c r="F6" s="56" t="s">
        <v>194</v>
      </c>
      <c r="G6" s="58"/>
    </row>
    <row r="7" spans="1:38" ht="21.75" customHeight="1" x14ac:dyDescent="0.3">
      <c r="F7" s="56" t="s">
        <v>193</v>
      </c>
      <c r="G7" s="59"/>
    </row>
    <row r="8" spans="1:38" ht="18" x14ac:dyDescent="0.3">
      <c r="F8" s="163" t="s">
        <v>195</v>
      </c>
      <c r="G8" s="60"/>
    </row>
    <row r="9" spans="1:38" ht="18" x14ac:dyDescent="0.3">
      <c r="F9" s="56" t="s">
        <v>190</v>
      </c>
      <c r="G9" s="59"/>
      <c r="M9">
        <v>0.80469999999999997</v>
      </c>
    </row>
    <row r="10" spans="1:38" ht="27" customHeight="1" x14ac:dyDescent="0.3">
      <c r="F10" s="56" t="s">
        <v>196</v>
      </c>
      <c r="G10" s="59"/>
      <c r="M10">
        <f>1-M9</f>
        <v>0.19530000000000003</v>
      </c>
    </row>
    <row r="11" spans="1:38" ht="18.600000000000001" thickBot="1" x14ac:dyDescent="0.35">
      <c r="F11" s="61" t="s">
        <v>197</v>
      </c>
      <c r="G11" s="62"/>
    </row>
    <row r="12" spans="1:38" ht="16.8" thickBot="1" x14ac:dyDescent="0.35">
      <c r="B12" s="287"/>
      <c r="M12" s="26"/>
      <c r="Q12" s="321" t="s">
        <v>1</v>
      </c>
      <c r="R12" s="322"/>
      <c r="S12" s="322"/>
      <c r="T12" s="323"/>
      <c r="U12" s="324" t="s">
        <v>2</v>
      </c>
      <c r="V12" s="325"/>
      <c r="W12" s="325"/>
      <c r="X12" s="326"/>
      <c r="Y12" s="28" t="s">
        <v>56</v>
      </c>
      <c r="Z12" s="29" t="e">
        <f>(1/(1-#REF!))-1</f>
        <v>#REF!</v>
      </c>
      <c r="AE12" s="327" t="s">
        <v>3</v>
      </c>
      <c r="AF12" s="328"/>
      <c r="AG12" s="329"/>
      <c r="AI12" s="370"/>
      <c r="AJ12" s="370"/>
      <c r="AL12" s="31" t="s">
        <v>71</v>
      </c>
    </row>
    <row r="13" spans="1:38" ht="16.05" customHeight="1" thickBot="1" x14ac:dyDescent="0.4">
      <c r="A13" s="121" t="s">
        <v>4</v>
      </c>
      <c r="B13" s="288" t="s">
        <v>5</v>
      </c>
      <c r="C13" s="121" t="s">
        <v>6</v>
      </c>
      <c r="D13" s="121" t="s">
        <v>7</v>
      </c>
      <c r="E13" s="121" t="s">
        <v>8</v>
      </c>
      <c r="M13" s="27">
        <v>0.80469999999999997</v>
      </c>
      <c r="AI13" s="293"/>
      <c r="AJ13" s="294"/>
    </row>
    <row r="14" spans="1:38" ht="33" thickBot="1" x14ac:dyDescent="0.35">
      <c r="A14" s="122">
        <v>0</v>
      </c>
      <c r="B14" s="289"/>
      <c r="C14" s="123"/>
      <c r="D14" s="124"/>
      <c r="E14" s="124"/>
      <c r="F14" s="199" t="s">
        <v>131</v>
      </c>
      <c r="G14" s="200" t="s">
        <v>132</v>
      </c>
      <c r="H14" s="201" t="s">
        <v>133</v>
      </c>
      <c r="I14" s="201" t="s">
        <v>134</v>
      </c>
      <c r="J14" s="202" t="s">
        <v>135</v>
      </c>
      <c r="K14" s="203" t="s">
        <v>9</v>
      </c>
      <c r="L14" s="204">
        <v>7.4999999999999997E-2</v>
      </c>
      <c r="M14" s="205">
        <f>1-M13</f>
        <v>0.19530000000000003</v>
      </c>
      <c r="N14" s="206" t="s">
        <v>129</v>
      </c>
      <c r="Q14" s="74" t="s">
        <v>136</v>
      </c>
      <c r="R14" s="75" t="s">
        <v>137</v>
      </c>
      <c r="S14" s="76" t="s">
        <v>138</v>
      </c>
      <c r="T14" s="77" t="s">
        <v>139</v>
      </c>
      <c r="U14" s="78" t="s">
        <v>140</v>
      </c>
      <c r="V14" s="79" t="s">
        <v>141</v>
      </c>
      <c r="W14" s="80" t="s">
        <v>142</v>
      </c>
      <c r="X14" s="80" t="s">
        <v>143</v>
      </c>
      <c r="Y14" s="81" t="s">
        <v>144</v>
      </c>
      <c r="Z14" s="196" t="s">
        <v>145</v>
      </c>
      <c r="AA14" s="231" t="s">
        <v>130</v>
      </c>
      <c r="AB14" s="371" t="s">
        <v>70</v>
      </c>
      <c r="AC14" s="371"/>
      <c r="AE14" s="63" t="s">
        <v>146</v>
      </c>
      <c r="AF14" s="64" t="s">
        <v>147</v>
      </c>
      <c r="AG14" s="64" t="s">
        <v>33</v>
      </c>
      <c r="AI14" s="295"/>
      <c r="AJ14" s="296"/>
      <c r="AK14" t="s">
        <v>150</v>
      </c>
      <c r="AL14" t="s">
        <v>150</v>
      </c>
    </row>
    <row r="15" spans="1:38" ht="22.95" customHeight="1" thickBot="1" x14ac:dyDescent="0.5">
      <c r="A15" s="154">
        <v>1</v>
      </c>
      <c r="B15" s="219">
        <v>1</v>
      </c>
      <c r="C15" s="167" t="s">
        <v>160</v>
      </c>
      <c r="D15" s="154"/>
      <c r="E15" s="154"/>
      <c r="F15" s="367" t="s">
        <v>281</v>
      </c>
      <c r="G15" s="368"/>
      <c r="H15" s="368"/>
      <c r="I15" s="368"/>
      <c r="J15" s="368"/>
      <c r="K15" s="368"/>
      <c r="L15" s="368"/>
      <c r="M15" s="368"/>
      <c r="N15" s="369"/>
      <c r="Q15" s="332" t="str">
        <f>IF(F15&lt;&gt;"",F15,"")</f>
        <v>PREMIAÇÃO</v>
      </c>
      <c r="R15" s="333"/>
      <c r="S15" s="333"/>
      <c r="T15" s="333"/>
      <c r="U15" s="333"/>
      <c r="V15" s="333"/>
      <c r="W15" s="333"/>
      <c r="X15" s="333"/>
      <c r="Y15" s="335"/>
      <c r="AB15" s="290"/>
      <c r="AC15" s="290"/>
    </row>
    <row r="16" spans="1:38" ht="31.5" customHeight="1" x14ac:dyDescent="0.35">
      <c r="A16" s="154">
        <v>2</v>
      </c>
      <c r="B16" s="219" t="s">
        <v>161</v>
      </c>
      <c r="C16" s="167" t="s">
        <v>155</v>
      </c>
      <c r="D16" s="154"/>
      <c r="E16" s="154"/>
      <c r="F16" s="340" t="s">
        <v>281</v>
      </c>
      <c r="G16" s="341"/>
      <c r="H16" s="341"/>
      <c r="I16" s="341"/>
      <c r="J16" s="341"/>
      <c r="K16" s="342"/>
      <c r="L16" s="103" t="s">
        <v>156</v>
      </c>
      <c r="M16" s="104" t="s">
        <v>157</v>
      </c>
      <c r="N16" s="139" t="s">
        <v>129</v>
      </c>
      <c r="Q16" s="340" t="str">
        <f>IF(F16&lt;&gt;"",F16,"")</f>
        <v>PREMIAÇÃO</v>
      </c>
      <c r="R16" s="341"/>
      <c r="S16" s="341"/>
      <c r="T16" s="341"/>
      <c r="U16" s="341"/>
      <c r="V16" s="341"/>
      <c r="W16" s="341"/>
      <c r="X16" s="341"/>
      <c r="Y16" s="343"/>
      <c r="Z16" s="197" t="s">
        <v>158</v>
      </c>
      <c r="AA16" s="232" t="s">
        <v>130</v>
      </c>
      <c r="AB16" s="291" t="s">
        <v>151</v>
      </c>
      <c r="AC16" s="292" t="s">
        <v>152</v>
      </c>
    </row>
    <row r="17" spans="1:36" ht="45.6" customHeight="1" x14ac:dyDescent="0.35">
      <c r="A17" s="154">
        <v>3</v>
      </c>
      <c r="B17" s="219" t="s">
        <v>162</v>
      </c>
      <c r="C17" s="167" t="s">
        <v>159</v>
      </c>
      <c r="D17" s="154" t="s">
        <v>172</v>
      </c>
      <c r="E17" s="154" t="s">
        <v>167</v>
      </c>
      <c r="F17" s="177" t="s">
        <v>282</v>
      </c>
      <c r="G17" s="83" t="s">
        <v>283</v>
      </c>
      <c r="H17" s="111">
        <v>3</v>
      </c>
      <c r="I17" s="111">
        <v>1</v>
      </c>
      <c r="J17" s="82">
        <v>370</v>
      </c>
      <c r="K17" s="82">
        <f t="shared" ref="K17:K19" si="0">IF(F17&lt;&gt;"",H17*I17*J17,"")</f>
        <v>1110</v>
      </c>
      <c r="L17" s="82">
        <f t="shared" ref="L17:L19" si="1">IF(K17&lt;&gt;"",IF(D17="INTERNO",0,K17*$L$14),"")</f>
        <v>83.25</v>
      </c>
      <c r="M17" s="82">
        <f t="shared" ref="M17:M19" si="2">IF(K17&lt;&gt;"",IF(E17="FAT.OGGI",SUM(K17:L17)*(1/(1-$M$14)-1),L17*(1/(1-$M$14)-1)),"")</f>
        <v>289.6007518329813</v>
      </c>
      <c r="N17" s="96">
        <f t="shared" ref="N17:N19" si="3">SUM(K17:M17)</f>
        <v>1482.8507518329814</v>
      </c>
      <c r="Q17" s="130">
        <f t="shared" ref="Q17:R18" si="4">IF(H17&lt;&gt;"",H17,"")</f>
        <v>3</v>
      </c>
      <c r="R17" s="131">
        <f t="shared" si="4"/>
        <v>1</v>
      </c>
      <c r="S17" s="91">
        <v>259</v>
      </c>
      <c r="T17" s="91">
        <v>259</v>
      </c>
      <c r="U17" s="92">
        <f t="shared" ref="U17:U19" si="5">IF(Q17&lt;&gt;"",K17-T17,"")</f>
        <v>851</v>
      </c>
      <c r="V17" s="93">
        <f t="shared" ref="V17:V19" si="6">IF(Q17&lt;&gt;"",0%,"")</f>
        <v>0</v>
      </c>
      <c r="W17" s="94">
        <f t="shared" ref="W17:W19" si="7">IF(Q17&lt;&gt;"",V17*U17,"")</f>
        <v>0</v>
      </c>
      <c r="X17" s="94">
        <f t="shared" ref="X17:X19" si="8">IF(Q17&lt;&gt;"",W17+T17,"")</f>
        <v>259</v>
      </c>
      <c r="Y17" s="102">
        <f t="shared" ref="Y17:Y21" si="9">IF(Q17&lt;&gt;"",X17+M17,"")</f>
        <v>548.60075183298136</v>
      </c>
      <c r="Z17" s="198">
        <f t="shared" ref="Z17:Z19" si="10">IF(Q17&lt;&gt;"",U17/K17,"")</f>
        <v>0.76666666666666672</v>
      </c>
      <c r="AA17" s="230"/>
      <c r="AB17" s="297">
        <f>X17-AC17</f>
        <v>0</v>
      </c>
      <c r="AC17" s="298">
        <v>259</v>
      </c>
      <c r="AE17" s="185">
        <v>3320</v>
      </c>
      <c r="AF17" s="186">
        <f>T17-AE17</f>
        <v>-3061</v>
      </c>
      <c r="AG17" s="187">
        <v>45965</v>
      </c>
      <c r="AJ17" s="189" t="s">
        <v>264</v>
      </c>
    </row>
    <row r="18" spans="1:36" ht="37.049999999999997" customHeight="1" x14ac:dyDescent="0.35">
      <c r="A18" s="156">
        <v>4</v>
      </c>
      <c r="B18" s="219" t="s">
        <v>153</v>
      </c>
      <c r="C18" s="164" t="s">
        <v>159</v>
      </c>
      <c r="D18" s="156" t="s">
        <v>172</v>
      </c>
      <c r="E18" s="156" t="s">
        <v>167</v>
      </c>
      <c r="F18" s="177" t="s">
        <v>284</v>
      </c>
      <c r="G18" s="83" t="s">
        <v>285</v>
      </c>
      <c r="H18" s="111">
        <v>3</v>
      </c>
      <c r="I18" s="111">
        <v>1</v>
      </c>
      <c r="J18" s="82">
        <v>777</v>
      </c>
      <c r="K18" s="82">
        <f t="shared" si="0"/>
        <v>2331</v>
      </c>
      <c r="L18" s="82">
        <f t="shared" si="1"/>
        <v>174.82499999999999</v>
      </c>
      <c r="M18" s="82">
        <f t="shared" si="2"/>
        <v>608.16157884926076</v>
      </c>
      <c r="N18" s="96">
        <f t="shared" si="3"/>
        <v>3113.9865788492607</v>
      </c>
      <c r="Q18" s="128">
        <v>3</v>
      </c>
      <c r="R18" s="129">
        <f t="shared" si="4"/>
        <v>1</v>
      </c>
      <c r="S18" s="99">
        <v>777</v>
      </c>
      <c r="T18" s="99">
        <v>2320.9</v>
      </c>
      <c r="U18" s="181">
        <f t="shared" si="5"/>
        <v>10.099999999999909</v>
      </c>
      <c r="V18" s="182">
        <f t="shared" si="6"/>
        <v>0</v>
      </c>
      <c r="W18" s="87">
        <f t="shared" si="7"/>
        <v>0</v>
      </c>
      <c r="X18" s="87">
        <f t="shared" si="8"/>
        <v>2320.9</v>
      </c>
      <c r="Y18" s="100">
        <f t="shared" si="9"/>
        <v>2929.061578849261</v>
      </c>
      <c r="Z18" s="198">
        <f t="shared" si="10"/>
        <v>4.3329043329042938E-3</v>
      </c>
      <c r="AA18" s="230">
        <f>T18/$T$21</f>
        <v>0.89960851195782787</v>
      </c>
      <c r="AB18" s="297">
        <f t="shared" ref="AB18:AB20" si="11">X18-AC18</f>
        <v>0</v>
      </c>
      <c r="AC18" s="298">
        <f>802.9+759+759</f>
        <v>2320.9</v>
      </c>
      <c r="AE18" s="185">
        <v>3600</v>
      </c>
      <c r="AF18" s="186">
        <f>T18-AE18</f>
        <v>-1279.0999999999999</v>
      </c>
      <c r="AG18" s="187">
        <v>45940</v>
      </c>
      <c r="AJ18" s="189" t="s">
        <v>231</v>
      </c>
    </row>
    <row r="19" spans="1:36" ht="40.5" customHeight="1" x14ac:dyDescent="0.3">
      <c r="A19" s="156">
        <v>5</v>
      </c>
      <c r="B19" s="219" t="s">
        <v>289</v>
      </c>
      <c r="C19" s="164" t="s">
        <v>159</v>
      </c>
      <c r="D19" s="156" t="s">
        <v>172</v>
      </c>
      <c r="E19" s="156" t="s">
        <v>167</v>
      </c>
      <c r="F19" s="177" t="s">
        <v>287</v>
      </c>
      <c r="G19" s="83" t="s">
        <v>286</v>
      </c>
      <c r="H19" s="111">
        <v>2</v>
      </c>
      <c r="I19" s="111">
        <v>1</v>
      </c>
      <c r="J19" s="82">
        <v>245</v>
      </c>
      <c r="K19" s="82">
        <f t="shared" si="0"/>
        <v>490</v>
      </c>
      <c r="L19" s="82">
        <f t="shared" si="1"/>
        <v>36.75</v>
      </c>
      <c r="M19" s="82">
        <f t="shared" si="2"/>
        <v>127.84177333167644</v>
      </c>
      <c r="N19" s="96">
        <f t="shared" si="3"/>
        <v>654.59177333167645</v>
      </c>
      <c r="Q19" s="128">
        <f t="shared" ref="Q19" si="12">IF(H19&lt;&gt;"",H19,"")</f>
        <v>2</v>
      </c>
      <c r="R19" s="129">
        <v>1</v>
      </c>
      <c r="S19" s="99">
        <v>245</v>
      </c>
      <c r="T19" s="99"/>
      <c r="U19" s="181">
        <f t="shared" si="5"/>
        <v>490</v>
      </c>
      <c r="V19" s="182">
        <f t="shared" si="6"/>
        <v>0</v>
      </c>
      <c r="W19" s="87">
        <f t="shared" si="7"/>
        <v>0</v>
      </c>
      <c r="X19" s="87">
        <f t="shared" si="8"/>
        <v>0</v>
      </c>
      <c r="Y19" s="100">
        <f t="shared" si="9"/>
        <v>127.84177333167644</v>
      </c>
      <c r="Z19" s="198">
        <f t="shared" si="10"/>
        <v>1</v>
      </c>
      <c r="AA19" s="230">
        <f>T19/$T$21</f>
        <v>0</v>
      </c>
      <c r="AB19" s="297">
        <f t="shared" si="11"/>
        <v>0</v>
      </c>
      <c r="AC19" s="298"/>
    </row>
    <row r="20" spans="1:36" ht="40.5" customHeight="1" x14ac:dyDescent="0.3">
      <c r="A20" s="156">
        <v>6</v>
      </c>
      <c r="B20" s="219" t="s">
        <v>295</v>
      </c>
      <c r="C20" s="164" t="s">
        <v>159</v>
      </c>
      <c r="D20" s="156" t="s">
        <v>172</v>
      </c>
      <c r="E20" s="156" t="s">
        <v>167</v>
      </c>
      <c r="F20" s="177" t="s">
        <v>287</v>
      </c>
      <c r="G20" s="83" t="s">
        <v>286</v>
      </c>
      <c r="H20" s="111">
        <v>2</v>
      </c>
      <c r="I20" s="111">
        <v>1</v>
      </c>
      <c r="J20" s="82">
        <v>319</v>
      </c>
      <c r="K20" s="82">
        <f t="shared" ref="K20" si="13">IF(F20&lt;&gt;"",H20*I20*J20,"")</f>
        <v>638</v>
      </c>
      <c r="L20" s="82">
        <f t="shared" ref="L20" si="14">IF(K20&lt;&gt;"",IF(D20="INTERNO",0,K20*$L$14),"")</f>
        <v>47.85</v>
      </c>
      <c r="M20" s="82">
        <f t="shared" ref="M20" si="15">IF(K20&lt;&gt;"",IF(E20="FAT.OGGI",SUM(K20:L20)*(1/(1-$M$14)-1),L20*(1/(1-$M$14)-1)),"")</f>
        <v>166.45520690940728</v>
      </c>
      <c r="N20" s="96">
        <f t="shared" ref="N20" si="16">SUM(K20:M20)</f>
        <v>852.30520690940727</v>
      </c>
      <c r="Q20" s="128">
        <f t="shared" ref="Q20" si="17">IF(H20&lt;&gt;"",H20,"")</f>
        <v>2</v>
      </c>
      <c r="R20" s="129">
        <v>1</v>
      </c>
      <c r="S20" s="99">
        <v>245</v>
      </c>
      <c r="T20" s="99"/>
      <c r="U20" s="181">
        <f t="shared" ref="U20" si="18">IF(Q20&lt;&gt;"",K20-T20,"")</f>
        <v>638</v>
      </c>
      <c r="V20" s="182">
        <f t="shared" ref="V20" si="19">IF(Q20&lt;&gt;"",0%,"")</f>
        <v>0</v>
      </c>
      <c r="W20" s="87">
        <f t="shared" ref="W20" si="20">IF(Q20&lt;&gt;"",V20*U20,"")</f>
        <v>0</v>
      </c>
      <c r="X20" s="87">
        <f t="shared" ref="X20" si="21">IF(Q20&lt;&gt;"",W20+T20,"")</f>
        <v>0</v>
      </c>
      <c r="Y20" s="100">
        <f t="shared" ref="Y20" si="22">IF(Q20&lt;&gt;"",X20+M20,"")</f>
        <v>166.45520690940728</v>
      </c>
      <c r="Z20" s="198">
        <f t="shared" ref="Z20" si="23">IF(Q20&lt;&gt;"",U20/K20,"")</f>
        <v>1</v>
      </c>
      <c r="AA20" s="230">
        <f>T20/$T$21</f>
        <v>0</v>
      </c>
      <c r="AB20" s="297">
        <f t="shared" si="11"/>
        <v>0</v>
      </c>
      <c r="AC20" s="298"/>
    </row>
    <row r="21" spans="1:36" ht="32.549999999999997" customHeight="1" thickBot="1" x14ac:dyDescent="0.5">
      <c r="A21" s="154">
        <v>7</v>
      </c>
      <c r="B21" s="219"/>
      <c r="C21" s="167" t="s">
        <v>170</v>
      </c>
      <c r="D21" s="154"/>
      <c r="E21" s="154"/>
      <c r="F21" s="348" t="s">
        <v>178</v>
      </c>
      <c r="G21" s="349"/>
      <c r="H21" s="349"/>
      <c r="I21" s="349"/>
      <c r="J21" s="349"/>
      <c r="K21" s="106">
        <f>SUM(K17:K20)</f>
        <v>4569</v>
      </c>
      <c r="L21" s="106">
        <f>SUM(L17:L20)</f>
        <v>342.67500000000001</v>
      </c>
      <c r="M21" s="106">
        <f>SUM(M17:M20)</f>
        <v>1192.0593109233257</v>
      </c>
      <c r="N21" s="141">
        <f>SUM(N17:N20)</f>
        <v>6103.7343109233261</v>
      </c>
      <c r="Q21" s="346"/>
      <c r="R21" s="347"/>
      <c r="S21" s="347"/>
      <c r="T21" s="105">
        <f>SUM(T17:T20)</f>
        <v>2579.9</v>
      </c>
      <c r="U21" s="107">
        <f>SUM(U17:U20)</f>
        <v>1989.1</v>
      </c>
      <c r="V21" s="108"/>
      <c r="W21" s="108"/>
      <c r="X21" s="109">
        <f>SUM(X17:X20)</f>
        <v>2579.9</v>
      </c>
      <c r="Y21" s="180" t="str">
        <f t="shared" si="9"/>
        <v/>
      </c>
      <c r="AB21" s="297"/>
      <c r="AC21" s="300"/>
    </row>
    <row r="22" spans="1:36" ht="45.6" customHeight="1" thickBot="1" x14ac:dyDescent="0.5">
      <c r="A22" s="155">
        <v>8</v>
      </c>
      <c r="B22" s="220"/>
      <c r="C22" s="165" t="s">
        <v>185</v>
      </c>
      <c r="D22" s="155"/>
      <c r="E22" s="155"/>
      <c r="F22" s="116" t="s">
        <v>186</v>
      </c>
      <c r="G22" s="117"/>
      <c r="H22" s="158"/>
      <c r="I22" s="158"/>
      <c r="J22" s="117"/>
      <c r="K22" s="118">
        <f>SUM(K17:K20)</f>
        <v>4569</v>
      </c>
      <c r="L22" s="118">
        <f>SUM(L17:L20)</f>
        <v>342.67500000000001</v>
      </c>
      <c r="M22" s="118">
        <f>SUM(M17:M20)</f>
        <v>1192.0593109233257</v>
      </c>
      <c r="N22" s="169">
        <f>SUM(N17:N20)</f>
        <v>6103.7343109233261</v>
      </c>
      <c r="Q22" s="191" t="s">
        <v>43</v>
      </c>
      <c r="R22" s="158"/>
      <c r="S22" s="117"/>
      <c r="T22" s="118">
        <f>SUM(T17:T20)</f>
        <v>2579.9</v>
      </c>
      <c r="U22" s="118">
        <f>SUM(U17:U20)</f>
        <v>1989.1</v>
      </c>
      <c r="V22" s="117"/>
      <c r="W22" s="117"/>
      <c r="X22" s="118">
        <f>SUM(X17:X20)</f>
        <v>2579.9</v>
      </c>
      <c r="Y22" s="169">
        <f>SUM(Y17:Y20)</f>
        <v>3771.959310923326</v>
      </c>
      <c r="Z22" s="148">
        <f>IF(Q22&lt;&gt;"",(N22-Y22)/N22,"")</f>
        <v>0.3820243282586897</v>
      </c>
      <c r="AA22" s="237">
        <f>IF(Z22&lt;&gt;"",(N22-Y22),"")</f>
        <v>2331.7750000000001</v>
      </c>
      <c r="AB22" s="297">
        <f>SUM(AB17:AB21)</f>
        <v>0</v>
      </c>
      <c r="AC22" s="299">
        <f>SUM(AC17:AC21)</f>
        <v>2579.9</v>
      </c>
    </row>
    <row r="23" spans="1:36" ht="37.049999999999997" customHeight="1" x14ac:dyDescent="0.3">
      <c r="J23" s="366" t="s">
        <v>290</v>
      </c>
      <c r="K23" s="366"/>
      <c r="L23" s="366"/>
      <c r="M23" s="366"/>
      <c r="N23" s="366"/>
    </row>
    <row r="24" spans="1:36" ht="23.4" x14ac:dyDescent="0.45">
      <c r="AB24" s="282">
        <v>0</v>
      </c>
      <c r="AC24" s="279" t="s">
        <v>156</v>
      </c>
    </row>
    <row r="25" spans="1:36" ht="23.4" x14ac:dyDescent="0.45">
      <c r="AB25" s="311">
        <f>L26*0.15</f>
        <v>736.75125000000003</v>
      </c>
      <c r="AC25" s="280" t="s">
        <v>157</v>
      </c>
    </row>
    <row r="26" spans="1:36" ht="23.4" x14ac:dyDescent="0.45">
      <c r="L26" s="315">
        <f>K22+L22</f>
        <v>4911.6750000000002</v>
      </c>
      <c r="AB26" s="311">
        <f>X22+AB25</f>
        <v>3316.6512499999999</v>
      </c>
      <c r="AC26" s="280" t="s">
        <v>301</v>
      </c>
    </row>
    <row r="27" spans="1:36" ht="23.4" x14ac:dyDescent="0.45">
      <c r="AB27" s="312">
        <f>N22-AB26</f>
        <v>2787.0830609233262</v>
      </c>
      <c r="AC27" s="281" t="s">
        <v>300</v>
      </c>
    </row>
    <row r="28" spans="1:36" ht="23.4" x14ac:dyDescent="0.45">
      <c r="AB28" s="313">
        <f>AB27*100%/N22</f>
        <v>0.45661932825868984</v>
      </c>
      <c r="AC28" s="281"/>
    </row>
  </sheetData>
  <mergeCells count="14">
    <mergeCell ref="AE12:AG12"/>
    <mergeCell ref="AI12:AJ12"/>
    <mergeCell ref="AB14:AC14"/>
    <mergeCell ref="F1:G1"/>
    <mergeCell ref="F2:G2"/>
    <mergeCell ref="Q12:T12"/>
    <mergeCell ref="U12:X12"/>
    <mergeCell ref="J23:N23"/>
    <mergeCell ref="F15:N15"/>
    <mergeCell ref="Q15:Y15"/>
    <mergeCell ref="F16:K16"/>
    <mergeCell ref="Q16:Y16"/>
    <mergeCell ref="F21:J21"/>
    <mergeCell ref="Q21:S21"/>
  </mergeCells>
  <dataValidations count="3">
    <dataValidation type="list" allowBlank="1" showInputMessage="1" showErrorMessage="1" sqref="E22" xr:uid="{9EFD25B8-0B24-48FC-B515-36B0882D36E0}">
      <formula1>"FAT.OGGI,FAT.CLIENTE "</formula1>
    </dataValidation>
    <dataValidation type="list" allowBlank="1" showInputMessage="1" showErrorMessage="1" sqref="D22 D17:D20" xr:uid="{4E609185-0D5B-4475-9DB2-76A6C12817FD}">
      <formula1>"INTERNO,OPERACIONAL"</formula1>
    </dataValidation>
    <dataValidation type="list" allowBlank="1" showInputMessage="1" showErrorMessage="1" sqref="E17:E20" xr:uid="{F24F0FF2-649E-469E-A6C7-6F864D4982AA}">
      <formula1>"FAT.OGGI,FAT.CLIENTE"</formula1>
    </dataValidation>
  </dataValidations>
  <pageMargins left="0.511811024" right="0.511811024" top="0.78740157499999996" bottom="0.78740157499999996" header="0.31496062000000002" footer="0.31496062000000002"/>
  <pageSetup paperSize="9" orientation="portrait" horizontalDpi="360" verticalDpi="360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27F20A9-A06D-460C-97AF-15560150E3FB}">
  <sheetPr codeName="Planilha18">
    <pageSetUpPr autoPageBreaks="0"/>
  </sheetPr>
  <dimension ref="A1:N20"/>
  <sheetViews>
    <sheetView showGridLines="0" zoomScale="70" zoomScaleNormal="70" workbookViewId="0">
      <pane ySplit="1" topLeftCell="A2" activePane="bottomLeft" state="frozen"/>
      <selection activeCell="N39" sqref="N39"/>
      <selection pane="bottomLeft" activeCell="E14" sqref="E14"/>
    </sheetView>
  </sheetViews>
  <sheetFormatPr defaultRowHeight="14.4" x14ac:dyDescent="0.3"/>
  <cols>
    <col min="1" max="1" width="10.44140625" style="119" customWidth="1"/>
    <col min="2" max="2" width="30.77734375" customWidth="1"/>
    <col min="3" max="3" width="35.77734375" customWidth="1"/>
    <col min="4" max="4" width="7.77734375" style="140" customWidth="1"/>
    <col min="5" max="5" width="23.21875" style="140" customWidth="1"/>
    <col min="6" max="6" width="17.21875" bestFit="1" customWidth="1"/>
    <col min="7" max="7" width="23.44140625" bestFit="1" customWidth="1"/>
    <col min="8" max="8" width="21.77734375" customWidth="1"/>
    <col min="9" max="9" width="21.44140625" customWidth="1"/>
    <col min="10" max="10" width="22.77734375" customWidth="1"/>
    <col min="11" max="11" width="3.21875" customWidth="1"/>
    <col min="12" max="12" width="1.77734375" customWidth="1"/>
    <col min="13" max="13" width="9.5546875" style="140" customWidth="1"/>
    <col min="14" max="14" width="8.77734375" style="140" customWidth="1"/>
    <col min="15" max="15" width="17" customWidth="1"/>
    <col min="16" max="17" width="23.44140625" bestFit="1" customWidth="1"/>
    <col min="18" max="19" width="22.77734375" customWidth="1"/>
    <col min="20" max="21" width="28.21875" bestFit="1" customWidth="1"/>
    <col min="22" max="22" width="19.77734375" customWidth="1"/>
    <col min="23" max="23" width="25.21875" bestFit="1" customWidth="1"/>
    <col min="24" max="24" width="8.21875" customWidth="1"/>
    <col min="25" max="26" width="33" customWidth="1"/>
    <col min="27" max="27" width="28" customWidth="1"/>
    <col min="28" max="28" width="1.21875" customWidth="1"/>
    <col min="29" max="29" width="81.5546875" customWidth="1"/>
    <col min="30" max="30" width="36.77734375" customWidth="1"/>
    <col min="31" max="31" width="1.5546875" customWidth="1"/>
    <col min="32" max="32" width="20.21875" customWidth="1"/>
    <col min="33" max="33" width="25.21875" bestFit="1" customWidth="1"/>
    <col min="34" max="34" width="24.77734375" bestFit="1" customWidth="1"/>
    <col min="36" max="36" width="21.21875" customWidth="1"/>
  </cols>
  <sheetData>
    <row r="1" spans="2:5" ht="49.5" customHeight="1" x14ac:dyDescent="0.3">
      <c r="B1" s="319" t="s">
        <v>128</v>
      </c>
      <c r="C1" s="319"/>
    </row>
    <row r="2" spans="2:5" ht="24.75" customHeight="1" x14ac:dyDescent="0.3">
      <c r="B2" s="320" t="s">
        <v>0</v>
      </c>
      <c r="C2" s="320"/>
    </row>
    <row r="3" spans="2:5" ht="18" x14ac:dyDescent="0.3">
      <c r="B3" s="30"/>
      <c r="C3" s="30"/>
    </row>
    <row r="4" spans="2:5" ht="18" x14ac:dyDescent="0.3">
      <c r="B4" s="54" t="s">
        <v>192</v>
      </c>
      <c r="C4" s="55"/>
    </row>
    <row r="5" spans="2:5" ht="18" x14ac:dyDescent="0.3">
      <c r="B5" s="56" t="s">
        <v>189</v>
      </c>
      <c r="C5" s="57"/>
    </row>
    <row r="6" spans="2:5" ht="18" x14ac:dyDescent="0.3">
      <c r="B6" s="56" t="s">
        <v>194</v>
      </c>
      <c r="C6" s="58"/>
    </row>
    <row r="7" spans="2:5" ht="21.75" customHeight="1" x14ac:dyDescent="0.3">
      <c r="B7" s="56" t="s">
        <v>193</v>
      </c>
      <c r="C7" s="59"/>
    </row>
    <row r="8" spans="2:5" ht="18" x14ac:dyDescent="0.3">
      <c r="B8" s="163" t="s">
        <v>195</v>
      </c>
      <c r="C8" s="60"/>
    </row>
    <row r="9" spans="2:5" ht="18" x14ac:dyDescent="0.3">
      <c r="B9" s="56" t="s">
        <v>190</v>
      </c>
      <c r="C9" s="59"/>
    </row>
    <row r="10" spans="2:5" ht="27" customHeight="1" x14ac:dyDescent="0.3">
      <c r="B10" s="56" t="s">
        <v>196</v>
      </c>
      <c r="C10" s="59"/>
    </row>
    <row r="11" spans="2:5" ht="18" x14ac:dyDescent="0.3">
      <c r="B11" s="61" t="s">
        <v>197</v>
      </c>
      <c r="C11" s="62"/>
    </row>
    <row r="14" spans="2:5" ht="15" thickBot="1" x14ac:dyDescent="0.35"/>
    <row r="15" spans="2:5" ht="25.05" customHeight="1" thickBot="1" x14ac:dyDescent="0.35">
      <c r="B15" s="209" t="s">
        <v>291</v>
      </c>
      <c r="C15" s="210" t="s">
        <v>292</v>
      </c>
    </row>
    <row r="16" spans="2:5" ht="32.1" customHeight="1" x14ac:dyDescent="0.3">
      <c r="B16" s="211" t="s">
        <v>293</v>
      </c>
      <c r="C16" s="212">
        <f>PRINCIPAL!N46</f>
        <v>32962.832422020634</v>
      </c>
      <c r="E16" s="215">
        <f>PRINCIPAL!Y46</f>
        <v>23573.071172020631</v>
      </c>
    </row>
    <row r="17" spans="2:14" ht="29.55" customHeight="1" thickBot="1" x14ac:dyDescent="0.35">
      <c r="B17" s="207" t="s">
        <v>294</v>
      </c>
      <c r="C17" s="208">
        <f>PRÊMIOS!N22</f>
        <v>6103.7343109233261</v>
      </c>
      <c r="E17" s="215">
        <f>PRÊMIOS!Y22</f>
        <v>3771.959310923326</v>
      </c>
    </row>
    <row r="18" spans="2:14" ht="35.549999999999997" customHeight="1" thickBot="1" x14ac:dyDescent="0.35">
      <c r="B18" s="213" t="s">
        <v>43</v>
      </c>
      <c r="C18" s="214">
        <f>SUM(C16:C17)</f>
        <v>39066.56673294396</v>
      </c>
      <c r="E18" s="215">
        <f>SUM(E16:E17)</f>
        <v>27345.030482943956</v>
      </c>
    </row>
    <row r="19" spans="2:14" x14ac:dyDescent="0.3">
      <c r="C19" s="140"/>
      <c r="E19" s="216">
        <f>C18-E18</f>
        <v>11721.536250000005</v>
      </c>
      <c r="L19" s="140"/>
      <c r="N19"/>
    </row>
    <row r="20" spans="2:14" x14ac:dyDescent="0.3">
      <c r="E20" s="217">
        <f>(E19/C18)*100%</f>
        <v>0.30004009131714909</v>
      </c>
    </row>
  </sheetData>
  <mergeCells count="2">
    <mergeCell ref="B1:C1"/>
    <mergeCell ref="B2:C2"/>
  </mergeCells>
  <pageMargins left="0.511811024" right="0.511811024" top="0.78740157499999996" bottom="0.78740157499999996" header="0.31496062000000002" footer="0.31496062000000002"/>
  <pageSetup paperSize="9" orientation="portrait" horizontalDpi="360" verticalDpi="360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BC3C35-C715-4E1B-8C6F-64ECF3B892BB}">
  <sheetPr codeName="Planilha3"/>
  <dimension ref="A8:L16"/>
  <sheetViews>
    <sheetView zoomScale="70" zoomScaleNormal="70" workbookViewId="0">
      <selection activeCell="A8" sqref="A8"/>
    </sheetView>
  </sheetViews>
  <sheetFormatPr defaultColWidth="46.21875" defaultRowHeight="14.4" x14ac:dyDescent="0.3"/>
  <cols>
    <col min="1" max="1" width="7.21875" bestFit="1" customWidth="1"/>
    <col min="2" max="2" width="23.21875" customWidth="1"/>
    <col min="3" max="3" width="50" customWidth="1"/>
    <col min="4" max="4" width="54.44140625" bestFit="1" customWidth="1"/>
    <col min="5" max="5" width="73.21875" customWidth="1"/>
    <col min="6" max="7" width="20.77734375" bestFit="1" customWidth="1"/>
    <col min="8" max="8" width="11.77734375" bestFit="1" customWidth="1"/>
    <col min="9" max="9" width="13.21875" customWidth="1"/>
  </cols>
  <sheetData>
    <row r="8" spans="1:12" ht="16.2" x14ac:dyDescent="0.35">
      <c r="A8" s="24" t="s">
        <v>48</v>
      </c>
      <c r="B8" s="24" t="s">
        <v>49</v>
      </c>
      <c r="C8" s="24" t="s">
        <v>50</v>
      </c>
      <c r="D8" s="24" t="s">
        <v>51</v>
      </c>
      <c r="E8" s="24" t="s">
        <v>52</v>
      </c>
      <c r="F8" s="24" t="s">
        <v>53</v>
      </c>
      <c r="G8" s="25" t="s">
        <v>46</v>
      </c>
      <c r="H8" s="25" t="s">
        <v>47</v>
      </c>
      <c r="I8" s="25" t="s">
        <v>9</v>
      </c>
      <c r="J8" s="25" t="s">
        <v>10</v>
      </c>
      <c r="K8" s="25" t="s">
        <v>54</v>
      </c>
      <c r="L8" s="25" t="s">
        <v>55</v>
      </c>
    </row>
    <row r="9" spans="1:12" x14ac:dyDescent="0.3">
      <c r="A9">
        <v>14</v>
      </c>
      <c r="B9" t="s">
        <v>202</v>
      </c>
      <c r="C9" t="s">
        <v>202</v>
      </c>
      <c r="D9" t="s">
        <v>205</v>
      </c>
      <c r="E9" t="s">
        <v>203</v>
      </c>
      <c r="F9" t="s">
        <v>223</v>
      </c>
      <c r="G9" t="s">
        <v>232</v>
      </c>
      <c r="H9" t="s">
        <v>76</v>
      </c>
      <c r="I9" t="s">
        <v>228</v>
      </c>
      <c r="J9" t="s">
        <v>225</v>
      </c>
      <c r="K9" t="s">
        <v>226</v>
      </c>
      <c r="L9" t="s">
        <v>227</v>
      </c>
    </row>
    <row r="10" spans="1:12" x14ac:dyDescent="0.3">
      <c r="A10">
        <v>8</v>
      </c>
      <c r="B10" t="s">
        <v>198</v>
      </c>
      <c r="C10" t="s">
        <v>198</v>
      </c>
      <c r="D10" t="s">
        <v>199</v>
      </c>
      <c r="E10" t="s">
        <v>200</v>
      </c>
      <c r="F10" t="s">
        <v>233</v>
      </c>
      <c r="G10" t="s">
        <v>232</v>
      </c>
      <c r="H10" t="s">
        <v>232</v>
      </c>
      <c r="I10" t="s">
        <v>237</v>
      </c>
      <c r="J10" t="s">
        <v>234</v>
      </c>
      <c r="K10" t="s">
        <v>235</v>
      </c>
      <c r="L10" t="s">
        <v>236</v>
      </c>
    </row>
    <row r="11" spans="1:12" ht="43.2" x14ac:dyDescent="0.3">
      <c r="A11">
        <v>13</v>
      </c>
      <c r="B11" t="s">
        <v>202</v>
      </c>
      <c r="C11" t="s">
        <v>202</v>
      </c>
      <c r="D11" t="s">
        <v>204</v>
      </c>
      <c r="E11" s="190" t="s">
        <v>247</v>
      </c>
      <c r="F11" t="s">
        <v>242</v>
      </c>
      <c r="G11" t="s">
        <v>232</v>
      </c>
      <c r="H11" t="s">
        <v>76</v>
      </c>
      <c r="I11" t="s">
        <v>246</v>
      </c>
      <c r="J11" t="s">
        <v>243</v>
      </c>
      <c r="K11" t="s">
        <v>244</v>
      </c>
      <c r="L11" t="s">
        <v>245</v>
      </c>
    </row>
    <row r="12" spans="1:12" ht="43.2" x14ac:dyDescent="0.3">
      <c r="A12">
        <v>13</v>
      </c>
      <c r="B12" t="s">
        <v>202</v>
      </c>
      <c r="C12" t="s">
        <v>202</v>
      </c>
      <c r="D12" t="s">
        <v>204</v>
      </c>
      <c r="E12" s="190" t="s">
        <v>247</v>
      </c>
      <c r="F12" t="s">
        <v>250</v>
      </c>
      <c r="G12" t="s">
        <v>11</v>
      </c>
      <c r="H12" t="s">
        <v>11</v>
      </c>
      <c r="I12" t="s">
        <v>253</v>
      </c>
      <c r="J12" t="s">
        <v>251</v>
      </c>
      <c r="K12" t="s">
        <v>252</v>
      </c>
      <c r="L12" t="s">
        <v>11</v>
      </c>
    </row>
    <row r="13" spans="1:12" ht="43.2" x14ac:dyDescent="0.3">
      <c r="A13">
        <v>24</v>
      </c>
      <c r="B13" t="s">
        <v>210</v>
      </c>
      <c r="C13" t="s">
        <v>210</v>
      </c>
      <c r="D13" t="s">
        <v>214</v>
      </c>
      <c r="E13" s="190" t="s">
        <v>209</v>
      </c>
      <c r="F13" t="s">
        <v>250</v>
      </c>
      <c r="G13" t="s">
        <v>232</v>
      </c>
      <c r="H13" t="s">
        <v>232</v>
      </c>
      <c r="I13" t="s">
        <v>257</v>
      </c>
      <c r="J13" t="s">
        <v>254</v>
      </c>
      <c r="K13" t="s">
        <v>255</v>
      </c>
      <c r="L13" t="s">
        <v>256</v>
      </c>
    </row>
    <row r="14" spans="1:12" ht="43.2" x14ac:dyDescent="0.3">
      <c r="A14">
        <v>13</v>
      </c>
      <c r="B14" t="s">
        <v>202</v>
      </c>
      <c r="C14" t="s">
        <v>202</v>
      </c>
      <c r="D14" t="s">
        <v>204</v>
      </c>
      <c r="E14" s="190" t="s">
        <v>247</v>
      </c>
      <c r="F14" t="s">
        <v>250</v>
      </c>
      <c r="G14" t="s">
        <v>11</v>
      </c>
      <c r="H14" t="s">
        <v>11</v>
      </c>
      <c r="I14" t="s">
        <v>263</v>
      </c>
      <c r="J14" t="s">
        <v>260</v>
      </c>
      <c r="K14" t="s">
        <v>261</v>
      </c>
      <c r="L14" t="s">
        <v>262</v>
      </c>
    </row>
    <row r="15" spans="1:12" x14ac:dyDescent="0.3">
      <c r="A15">
        <v>28</v>
      </c>
      <c r="B15" t="s">
        <v>180</v>
      </c>
      <c r="C15" t="s">
        <v>180</v>
      </c>
      <c r="D15" t="s">
        <v>207</v>
      </c>
      <c r="E15" t="s">
        <v>208</v>
      </c>
      <c r="F15" t="s">
        <v>250</v>
      </c>
      <c r="G15" t="s">
        <v>11</v>
      </c>
      <c r="H15" t="s">
        <v>11</v>
      </c>
      <c r="I15" t="s">
        <v>269</v>
      </c>
      <c r="J15" t="s">
        <v>266</v>
      </c>
      <c r="K15" t="s">
        <v>267</v>
      </c>
      <c r="L15" t="s">
        <v>268</v>
      </c>
    </row>
    <row r="16" spans="1:12" ht="28.8" x14ac:dyDescent="0.3">
      <c r="A16">
        <v>20</v>
      </c>
      <c r="B16" t="s">
        <v>206</v>
      </c>
      <c r="C16" t="s">
        <v>206</v>
      </c>
      <c r="D16" t="s">
        <v>204</v>
      </c>
      <c r="E16" s="190" t="s">
        <v>280</v>
      </c>
      <c r="F16" t="s">
        <v>272</v>
      </c>
      <c r="G16" t="s">
        <v>11</v>
      </c>
      <c r="H16" t="s">
        <v>11</v>
      </c>
      <c r="I16" t="s">
        <v>278</v>
      </c>
      <c r="J16" t="s">
        <v>266</v>
      </c>
      <c r="K16" t="s">
        <v>267</v>
      </c>
      <c r="L16" t="s">
        <v>268</v>
      </c>
    </row>
  </sheetData>
  <pageMargins left="0.511811024" right="0.511811024" top="0.78740157499999996" bottom="0.78740157499999996" header="0.31496062000000002" footer="0.3149606200000000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7B7A351-E9F1-4E5C-8A08-61072E4C8BD4}">
  <sheetPr codeName="Planilha7"/>
  <dimension ref="A1:O28"/>
  <sheetViews>
    <sheetView zoomScaleNormal="100" workbookViewId="0">
      <selection activeCell="D17" sqref="D17"/>
    </sheetView>
  </sheetViews>
  <sheetFormatPr defaultRowHeight="14.4" x14ac:dyDescent="0.3"/>
  <cols>
    <col min="1" max="1" width="35.21875" customWidth="1"/>
    <col min="2" max="3" width="20.21875" customWidth="1"/>
    <col min="4" max="4" width="40.44140625" customWidth="1"/>
    <col min="5" max="5" width="17.77734375" customWidth="1"/>
    <col min="6" max="7" width="15.21875" customWidth="1"/>
    <col min="8" max="8" width="25.21875" customWidth="1"/>
    <col min="9" max="10" width="15.21875" customWidth="1"/>
    <col min="11" max="11" width="10.21875" customWidth="1"/>
    <col min="12" max="12" width="15.21875" customWidth="1"/>
    <col min="13" max="13" width="12.77734375" customWidth="1"/>
    <col min="14" max="14" width="15.21875" customWidth="1"/>
    <col min="15" max="15" width="40.44140625" customWidth="1"/>
  </cols>
  <sheetData>
    <row r="1" spans="1:15" ht="15" x14ac:dyDescent="0.3">
      <c r="A1" s="373" t="s">
        <v>11</v>
      </c>
      <c r="B1" s="373"/>
      <c r="C1" s="373"/>
      <c r="D1" s="375" t="s">
        <v>80</v>
      </c>
      <c r="E1" s="375"/>
      <c r="F1" s="375"/>
      <c r="G1" s="375"/>
      <c r="H1" s="375"/>
      <c r="I1" s="375"/>
      <c r="J1" s="32" t="s">
        <v>11</v>
      </c>
      <c r="K1" s="32" t="s">
        <v>11</v>
      </c>
      <c r="L1" s="32" t="s">
        <v>11</v>
      </c>
      <c r="M1" s="32" t="s">
        <v>11</v>
      </c>
      <c r="N1" s="32" t="s">
        <v>11</v>
      </c>
      <c r="O1" s="33" t="s">
        <v>11</v>
      </c>
    </row>
    <row r="2" spans="1:15" x14ac:dyDescent="0.3">
      <c r="A2" s="374"/>
      <c r="B2" s="374"/>
      <c r="C2" s="374"/>
      <c r="D2" s="373" t="s">
        <v>81</v>
      </c>
      <c r="E2" s="373"/>
      <c r="F2" s="373"/>
      <c r="G2" s="373"/>
      <c r="H2" s="373"/>
      <c r="I2" s="373"/>
      <c r="J2" s="32"/>
      <c r="K2" s="32"/>
      <c r="L2" s="32"/>
      <c r="M2" s="32"/>
      <c r="N2" s="32"/>
      <c r="O2" s="376" t="s">
        <v>82</v>
      </c>
    </row>
    <row r="3" spans="1:15" x14ac:dyDescent="0.3">
      <c r="A3" s="374"/>
      <c r="B3" s="374"/>
      <c r="C3" s="374"/>
      <c r="D3" s="373" t="s">
        <v>83</v>
      </c>
      <c r="E3" s="373"/>
      <c r="F3" s="373"/>
      <c r="G3" s="373"/>
      <c r="H3" s="373"/>
      <c r="I3" s="373"/>
      <c r="J3" s="32"/>
      <c r="K3" s="32"/>
      <c r="L3" s="32"/>
      <c r="M3" s="32"/>
      <c r="N3" s="32"/>
      <c r="O3" s="377"/>
    </row>
    <row r="4" spans="1:15" x14ac:dyDescent="0.3">
      <c r="A4" s="374"/>
      <c r="B4" s="374"/>
      <c r="C4" s="374"/>
      <c r="D4" s="373" t="s">
        <v>84</v>
      </c>
      <c r="E4" s="373"/>
      <c r="F4" s="373"/>
      <c r="G4" s="373"/>
      <c r="H4" s="373"/>
      <c r="I4" s="373"/>
      <c r="J4" s="32"/>
      <c r="K4" s="32"/>
      <c r="L4" s="32"/>
      <c r="M4" s="32"/>
      <c r="N4" s="32"/>
      <c r="O4" s="377"/>
    </row>
    <row r="5" spans="1:15" x14ac:dyDescent="0.3">
      <c r="A5" s="374"/>
      <c r="B5" s="374"/>
      <c r="C5" s="374"/>
      <c r="D5" s="373" t="s">
        <v>85</v>
      </c>
      <c r="E5" s="373"/>
      <c r="F5" s="373"/>
      <c r="G5" s="373"/>
      <c r="H5" s="373"/>
      <c r="I5" s="373"/>
      <c r="J5" s="32"/>
      <c r="K5" s="32"/>
      <c r="L5" s="32"/>
      <c r="M5" s="32"/>
      <c r="N5" s="32"/>
      <c r="O5" s="377"/>
    </row>
    <row r="6" spans="1:15" x14ac:dyDescent="0.3">
      <c r="A6" s="374"/>
      <c r="B6" s="374"/>
      <c r="C6" s="374"/>
      <c r="D6" s="32"/>
      <c r="E6" s="32"/>
      <c r="F6" s="32"/>
      <c r="G6" s="32"/>
      <c r="H6" s="32"/>
      <c r="I6" s="32"/>
      <c r="J6" s="32"/>
      <c r="K6" s="32"/>
      <c r="L6" s="32"/>
      <c r="M6" s="32"/>
      <c r="N6" s="32"/>
      <c r="O6" s="377"/>
    </row>
    <row r="7" spans="1:15" x14ac:dyDescent="0.3">
      <c r="A7" s="374"/>
      <c r="B7" s="374"/>
      <c r="C7" s="374"/>
      <c r="D7" s="373" t="s">
        <v>86</v>
      </c>
      <c r="E7" s="373"/>
      <c r="F7" s="373"/>
      <c r="G7" s="373"/>
      <c r="H7" s="373"/>
      <c r="I7" s="373"/>
      <c r="J7" s="32"/>
      <c r="K7" s="32"/>
      <c r="L7" s="32"/>
      <c r="M7" s="32"/>
      <c r="N7" s="32"/>
      <c r="O7" s="34">
        <v>45264.482613275461</v>
      </c>
    </row>
    <row r="8" spans="1:15" x14ac:dyDescent="0.3">
      <c r="A8" s="372" t="s">
        <v>87</v>
      </c>
      <c r="B8" s="372"/>
      <c r="C8" s="372"/>
      <c r="D8" s="372"/>
      <c r="E8" s="372"/>
      <c r="F8" s="372"/>
      <c r="G8" s="372"/>
      <c r="H8" s="372"/>
      <c r="I8" s="372"/>
      <c r="J8" s="372"/>
      <c r="K8" s="372"/>
      <c r="L8" s="372"/>
      <c r="M8" s="372"/>
      <c r="N8" s="372"/>
      <c r="O8" s="372"/>
    </row>
    <row r="9" spans="1:15" ht="27.6" x14ac:dyDescent="0.3">
      <c r="A9" s="35" t="s">
        <v>88</v>
      </c>
      <c r="B9" s="35" t="s">
        <v>89</v>
      </c>
      <c r="C9" s="35" t="s">
        <v>90</v>
      </c>
      <c r="D9" s="35" t="s">
        <v>52</v>
      </c>
      <c r="E9" s="35" t="s">
        <v>91</v>
      </c>
      <c r="F9" s="35" t="s">
        <v>92</v>
      </c>
      <c r="G9" s="35" t="s">
        <v>34</v>
      </c>
      <c r="H9" s="35" t="s">
        <v>93</v>
      </c>
      <c r="I9" s="35" t="s">
        <v>94</v>
      </c>
      <c r="J9" s="35" t="s">
        <v>92</v>
      </c>
      <c r="K9" s="35" t="s">
        <v>95</v>
      </c>
      <c r="L9" s="35" t="s">
        <v>96</v>
      </c>
      <c r="M9" s="35" t="s">
        <v>97</v>
      </c>
      <c r="N9" s="35" t="s">
        <v>98</v>
      </c>
      <c r="O9" s="36" t="s">
        <v>99</v>
      </c>
    </row>
    <row r="10" spans="1:15" x14ac:dyDescent="0.3">
      <c r="A10" s="37" t="s">
        <v>49</v>
      </c>
      <c r="B10" s="38">
        <v>1</v>
      </c>
      <c r="C10" s="37" t="s">
        <v>109</v>
      </c>
      <c r="D10" s="37" t="s">
        <v>63</v>
      </c>
      <c r="E10" s="37">
        <v>1</v>
      </c>
      <c r="F10" s="39">
        <v>20000</v>
      </c>
      <c r="G10" s="39">
        <v>20000</v>
      </c>
      <c r="H10" s="37" t="s">
        <v>103</v>
      </c>
      <c r="I10" s="39">
        <v>9900</v>
      </c>
      <c r="J10" s="39">
        <v>9900</v>
      </c>
      <c r="K10" s="39" t="s">
        <v>104</v>
      </c>
      <c r="L10" s="40" t="s">
        <v>105</v>
      </c>
      <c r="M10" s="40" t="s">
        <v>105</v>
      </c>
      <c r="N10" s="39">
        <v>0</v>
      </c>
      <c r="O10" s="41" t="s">
        <v>11</v>
      </c>
    </row>
    <row r="11" spans="1:15" x14ac:dyDescent="0.3">
      <c r="A11" s="42" t="s">
        <v>49</v>
      </c>
      <c r="B11" s="43">
        <v>2</v>
      </c>
      <c r="C11" s="42" t="s">
        <v>110</v>
      </c>
      <c r="D11" s="42" t="s">
        <v>72</v>
      </c>
      <c r="E11" s="42">
        <v>1</v>
      </c>
      <c r="F11" s="44">
        <v>11500</v>
      </c>
      <c r="G11" s="44">
        <v>11500</v>
      </c>
      <c r="H11" s="42" t="s">
        <v>103</v>
      </c>
      <c r="I11" s="44">
        <v>7400</v>
      </c>
      <c r="J11" s="44">
        <v>7400</v>
      </c>
      <c r="K11" s="44" t="s">
        <v>104</v>
      </c>
      <c r="L11" s="45" t="s">
        <v>105</v>
      </c>
      <c r="M11" s="45" t="s">
        <v>105</v>
      </c>
      <c r="N11" s="44">
        <v>0</v>
      </c>
      <c r="O11" s="46" t="s">
        <v>11</v>
      </c>
    </row>
    <row r="12" spans="1:15" x14ac:dyDescent="0.3">
      <c r="A12" s="37" t="s">
        <v>106</v>
      </c>
      <c r="B12" s="38">
        <v>3</v>
      </c>
      <c r="C12" s="37" t="s">
        <v>111</v>
      </c>
      <c r="D12" s="37" t="s">
        <v>73</v>
      </c>
      <c r="E12" s="37">
        <v>1</v>
      </c>
      <c r="F12" s="39">
        <v>1000</v>
      </c>
      <c r="G12" s="39">
        <v>1000</v>
      </c>
      <c r="H12" s="37" t="s">
        <v>103</v>
      </c>
      <c r="I12" s="39">
        <v>900</v>
      </c>
      <c r="J12" s="39">
        <v>900</v>
      </c>
      <c r="K12" s="39" t="s">
        <v>104</v>
      </c>
      <c r="L12" s="40" t="s">
        <v>112</v>
      </c>
      <c r="M12" s="40" t="s">
        <v>105</v>
      </c>
      <c r="N12" s="39">
        <v>0</v>
      </c>
      <c r="O12" s="41" t="s">
        <v>74</v>
      </c>
    </row>
    <row r="13" spans="1:15" x14ac:dyDescent="0.3">
      <c r="A13" s="42" t="s">
        <v>106</v>
      </c>
      <c r="B13" s="43">
        <v>4</v>
      </c>
      <c r="C13" s="42" t="s">
        <v>113</v>
      </c>
      <c r="D13" s="42" t="s">
        <v>75</v>
      </c>
      <c r="E13" s="42">
        <v>1</v>
      </c>
      <c r="F13" s="44">
        <v>2000</v>
      </c>
      <c r="G13" s="44">
        <v>2000</v>
      </c>
      <c r="H13" s="42" t="s">
        <v>103</v>
      </c>
      <c r="I13" s="44">
        <v>500</v>
      </c>
      <c r="J13" s="44">
        <v>500</v>
      </c>
      <c r="K13" s="44" t="s">
        <v>104</v>
      </c>
      <c r="L13" s="45" t="s">
        <v>112</v>
      </c>
      <c r="M13" s="45" t="s">
        <v>105</v>
      </c>
      <c r="N13" s="44">
        <v>0</v>
      </c>
      <c r="O13" s="46" t="s">
        <v>76</v>
      </c>
    </row>
    <row r="14" spans="1:15" x14ac:dyDescent="0.3">
      <c r="A14" s="37" t="s">
        <v>106</v>
      </c>
      <c r="B14" s="38">
        <v>5</v>
      </c>
      <c r="C14" s="37" t="s">
        <v>114</v>
      </c>
      <c r="D14" s="37" t="s">
        <v>59</v>
      </c>
      <c r="E14" s="37">
        <v>1</v>
      </c>
      <c r="F14" s="39">
        <v>4000</v>
      </c>
      <c r="G14" s="39">
        <v>4000</v>
      </c>
      <c r="H14" s="37" t="s">
        <v>103</v>
      </c>
      <c r="I14" s="39">
        <v>2000</v>
      </c>
      <c r="J14" s="39">
        <v>2000</v>
      </c>
      <c r="K14" s="39" t="s">
        <v>104</v>
      </c>
      <c r="L14" s="40" t="s">
        <v>112</v>
      </c>
      <c r="M14" s="40" t="s">
        <v>105</v>
      </c>
      <c r="N14" s="39">
        <v>0</v>
      </c>
      <c r="O14" s="41" t="s">
        <v>61</v>
      </c>
    </row>
    <row r="15" spans="1:15" x14ac:dyDescent="0.3">
      <c r="A15" s="42" t="s">
        <v>108</v>
      </c>
      <c r="B15" s="43">
        <v>6</v>
      </c>
      <c r="C15" s="42" t="s">
        <v>115</v>
      </c>
      <c r="D15" s="42" t="s">
        <v>107</v>
      </c>
      <c r="E15" s="42">
        <v>1</v>
      </c>
      <c r="F15" s="44">
        <v>0</v>
      </c>
      <c r="G15" s="44">
        <v>0</v>
      </c>
      <c r="H15" s="42" t="s">
        <v>103</v>
      </c>
      <c r="I15" s="44">
        <v>1000</v>
      </c>
      <c r="J15" s="44">
        <v>1000</v>
      </c>
      <c r="K15" s="44" t="s">
        <v>104</v>
      </c>
      <c r="L15" s="45" t="s">
        <v>112</v>
      </c>
      <c r="M15" s="45" t="s">
        <v>105</v>
      </c>
      <c r="N15" s="44">
        <v>0</v>
      </c>
      <c r="O15" s="46" t="s">
        <v>11</v>
      </c>
    </row>
    <row r="16" spans="1:15" x14ac:dyDescent="0.3">
      <c r="A16" s="37" t="s">
        <v>106</v>
      </c>
      <c r="B16" s="38">
        <v>7</v>
      </c>
      <c r="C16" s="37" t="s">
        <v>116</v>
      </c>
      <c r="D16" s="37" t="s">
        <v>60</v>
      </c>
      <c r="E16" s="37">
        <v>1</v>
      </c>
      <c r="F16" s="39">
        <v>2000</v>
      </c>
      <c r="G16" s="39">
        <v>2000</v>
      </c>
      <c r="H16" s="37" t="s">
        <v>103</v>
      </c>
      <c r="I16" s="39">
        <v>1000</v>
      </c>
      <c r="J16" s="39">
        <v>1000</v>
      </c>
      <c r="K16" s="39" t="s">
        <v>104</v>
      </c>
      <c r="L16" s="40" t="s">
        <v>112</v>
      </c>
      <c r="M16" s="40" t="s">
        <v>105</v>
      </c>
      <c r="N16" s="39">
        <v>0</v>
      </c>
      <c r="O16" s="41" t="s">
        <v>62</v>
      </c>
    </row>
    <row r="17" spans="1:15" x14ac:dyDescent="0.3">
      <c r="A17" s="42" t="s">
        <v>108</v>
      </c>
      <c r="B17" s="43">
        <v>14</v>
      </c>
      <c r="C17" s="42" t="s">
        <v>117</v>
      </c>
      <c r="D17" s="42" t="s">
        <v>79</v>
      </c>
      <c r="E17" s="42">
        <v>1</v>
      </c>
      <c r="F17" s="44">
        <v>2500</v>
      </c>
      <c r="G17" s="44">
        <v>2500</v>
      </c>
      <c r="H17" s="42" t="s">
        <v>103</v>
      </c>
      <c r="I17" s="44">
        <v>2000</v>
      </c>
      <c r="J17" s="44">
        <v>2000</v>
      </c>
      <c r="K17" s="44" t="s">
        <v>118</v>
      </c>
      <c r="L17" s="45" t="s">
        <v>119</v>
      </c>
      <c r="M17" s="45" t="s">
        <v>105</v>
      </c>
      <c r="N17" s="44">
        <v>0</v>
      </c>
      <c r="O17" s="46" t="s">
        <v>11</v>
      </c>
    </row>
    <row r="18" spans="1:15" x14ac:dyDescent="0.3">
      <c r="A18" s="37" t="s">
        <v>49</v>
      </c>
      <c r="B18" s="38">
        <v>8</v>
      </c>
      <c r="C18" s="37" t="s">
        <v>120</v>
      </c>
      <c r="D18" s="37" t="s">
        <v>77</v>
      </c>
      <c r="E18" s="37">
        <v>1</v>
      </c>
      <c r="F18" s="39">
        <v>8500</v>
      </c>
      <c r="G18" s="39">
        <v>8500</v>
      </c>
      <c r="H18" s="37" t="s">
        <v>103</v>
      </c>
      <c r="I18" s="39">
        <v>2500</v>
      </c>
      <c r="J18" s="39">
        <v>2500</v>
      </c>
      <c r="K18" s="39" t="s">
        <v>104</v>
      </c>
      <c r="L18" s="40" t="s">
        <v>105</v>
      </c>
      <c r="M18" s="40" t="s">
        <v>105</v>
      </c>
      <c r="N18" s="39">
        <v>0</v>
      </c>
      <c r="O18" s="41" t="s">
        <v>11</v>
      </c>
    </row>
    <row r="19" spans="1:15" ht="72" x14ac:dyDescent="0.3">
      <c r="A19" s="42" t="s">
        <v>106</v>
      </c>
      <c r="B19" s="43">
        <v>9</v>
      </c>
      <c r="C19" s="42" t="s">
        <v>121</v>
      </c>
      <c r="D19" s="42" t="s">
        <v>64</v>
      </c>
      <c r="E19" s="42">
        <v>2</v>
      </c>
      <c r="F19" s="44">
        <v>2000</v>
      </c>
      <c r="G19" s="44">
        <v>4000</v>
      </c>
      <c r="H19" s="42" t="s">
        <v>103</v>
      </c>
      <c r="I19" s="44">
        <v>1000</v>
      </c>
      <c r="J19" s="44">
        <v>500</v>
      </c>
      <c r="K19" s="44" t="s">
        <v>104</v>
      </c>
      <c r="L19" s="45" t="s">
        <v>112</v>
      </c>
      <c r="M19" s="45" t="s">
        <v>105</v>
      </c>
      <c r="N19" s="44">
        <v>0</v>
      </c>
      <c r="O19" s="47" t="s">
        <v>65</v>
      </c>
    </row>
    <row r="20" spans="1:15" ht="28.8" x14ac:dyDescent="0.3">
      <c r="A20" s="37" t="s">
        <v>106</v>
      </c>
      <c r="B20" s="38">
        <v>10</v>
      </c>
      <c r="C20" s="37" t="s">
        <v>122</v>
      </c>
      <c r="D20" s="37" t="s">
        <v>66</v>
      </c>
      <c r="E20" s="37">
        <v>3</v>
      </c>
      <c r="F20" s="39">
        <v>1500</v>
      </c>
      <c r="G20" s="39">
        <v>4500</v>
      </c>
      <c r="H20" s="37" t="s">
        <v>103</v>
      </c>
      <c r="I20" s="39">
        <v>1500</v>
      </c>
      <c r="J20" s="39">
        <v>500</v>
      </c>
      <c r="K20" s="39" t="s">
        <v>104</v>
      </c>
      <c r="L20" s="40" t="s">
        <v>112</v>
      </c>
      <c r="M20" s="40" t="s">
        <v>105</v>
      </c>
      <c r="N20" s="39">
        <v>0</v>
      </c>
      <c r="O20" s="48" t="s">
        <v>67</v>
      </c>
    </row>
    <row r="21" spans="1:15" x14ac:dyDescent="0.3">
      <c r="A21" s="42" t="s">
        <v>49</v>
      </c>
      <c r="B21" s="43">
        <v>11</v>
      </c>
      <c r="C21" s="42" t="s">
        <v>123</v>
      </c>
      <c r="D21" s="42" t="s">
        <v>68</v>
      </c>
      <c r="E21" s="42">
        <v>1</v>
      </c>
      <c r="F21" s="44">
        <v>7000</v>
      </c>
      <c r="G21" s="44">
        <v>7000</v>
      </c>
      <c r="H21" s="42" t="s">
        <v>103</v>
      </c>
      <c r="I21" s="44">
        <v>300</v>
      </c>
      <c r="J21" s="44">
        <v>300</v>
      </c>
      <c r="K21" s="44" t="s">
        <v>104</v>
      </c>
      <c r="L21" s="45" t="s">
        <v>105</v>
      </c>
      <c r="M21" s="45" t="s">
        <v>105</v>
      </c>
      <c r="N21" s="44">
        <v>0</v>
      </c>
      <c r="O21" s="46" t="s">
        <v>11</v>
      </c>
    </row>
    <row r="22" spans="1:15" x14ac:dyDescent="0.3">
      <c r="A22" s="37" t="s">
        <v>49</v>
      </c>
      <c r="B22" s="38">
        <v>12</v>
      </c>
      <c r="C22" s="37" t="s">
        <v>124</v>
      </c>
      <c r="D22" s="37" t="s">
        <v>69</v>
      </c>
      <c r="E22" s="37">
        <v>1</v>
      </c>
      <c r="F22" s="39">
        <v>7000</v>
      </c>
      <c r="G22" s="39">
        <v>7000</v>
      </c>
      <c r="H22" s="37" t="s">
        <v>103</v>
      </c>
      <c r="I22" s="39">
        <v>300</v>
      </c>
      <c r="J22" s="39">
        <v>300</v>
      </c>
      <c r="K22" s="39" t="s">
        <v>104</v>
      </c>
      <c r="L22" s="40" t="s">
        <v>105</v>
      </c>
      <c r="M22" s="40" t="s">
        <v>105</v>
      </c>
      <c r="N22" s="39">
        <v>0</v>
      </c>
      <c r="O22" s="41" t="s">
        <v>11</v>
      </c>
    </row>
    <row r="23" spans="1:15" x14ac:dyDescent="0.3">
      <c r="A23" s="42" t="s">
        <v>106</v>
      </c>
      <c r="B23" s="43">
        <v>13</v>
      </c>
      <c r="C23" s="42" t="s">
        <v>125</v>
      </c>
      <c r="D23" s="42" t="s">
        <v>78</v>
      </c>
      <c r="E23" s="42">
        <v>1</v>
      </c>
      <c r="F23" s="44">
        <v>5000</v>
      </c>
      <c r="G23" s="44">
        <v>5000</v>
      </c>
      <c r="H23" s="42" t="s">
        <v>103</v>
      </c>
      <c r="I23" s="44">
        <v>200</v>
      </c>
      <c r="J23" s="44">
        <v>200</v>
      </c>
      <c r="K23" s="44" t="s">
        <v>104</v>
      </c>
      <c r="L23" s="45" t="s">
        <v>112</v>
      </c>
      <c r="M23" s="45" t="s">
        <v>105</v>
      </c>
      <c r="N23" s="44">
        <v>0</v>
      </c>
      <c r="O23" s="46" t="s">
        <v>11</v>
      </c>
    </row>
    <row r="24" spans="1:15" x14ac:dyDescent="0.3">
      <c r="A24" s="37" t="s">
        <v>106</v>
      </c>
      <c r="B24" s="38">
        <v>15</v>
      </c>
      <c r="C24" s="37" t="s">
        <v>126</v>
      </c>
      <c r="D24" s="37" t="s">
        <v>79</v>
      </c>
      <c r="E24" s="37">
        <v>1</v>
      </c>
      <c r="F24" s="39">
        <v>2000</v>
      </c>
      <c r="G24" s="39">
        <v>2000</v>
      </c>
      <c r="H24" s="37" t="s">
        <v>103</v>
      </c>
      <c r="I24" s="39">
        <v>100</v>
      </c>
      <c r="J24" s="39">
        <v>100</v>
      </c>
      <c r="K24" s="39" t="s">
        <v>104</v>
      </c>
      <c r="L24" s="40" t="s">
        <v>112</v>
      </c>
      <c r="M24" s="40" t="s">
        <v>105</v>
      </c>
      <c r="N24" s="39">
        <v>0</v>
      </c>
      <c r="O24" s="41" t="s">
        <v>11</v>
      </c>
    </row>
    <row r="25" spans="1:15" x14ac:dyDescent="0.3">
      <c r="A25" s="42"/>
      <c r="B25" s="43"/>
      <c r="C25" s="42"/>
      <c r="D25" s="42"/>
      <c r="E25" s="42"/>
      <c r="F25" s="44"/>
      <c r="G25" s="44"/>
      <c r="H25" s="42"/>
      <c r="I25" s="44"/>
      <c r="J25" s="44"/>
      <c r="K25" s="44"/>
      <c r="L25" s="45"/>
      <c r="M25" s="45"/>
      <c r="N25" s="44"/>
      <c r="O25" s="46"/>
    </row>
    <row r="26" spans="1:15" x14ac:dyDescent="0.3">
      <c r="A26" s="37" t="s">
        <v>100</v>
      </c>
      <c r="B26" s="38"/>
      <c r="C26" s="37"/>
      <c r="D26" s="37"/>
      <c r="E26" s="37"/>
      <c r="F26" s="39"/>
      <c r="G26" s="39"/>
      <c r="H26" s="37"/>
      <c r="I26" s="39"/>
      <c r="J26" s="39"/>
      <c r="K26" s="39"/>
      <c r="L26" s="40"/>
      <c r="M26" s="40"/>
      <c r="N26" s="39"/>
      <c r="O26" s="41"/>
    </row>
    <row r="27" spans="1:15" x14ac:dyDescent="0.3">
      <c r="A27" s="42" t="s">
        <v>101</v>
      </c>
      <c r="B27" s="43"/>
      <c r="C27" s="42"/>
      <c r="D27" s="42"/>
      <c r="E27" s="42"/>
      <c r="F27" s="44"/>
      <c r="G27" s="44"/>
      <c r="H27" s="42"/>
      <c r="I27" s="44"/>
      <c r="J27" s="44"/>
      <c r="K27" s="44"/>
      <c r="L27" s="45"/>
      <c r="M27" s="45"/>
      <c r="N27" s="44"/>
      <c r="O27" s="46"/>
    </row>
    <row r="28" spans="1:15" x14ac:dyDescent="0.3">
      <c r="A28" s="49" t="s">
        <v>102</v>
      </c>
      <c r="B28" s="50"/>
      <c r="C28" s="49"/>
      <c r="D28" s="49"/>
      <c r="E28" s="49"/>
      <c r="F28" s="51"/>
      <c r="G28" s="51"/>
      <c r="H28" s="49"/>
      <c r="I28" s="51"/>
      <c r="J28" s="51"/>
      <c r="K28" s="51"/>
      <c r="L28" s="52"/>
      <c r="M28" s="52"/>
      <c r="N28" s="51"/>
      <c r="O28" s="53"/>
    </row>
  </sheetData>
  <mergeCells count="9">
    <mergeCell ref="A8:O8"/>
    <mergeCell ref="A1:C7"/>
    <mergeCell ref="D1:I1"/>
    <mergeCell ref="D2:I2"/>
    <mergeCell ref="O2:O6"/>
    <mergeCell ref="D3:I3"/>
    <mergeCell ref="D4:I4"/>
    <mergeCell ref="D5:I5"/>
    <mergeCell ref="D7:I7"/>
  </mergeCells>
  <pageMargins left="0.7" right="0.7" top="0.75" bottom="0.75" header="0.3" footer="0.3"/>
  <pageSetup paperSize="9" fitToWidth="0" fitToHeight="0" orientation="portrait" horizontalDpi="0" verticalDpi="0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071ACB-2A33-4DFE-B05C-79C718CF6527}">
  <sheetPr codeName="Planilha5"/>
  <dimension ref="B1:L52"/>
  <sheetViews>
    <sheetView showGridLines="0" workbookViewId="0">
      <selection activeCell="C39" sqref="C39:K45"/>
    </sheetView>
  </sheetViews>
  <sheetFormatPr defaultRowHeight="14.4" x14ac:dyDescent="0.3"/>
  <cols>
    <col min="1" max="2" width="1.77734375" customWidth="1"/>
    <col min="3" max="3" width="12.44140625" customWidth="1"/>
    <col min="4" max="4" width="4.77734375" customWidth="1"/>
    <col min="5" max="5" width="10.77734375" customWidth="1"/>
    <col min="6" max="6" width="7.77734375" bestFit="1" customWidth="1"/>
    <col min="7" max="7" width="11" customWidth="1"/>
    <col min="8" max="8" width="11.21875" customWidth="1"/>
    <col min="9" max="9" width="11.77734375" customWidth="1"/>
    <col min="10" max="10" width="4.77734375" customWidth="1"/>
    <col min="11" max="11" width="14.5546875" customWidth="1"/>
    <col min="12" max="12" width="1.77734375" customWidth="1"/>
  </cols>
  <sheetData>
    <row r="1" spans="2:12" ht="8.5500000000000007" customHeight="1" thickBot="1" x14ac:dyDescent="0.35"/>
    <row r="2" spans="2:12" ht="38.549999999999997" customHeight="1" x14ac:dyDescent="0.4">
      <c r="B2" s="381" t="s">
        <v>3</v>
      </c>
      <c r="C2" s="382"/>
      <c r="D2" s="382"/>
      <c r="E2" s="382"/>
      <c r="F2" s="382"/>
      <c r="G2" s="382"/>
      <c r="H2" s="382"/>
      <c r="I2" s="382"/>
      <c r="J2" s="382"/>
      <c r="K2" s="382"/>
      <c r="L2" s="383"/>
    </row>
    <row r="3" spans="2:12" ht="47.55" customHeight="1" thickBot="1" x14ac:dyDescent="0.35">
      <c r="B3" s="384" t="s">
        <v>12</v>
      </c>
      <c r="C3" s="385"/>
      <c r="D3" s="385"/>
      <c r="E3" s="385"/>
      <c r="F3" s="385"/>
      <c r="G3" s="385"/>
      <c r="H3" s="385"/>
      <c r="I3" s="385"/>
      <c r="J3" s="385"/>
      <c r="K3" s="385"/>
      <c r="L3" s="386"/>
    </row>
    <row r="4" spans="2:12" ht="7.2" customHeight="1" thickBot="1" x14ac:dyDescent="0.35"/>
    <row r="5" spans="2:12" x14ac:dyDescent="0.3">
      <c r="B5" s="1"/>
      <c r="C5" s="2"/>
      <c r="D5" s="2"/>
      <c r="E5" s="2"/>
      <c r="F5" s="2"/>
      <c r="G5" s="2"/>
      <c r="H5" s="2"/>
      <c r="I5" s="2"/>
      <c r="J5" s="2"/>
      <c r="K5" s="2"/>
      <c r="L5" s="3"/>
    </row>
    <row r="6" spans="2:12" x14ac:dyDescent="0.3">
      <c r="B6" s="4"/>
      <c r="C6" s="387" t="s">
        <v>13</v>
      </c>
      <c r="D6" s="387"/>
      <c r="E6" s="387"/>
      <c r="F6" s="387"/>
      <c r="G6" s="387"/>
      <c r="H6" s="387"/>
      <c r="I6" s="387"/>
      <c r="J6" s="387"/>
      <c r="K6" s="387"/>
      <c r="L6" s="5"/>
    </row>
    <row r="7" spans="2:12" ht="6" customHeight="1" x14ac:dyDescent="0.3">
      <c r="B7" s="4"/>
      <c r="L7" s="5"/>
    </row>
    <row r="8" spans="2:12" x14ac:dyDescent="0.3">
      <c r="B8" s="4"/>
      <c r="C8" s="6" t="s">
        <v>14</v>
      </c>
      <c r="D8" s="388" t="s">
        <v>272</v>
      </c>
      <c r="E8" s="389"/>
      <c r="F8" s="389"/>
      <c r="G8" s="389"/>
      <c r="H8" s="389"/>
      <c r="I8" s="389"/>
      <c r="J8" s="389"/>
      <c r="K8" s="390"/>
      <c r="L8" s="5"/>
    </row>
    <row r="9" spans="2:12" x14ac:dyDescent="0.3">
      <c r="B9" s="4"/>
      <c r="C9" s="7" t="s">
        <v>15</v>
      </c>
      <c r="D9" s="378" t="s">
        <v>16</v>
      </c>
      <c r="E9" s="379"/>
      <c r="F9" s="379"/>
      <c r="G9" s="379"/>
      <c r="H9" s="379"/>
      <c r="I9" s="379"/>
      <c r="J9" s="379"/>
      <c r="K9" s="380"/>
      <c r="L9" s="5"/>
    </row>
    <row r="10" spans="2:12" x14ac:dyDescent="0.3">
      <c r="B10" s="4"/>
      <c r="C10" s="7" t="s">
        <v>17</v>
      </c>
      <c r="D10" s="378" t="s">
        <v>11</v>
      </c>
      <c r="E10" s="379"/>
      <c r="F10" s="379"/>
      <c r="G10" s="379"/>
      <c r="H10" s="379"/>
      <c r="I10" s="379"/>
      <c r="J10" s="379"/>
      <c r="K10" s="380"/>
      <c r="L10" s="5"/>
    </row>
    <row r="11" spans="2:12" x14ac:dyDescent="0.3">
      <c r="B11" s="4"/>
      <c r="C11" s="7" t="s">
        <v>18</v>
      </c>
      <c r="D11" s="378" t="s">
        <v>154</v>
      </c>
      <c r="E11" s="379"/>
      <c r="F11" s="379"/>
      <c r="G11" s="379"/>
      <c r="H11" s="379"/>
      <c r="I11" s="379"/>
      <c r="J11" s="379"/>
      <c r="K11" s="380"/>
      <c r="L11" s="5"/>
    </row>
    <row r="12" spans="2:12" x14ac:dyDescent="0.3">
      <c r="B12" s="4"/>
      <c r="C12" s="10" t="s">
        <v>19</v>
      </c>
      <c r="D12" s="391" t="s">
        <v>224</v>
      </c>
      <c r="E12" s="392"/>
      <c r="F12" s="392"/>
      <c r="G12" s="392"/>
      <c r="H12" s="393"/>
      <c r="I12" s="11" t="s">
        <v>20</v>
      </c>
      <c r="J12" s="391" t="s">
        <v>177</v>
      </c>
      <c r="K12" s="393"/>
      <c r="L12" s="5"/>
    </row>
    <row r="13" spans="2:12" ht="6" customHeight="1" thickBot="1" x14ac:dyDescent="0.35">
      <c r="B13" s="12"/>
      <c r="C13" s="13"/>
      <c r="D13" s="13"/>
      <c r="E13" s="13"/>
      <c r="F13" s="13"/>
      <c r="G13" s="13"/>
      <c r="H13" s="13"/>
      <c r="I13" s="13"/>
      <c r="J13" s="13"/>
      <c r="K13" s="13"/>
      <c r="L13" s="14"/>
    </row>
    <row r="14" spans="2:12" ht="7.2" customHeight="1" thickBot="1" x14ac:dyDescent="0.35"/>
    <row r="15" spans="2:12" ht="7.95" customHeight="1" x14ac:dyDescent="0.3">
      <c r="B15" s="1"/>
      <c r="C15" s="2"/>
      <c r="D15" s="2"/>
      <c r="E15" s="2"/>
      <c r="F15" s="2"/>
      <c r="G15" s="2"/>
      <c r="H15" s="2"/>
      <c r="I15" s="2"/>
      <c r="J15" s="2"/>
      <c r="K15" s="2"/>
      <c r="L15" s="3"/>
    </row>
    <row r="16" spans="2:12" x14ac:dyDescent="0.3">
      <c r="B16" s="4"/>
      <c r="C16" s="387" t="s">
        <v>21</v>
      </c>
      <c r="D16" s="387"/>
      <c r="E16" s="387"/>
      <c r="F16" s="387"/>
      <c r="G16" s="387"/>
      <c r="H16" s="387"/>
      <c r="I16" s="387"/>
      <c r="J16" s="387"/>
      <c r="K16" s="387"/>
      <c r="L16" s="5"/>
    </row>
    <row r="17" spans="2:12" ht="9" customHeight="1" x14ac:dyDescent="0.3">
      <c r="B17" s="4"/>
      <c r="L17" s="5"/>
    </row>
    <row r="18" spans="2:12" x14ac:dyDescent="0.3">
      <c r="B18" s="4"/>
      <c r="C18" s="6"/>
      <c r="D18" s="394" t="s">
        <v>127</v>
      </c>
      <c r="E18" s="394"/>
      <c r="F18" s="394"/>
      <c r="G18" s="395"/>
      <c r="H18" s="394" t="s">
        <v>22</v>
      </c>
      <c r="I18" s="394"/>
      <c r="J18" s="394"/>
      <c r="K18" s="395"/>
      <c r="L18" s="5"/>
    </row>
    <row r="19" spans="2:12" x14ac:dyDescent="0.3">
      <c r="B19" s="4"/>
      <c r="C19" s="15" t="s">
        <v>23</v>
      </c>
      <c r="D19" s="396" t="s">
        <v>267</v>
      </c>
      <c r="E19" s="397"/>
      <c r="F19" s="397"/>
      <c r="G19" s="397"/>
      <c r="H19" s="397"/>
      <c r="I19" s="397"/>
      <c r="J19" s="397"/>
      <c r="K19" s="398"/>
      <c r="L19" s="5"/>
    </row>
    <row r="20" spans="2:12" x14ac:dyDescent="0.3">
      <c r="B20" s="4"/>
      <c r="C20" s="7" t="s">
        <v>24</v>
      </c>
      <c r="D20" s="378"/>
      <c r="E20" s="379"/>
      <c r="F20" s="379"/>
      <c r="G20" s="379"/>
      <c r="H20" s="379"/>
      <c r="I20" s="379"/>
      <c r="J20" s="379"/>
      <c r="K20" s="380"/>
      <c r="L20" s="5"/>
    </row>
    <row r="21" spans="2:12" x14ac:dyDescent="0.3">
      <c r="B21" s="4"/>
      <c r="C21" s="7" t="s">
        <v>25</v>
      </c>
      <c r="D21" s="378" t="s">
        <v>273</v>
      </c>
      <c r="E21" s="380"/>
      <c r="F21" s="7" t="s">
        <v>57</v>
      </c>
      <c r="G21" s="16" t="s">
        <v>274</v>
      </c>
      <c r="H21" s="7" t="s">
        <v>26</v>
      </c>
      <c r="I21" s="8" t="s">
        <v>275</v>
      </c>
      <c r="J21" s="7" t="s">
        <v>27</v>
      </c>
      <c r="K21" s="9" t="s">
        <v>276</v>
      </c>
      <c r="L21" s="5"/>
    </row>
    <row r="22" spans="2:12" x14ac:dyDescent="0.3">
      <c r="B22" s="4"/>
      <c r="C22" s="7" t="s">
        <v>28</v>
      </c>
      <c r="D22" s="378" t="s">
        <v>266</v>
      </c>
      <c r="E22" s="379"/>
      <c r="F22" s="379"/>
      <c r="G22" s="380"/>
      <c r="H22" s="7" t="s">
        <v>29</v>
      </c>
      <c r="I22" s="378"/>
      <c r="J22" s="379"/>
      <c r="K22" s="380"/>
      <c r="L22" s="5"/>
    </row>
    <row r="23" spans="2:12" x14ac:dyDescent="0.3">
      <c r="B23" s="4"/>
      <c r="C23" s="10" t="s">
        <v>30</v>
      </c>
      <c r="D23" s="391" t="s">
        <v>268</v>
      </c>
      <c r="E23" s="392"/>
      <c r="F23" s="392"/>
      <c r="G23" s="393"/>
      <c r="H23" s="10" t="s">
        <v>31</v>
      </c>
      <c r="I23" s="391" t="s">
        <v>11</v>
      </c>
      <c r="J23" s="392"/>
      <c r="K23" s="393"/>
      <c r="L23" s="5"/>
    </row>
    <row r="24" spans="2:12" ht="6.6" customHeight="1" thickBot="1" x14ac:dyDescent="0.35">
      <c r="B24" s="12"/>
      <c r="C24" s="13"/>
      <c r="D24" s="13"/>
      <c r="E24" s="13"/>
      <c r="F24" s="13"/>
      <c r="G24" s="13"/>
      <c r="H24" s="13"/>
      <c r="I24" s="13"/>
      <c r="J24" s="13"/>
      <c r="K24" s="13"/>
      <c r="L24" s="14"/>
    </row>
    <row r="25" spans="2:12" ht="9.6" customHeight="1" thickBot="1" x14ac:dyDescent="0.35"/>
    <row r="26" spans="2:12" ht="7.95" customHeight="1" x14ac:dyDescent="0.3">
      <c r="B26" s="1"/>
      <c r="C26" s="2"/>
      <c r="D26" s="2"/>
      <c r="E26" s="2"/>
      <c r="F26" s="2"/>
      <c r="G26" s="2"/>
      <c r="H26" s="2"/>
      <c r="I26" s="2"/>
      <c r="J26" s="2"/>
      <c r="K26" s="2"/>
      <c r="L26" s="3"/>
    </row>
    <row r="27" spans="2:12" x14ac:dyDescent="0.3">
      <c r="B27" s="4"/>
      <c r="C27" s="387" t="s">
        <v>21</v>
      </c>
      <c r="D27" s="387"/>
      <c r="E27" s="387"/>
      <c r="F27" s="387"/>
      <c r="G27" s="387"/>
      <c r="H27" s="387"/>
      <c r="I27" s="387"/>
      <c r="J27" s="387"/>
      <c r="K27" s="387"/>
      <c r="L27" s="5"/>
    </row>
    <row r="28" spans="2:12" x14ac:dyDescent="0.3">
      <c r="B28" s="4"/>
      <c r="L28" s="5"/>
    </row>
    <row r="29" spans="2:12" x14ac:dyDescent="0.3">
      <c r="B29" s="4"/>
      <c r="C29" s="6" t="s">
        <v>32</v>
      </c>
      <c r="D29" s="399" t="s">
        <v>33</v>
      </c>
      <c r="E29" s="395"/>
      <c r="F29" s="399" t="s">
        <v>34</v>
      </c>
      <c r="G29" s="395"/>
      <c r="H29" s="400" t="s">
        <v>35</v>
      </c>
      <c r="I29" s="400"/>
      <c r="J29" s="400"/>
      <c r="K29" s="401"/>
      <c r="L29" s="5"/>
    </row>
    <row r="30" spans="2:12" x14ac:dyDescent="0.3">
      <c r="B30" s="4"/>
      <c r="C30" s="17" t="s">
        <v>36</v>
      </c>
      <c r="D30" s="402" t="s">
        <v>277</v>
      </c>
      <c r="E30" s="403"/>
      <c r="F30" s="404" t="s">
        <v>278</v>
      </c>
      <c r="G30" s="405"/>
      <c r="H30" s="18" t="s">
        <v>37</v>
      </c>
      <c r="I30" s="399" t="s">
        <v>40</v>
      </c>
      <c r="J30" s="395"/>
      <c r="K30" s="6" t="s">
        <v>229</v>
      </c>
      <c r="L30" s="5"/>
    </row>
    <row r="31" spans="2:12" x14ac:dyDescent="0.3">
      <c r="B31" s="4"/>
      <c r="C31" s="17" t="s">
        <v>39</v>
      </c>
      <c r="D31" s="402" t="s">
        <v>11</v>
      </c>
      <c r="E31" s="403"/>
      <c r="F31" s="404" t="s">
        <v>11</v>
      </c>
      <c r="G31" s="405"/>
      <c r="H31" s="17" t="s">
        <v>37</v>
      </c>
      <c r="I31" s="408" t="s">
        <v>40</v>
      </c>
      <c r="J31" s="409"/>
      <c r="K31" s="7" t="s">
        <v>38</v>
      </c>
      <c r="L31" s="5"/>
    </row>
    <row r="32" spans="2:12" x14ac:dyDescent="0.3">
      <c r="B32" s="4"/>
      <c r="C32" s="17" t="s">
        <v>41</v>
      </c>
      <c r="D32" s="402" t="s">
        <v>11</v>
      </c>
      <c r="E32" s="403"/>
      <c r="F32" s="404" t="s">
        <v>11</v>
      </c>
      <c r="G32" s="405"/>
      <c r="H32" s="17" t="s">
        <v>37</v>
      </c>
      <c r="I32" s="408" t="s">
        <v>40</v>
      </c>
      <c r="J32" s="409"/>
      <c r="K32" s="7" t="s">
        <v>38</v>
      </c>
      <c r="L32" s="5"/>
    </row>
    <row r="33" spans="2:12" x14ac:dyDescent="0.3">
      <c r="B33" s="4"/>
      <c r="C33" s="19" t="s">
        <v>42</v>
      </c>
      <c r="D33" s="402" t="s">
        <v>11</v>
      </c>
      <c r="E33" s="403"/>
      <c r="F33" s="406" t="s">
        <v>11</v>
      </c>
      <c r="G33" s="407"/>
      <c r="H33" s="17" t="s">
        <v>37</v>
      </c>
      <c r="I33" s="408" t="s">
        <v>40</v>
      </c>
      <c r="J33" s="409"/>
      <c r="K33" s="7" t="s">
        <v>38</v>
      </c>
      <c r="L33" s="5"/>
    </row>
    <row r="34" spans="2:12" x14ac:dyDescent="0.3">
      <c r="B34" s="4"/>
      <c r="C34" s="410" t="s">
        <v>43</v>
      </c>
      <c r="D34" s="411"/>
      <c r="E34" s="412"/>
      <c r="F34" s="413" t="s">
        <v>278</v>
      </c>
      <c r="G34" s="414"/>
      <c r="H34" s="20"/>
      <c r="I34" s="21"/>
      <c r="J34" s="22"/>
      <c r="K34" s="20"/>
      <c r="L34" s="5"/>
    </row>
    <row r="35" spans="2:12" ht="15" thickBot="1" x14ac:dyDescent="0.35">
      <c r="B35" s="12"/>
      <c r="C35" s="13"/>
      <c r="D35" s="13"/>
      <c r="E35" s="13"/>
      <c r="F35" s="13"/>
      <c r="G35" s="13"/>
      <c r="H35" s="13"/>
      <c r="I35" s="13"/>
      <c r="J35" s="13"/>
      <c r="K35" s="13"/>
      <c r="L35" s="14"/>
    </row>
    <row r="36" spans="2:12" ht="15" thickBot="1" x14ac:dyDescent="0.35"/>
    <row r="37" spans="2:12" ht="6" customHeight="1" x14ac:dyDescent="0.3">
      <c r="B37" s="1"/>
      <c r="C37" s="2"/>
      <c r="D37" s="2"/>
      <c r="E37" s="2"/>
      <c r="F37" s="2"/>
      <c r="G37" s="2"/>
      <c r="H37" s="2"/>
      <c r="I37" s="2"/>
      <c r="J37" s="2"/>
      <c r="K37" s="2"/>
      <c r="L37" s="3"/>
    </row>
    <row r="38" spans="2:12" x14ac:dyDescent="0.3">
      <c r="B38" s="4"/>
      <c r="C38" s="387" t="s">
        <v>44</v>
      </c>
      <c r="D38" s="387"/>
      <c r="E38" s="387"/>
      <c r="F38" s="387"/>
      <c r="G38" s="387"/>
      <c r="H38" s="387"/>
      <c r="I38" s="387"/>
      <c r="J38" s="387"/>
      <c r="K38" s="387"/>
      <c r="L38" s="5"/>
    </row>
    <row r="39" spans="2:12" x14ac:dyDescent="0.3">
      <c r="B39" s="4"/>
      <c r="C39" s="418" t="s">
        <v>279</v>
      </c>
      <c r="D39" s="418"/>
      <c r="E39" s="418"/>
      <c r="F39" s="418"/>
      <c r="G39" s="418"/>
      <c r="H39" s="418"/>
      <c r="I39" s="418"/>
      <c r="J39" s="418"/>
      <c r="K39" s="418"/>
      <c r="L39" s="5"/>
    </row>
    <row r="40" spans="2:12" x14ac:dyDescent="0.3">
      <c r="B40" s="4"/>
      <c r="C40" s="418"/>
      <c r="D40" s="418"/>
      <c r="E40" s="418"/>
      <c r="F40" s="418"/>
      <c r="G40" s="418"/>
      <c r="H40" s="418"/>
      <c r="I40" s="418"/>
      <c r="J40" s="418"/>
      <c r="K40" s="418"/>
      <c r="L40" s="5"/>
    </row>
    <row r="41" spans="2:12" x14ac:dyDescent="0.3">
      <c r="B41" s="4"/>
      <c r="C41" s="418"/>
      <c r="D41" s="418"/>
      <c r="E41" s="418"/>
      <c r="F41" s="418"/>
      <c r="G41" s="418"/>
      <c r="H41" s="418"/>
      <c r="I41" s="418"/>
      <c r="J41" s="418"/>
      <c r="K41" s="418"/>
      <c r="L41" s="5"/>
    </row>
    <row r="42" spans="2:12" x14ac:dyDescent="0.3">
      <c r="B42" s="4"/>
      <c r="C42" s="418"/>
      <c r="D42" s="418"/>
      <c r="E42" s="418"/>
      <c r="F42" s="418"/>
      <c r="G42" s="418"/>
      <c r="H42" s="418"/>
      <c r="I42" s="418"/>
      <c r="J42" s="418"/>
      <c r="K42" s="418"/>
      <c r="L42" s="5"/>
    </row>
    <row r="43" spans="2:12" x14ac:dyDescent="0.3">
      <c r="B43" s="4"/>
      <c r="C43" s="418"/>
      <c r="D43" s="418"/>
      <c r="E43" s="418"/>
      <c r="F43" s="418"/>
      <c r="G43" s="418"/>
      <c r="H43" s="418"/>
      <c r="I43" s="418"/>
      <c r="J43" s="418"/>
      <c r="K43" s="418"/>
      <c r="L43" s="5"/>
    </row>
    <row r="44" spans="2:12" x14ac:dyDescent="0.3">
      <c r="B44" s="4"/>
      <c r="C44" s="418"/>
      <c r="D44" s="418"/>
      <c r="E44" s="418"/>
      <c r="F44" s="418"/>
      <c r="G44" s="418"/>
      <c r="H44" s="418"/>
      <c r="I44" s="418"/>
      <c r="J44" s="418"/>
      <c r="K44" s="418"/>
      <c r="L44" s="5"/>
    </row>
    <row r="45" spans="2:12" x14ac:dyDescent="0.3">
      <c r="B45" s="4"/>
      <c r="C45" s="419"/>
      <c r="D45" s="419"/>
      <c r="E45" s="419"/>
      <c r="F45" s="419"/>
      <c r="G45" s="419"/>
      <c r="H45" s="419"/>
      <c r="I45" s="419"/>
      <c r="J45" s="419"/>
      <c r="K45" s="419"/>
      <c r="L45" s="5"/>
    </row>
    <row r="46" spans="2:12" ht="8.5500000000000007" customHeight="1" thickBot="1" x14ac:dyDescent="0.35">
      <c r="B46" s="12"/>
      <c r="C46" s="13"/>
      <c r="D46" s="13"/>
      <c r="E46" s="13"/>
      <c r="F46" s="13"/>
      <c r="G46" s="13"/>
      <c r="H46" s="13"/>
      <c r="I46" s="13"/>
      <c r="J46" s="13"/>
      <c r="K46" s="13"/>
      <c r="L46" s="14"/>
    </row>
    <row r="47" spans="2:12" ht="9" customHeight="1" thickBot="1" x14ac:dyDescent="0.35"/>
    <row r="48" spans="2:12" x14ac:dyDescent="0.3">
      <c r="B48" s="415" t="s">
        <v>45</v>
      </c>
      <c r="C48" s="416"/>
      <c r="D48" s="2"/>
      <c r="E48" s="2"/>
      <c r="F48" s="2"/>
      <c r="G48" s="2"/>
      <c r="H48" s="2"/>
      <c r="I48" s="2"/>
      <c r="J48" s="2"/>
      <c r="K48" s="2"/>
      <c r="L48" s="3"/>
    </row>
    <row r="49" spans="2:12" x14ac:dyDescent="0.3">
      <c r="B49" s="4"/>
      <c r="L49" s="5"/>
    </row>
    <row r="50" spans="2:12" x14ac:dyDescent="0.3">
      <c r="B50" s="4"/>
      <c r="C50" s="23"/>
      <c r="L50" s="5"/>
    </row>
    <row r="51" spans="2:12" x14ac:dyDescent="0.3">
      <c r="B51" s="4"/>
      <c r="C51" s="417" t="s">
        <v>46</v>
      </c>
      <c r="D51" s="417"/>
      <c r="E51" s="417"/>
      <c r="F51" s="417"/>
      <c r="H51" s="417" t="s">
        <v>47</v>
      </c>
      <c r="I51" s="417"/>
      <c r="J51" s="417"/>
      <c r="K51" s="417"/>
      <c r="L51" s="5"/>
    </row>
    <row r="52" spans="2:12" ht="15" thickBot="1" x14ac:dyDescent="0.35">
      <c r="B52" s="12"/>
      <c r="C52" s="13"/>
      <c r="D52" s="13"/>
      <c r="E52" s="13"/>
      <c r="F52" s="13"/>
      <c r="G52" s="13"/>
      <c r="H52" s="13"/>
      <c r="I52" s="13"/>
      <c r="J52" s="13"/>
      <c r="K52" s="13"/>
      <c r="L52" s="14"/>
    </row>
  </sheetData>
  <mergeCells count="42">
    <mergeCell ref="B48:C48"/>
    <mergeCell ref="C51:F51"/>
    <mergeCell ref="H51:K51"/>
    <mergeCell ref="C39:K45"/>
    <mergeCell ref="C38:K38"/>
    <mergeCell ref="D31:E31"/>
    <mergeCell ref="F31:G31"/>
    <mergeCell ref="I31:J31"/>
    <mergeCell ref="D32:E32"/>
    <mergeCell ref="F32:G32"/>
    <mergeCell ref="I32:J32"/>
    <mergeCell ref="D33:E33"/>
    <mergeCell ref="F33:G33"/>
    <mergeCell ref="I33:J33"/>
    <mergeCell ref="C34:E34"/>
    <mergeCell ref="F34:G34"/>
    <mergeCell ref="C27:K27"/>
    <mergeCell ref="D29:E29"/>
    <mergeCell ref="F29:G29"/>
    <mergeCell ref="H29:K29"/>
    <mergeCell ref="D30:E30"/>
    <mergeCell ref="F30:G30"/>
    <mergeCell ref="I30:J30"/>
    <mergeCell ref="D23:G23"/>
    <mergeCell ref="I23:K23"/>
    <mergeCell ref="D11:K11"/>
    <mergeCell ref="D12:H12"/>
    <mergeCell ref="J12:K12"/>
    <mergeCell ref="C16:K16"/>
    <mergeCell ref="D18:G18"/>
    <mergeCell ref="H18:K18"/>
    <mergeCell ref="D19:K19"/>
    <mergeCell ref="D20:K20"/>
    <mergeCell ref="D21:E21"/>
    <mergeCell ref="D22:G22"/>
    <mergeCell ref="I22:K22"/>
    <mergeCell ref="D10:K10"/>
    <mergeCell ref="B2:L2"/>
    <mergeCell ref="B3:L3"/>
    <mergeCell ref="C6:K6"/>
    <mergeCell ref="D8:K8"/>
    <mergeCell ref="D9:K9"/>
  </mergeCells>
  <pageMargins left="0.511811024" right="0.511811024" top="0.78740157499999996" bottom="0.78740157499999996" header="0.31496062000000002" footer="0.31496062000000002"/>
  <drawing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o" ma:contentTypeID="0x010100F388C4C5C67B1C40A7414AD25E2D3AE6" ma:contentTypeVersion="13" ma:contentTypeDescription="Crie um novo documento." ma:contentTypeScope="" ma:versionID="1b5178e88f018b74586964b6babab4f8">
  <xsd:schema xmlns:xsd="http://www.w3.org/2001/XMLSchema" xmlns:xs="http://www.w3.org/2001/XMLSchema" xmlns:p="http://schemas.microsoft.com/office/2006/metadata/properties" xmlns:ns2="29a79990-ee87-4241-abc6-9e01ab9b2464" xmlns:ns3="8f4bf414-7d56-47ef-876f-a064b6139123" targetNamespace="http://schemas.microsoft.com/office/2006/metadata/properties" ma:root="true" ma:fieldsID="266d05339a4efad8584a7b69e9357b72" ns2:_="" ns3:_="">
    <xsd:import namespace="29a79990-ee87-4241-abc6-9e01ab9b2464"/>
    <xsd:import namespace="8f4bf414-7d56-47ef-876f-a064b6139123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DateTaken" minOccurs="0"/>
                <xsd:element ref="ns2:MediaServiceGenerationTime" minOccurs="0"/>
                <xsd:element ref="ns2:MediaServiceEventHashCode" minOccurs="0"/>
                <xsd:element ref="ns2:MediaLengthInSeconds" minOccurs="0"/>
                <xsd:element ref="ns2:MediaServiceBillingMetadata" minOccurs="0"/>
                <xsd:element ref="ns2:lcf76f155ced4ddcb4097134ff3c332f" minOccurs="0"/>
                <xsd:element ref="ns3:TaxCatchAll" minOccurs="0"/>
                <xsd:element ref="ns2:MediaServiceOCR" minOccurs="0"/>
                <xsd:element ref="ns2:MediaServiceLocation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29a79990-ee87-4241-abc6-9e01ab9b2464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DateTaken" ma:index="11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GenerationTime" ma:index="12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3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4" nillable="true" ma:displayName="MediaLengthInSeconds" ma:hidden="true" ma:internalName="MediaLengthInSeconds" ma:readOnly="true">
      <xsd:simpleType>
        <xsd:restriction base="dms:Unknown"/>
      </xsd:simpleType>
    </xsd:element>
    <xsd:element name="MediaServiceBillingMetadata" ma:index="15" nillable="true" ma:displayName="MediaServiceBillingMetadata" ma:hidden="true" ma:internalName="MediaServiceBillingMetadata" ma:readOnly="true">
      <xsd:simpleType>
        <xsd:restriction base="dms:Note"/>
      </xsd:simpleType>
    </xsd:element>
    <xsd:element name="lcf76f155ced4ddcb4097134ff3c332f" ma:index="17" nillable="true" ma:taxonomy="true" ma:internalName="lcf76f155ced4ddcb4097134ff3c332f" ma:taxonomyFieldName="MediaServiceImageTags" ma:displayName="Marcações de imagem" ma:readOnly="false" ma:fieldId="{5cf76f15-5ced-4ddc-b409-7134ff3c332f}" ma:taxonomyMulti="true" ma:sspId="dd800daa-7c7e-4072-b01c-3023f6f7afe5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CR" ma:index="19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Location" ma:index="20" nillable="true" ma:displayName="Location" ma:description="" ma:indexed="true" ma:internalName="MediaServiceLocation" ma:readOnly="true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8f4bf414-7d56-47ef-876f-a064b6139123" elementFormDefault="qualified">
    <xsd:import namespace="http://schemas.microsoft.com/office/2006/documentManagement/types"/>
    <xsd:import namespace="http://schemas.microsoft.com/office/infopath/2007/PartnerControls"/>
    <xsd:element name="TaxCatchAll" ma:index="18" nillable="true" ma:displayName="Taxonomy Catch All Column" ma:hidden="true" ma:list="{689cacdc-4c80-4a01-81af-803e241e380a}" ma:internalName="TaxCatchAll" ma:showField="CatchAllData" ma:web="8f4bf414-7d56-47ef-876f-a064b6139123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ipo de Conteúdo"/>
        <xsd:element ref="dc:title" minOccurs="0" maxOccurs="1" ma:index="4" ma:displayName="Título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�� 
</file>

<file path=customXml/item4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8f4bf414-7d56-47ef-876f-a064b6139123" xsi:nil="true"/>
    <lcf76f155ced4ddcb4097134ff3c332f xmlns="29a79990-ee87-4241-abc6-9e01ab9b2464">
      <Terms xmlns="http://schemas.microsoft.com/office/infopath/2007/PartnerControls"/>
    </lcf76f155ced4ddcb4097134ff3c332f>
  </documentManagement>
</p:properties>
</file>

<file path=customXml/itemProps1.xml><?xml version="1.0" encoding="utf-8"?>
<ds:datastoreItem xmlns:ds="http://schemas.openxmlformats.org/officeDocument/2006/customXml" ds:itemID="{91CFB6EF-0F4E-43A9-A966-B6BC58C0899C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23CD12C1-94D8-4F96-B559-6F9E504C636E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29a79990-ee87-4241-abc6-9e01ab9b2464"/>
    <ds:schemaRef ds:uri="8f4bf414-7d56-47ef-876f-a064b6139123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1F2A719E-479E-41E4-8A33-6AFDA9F259D9}">
  <ds:schemaRefs>
    <ds:schemaRef ds:uri="http://schemas.microsoft.com/DataMashup"/>
  </ds:schemaRefs>
</ds:datastoreItem>
</file>

<file path=customXml/itemProps4.xml><?xml version="1.0" encoding="utf-8"?>
<ds:datastoreItem xmlns:ds="http://schemas.openxmlformats.org/officeDocument/2006/customXml" ds:itemID="{6F9FAE17-24F3-4D1B-A2F8-E71198671D96}">
  <ds:schemaRefs>
    <ds:schemaRef ds:uri="http://schemas.microsoft.com/office/2006/metadata/properties"/>
    <ds:schemaRef ds:uri="http://schemas.microsoft.com/office/infopath/2007/PartnerControls"/>
    <ds:schemaRef ds:uri="8f4bf414-7d56-47ef-876f-a064b6139123"/>
    <ds:schemaRef ds:uri="29a79990-ee87-4241-abc6-9e01ab9b2464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7</vt:i4>
      </vt:variant>
      <vt:variant>
        <vt:lpstr>Intervalos Nomeados</vt:lpstr>
      </vt:variant>
      <vt:variant>
        <vt:i4>15</vt:i4>
      </vt:variant>
    </vt:vector>
  </HeadingPairs>
  <TitlesOfParts>
    <vt:vector size="22" baseType="lpstr">
      <vt:lpstr>RESUMO</vt:lpstr>
      <vt:lpstr>PRINCIPAL</vt:lpstr>
      <vt:lpstr>PRÊMIOS</vt:lpstr>
      <vt:lpstr>TOTAL</vt:lpstr>
      <vt:lpstr>Solicitações de Pagamento</vt:lpstr>
      <vt:lpstr>ItensOrc</vt:lpstr>
      <vt:lpstr>Template SP</vt:lpstr>
      <vt:lpstr>ItensOrc!itensorc_desconto</vt:lpstr>
      <vt:lpstr>ItensOrc!itensorc_descricao</vt:lpstr>
      <vt:lpstr>ItensOrc!itensorc_encargos</vt:lpstr>
      <vt:lpstr>ItensOrc!itensorc_especifica</vt:lpstr>
      <vt:lpstr>ItensOrc!itensorc_item</vt:lpstr>
      <vt:lpstr>ItensOrc!itensorc_lancamento</vt:lpstr>
      <vt:lpstr>ItensOrc!itensorc_percentualhonorarios</vt:lpstr>
      <vt:lpstr>ItensOrc!itensorc_quantidade</vt:lpstr>
      <vt:lpstr>ItensOrc!itensorc_situacao</vt:lpstr>
      <vt:lpstr>ItensOrc!itensorc_subtipo</vt:lpstr>
      <vt:lpstr>ItensOrc!itensorc_tiporeceita</vt:lpstr>
      <vt:lpstr>ItensOrc!itensorc_valor</vt:lpstr>
      <vt:lpstr>ItensOrc!itensorc_valorfornecedor</vt:lpstr>
      <vt:lpstr>ItensOrc!itensorc_valorfornecedorunitario</vt:lpstr>
      <vt:lpstr>ItensOrc!itensorc_valorunitario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Rafael QdS</dc:creator>
  <cp:lastModifiedBy>Bruno Silva</cp:lastModifiedBy>
  <cp:lastPrinted>2026-02-04T20:49:18Z</cp:lastPrinted>
  <dcterms:created xsi:type="dcterms:W3CDTF">2023-09-21T21:02:20Z</dcterms:created>
  <dcterms:modified xsi:type="dcterms:W3CDTF">2026-02-24T01:17:12Z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0x010100F388C4C5C67B1C40A7414AD25E2D3AE6</vt:lpwstr>
  </property>
</Properties>
</file>