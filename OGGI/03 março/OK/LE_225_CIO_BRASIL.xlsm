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3 março\"/>
    </mc:Choice>
  </mc:AlternateContent>
  <xr:revisionPtr revIDLastSave="0" documentId="13_ncr:1_{EF30CBBD-8DC2-4C67-9427-B92C6649EFE8}" xr6:coauthVersionLast="47" xr6:coauthVersionMax="47" xr10:uidLastSave="{00000000-0000-0000-0000-000000000000}"/>
  <bookViews>
    <workbookView xWindow="28692" yWindow="-108" windowWidth="29016" windowHeight="15696" tabRatio="822" xr2:uid="{83D4A4F0-59AC-45D6-BDA2-9A1B100CD857}"/>
  </bookViews>
  <sheets>
    <sheet name="RESUMO" sheetId="95" r:id="rId1"/>
    <sheet name="CIO BRASIL " sheetId="94" r:id="rId2"/>
    <sheet name="Solicitações de Pagamento" sheetId="4" r:id="rId3"/>
    <sheet name="ItensOrc" sheetId="76" state="hidden" r:id="rId4"/>
    <sheet name="Template SP" sheetId="3" state="hidden" r:id="rId5"/>
  </sheets>
  <definedNames>
    <definedName name="_xlnm._FilterDatabase" localSheetId="1" hidden="1">'CIO BRASIL '!$A$1:$AL$14</definedName>
    <definedName name="_xleta.N" hidden="1" xlm="1">#NAME?</definedName>
    <definedName name="_xleta.SUM" hidden="1" xlm="1">#NAME?</definedName>
    <definedName name="itensorc_desconto" localSheetId="3">ItensOrc!$M:$M</definedName>
    <definedName name="itensorc_desconto">#REF!</definedName>
    <definedName name="itensorc_descricao" localSheetId="3">ItensOrc!$D:$D</definedName>
    <definedName name="itensorc_descricao">#REF!</definedName>
    <definedName name="itensorc_encargos" localSheetId="3">ItensOrc!$N:$N</definedName>
    <definedName name="itensorc_encargos">#REF!</definedName>
    <definedName name="itensorc_especifica" localSheetId="3">ItensOrc!$O:$O</definedName>
    <definedName name="itensorc_especifica">#REF!</definedName>
    <definedName name="itensorc_item" localSheetId="3">ItensOrc!$C:$C</definedName>
    <definedName name="itensorc_item">#REF!</definedName>
    <definedName name="itensorc_lancamento" localSheetId="3">ItensOrc!$B:$B</definedName>
    <definedName name="itensorc_lancamento">#REF!</definedName>
    <definedName name="itensorc_percentualhonorarios" localSheetId="3">ItensOrc!$L:$L</definedName>
    <definedName name="itensorc_percentualhonorarios">#REF!</definedName>
    <definedName name="itensorc_quantidade" localSheetId="3">ItensOrc!$E:$E</definedName>
    <definedName name="itensorc_quantidade">#REF!</definedName>
    <definedName name="itensorc_situacao" localSheetId="3">ItensOrc!$H:$H</definedName>
    <definedName name="itensorc_situacao">#REF!</definedName>
    <definedName name="itensorc_subtipo" localSheetId="3">ItensOrc!$K:$K</definedName>
    <definedName name="itensorc_subtipo">#REF!</definedName>
    <definedName name="itensorc_tiporeceita" localSheetId="3">ItensOrc!$A:$A</definedName>
    <definedName name="itensorc_tiporeceita">#REF!</definedName>
    <definedName name="itensorc_valor" localSheetId="3">ItensOrc!$G:$G</definedName>
    <definedName name="itensorc_valor">#REF!</definedName>
    <definedName name="itensorc_valorfornecedor" localSheetId="3">ItensOrc!$I:$I</definedName>
    <definedName name="itensorc_valorfornecedor">#REF!</definedName>
    <definedName name="itensorc_valorfornecedorunitario" localSheetId="3">ItensOrc!$J:$J</definedName>
    <definedName name="itensorc_valorfornecedorunitario">#REF!</definedName>
    <definedName name="itensorc_valorunitario" localSheetId="3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1" i="95" l="1"/>
  <c r="D31" i="95"/>
  <c r="C31" i="95"/>
  <c r="E30" i="95"/>
  <c r="E29" i="95"/>
  <c r="D30" i="95"/>
  <c r="AL35" i="94"/>
  <c r="AL45" i="94"/>
  <c r="C22" i="95"/>
  <c r="AL47" i="94"/>
  <c r="AK18" i="94"/>
  <c r="AK19" i="94"/>
  <c r="AK30" i="94"/>
  <c r="AK34" i="94"/>
  <c r="AK17" i="94"/>
  <c r="E3" i="95"/>
  <c r="AD35" i="94"/>
  <c r="AD29" i="94"/>
  <c r="K41" i="94"/>
  <c r="K31" i="94"/>
  <c r="K25" i="94"/>
  <c r="K20" i="94"/>
  <c r="R45" i="94"/>
  <c r="Q45" i="94"/>
  <c r="K45" i="94"/>
  <c r="K46" i="94" s="1"/>
  <c r="R44" i="94"/>
  <c r="Q44" i="94"/>
  <c r="K44" i="94"/>
  <c r="Q43" i="94"/>
  <c r="Q42" i="94"/>
  <c r="Q40" i="94"/>
  <c r="K40" i="94"/>
  <c r="Q39" i="94"/>
  <c r="Q38" i="94"/>
  <c r="R36" i="94"/>
  <c r="Q36" i="94"/>
  <c r="K36" i="94"/>
  <c r="R35" i="94"/>
  <c r="Q35" i="94"/>
  <c r="K35" i="94"/>
  <c r="K37" i="94" s="1"/>
  <c r="R34" i="94"/>
  <c r="Q34" i="94"/>
  <c r="V34" i="94" s="1"/>
  <c r="K34" i="94"/>
  <c r="Q33" i="94"/>
  <c r="Q32" i="94"/>
  <c r="R30" i="94"/>
  <c r="K30" i="94"/>
  <c r="R29" i="94"/>
  <c r="Q29" i="94"/>
  <c r="K29" i="94"/>
  <c r="R28" i="94"/>
  <c r="Q28" i="94"/>
  <c r="K28" i="94"/>
  <c r="Q27" i="94"/>
  <c r="Q26" i="94"/>
  <c r="R24" i="94"/>
  <c r="Q24" i="94"/>
  <c r="K24" i="94"/>
  <c r="R23" i="94"/>
  <c r="Q23" i="94"/>
  <c r="K23" i="94"/>
  <c r="K47" i="94" s="1"/>
  <c r="Q22" i="94"/>
  <c r="Q21" i="94"/>
  <c r="R19" i="94"/>
  <c r="Q19" i="94"/>
  <c r="K19" i="94"/>
  <c r="R18" i="94"/>
  <c r="Q18" i="94"/>
  <c r="K18" i="94"/>
  <c r="R17" i="94"/>
  <c r="Q17" i="94"/>
  <c r="K17" i="94"/>
  <c r="Q16" i="94"/>
  <c r="Q15" i="94"/>
  <c r="Z12" i="94"/>
  <c r="F30" i="95" l="1"/>
  <c r="C23" i="95"/>
  <c r="T34" i="94"/>
  <c r="V44" i="94"/>
  <c r="L17" i="94"/>
  <c r="V45" i="94"/>
  <c r="L45" i="94"/>
  <c r="U44" i="94"/>
  <c r="L44" i="94"/>
  <c r="L46" i="94" s="1"/>
  <c r="T41" i="94"/>
  <c r="V40" i="94"/>
  <c r="L40" i="94"/>
  <c r="L41" i="94" s="1"/>
  <c r="V36" i="94"/>
  <c r="U36" i="94"/>
  <c r="Z36" i="94" s="1"/>
  <c r="L36" i="94"/>
  <c r="M36" i="94" s="1"/>
  <c r="N36" i="94" s="1"/>
  <c r="U35" i="94"/>
  <c r="Z35" i="94" s="1"/>
  <c r="V35" i="94"/>
  <c r="L35" i="94"/>
  <c r="U34" i="94"/>
  <c r="L34" i="94"/>
  <c r="L37" i="94" s="1"/>
  <c r="T30" i="94"/>
  <c r="U30" i="94" s="1"/>
  <c r="Z30" i="94" s="1"/>
  <c r="V30" i="94"/>
  <c r="L30" i="94"/>
  <c r="V29" i="94"/>
  <c r="U29" i="94"/>
  <c r="L29" i="94"/>
  <c r="M29" i="94" s="1"/>
  <c r="N29" i="94" s="1"/>
  <c r="T31" i="94"/>
  <c r="V28" i="94"/>
  <c r="L28" i="94"/>
  <c r="L31" i="94" s="1"/>
  <c r="V24" i="94"/>
  <c r="U24" i="94"/>
  <c r="L24" i="94"/>
  <c r="V23" i="94"/>
  <c r="T25" i="94"/>
  <c r="L23" i="94"/>
  <c r="L25" i="94" s="1"/>
  <c r="T19" i="94"/>
  <c r="U19" i="94" s="1"/>
  <c r="V19" i="94"/>
  <c r="L19" i="94"/>
  <c r="V18" i="94"/>
  <c r="T18" i="94"/>
  <c r="U18" i="94" s="1"/>
  <c r="Z18" i="94" s="1"/>
  <c r="L18" i="94"/>
  <c r="M18" i="94"/>
  <c r="N18" i="94" s="1"/>
  <c r="T17" i="94"/>
  <c r="V17" i="94"/>
  <c r="T46" i="94" l="1"/>
  <c r="T37" i="94"/>
  <c r="U37" i="94"/>
  <c r="L20" i="94"/>
  <c r="L47" i="94"/>
  <c r="T20" i="94"/>
  <c r="T47" i="94"/>
  <c r="D22" i="95" s="1"/>
  <c r="M40" i="94"/>
  <c r="M41" i="94" s="1"/>
  <c r="U28" i="94"/>
  <c r="M28" i="94"/>
  <c r="M31" i="94" s="1"/>
  <c r="U23" i="94"/>
  <c r="U17" i="94"/>
  <c r="U40" i="94"/>
  <c r="Z19" i="94"/>
  <c r="M17" i="94"/>
  <c r="Z17" i="94"/>
  <c r="W19" i="94"/>
  <c r="X19" i="94" s="1"/>
  <c r="W17" i="94"/>
  <c r="X17" i="94" s="1"/>
  <c r="U45" i="94"/>
  <c r="U46" i="94" s="1"/>
  <c r="W35" i="94"/>
  <c r="X35" i="94" s="1"/>
  <c r="AK35" i="94" s="1"/>
  <c r="W30" i="94"/>
  <c r="X30" i="94" s="1"/>
  <c r="M23" i="94"/>
  <c r="M25" i="94" s="1"/>
  <c r="W44" i="94"/>
  <c r="X44" i="94" s="1"/>
  <c r="AK44" i="94" s="1"/>
  <c r="Z44" i="94"/>
  <c r="W34" i="94"/>
  <c r="X34" i="94" s="1"/>
  <c r="Z34" i="94"/>
  <c r="AA28" i="94"/>
  <c r="AA17" i="94"/>
  <c r="M45" i="94"/>
  <c r="M44" i="94"/>
  <c r="M46" i="94" s="1"/>
  <c r="M35" i="94"/>
  <c r="N35" i="94" s="1"/>
  <c r="M34" i="94"/>
  <c r="M37" i="94" s="1"/>
  <c r="M30" i="94"/>
  <c r="Z29" i="94"/>
  <c r="W29" i="94"/>
  <c r="X29" i="94" s="1"/>
  <c r="Z28" i="94"/>
  <c r="W24" i="94"/>
  <c r="X24" i="94" s="1"/>
  <c r="AK24" i="94" s="1"/>
  <c r="Z24" i="94"/>
  <c r="M24" i="94"/>
  <c r="M19" i="94"/>
  <c r="W18" i="94"/>
  <c r="X18" i="94" s="1"/>
  <c r="W36" i="94"/>
  <c r="X36" i="94" s="1"/>
  <c r="AA44" i="94" l="1"/>
  <c r="AA45" i="94"/>
  <c r="U41" i="94"/>
  <c r="W40" i="94"/>
  <c r="X40" i="94" s="1"/>
  <c r="Y36" i="94"/>
  <c r="AK36" i="94"/>
  <c r="AA34" i="94"/>
  <c r="AA36" i="94"/>
  <c r="U31" i="94"/>
  <c r="W28" i="94"/>
  <c r="X28" i="94" s="1"/>
  <c r="Y28" i="94" s="1"/>
  <c r="U25" i="94"/>
  <c r="W23" i="94"/>
  <c r="X23" i="94" s="1"/>
  <c r="Y23" i="94" s="1"/>
  <c r="Z23" i="94"/>
  <c r="E22" i="95"/>
  <c r="D23" i="95"/>
  <c r="D29" i="95" s="1"/>
  <c r="Y29" i="94"/>
  <c r="AK29" i="94"/>
  <c r="X37" i="94"/>
  <c r="U47" i="94"/>
  <c r="U20" i="94"/>
  <c r="M20" i="94"/>
  <c r="M47" i="94"/>
  <c r="X20" i="94"/>
  <c r="N40" i="94"/>
  <c r="N41" i="94" s="1"/>
  <c r="N28" i="94"/>
  <c r="N31" i="94" s="1"/>
  <c r="Y17" i="94"/>
  <c r="N23" i="94"/>
  <c r="N25" i="94" s="1"/>
  <c r="Z40" i="94"/>
  <c r="Y40" i="94"/>
  <c r="Z45" i="94"/>
  <c r="W45" i="94"/>
  <c r="X45" i="94" s="1"/>
  <c r="AK45" i="94" s="1"/>
  <c r="N45" i="94"/>
  <c r="Y20" i="94"/>
  <c r="N19" i="94"/>
  <c r="N17" i="94"/>
  <c r="Y35" i="94"/>
  <c r="N24" i="94"/>
  <c r="Y18" i="94"/>
  <c r="Y44" i="94"/>
  <c r="AA40" i="94"/>
  <c r="Y34" i="94"/>
  <c r="AA30" i="94"/>
  <c r="AA29" i="94"/>
  <c r="AA18" i="94"/>
  <c r="AA19" i="94"/>
  <c r="Y30" i="94"/>
  <c r="Y24" i="94"/>
  <c r="AA24" i="94"/>
  <c r="AA23" i="94"/>
  <c r="N44" i="94"/>
  <c r="N46" i="94" s="1"/>
  <c r="N34" i="94"/>
  <c r="N37" i="94" s="1"/>
  <c r="N30" i="94"/>
  <c r="Y19" i="94"/>
  <c r="AK40" i="94" l="1"/>
  <c r="X41" i="94"/>
  <c r="Y41" i="94" s="1"/>
  <c r="AK28" i="94"/>
  <c r="X31" i="94"/>
  <c r="Y31" i="94" s="1"/>
  <c r="AK23" i="94"/>
  <c r="AK47" i="94" s="1"/>
  <c r="X25" i="94"/>
  <c r="Y25" i="94" s="1"/>
  <c r="E23" i="95"/>
  <c r="F23" i="95" s="1"/>
  <c r="F22" i="95"/>
  <c r="X47" i="94"/>
  <c r="X46" i="94"/>
  <c r="Y46" i="94" s="1"/>
  <c r="N20" i="94"/>
  <c r="N47" i="94"/>
  <c r="Y45" i="94"/>
  <c r="Y47" i="94" s="1"/>
  <c r="Y37" i="94"/>
  <c r="F31" i="95" l="1"/>
  <c r="F29" i="95"/>
  <c r="AL49" i="94"/>
  <c r="AL50" i="94"/>
  <c r="AL51" i="94" s="1"/>
  <c r="Z47" i="94"/>
  <c r="AA47" i="94" s="1"/>
</calcChain>
</file>

<file path=xl/sharedStrings.xml><?xml version="1.0" encoding="utf-8"?>
<sst xmlns="http://schemas.openxmlformats.org/spreadsheetml/2006/main" count="412" uniqueCount="248">
  <si>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</si>
  <si>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</si>
  <si>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</si>
  <si>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</si>
  <si>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</si>
  <si>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</si>
  <si>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</si>
  <si>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</si>
  <si>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</si>
  <si>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</si>
  <si>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</si>
  <si>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</si>
  <si>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</si>
  <si>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</si>
  <si>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</si>
  <si>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</si>
  <si>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</si>
  <si>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</si>
  <si>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</si>
  <si>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</si>
  <si>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</si>
  <si>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</si>
  <si>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</si>
  <si>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</si>
  <si>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</si>
  <si>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</si>
  <si>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</si>
  <si>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</si>
  <si>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</si>
  <si>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</si>
  <si>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</si>
  <si>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</si>
  <si>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</si>
  <si>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</si>
  <si>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</si>
  <si>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</si>
  <si>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</si>
  <si>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</si>
  <si>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</si>
  <si>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</si>
  <si>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</si>
  <si>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</si>
  <si>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</si>
  <si>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</si>
  <si>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</si>
  <si>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</si>
  <si>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</si>
  <si>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</si>
  <si>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</si>
  <si>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</si>
  <si>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</si>
  <si>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</si>
  <si>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</si>
  <si>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</si>
  <si>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</si>
  <si>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</si>
  <si>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</si>
  <si>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</si>
  <si>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</si>
  <si>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</si>
  <si>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</si>
  <si>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</si>
  <si>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</si>
  <si>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</si>
  <si>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</si>
  <si>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</si>
  <si>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</si>
  <si>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</si>
  <si>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</si>
  <si>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</si>
  <si>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</si>
  <si>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</si>
  <si>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</si>
  <si>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</si>
  <si>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</si>
  <si>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</si>
  <si>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</si>
  <si>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</si>
  <si>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</si>
  <si>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</si>
  <si>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</si>
  <si>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</si>
  <si>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</si>
  <si>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</si>
  <si>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</si>
  <si>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</si>
  <si>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</si>
  <si>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</si>
  <si>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</si>
  <si>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</si>
  <si>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</si>
  <si>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</si>
  <si>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</si>
  <si>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</si>
  <si>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</si>
  <si>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</si>
  <si>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</si>
  <si>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</si>
  <si>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</si>
  <si>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</si>
  <si>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</si>
  <si>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</si>
  <si>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</si>
  <si>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</si>
  <si>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 xml:space="preserve"> 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</si>
  <si>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</si>
  <si>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</si>
  <si>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</si>
  <si>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</si>
  <si>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</si>
  <si>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</si>
  <si>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</si>
  <si>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</si>
  <si>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ITEM</t>
  </si>
  <si>
    <t>1.1.3</t>
  </si>
  <si>
    <t>1.1.4</t>
  </si>
  <si>
    <t>FERNANDA PINHEIRO</t>
  </si>
  <si>
    <t>Criação</t>
  </si>
  <si>
    <t>INTERNO</t>
  </si>
  <si>
    <t>FAT.OGGI</t>
  </si>
  <si>
    <t>SUBTOTAL SUBGRUPO</t>
  </si>
  <si>
    <t>2.1</t>
  </si>
  <si>
    <t>INTERNOS</t>
  </si>
  <si>
    <t>2.1.1</t>
  </si>
  <si>
    <t>2.1.2</t>
  </si>
  <si>
    <t>OPERACIONAL</t>
  </si>
  <si>
    <t>FAT.CLIENTE</t>
  </si>
  <si>
    <t>3.1</t>
  </si>
  <si>
    <t>3.1.1</t>
  </si>
  <si>
    <t>3.1.2</t>
  </si>
  <si>
    <t>4.1</t>
  </si>
  <si>
    <t>4.1.1</t>
  </si>
  <si>
    <t>5.1</t>
  </si>
  <si>
    <t>SUBTOTAL PLANILHA</t>
  </si>
  <si>
    <t>Marg. Lucro</t>
  </si>
  <si>
    <t>Lucro</t>
  </si>
  <si>
    <t>1.1.5</t>
  </si>
  <si>
    <t>Produtor financeiro</t>
  </si>
  <si>
    <t>4.1.3</t>
  </si>
  <si>
    <t>3.1.3</t>
  </si>
  <si>
    <t>5.1.5</t>
  </si>
  <si>
    <t>6.1</t>
  </si>
  <si>
    <t>6.1.1</t>
  </si>
  <si>
    <t>6.1.2</t>
  </si>
  <si>
    <t>BRINDES</t>
  </si>
  <si>
    <t>TAG</t>
  </si>
  <si>
    <t>Subtotal BRINDES</t>
  </si>
  <si>
    <t>Subtotal INTERNOS</t>
  </si>
  <si>
    <t>LENOVO</t>
  </si>
  <si>
    <t xml:space="preserve">CÓDIGO DO JOB: </t>
  </si>
  <si>
    <t>CLIENTE:</t>
  </si>
  <si>
    <t>EVENTO:</t>
  </si>
  <si>
    <t>LOCAL:</t>
  </si>
  <si>
    <t>DATA:</t>
  </si>
  <si>
    <t>ATENDIMENTO:</t>
  </si>
  <si>
    <t>PRODUTOR:</t>
  </si>
  <si>
    <t>NOME PLANILHA:</t>
  </si>
  <si>
    <t xml:space="preserve">PATRICK / GIOVANNI </t>
  </si>
  <si>
    <t xml:space="preserve">CIO BRASIL </t>
  </si>
  <si>
    <t xml:space="preserve">FLORIANÓPOLIS </t>
  </si>
  <si>
    <t xml:space="preserve">18 A 22 DE MARÇO </t>
  </si>
  <si>
    <t xml:space="preserve">OPERACIONAL </t>
  </si>
  <si>
    <t xml:space="preserve">STAFF </t>
  </si>
  <si>
    <t xml:space="preserve">Coordenador local </t>
  </si>
  <si>
    <t xml:space="preserve">Coordenador local (Florianopolis) para recebimento de produtos, brindes e materiais, separação, organização da sala jutamente a montadora e hotel </t>
  </si>
  <si>
    <t xml:space="preserve">Recepcionista </t>
  </si>
  <si>
    <t xml:space="preserve">Promotora contratada por 08h para auxiliar no decorrer do evento </t>
  </si>
  <si>
    <t xml:space="preserve">Subtotal STAFF </t>
  </si>
  <si>
    <t xml:space="preserve">Uniforme promotora </t>
  </si>
  <si>
    <t xml:space="preserve">Uniforme staff Lenovo </t>
  </si>
  <si>
    <t xml:space="preserve">Bordado Lenovo e AMD </t>
  </si>
  <si>
    <t xml:space="preserve">Uniforme promotora (confeccção de camiseta com logos de parceria + manutenção saia Lenovo agencia) </t>
  </si>
  <si>
    <t xml:space="preserve">Bordado com logos na camisa Polo </t>
  </si>
  <si>
    <t xml:space="preserve">Subtotal OPERACIONAL </t>
  </si>
  <si>
    <t>4.1.4</t>
  </si>
  <si>
    <t>SALA DE APRESENTAÇÃO</t>
  </si>
  <si>
    <t xml:space="preserve">Sala de apresentação </t>
  </si>
  <si>
    <t xml:space="preserve">Água e café </t>
  </si>
  <si>
    <t>Subtotal SALA DE APRESENTAÇÃO</t>
  </si>
  <si>
    <t xml:space="preserve">LOGISTICA / OPERACIONAL </t>
  </si>
  <si>
    <t xml:space="preserve">Logística Terrestre </t>
  </si>
  <si>
    <t>Logística terrestre  ida e volta para materiais (brindes, equipamento, dentre outros)</t>
  </si>
  <si>
    <t xml:space="preserve">Custos operacionais </t>
  </si>
  <si>
    <t xml:space="preserve">Verba prevista para custos internos, testes de brindes e uniformes, motoboy para retirada de amostras, telefonias, amostra de brindes e borados, </t>
  </si>
  <si>
    <t xml:space="preserve">Subtotal LOGISTICA / OPERACIONAL </t>
  </si>
  <si>
    <t>Placas de produtos</t>
  </si>
  <si>
    <t>LE_225_CIO BRASIL</t>
  </si>
  <si>
    <t xml:space="preserve">LE_225_CIO BRASIL </t>
  </si>
  <si>
    <t xml:space="preserve">TOTAL CIO BR </t>
  </si>
  <si>
    <t xml:space="preserve">Locação de máquina de café Nespresso + cafés + água </t>
  </si>
  <si>
    <t>Atendimento/Produção</t>
  </si>
  <si>
    <t xml:space="preserve">Criação e desenvolvimento de todas as peças do evento + sala de apresentação </t>
  </si>
  <si>
    <t>Polos Hering com logo Lenovo + parceira bordada</t>
  </si>
  <si>
    <t xml:space="preserve"> NOTA HERING </t>
  </si>
  <si>
    <t xml:space="preserve">ANDREA BORDADOS </t>
  </si>
  <si>
    <t xml:space="preserve">BIANCA </t>
  </si>
  <si>
    <t>ORGANIZAÇÃO</t>
  </si>
  <si>
    <t>X</t>
  </si>
  <si>
    <t xml:space="preserve">DALVA </t>
  </si>
  <si>
    <t>OGGI</t>
  </si>
  <si>
    <t>05/03/2026</t>
  </si>
  <si>
    <t xml:space="preserve">LE_225_CIO BRASIL CIO BRASIL </t>
  </si>
  <si>
    <t>LE_225_CIO BRASIL_2026_FINAL.xlsm</t>
  </si>
  <si>
    <t xml:space="preserve">HERING </t>
  </si>
  <si>
    <t>R$ 79,79</t>
  </si>
  <si>
    <t xml:space="preserve">_x000D_
HERING </t>
  </si>
  <si>
    <t xml:space="preserve">_x000D_
</t>
  </si>
  <si>
    <t>PETEROSN</t>
  </si>
  <si>
    <t>10/03/2026</t>
  </si>
  <si>
    <t>( X ) Pessoa Física</t>
  </si>
  <si>
    <t>362.257.668-55</t>
  </si>
  <si>
    <t xml:space="preserve">GIOVANNI FERREIRA </t>
  </si>
  <si>
    <t>SANTANDER</t>
  </si>
  <si>
    <t>0122</t>
  </si>
  <si>
    <t>01024345-8</t>
  </si>
  <si>
    <t>13/03/26</t>
  </si>
  <si>
    <t>R$ 167,61</t>
  </si>
  <si>
    <t>( X ) Depósito</t>
  </si>
  <si>
    <t xml:space="preserve">VALOR REFERENTE A COMPRA DE PLACAS DE ACRÍLICO </t>
  </si>
  <si>
    <t xml:space="preserve">_x000D_
GIOVANNI FERREIRA </t>
  </si>
  <si>
    <t>_x000D_
362.257.668-55</t>
  </si>
  <si>
    <t xml:space="preserve">Placas de produtos (verba estimada, verificar quantidade de produtos) </t>
  </si>
  <si>
    <t xml:space="preserve">PETERSON </t>
  </si>
  <si>
    <t>VÍDEO</t>
  </si>
  <si>
    <t>STUDIO ROCA</t>
  </si>
  <si>
    <t>VENDA</t>
  </si>
  <si>
    <t xml:space="preserve">CUSTO </t>
  </si>
  <si>
    <t>LUCRO</t>
  </si>
  <si>
    <t>PRINCIPAL</t>
  </si>
  <si>
    <t>NOTAS EMITIDAS</t>
  </si>
  <si>
    <r>
      <t>Resp. pela interface de atendimento junto ao cliente, elaboração de plano estratégico para briefing interno da agencia após reunião de Brainstorming,  alinhamentos gerais, fluxo interno, alterações e condução de pauta.</t>
    </r>
    <r>
      <rPr>
        <sz val="22"/>
        <color rgb="FFFF0000"/>
        <rFont val="Trebuchet MS"/>
        <family val="2"/>
      </rPr>
      <t>(Desconto concedido excepcionalmente para este projeto)</t>
    </r>
  </si>
  <si>
    <r>
      <t xml:space="preserve">Produtor responsável por fechamento de contratos, pagamentos, emissão de notas e recibos </t>
    </r>
    <r>
      <rPr>
        <sz val="22"/>
        <color rgb="FFFF0000"/>
        <rFont val="Trebuchet MS"/>
        <family val="2"/>
      </rPr>
      <t>(Desconto concedido excepcionalmente para este projeto)</t>
    </r>
  </si>
  <si>
    <r>
      <t xml:space="preserve">01 Painel Estruturado com comunicação visual em lona com 6,75m x 2,50m (larg x alt) com estrutura para suporte de TV e detalhe em
Mdf e Led conforme indicado em projeto - Arte por conta do cliente*
01 Painel Estruturado com comunicação visual em lona com 5,50m x 2,50m (larg x alt) Lateral das Portas - Arte por conta do cliente*
01 Painel Estruturado com comunicação visual em lona com 1,20m x 2,50m (larg x alt) Frente e Verso na Entrada - Arte por conta do
cliente*
01 Painel Estruturado com comunicação visual em lona com 4,50m x 2,50m (larg x alt) Lateral - Arte por conta do cliente*
02 Paineis Estruturados em lona preta com 1,45m x 2,50m (larg x alt) Área do Café - Arte por conta do cliente*
01 Painel Estruturado em lona com detalhe em MDF com 1,65m x 2,50m (larg x alt) Área do Café - Arte por conta do cliente*
01 Painel Estruturado em lona preta com 0,60m x 2,50m (larg x alt) Área do Café - Arte por conta do cliente*
18 Poltronas em Bouclé Cinza
01 Planta ornamental
02 Aparadores com armário para armazenamento
02 Aparadores
01 Balcão Preto com área de armazenamento adesivado - Arte por conta do cliente*
01 Letreiro em Neon led para área do Café
</t>
    </r>
    <r>
      <rPr>
        <sz val="22"/>
        <color rgb="FFFF0000"/>
        <rFont val="Trebuchet MS"/>
        <family val="2"/>
      </rPr>
      <t>(Desconto concedido)</t>
    </r>
  </si>
  <si>
    <r>
      <t xml:space="preserve">Placas de produtos </t>
    </r>
    <r>
      <rPr>
        <sz val="22"/>
        <color rgb="FFFF0000"/>
        <rFont val="Trebuchet MS"/>
        <family val="2"/>
      </rPr>
      <t>(verba estimada, verificar quantidade de produtos)</t>
    </r>
    <r>
      <rPr>
        <sz val="22"/>
        <color theme="1"/>
        <rFont val="Trebuchet MS"/>
        <family val="2"/>
      </rPr>
      <t xml:space="preserve"> </t>
    </r>
  </si>
  <si>
    <r>
      <t xml:space="preserve">TAG personalizada para brindes  </t>
    </r>
    <r>
      <rPr>
        <sz val="22"/>
        <color rgb="FFFF0000"/>
        <rFont val="Trebuchet MS"/>
        <family val="2"/>
      </rPr>
      <t>(cortesia)</t>
    </r>
  </si>
  <si>
    <t>IMPOSTO</t>
  </si>
  <si>
    <t>CUSTO TOTAL</t>
  </si>
  <si>
    <t>NOTA DE DÉBITO - 246</t>
  </si>
  <si>
    <t>NOTA FISCAL - 2826</t>
  </si>
  <si>
    <t>HERING</t>
  </si>
  <si>
    <t>GIOVANNI (MR DA COSTA)</t>
  </si>
  <si>
    <t xml:space="preserve">CLESSIO ADALBERTO - </t>
  </si>
  <si>
    <t xml:space="preserve">BLUMEN LOCAÇÕES </t>
  </si>
  <si>
    <t>GIOVANNI (LAB ACRÍLICOS) - SK COPIADORA</t>
  </si>
  <si>
    <t>SK COPIADORA</t>
  </si>
  <si>
    <t>DA ORIKASSA</t>
  </si>
  <si>
    <t>ZILIOTTO</t>
  </si>
  <si>
    <t>IT4CIO NETWORK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</si>
</sst>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2"/>
      <color theme="0"/>
      <name val="Trebuchet MS"/>
      <family val="2"/>
    </font>
    <font>
      <sz val="22"/>
      <color theme="1"/>
      <name val="Calibri"/>
      <family val="2"/>
      <scheme val="minor"/>
    </font>
    <font>
      <b/>
      <sz val="22"/>
      <name val="Trebuchet MS"/>
      <family val="2"/>
    </font>
    <font>
      <b/>
      <sz val="22"/>
      <color theme="1"/>
      <name val="Gadugi"/>
      <family val="2"/>
    </font>
    <font>
      <b/>
      <sz val="22"/>
      <color indexed="63"/>
      <name val="Trebuchet MS"/>
      <family val="2"/>
    </font>
    <font>
      <b/>
      <sz val="22"/>
      <color theme="1"/>
      <name val="Calibri"/>
      <family val="2"/>
      <scheme val="minor"/>
    </font>
    <font>
      <b/>
      <sz val="22"/>
      <color theme="1"/>
      <name val="Trebuchet MS"/>
      <family val="2"/>
    </font>
    <font>
      <sz val="22"/>
      <color theme="0"/>
      <name val="Calibri"/>
      <family val="2"/>
      <scheme val="minor"/>
    </font>
    <font>
      <sz val="22"/>
      <color theme="1"/>
      <name val="Trebuchet MS"/>
      <family val="2"/>
    </font>
    <font>
      <b/>
      <sz val="22"/>
      <color rgb="FFFF0000"/>
      <name val="Trebuchet MS"/>
      <family val="2"/>
    </font>
    <font>
      <b/>
      <sz val="22"/>
      <color rgb="FF00B050"/>
      <name val="Trebuchet MS"/>
      <family val="2"/>
    </font>
    <font>
      <b/>
      <sz val="22"/>
      <color theme="0"/>
      <name val="Trebuchet MS"/>
      <family val="2"/>
    </font>
    <font>
      <sz val="22"/>
      <color rgb="FFFF0000"/>
      <name val="Trebuchet MS"/>
      <family val="2"/>
    </font>
    <font>
      <b/>
      <sz val="22"/>
      <color rgb="FFFF0000"/>
      <name val="Calibri"/>
      <family val="2"/>
      <scheme val="minor"/>
    </font>
    <font>
      <b/>
      <sz val="22"/>
      <color rgb="FF00B05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97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5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6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44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8" fillId="4" borderId="35" xfId="0" applyFont="1" applyFill="1" applyBorder="1"/>
    <xf numFmtId="0" fontId="8" fillId="4" borderId="36" xfId="0" applyFont="1" applyFill="1" applyBorder="1"/>
    <xf numFmtId="0" fontId="11" fillId="8" borderId="41" xfId="0" applyFont="1" applyFill="1" applyBorder="1" applyAlignment="1">
      <alignment vertical="center"/>
    </xf>
    <xf numFmtId="0" fontId="13" fillId="8" borderId="41" xfId="0" applyFont="1" applyFill="1" applyBorder="1" applyAlignment="1">
      <alignment horizontal="center" vertical="center"/>
    </xf>
    <xf numFmtId="22" fontId="11" fillId="8" borderId="41" xfId="0" applyNumberFormat="1" applyFont="1" applyFill="1" applyBorder="1" applyAlignment="1">
      <alignment horizontal="center" vertical="center"/>
    </xf>
    <xf numFmtId="0" fontId="15" fillId="8" borderId="42" xfId="0" applyFont="1" applyFill="1" applyBorder="1" applyAlignment="1">
      <alignment horizontal="center" vertical="center" wrapText="1"/>
    </xf>
    <xf numFmtId="0" fontId="15" fillId="8" borderId="43" xfId="0" applyFont="1" applyFill="1" applyBorder="1" applyAlignment="1">
      <alignment horizontal="center" vertical="center" wrapText="1"/>
    </xf>
    <xf numFmtId="0" fontId="17" fillId="0" borderId="0" xfId="0" applyFont="1"/>
    <xf numFmtId="0" fontId="17" fillId="0" borderId="0" xfId="0" applyFont="1" applyAlignment="1">
      <alignment horizontal="center"/>
    </xf>
    <xf numFmtId="16" fontId="17" fillId="18" borderId="11" xfId="0" applyNumberFormat="1" applyFont="1" applyFill="1" applyBorder="1"/>
    <xf numFmtId="16" fontId="17" fillId="18" borderId="12" xfId="0" applyNumberFormat="1" applyFont="1" applyFill="1" applyBorder="1"/>
    <xf numFmtId="16" fontId="17" fillId="19" borderId="14" xfId="0" applyNumberFormat="1" applyFont="1" applyFill="1" applyBorder="1"/>
    <xf numFmtId="16" fontId="17" fillId="19" borderId="15" xfId="0" applyNumberFormat="1" applyFont="1" applyFill="1" applyBorder="1"/>
    <xf numFmtId="0" fontId="17" fillId="20" borderId="17" xfId="0" applyFont="1" applyFill="1" applyBorder="1" applyAlignment="1">
      <alignment horizontal="right"/>
    </xf>
    <xf numFmtId="0" fontId="17" fillId="20" borderId="0" xfId="0" applyFont="1" applyFill="1" applyAlignment="1">
      <alignment horizontal="right"/>
    </xf>
    <xf numFmtId="0" fontId="19" fillId="21" borderId="14" xfId="0" applyFont="1" applyFill="1" applyBorder="1"/>
    <xf numFmtId="0" fontId="19" fillId="21" borderId="15" xfId="0" applyFont="1" applyFill="1" applyBorder="1"/>
    <xf numFmtId="164" fontId="4" fillId="0" borderId="0" xfId="2" applyNumberFormat="1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0" fontId="18" fillId="22" borderId="60" xfId="0" applyFont="1" applyFill="1" applyBorder="1" applyAlignment="1">
      <alignment horizontal="center"/>
    </xf>
    <xf numFmtId="164" fontId="4" fillId="0" borderId="60" xfId="2" applyNumberFormat="1" applyFont="1" applyBorder="1" applyAlignment="1" applyProtection="1">
      <alignment horizontal="left" vertical="center"/>
      <protection locked="0"/>
    </xf>
    <xf numFmtId="44" fontId="18" fillId="0" borderId="60" xfId="0" applyNumberFormat="1" applyFont="1" applyBorder="1"/>
    <xf numFmtId="9" fontId="18" fillId="0" borderId="60" xfId="1" applyFont="1" applyBorder="1" applyAlignment="1">
      <alignment horizontal="center"/>
    </xf>
    <xf numFmtId="44" fontId="18" fillId="22" borderId="60" xfId="0" applyNumberFormat="1" applyFont="1" applyFill="1" applyBorder="1" applyAlignment="1">
      <alignment horizontal="center"/>
    </xf>
    <xf numFmtId="0" fontId="18" fillId="0" borderId="49" xfId="0" applyFont="1" applyBorder="1"/>
    <xf numFmtId="170" fontId="18" fillId="0" borderId="67" xfId="0" applyNumberFormat="1" applyFont="1" applyBorder="1" applyAlignment="1">
      <alignment horizontal="center"/>
    </xf>
    <xf numFmtId="44" fontId="18" fillId="0" borderId="67" xfId="0" applyNumberFormat="1" applyFont="1" applyBorder="1"/>
    <xf numFmtId="170" fontId="18" fillId="0" borderId="67" xfId="0" applyNumberFormat="1" applyFont="1" applyBorder="1"/>
    <xf numFmtId="9" fontId="18" fillId="0" borderId="48" xfId="1" applyFont="1" applyBorder="1" applyAlignment="1">
      <alignment horizontal="center"/>
    </xf>
    <xf numFmtId="0" fontId="18" fillId="0" borderId="92" xfId="0" applyFont="1" applyBorder="1"/>
    <xf numFmtId="170" fontId="18" fillId="0" borderId="93" xfId="0" applyNumberFormat="1" applyFont="1" applyBorder="1" applyAlignment="1">
      <alignment horizontal="center"/>
    </xf>
    <xf numFmtId="170" fontId="18" fillId="0" borderId="62" xfId="0" applyNumberFormat="1" applyFont="1" applyBorder="1"/>
    <xf numFmtId="9" fontId="18" fillId="0" borderId="94" xfId="1" applyFont="1" applyBorder="1" applyAlignment="1">
      <alignment horizontal="center"/>
    </xf>
    <xf numFmtId="0" fontId="18" fillId="0" borderId="0" xfId="0" applyFont="1"/>
    <xf numFmtId="170" fontId="18" fillId="22" borderId="63" xfId="0" applyNumberFormat="1" applyFont="1" applyFill="1" applyBorder="1" applyAlignment="1">
      <alignment horizontal="center"/>
    </xf>
    <xf numFmtId="44" fontId="18" fillId="22" borderId="60" xfId="0" applyNumberFormat="1" applyFont="1" applyFill="1" applyBorder="1"/>
    <xf numFmtId="170" fontId="18" fillId="22" borderId="60" xfId="0" applyNumberFormat="1" applyFont="1" applyFill="1" applyBorder="1"/>
    <xf numFmtId="0" fontId="20" fillId="0" borderId="0" xfId="0" applyFont="1"/>
    <xf numFmtId="49" fontId="21" fillId="0" borderId="0" xfId="2" applyNumberFormat="1" applyFont="1" applyAlignment="1">
      <alignment horizontal="left" vertical="center" wrapText="1"/>
    </xf>
    <xf numFmtId="0" fontId="21" fillId="0" borderId="0" xfId="2" applyFont="1" applyAlignment="1">
      <alignment horizontal="left" vertical="center" wrapText="1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164" fontId="21" fillId="0" borderId="0" xfId="2" applyNumberFormat="1" applyFont="1" applyAlignment="1">
      <alignment horizontal="left" vertical="center"/>
    </xf>
    <xf numFmtId="164" fontId="21" fillId="0" borderId="70" xfId="2" applyNumberFormat="1" applyFont="1" applyBorder="1" applyAlignment="1" applyProtection="1">
      <alignment horizontal="left" vertical="center"/>
      <protection locked="0"/>
    </xf>
    <xf numFmtId="164" fontId="21" fillId="0" borderId="71" xfId="2" applyNumberFormat="1" applyFont="1" applyBorder="1" applyAlignment="1" applyProtection="1">
      <alignment horizontal="left" vertical="center"/>
      <protection locked="0"/>
    </xf>
    <xf numFmtId="164" fontId="21" fillId="0" borderId="72" xfId="2" applyNumberFormat="1" applyFont="1" applyBorder="1" applyAlignment="1" applyProtection="1">
      <alignment horizontal="left" vertical="center"/>
      <protection locked="0"/>
    </xf>
    <xf numFmtId="164" fontId="21" fillId="0" borderId="73" xfId="2" applyNumberFormat="1" applyFont="1" applyBorder="1" applyAlignment="1" applyProtection="1">
      <alignment horizontal="left" vertical="center"/>
      <protection locked="0"/>
    </xf>
    <xf numFmtId="164" fontId="21" fillId="0" borderId="14" xfId="2" applyNumberFormat="1" applyFont="1" applyBorder="1" applyAlignment="1" applyProtection="1">
      <alignment horizontal="left" vertical="center"/>
      <protection locked="0"/>
    </xf>
    <xf numFmtId="164" fontId="21" fillId="0" borderId="69" xfId="2" applyNumberFormat="1" applyFont="1" applyBorder="1" applyAlignment="1" applyProtection="1">
      <alignment horizontal="left" vertical="center"/>
      <protection locked="0"/>
    </xf>
    <xf numFmtId="49" fontId="20" fillId="0" borderId="0" xfId="0" applyNumberFormat="1" applyFont="1"/>
    <xf numFmtId="0" fontId="20" fillId="0" borderId="0" xfId="1" applyNumberFormat="1" applyFont="1"/>
    <xf numFmtId="165" fontId="23" fillId="6" borderId="38" xfId="4" applyFont="1" applyFill="1" applyBorder="1" applyAlignment="1">
      <alignment horizontal="center" vertical="center" wrapText="1"/>
    </xf>
    <xf numFmtId="168" fontId="24" fillId="0" borderId="5" xfId="1" applyNumberFormat="1" applyFont="1" applyBorder="1"/>
    <xf numFmtId="166" fontId="23" fillId="0" borderId="39" xfId="4" applyNumberFormat="1" applyFont="1" applyBorder="1" applyAlignment="1">
      <alignment horizontal="center" vertical="center" wrapText="1"/>
    </xf>
    <xf numFmtId="0" fontId="25" fillId="5" borderId="0" xfId="0" applyFont="1" applyFill="1"/>
    <xf numFmtId="49" fontId="25" fillId="5" borderId="0" xfId="0" applyNumberFormat="1" applyFont="1" applyFill="1"/>
    <xf numFmtId="0" fontId="26" fillId="0" borderId="0" xfId="0" applyFont="1"/>
    <xf numFmtId="0" fontId="27" fillId="0" borderId="44" xfId="0" applyFont="1" applyBorder="1" applyAlignment="1">
      <alignment horizontal="left" vertical="center"/>
    </xf>
    <xf numFmtId="49" fontId="27" fillId="0" borderId="45" xfId="0" applyNumberFormat="1" applyFont="1" applyBorder="1" applyAlignment="1">
      <alignment horizontal="left" vertical="center"/>
    </xf>
    <xf numFmtId="0" fontId="27" fillId="0" borderId="46" xfId="0" applyFont="1" applyBorder="1" applyAlignment="1">
      <alignment horizontal="left" vertical="center"/>
    </xf>
    <xf numFmtId="0" fontId="27" fillId="0" borderId="44" xfId="0" applyFont="1" applyBorder="1" applyAlignment="1">
      <alignment horizontal="left" vertical="center" wrapText="1"/>
    </xf>
    <xf numFmtId="0" fontId="21" fillId="6" borderId="53" xfId="3" applyFont="1" applyFill="1" applyBorder="1" applyAlignment="1">
      <alignment horizontal="left" vertical="center"/>
    </xf>
    <xf numFmtId="0" fontId="21" fillId="6" borderId="54" xfId="3" applyFont="1" applyFill="1" applyBorder="1" applyAlignment="1">
      <alignment horizontal="center" vertical="center"/>
    </xf>
    <xf numFmtId="0" fontId="25" fillId="6" borderId="54" xfId="3" applyFont="1" applyFill="1" applyBorder="1" applyAlignment="1">
      <alignment horizontal="center" vertical="center"/>
    </xf>
    <xf numFmtId="169" fontId="25" fillId="6" borderId="54" xfId="3" applyNumberFormat="1" applyFont="1" applyFill="1" applyBorder="1" applyAlignment="1">
      <alignment horizontal="center" vertical="center" wrapText="1"/>
    </xf>
    <xf numFmtId="0" fontId="25" fillId="6" borderId="54" xfId="3" applyFont="1" applyFill="1" applyBorder="1" applyAlignment="1">
      <alignment horizontal="center" vertical="center" wrapText="1"/>
    </xf>
    <xf numFmtId="9" fontId="25" fillId="6" borderId="54" xfId="1" applyFont="1" applyFill="1" applyBorder="1" applyAlignment="1">
      <alignment horizontal="center" vertical="center" wrapText="1"/>
    </xf>
    <xf numFmtId="10" fontId="25" fillId="6" borderId="54" xfId="1" applyNumberFormat="1" applyFont="1" applyFill="1" applyBorder="1" applyAlignment="1">
      <alignment horizontal="center" vertical="center" wrapText="1"/>
    </xf>
    <xf numFmtId="0" fontId="25" fillId="6" borderId="55" xfId="3" applyFont="1" applyFill="1" applyBorder="1" applyAlignment="1">
      <alignment horizontal="center" vertical="center" wrapText="1"/>
    </xf>
    <xf numFmtId="37" fontId="23" fillId="6" borderId="53" xfId="3" applyNumberFormat="1" applyFont="1" applyFill="1" applyBorder="1" applyAlignment="1">
      <alignment horizontal="center" vertical="center"/>
    </xf>
    <xf numFmtId="37" fontId="23" fillId="6" borderId="54" xfId="3" applyNumberFormat="1" applyFont="1" applyFill="1" applyBorder="1" applyAlignment="1">
      <alignment horizontal="center" vertical="center"/>
    </xf>
    <xf numFmtId="40" fontId="23" fillId="6" borderId="54" xfId="4" applyNumberFormat="1" applyFont="1" applyFill="1" applyBorder="1" applyAlignment="1">
      <alignment horizontal="center" vertical="center"/>
    </xf>
    <xf numFmtId="165" fontId="23" fillId="6" borderId="54" xfId="4" applyFont="1" applyFill="1" applyBorder="1" applyAlignment="1">
      <alignment horizontal="right" vertical="center"/>
    </xf>
    <xf numFmtId="40" fontId="23" fillId="6" borderId="54" xfId="4" applyNumberFormat="1" applyFont="1" applyFill="1" applyBorder="1" applyAlignment="1">
      <alignment horizontal="center" vertical="center" wrapText="1"/>
    </xf>
    <xf numFmtId="10" fontId="23" fillId="6" borderId="54" xfId="5" applyNumberFormat="1" applyFont="1" applyFill="1" applyBorder="1" applyAlignment="1">
      <alignment horizontal="center" vertical="center" wrapText="1"/>
    </xf>
    <xf numFmtId="165" fontId="23" fillId="6" borderId="54" xfId="4" applyFont="1" applyFill="1" applyBorder="1" applyAlignment="1">
      <alignment horizontal="center" vertical="center" wrapText="1"/>
    </xf>
    <xf numFmtId="165" fontId="23" fillId="6" borderId="55" xfId="4" applyFont="1" applyFill="1" applyBorder="1" applyAlignment="1">
      <alignment horizontal="center" vertical="center" wrapText="1"/>
    </xf>
    <xf numFmtId="10" fontId="23" fillId="6" borderId="47" xfId="5" applyNumberFormat="1" applyFont="1" applyFill="1" applyBorder="1" applyAlignment="1">
      <alignment horizontal="center" vertical="center" wrapText="1"/>
    </xf>
    <xf numFmtId="10" fontId="23" fillId="6" borderId="48" xfId="5" applyNumberFormat="1" applyFont="1" applyFill="1" applyBorder="1" applyAlignment="1">
      <alignment horizontal="center" vertical="center" wrapText="1"/>
    </xf>
    <xf numFmtId="165" fontId="23" fillId="6" borderId="49" xfId="4" applyFont="1" applyFill="1" applyBorder="1" applyAlignment="1">
      <alignment horizontal="center" vertical="center" wrapText="1"/>
    </xf>
    <xf numFmtId="165" fontId="23" fillId="6" borderId="48" xfId="4" applyFont="1" applyFill="1" applyBorder="1" applyAlignment="1">
      <alignment horizontal="center" vertical="center" wrapText="1"/>
    </xf>
    <xf numFmtId="37" fontId="23" fillId="6" borderId="3" xfId="3" applyNumberFormat="1" applyFont="1" applyFill="1" applyBorder="1" applyAlignment="1">
      <alignment horizontal="center" vertical="center"/>
    </xf>
    <xf numFmtId="40" fontId="23" fillId="6" borderId="50" xfId="4" applyNumberFormat="1" applyFont="1" applyFill="1" applyBorder="1" applyAlignment="1">
      <alignment horizontal="center" vertical="center"/>
    </xf>
    <xf numFmtId="166" fontId="28" fillId="6" borderId="51" xfId="4" applyNumberFormat="1" applyFont="1" applyFill="1" applyBorder="1" applyAlignment="1">
      <alignment horizontal="center" vertical="center" wrapText="1"/>
    </xf>
    <xf numFmtId="166" fontId="29" fillId="6" borderId="52" xfId="4" applyNumberFormat="1" applyFont="1" applyFill="1" applyBorder="1" applyAlignment="1">
      <alignment horizontal="center" vertical="center" wrapText="1"/>
    </xf>
    <xf numFmtId="49" fontId="27" fillId="0" borderId="45" xfId="0" applyNumberFormat="1" applyFont="1" applyBorder="1" applyAlignment="1">
      <alignment horizontal="left" vertical="center" wrapText="1"/>
    </xf>
    <xf numFmtId="0" fontId="27" fillId="0" borderId="46" xfId="0" applyFont="1" applyBorder="1" applyAlignment="1">
      <alignment horizontal="left" vertical="center" wrapText="1"/>
    </xf>
    <xf numFmtId="10" fontId="27" fillId="14" borderId="10" xfId="0" applyNumberFormat="1" applyFont="1" applyFill="1" applyBorder="1" applyAlignment="1">
      <alignment horizontal="center" vertical="center"/>
    </xf>
    <xf numFmtId="0" fontId="25" fillId="11" borderId="63" xfId="0" applyFont="1" applyFill="1" applyBorder="1" applyAlignment="1">
      <alignment horizontal="center" vertical="center"/>
    </xf>
    <xf numFmtId="0" fontId="25" fillId="11" borderId="68" xfId="0" applyFont="1" applyFill="1" applyBorder="1" applyAlignment="1">
      <alignment horizontal="center" vertical="center"/>
    </xf>
    <xf numFmtId="0" fontId="24" fillId="11" borderId="10" xfId="0" applyFont="1" applyFill="1" applyBorder="1" applyAlignment="1">
      <alignment horizontal="center" vertical="center"/>
    </xf>
    <xf numFmtId="0" fontId="24" fillId="11" borderId="60" xfId="0" applyFont="1" applyFill="1" applyBorder="1" applyAlignment="1">
      <alignment horizontal="center" vertical="center"/>
    </xf>
    <xf numFmtId="0" fontId="27" fillId="17" borderId="64" xfId="0" applyFont="1" applyFill="1" applyBorder="1" applyAlignment="1">
      <alignment horizontal="left" vertical="center" wrapText="1"/>
    </xf>
    <xf numFmtId="0" fontId="27" fillId="0" borderId="60" xfId="0" applyFont="1" applyBorder="1" applyAlignment="1">
      <alignment horizontal="left" vertical="center" wrapText="1"/>
    </xf>
    <xf numFmtId="0" fontId="27" fillId="0" borderId="60" xfId="0" applyFont="1" applyBorder="1" applyAlignment="1">
      <alignment horizontal="center" vertical="center"/>
    </xf>
    <xf numFmtId="44" fontId="27" fillId="0" borderId="60" xfId="8" applyFont="1" applyBorder="1" applyAlignment="1">
      <alignment vertical="center"/>
    </xf>
    <xf numFmtId="44" fontId="27" fillId="0" borderId="65" xfId="8" applyFont="1" applyBorder="1" applyAlignment="1">
      <alignment vertical="center"/>
    </xf>
    <xf numFmtId="1" fontId="27" fillId="12" borderId="64" xfId="0" applyNumberFormat="1" applyFont="1" applyFill="1" applyBorder="1" applyAlignment="1">
      <alignment horizontal="center" vertical="center"/>
    </xf>
    <xf numFmtId="1" fontId="27" fillId="12" borderId="60" xfId="0" applyNumberFormat="1" applyFont="1" applyFill="1" applyBorder="1" applyAlignment="1">
      <alignment horizontal="center" vertical="center"/>
    </xf>
    <xf numFmtId="44" fontId="27" fillId="12" borderId="60" xfId="8" applyFont="1" applyFill="1" applyBorder="1" applyAlignment="1">
      <alignment vertical="center"/>
    </xf>
    <xf numFmtId="44" fontId="27" fillId="14" borderId="60" xfId="8" applyFont="1" applyFill="1" applyBorder="1" applyAlignment="1">
      <alignment vertical="center"/>
    </xf>
    <xf numFmtId="9" fontId="27" fillId="13" borderId="60" xfId="1" applyFont="1" applyFill="1" applyBorder="1" applyAlignment="1">
      <alignment vertical="center"/>
    </xf>
    <xf numFmtId="44" fontId="27" fillId="13" borderId="60" xfId="8" applyFont="1" applyFill="1" applyBorder="1" applyAlignment="1">
      <alignment vertical="center"/>
    </xf>
    <xf numFmtId="44" fontId="27" fillId="13" borderId="65" xfId="8" applyFont="1" applyFill="1" applyBorder="1" applyAlignment="1">
      <alignment vertical="center"/>
    </xf>
    <xf numFmtId="10" fontId="27" fillId="14" borderId="60" xfId="0" applyNumberFormat="1" applyFont="1" applyFill="1" applyBorder="1" applyAlignment="1">
      <alignment horizontal="center" vertical="center"/>
    </xf>
    <xf numFmtId="44" fontId="32" fillId="0" borderId="60" xfId="0" applyNumberFormat="1" applyFont="1" applyBorder="1"/>
    <xf numFmtId="44" fontId="33" fillId="0" borderId="60" xfId="8" applyFont="1" applyBorder="1"/>
    <xf numFmtId="170" fontId="30" fillId="10" borderId="61" xfId="8" applyNumberFormat="1" applyFont="1" applyFill="1" applyBorder="1" applyAlignment="1">
      <alignment horizontal="right"/>
    </xf>
    <xf numFmtId="170" fontId="30" fillId="10" borderId="52" xfId="8" applyNumberFormat="1" applyFont="1" applyFill="1" applyBorder="1" applyAlignment="1">
      <alignment horizontal="right"/>
    </xf>
    <xf numFmtId="44" fontId="30" fillId="10" borderId="61" xfId="8" applyFont="1" applyFill="1" applyBorder="1" applyAlignment="1">
      <alignment horizontal="right"/>
    </xf>
    <xf numFmtId="44" fontId="25" fillId="14" borderId="61" xfId="8" applyFont="1" applyFill="1" applyBorder="1" applyAlignment="1">
      <alignment vertical="center"/>
    </xf>
    <xf numFmtId="9" fontId="27" fillId="13" borderId="61" xfId="1" applyFont="1" applyFill="1" applyBorder="1" applyAlignment="1">
      <alignment vertical="center"/>
    </xf>
    <xf numFmtId="44" fontId="27" fillId="13" borderId="61" xfId="8" applyFont="1" applyFill="1" applyBorder="1" applyAlignment="1">
      <alignment vertical="center"/>
    </xf>
    <xf numFmtId="44" fontId="25" fillId="13" borderId="61" xfId="8" applyFont="1" applyFill="1" applyBorder="1" applyAlignment="1">
      <alignment vertical="center"/>
    </xf>
    <xf numFmtId="44" fontId="25" fillId="13" borderId="52" xfId="8" applyFont="1" applyFill="1" applyBorder="1" applyAlignment="1">
      <alignment vertical="center"/>
    </xf>
    <xf numFmtId="10" fontId="27" fillId="14" borderId="0" xfId="0" applyNumberFormat="1" applyFont="1" applyFill="1" applyAlignment="1">
      <alignment horizontal="center" vertical="center"/>
    </xf>
    <xf numFmtId="0" fontId="25" fillId="11" borderId="81" xfId="0" applyFont="1" applyFill="1" applyBorder="1" applyAlignment="1">
      <alignment horizontal="center" vertical="center"/>
    </xf>
    <xf numFmtId="0" fontId="25" fillId="11" borderId="54" xfId="0" applyFont="1" applyFill="1" applyBorder="1" applyAlignment="1">
      <alignment horizontal="center" vertical="center"/>
    </xf>
    <xf numFmtId="0" fontId="25" fillId="11" borderId="87" xfId="0" applyFont="1" applyFill="1" applyBorder="1" applyAlignment="1">
      <alignment horizontal="center" vertical="center"/>
    </xf>
    <xf numFmtId="0" fontId="27" fillId="17" borderId="51" xfId="0" applyFont="1" applyFill="1" applyBorder="1" applyAlignment="1">
      <alignment horizontal="left" vertical="center" wrapText="1"/>
    </xf>
    <xf numFmtId="0" fontId="27" fillId="0" borderId="61" xfId="0" applyFont="1" applyBorder="1" applyAlignment="1">
      <alignment horizontal="left" vertical="center" wrapText="1"/>
    </xf>
    <xf numFmtId="0" fontId="27" fillId="0" borderId="61" xfId="0" applyFont="1" applyBorder="1" applyAlignment="1">
      <alignment horizontal="center" vertical="center"/>
    </xf>
    <xf numFmtId="44" fontId="27" fillId="0" borderId="61" xfId="8" applyFont="1" applyBorder="1" applyAlignment="1">
      <alignment vertical="center"/>
    </xf>
    <xf numFmtId="44" fontId="27" fillId="0" borderId="52" xfId="8" applyFont="1" applyBorder="1" applyAlignment="1">
      <alignment vertical="center"/>
    </xf>
    <xf numFmtId="1" fontId="27" fillId="12" borderId="79" xfId="0" applyNumberFormat="1" applyFont="1" applyFill="1" applyBorder="1" applyAlignment="1">
      <alignment horizontal="center" vertical="center"/>
    </xf>
    <xf numFmtId="1" fontId="27" fillId="12" borderId="77" xfId="0" applyNumberFormat="1" applyFont="1" applyFill="1" applyBorder="1" applyAlignment="1">
      <alignment horizontal="center" vertical="center"/>
    </xf>
    <xf numFmtId="44" fontId="27" fillId="12" borderId="77" xfId="8" applyFont="1" applyFill="1" applyBorder="1" applyAlignment="1">
      <alignment vertical="center"/>
    </xf>
    <xf numFmtId="44" fontId="27" fillId="14" borderId="77" xfId="8" applyFont="1" applyFill="1" applyBorder="1" applyAlignment="1">
      <alignment vertical="center"/>
    </xf>
    <xf numFmtId="9" fontId="27" fillId="13" borderId="77" xfId="1" applyFont="1" applyFill="1" applyBorder="1" applyAlignment="1">
      <alignment vertical="center"/>
    </xf>
    <xf numFmtId="44" fontId="27" fillId="13" borderId="77" xfId="8" applyFont="1" applyFill="1" applyBorder="1" applyAlignment="1">
      <alignment vertical="center"/>
    </xf>
    <xf numFmtId="44" fontId="27" fillId="13" borderId="52" xfId="8" applyFont="1" applyFill="1" applyBorder="1" applyAlignment="1">
      <alignment vertical="center"/>
    </xf>
    <xf numFmtId="170" fontId="30" fillId="10" borderId="0" xfId="0" applyNumberFormat="1" applyFont="1" applyFill="1" applyAlignment="1">
      <alignment horizontal="right"/>
    </xf>
    <xf numFmtId="170" fontId="30" fillId="10" borderId="18" xfId="0" applyNumberFormat="1" applyFont="1" applyFill="1" applyBorder="1" applyAlignment="1">
      <alignment horizontal="right"/>
    </xf>
    <xf numFmtId="44" fontId="30" fillId="10" borderId="15" xfId="0" applyNumberFormat="1" applyFont="1" applyFill="1" applyBorder="1" applyAlignment="1">
      <alignment horizontal="right"/>
    </xf>
    <xf numFmtId="44" fontId="25" fillId="14" borderId="15" xfId="0" applyNumberFormat="1" applyFont="1" applyFill="1" applyBorder="1"/>
    <xf numFmtId="0" fontId="20" fillId="13" borderId="15" xfId="0" applyFont="1" applyFill="1" applyBorder="1"/>
    <xf numFmtId="44" fontId="25" fillId="13" borderId="15" xfId="0" applyNumberFormat="1" applyFont="1" applyFill="1" applyBorder="1"/>
    <xf numFmtId="44" fontId="25" fillId="13" borderId="88" xfId="8" applyFont="1" applyFill="1" applyBorder="1"/>
    <xf numFmtId="0" fontId="27" fillId="0" borderId="51" xfId="0" applyFont="1" applyBorder="1" applyAlignment="1">
      <alignment horizontal="left" vertical="center" wrapText="1"/>
    </xf>
    <xf numFmtId="8" fontId="27" fillId="12" borderId="7" xfId="0" applyNumberFormat="1" applyFont="1" applyFill="1" applyBorder="1"/>
    <xf numFmtId="44" fontId="27" fillId="12" borderId="9" xfId="0" applyNumberFormat="1" applyFont="1" applyFill="1" applyBorder="1"/>
    <xf numFmtId="14" fontId="27" fillId="12" borderId="10" xfId="0" applyNumberFormat="1" applyFont="1" applyFill="1" applyBorder="1"/>
    <xf numFmtId="0" fontId="27" fillId="12" borderId="7" xfId="0" applyFont="1" applyFill="1" applyBorder="1" applyAlignment="1">
      <alignment wrapText="1"/>
    </xf>
    <xf numFmtId="0" fontId="27" fillId="12" borderId="10" xfId="0" applyFont="1" applyFill="1" applyBorder="1" applyAlignment="1">
      <alignment wrapText="1"/>
    </xf>
    <xf numFmtId="1" fontId="27" fillId="12" borderId="82" xfId="0" applyNumberFormat="1" applyFont="1" applyFill="1" applyBorder="1" applyAlignment="1">
      <alignment horizontal="center" vertical="center"/>
    </xf>
    <xf numFmtId="1" fontId="27" fillId="12" borderId="7" xfId="0" applyNumberFormat="1" applyFont="1" applyFill="1" applyBorder="1" applyAlignment="1">
      <alignment horizontal="center" vertical="center"/>
    </xf>
    <xf numFmtId="44" fontId="27" fillId="12" borderId="7" xfId="8" applyFont="1" applyFill="1" applyBorder="1" applyAlignment="1">
      <alignment vertical="center"/>
    </xf>
    <xf numFmtId="44" fontId="27" fillId="14" borderId="7" xfId="8" applyFont="1" applyFill="1" applyBorder="1" applyAlignment="1">
      <alignment vertical="center"/>
    </xf>
    <xf numFmtId="9" fontId="27" fillId="13" borderId="7" xfId="1" applyFont="1" applyFill="1" applyBorder="1" applyAlignment="1">
      <alignment vertical="center"/>
    </xf>
    <xf numFmtId="44" fontId="27" fillId="13" borderId="7" xfId="8" applyFont="1" applyFill="1" applyBorder="1" applyAlignment="1">
      <alignment vertical="center"/>
    </xf>
    <xf numFmtId="170" fontId="30" fillId="10" borderId="15" xfId="0" applyNumberFormat="1" applyFont="1" applyFill="1" applyBorder="1" applyAlignment="1">
      <alignment horizontal="right"/>
    </xf>
    <xf numFmtId="170" fontId="30" fillId="10" borderId="88" xfId="0" applyNumberFormat="1" applyFont="1" applyFill="1" applyBorder="1" applyAlignment="1">
      <alignment horizontal="right"/>
    </xf>
    <xf numFmtId="0" fontId="27" fillId="0" borderId="57" xfId="0" applyFont="1" applyBorder="1" applyAlignment="1">
      <alignment horizontal="left" vertical="center" wrapText="1"/>
    </xf>
    <xf numFmtId="0" fontId="27" fillId="0" borderId="59" xfId="0" applyFont="1" applyBorder="1" applyAlignment="1">
      <alignment horizontal="left" vertical="center" wrapText="1"/>
    </xf>
    <xf numFmtId="0" fontId="27" fillId="0" borderId="64" xfId="0" applyFont="1" applyBorder="1" applyAlignment="1">
      <alignment horizontal="left" vertical="center" wrapText="1"/>
    </xf>
    <xf numFmtId="0" fontId="27" fillId="0" borderId="56" xfId="0" applyFont="1" applyBorder="1" applyAlignment="1">
      <alignment horizontal="left" vertical="center" wrapText="1"/>
    </xf>
    <xf numFmtId="0" fontId="27" fillId="0" borderId="0" xfId="0" applyFont="1" applyAlignment="1">
      <alignment horizontal="left" vertical="center" wrapText="1"/>
    </xf>
    <xf numFmtId="0" fontId="27" fillId="17" borderId="75" xfId="0" applyFont="1" applyFill="1" applyBorder="1" applyAlignment="1">
      <alignment horizontal="left" vertical="center" wrapText="1"/>
    </xf>
    <xf numFmtId="0" fontId="27" fillId="16" borderId="62" xfId="0" applyFont="1" applyFill="1" applyBorder="1" applyAlignment="1">
      <alignment horizontal="left" vertical="center" wrapText="1"/>
    </xf>
    <xf numFmtId="0" fontId="27" fillId="16" borderId="62" xfId="0" applyFont="1" applyFill="1" applyBorder="1" applyAlignment="1">
      <alignment horizontal="center" vertical="center"/>
    </xf>
    <xf numFmtId="44" fontId="27" fillId="16" borderId="62" xfId="8" applyFont="1" applyFill="1" applyBorder="1" applyAlignment="1">
      <alignment vertical="center"/>
    </xf>
    <xf numFmtId="44" fontId="27" fillId="16" borderId="66" xfId="8" applyFont="1" applyFill="1" applyBorder="1" applyAlignment="1">
      <alignment vertical="center"/>
    </xf>
    <xf numFmtId="1" fontId="27" fillId="12" borderId="17" xfId="0" applyNumberFormat="1" applyFont="1" applyFill="1" applyBorder="1" applyAlignment="1">
      <alignment horizontal="center" vertical="center"/>
    </xf>
    <xf numFmtId="1" fontId="27" fillId="12" borderId="78" xfId="0" applyNumberFormat="1" applyFont="1" applyFill="1" applyBorder="1" applyAlignment="1">
      <alignment horizontal="center" vertical="center"/>
    </xf>
    <xf numFmtId="44" fontId="27" fillId="12" borderId="78" xfId="8" applyFont="1" applyFill="1" applyBorder="1" applyAlignment="1">
      <alignment vertical="center"/>
    </xf>
    <xf numFmtId="44" fontId="27" fillId="14" borderId="78" xfId="8" applyFont="1" applyFill="1" applyBorder="1" applyAlignment="1">
      <alignment vertical="center"/>
    </xf>
    <xf numFmtId="9" fontId="27" fillId="13" borderId="78" xfId="1" applyFont="1" applyFill="1" applyBorder="1" applyAlignment="1">
      <alignment vertical="center"/>
    </xf>
    <xf numFmtId="44" fontId="27" fillId="13" borderId="78" xfId="8" applyFont="1" applyFill="1" applyBorder="1" applyAlignment="1">
      <alignment vertical="center"/>
    </xf>
    <xf numFmtId="44" fontId="27" fillId="13" borderId="66" xfId="8" applyFont="1" applyFill="1" applyBorder="1" applyAlignment="1">
      <alignment vertical="center"/>
    </xf>
    <xf numFmtId="0" fontId="27" fillId="0" borderId="62" xfId="0" applyFont="1" applyBorder="1" applyAlignment="1">
      <alignment horizontal="left" vertical="center" wrapText="1"/>
    </xf>
    <xf numFmtId="0" fontId="27" fillId="0" borderId="62" xfId="0" applyFont="1" applyBorder="1" applyAlignment="1">
      <alignment horizontal="center" vertical="center"/>
    </xf>
    <xf numFmtId="44" fontId="27" fillId="0" borderId="62" xfId="8" applyFont="1" applyBorder="1" applyAlignment="1">
      <alignment vertical="center"/>
    </xf>
    <xf numFmtId="44" fontId="27" fillId="0" borderId="66" xfId="8" applyFont="1" applyBorder="1" applyAlignment="1">
      <alignment vertical="center"/>
    </xf>
    <xf numFmtId="1" fontId="27" fillId="12" borderId="89" xfId="0" applyNumberFormat="1" applyFont="1" applyFill="1" applyBorder="1" applyAlignment="1">
      <alignment horizontal="center" vertical="center"/>
    </xf>
    <xf numFmtId="1" fontId="27" fillId="12" borderId="90" xfId="0" applyNumberFormat="1" applyFont="1" applyFill="1" applyBorder="1" applyAlignment="1">
      <alignment horizontal="center" vertical="center"/>
    </xf>
    <xf numFmtId="44" fontId="27" fillId="12" borderId="90" xfId="8" applyFont="1" applyFill="1" applyBorder="1" applyAlignment="1">
      <alignment vertical="center"/>
    </xf>
    <xf numFmtId="44" fontId="27" fillId="14" borderId="90" xfId="8" applyFont="1" applyFill="1" applyBorder="1" applyAlignment="1">
      <alignment vertical="center"/>
    </xf>
    <xf numFmtId="9" fontId="27" fillId="13" borderId="90" xfId="1" applyFont="1" applyFill="1" applyBorder="1" applyAlignment="1">
      <alignment vertical="center"/>
    </xf>
    <xf numFmtId="44" fontId="27" fillId="13" borderId="63" xfId="8" applyFont="1" applyFill="1" applyBorder="1" applyAlignment="1">
      <alignment vertical="center"/>
    </xf>
    <xf numFmtId="10" fontId="27" fillId="14" borderId="91" xfId="0" applyNumberFormat="1" applyFont="1" applyFill="1" applyBorder="1" applyAlignment="1">
      <alignment horizontal="center" vertical="center"/>
    </xf>
    <xf numFmtId="10" fontId="27" fillId="14" borderId="63" xfId="0" applyNumberFormat="1" applyFont="1" applyFill="1" applyBorder="1" applyAlignment="1">
      <alignment horizontal="center" vertical="center"/>
    </xf>
    <xf numFmtId="0" fontId="27" fillId="17" borderId="62" xfId="0" applyFont="1" applyFill="1" applyBorder="1" applyAlignment="1">
      <alignment horizontal="left" vertical="center" wrapText="1"/>
    </xf>
    <xf numFmtId="0" fontId="27" fillId="17" borderId="60" xfId="0" applyFont="1" applyFill="1" applyBorder="1" applyAlignment="1">
      <alignment horizontal="left" vertical="center" wrapText="1"/>
    </xf>
    <xf numFmtId="10" fontId="27" fillId="14" borderId="33" xfId="0" applyNumberFormat="1" applyFont="1" applyFill="1" applyBorder="1" applyAlignment="1">
      <alignment horizontal="center" vertical="center"/>
    </xf>
    <xf numFmtId="10" fontId="27" fillId="14" borderId="61" xfId="0" applyNumberFormat="1" applyFont="1" applyFill="1" applyBorder="1" applyAlignment="1">
      <alignment horizontal="center" vertical="center"/>
    </xf>
    <xf numFmtId="44" fontId="30" fillId="10" borderId="0" xfId="0" applyNumberFormat="1" applyFont="1" applyFill="1" applyAlignment="1">
      <alignment horizontal="right"/>
    </xf>
    <xf numFmtId="44" fontId="25" fillId="14" borderId="0" xfId="0" applyNumberFormat="1" applyFont="1" applyFill="1"/>
    <xf numFmtId="0" fontId="20" fillId="13" borderId="0" xfId="0" applyFont="1" applyFill="1"/>
    <xf numFmtId="44" fontId="25" fillId="13" borderId="0" xfId="0" applyNumberFormat="1" applyFont="1" applyFill="1"/>
    <xf numFmtId="44" fontId="25" fillId="13" borderId="18" xfId="8" applyFont="1" applyFill="1" applyBorder="1"/>
    <xf numFmtId="44" fontId="30" fillId="15" borderId="12" xfId="8" applyFont="1" applyFill="1" applyBorder="1" applyAlignment="1">
      <alignment horizontal="center"/>
    </xf>
    <xf numFmtId="44" fontId="30" fillId="15" borderId="85" xfId="8" applyFont="1" applyFill="1" applyBorder="1" applyAlignment="1">
      <alignment horizontal="center"/>
    </xf>
    <xf numFmtId="49" fontId="27" fillId="0" borderId="58" xfId="0" applyNumberFormat="1" applyFont="1" applyBorder="1" applyAlignment="1">
      <alignment horizontal="left" vertical="center" wrapText="1"/>
    </xf>
    <xf numFmtId="0" fontId="30" fillId="15" borderId="74" xfId="0" applyFont="1" applyFill="1" applyBorder="1"/>
    <xf numFmtId="0" fontId="30" fillId="15" borderId="37" xfId="0" applyFont="1" applyFill="1" applyBorder="1"/>
    <xf numFmtId="0" fontId="30" fillId="15" borderId="37" xfId="0" applyFont="1" applyFill="1" applyBorder="1" applyAlignment="1">
      <alignment horizontal="center" vertical="center"/>
    </xf>
    <xf numFmtId="44" fontId="30" fillId="15" borderId="37" xfId="0" applyNumberFormat="1" applyFont="1" applyFill="1" applyBorder="1"/>
    <xf numFmtId="44" fontId="30" fillId="15" borderId="86" xfId="0" applyNumberFormat="1" applyFont="1" applyFill="1" applyBorder="1"/>
    <xf numFmtId="0" fontId="30" fillId="15" borderId="74" xfId="0" applyFont="1" applyFill="1" applyBorder="1" applyAlignment="1">
      <alignment horizontal="center" vertical="center"/>
    </xf>
    <xf numFmtId="9" fontId="30" fillId="15" borderId="15" xfId="1" applyFont="1" applyFill="1" applyBorder="1"/>
    <xf numFmtId="44" fontId="30" fillId="15" borderId="88" xfId="8" applyFont="1" applyFill="1" applyBorder="1"/>
    <xf numFmtId="0" fontId="28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164" fontId="4" fillId="0" borderId="70" xfId="2" applyNumberFormat="1" applyFont="1" applyBorder="1" applyAlignment="1" applyProtection="1">
      <alignment horizontal="left" vertical="center"/>
      <protection locked="0"/>
    </xf>
    <xf numFmtId="164" fontId="4" fillId="0" borderId="71" xfId="2" applyNumberFormat="1" applyFont="1" applyBorder="1" applyAlignment="1" applyProtection="1">
      <alignment horizontal="left" vertical="center"/>
      <protection locked="0"/>
    </xf>
    <xf numFmtId="164" fontId="4" fillId="0" borderId="72" xfId="2" applyNumberFormat="1" applyFont="1" applyBorder="1" applyAlignment="1" applyProtection="1">
      <alignment horizontal="left" vertical="center"/>
      <protection locked="0"/>
    </xf>
    <xf numFmtId="164" fontId="4" fillId="0" borderId="73" xfId="2" applyNumberFormat="1" applyFont="1" applyBorder="1" applyAlignment="1" applyProtection="1">
      <alignment horizontal="left" vertical="center"/>
      <protection locked="0"/>
    </xf>
    <xf numFmtId="164" fontId="4" fillId="0" borderId="14" xfId="2" applyNumberFormat="1" applyFont="1" applyBorder="1" applyAlignment="1" applyProtection="1">
      <alignment horizontal="left" vertical="center"/>
      <protection locked="0"/>
    </xf>
    <xf numFmtId="164" fontId="4" fillId="0" borderId="69" xfId="2" applyNumberFormat="1" applyFont="1" applyBorder="1" applyAlignment="1" applyProtection="1">
      <alignment horizontal="left" vertical="center"/>
      <protection locked="0"/>
    </xf>
    <xf numFmtId="44" fontId="20" fillId="0" borderId="0" xfId="0" applyNumberFormat="1" applyFont="1"/>
    <xf numFmtId="9" fontId="24" fillId="0" borderId="0" xfId="1" applyFont="1"/>
    <xf numFmtId="0" fontId="24" fillId="0" borderId="0" xfId="0" applyFont="1"/>
    <xf numFmtId="44" fontId="17" fillId="0" borderId="87" xfId="0" applyNumberFormat="1" applyFont="1" applyBorder="1" applyAlignment="1">
      <alignment horizontal="center" vertical="center"/>
    </xf>
    <xf numFmtId="0" fontId="17" fillId="0" borderId="88" xfId="0" applyFont="1" applyBorder="1" applyAlignment="1">
      <alignment horizontal="center" vertical="center"/>
    </xf>
    <xf numFmtId="0" fontId="18" fillId="22" borderId="74" xfId="0" applyFont="1" applyFill="1" applyBorder="1" applyAlignment="1">
      <alignment horizontal="center"/>
    </xf>
    <xf numFmtId="0" fontId="18" fillId="22" borderId="37" xfId="0" applyFont="1" applyFill="1" applyBorder="1" applyAlignment="1">
      <alignment horizontal="center"/>
    </xf>
    <xf numFmtId="0" fontId="18" fillId="22" borderId="86" xfId="0" applyFont="1" applyFill="1" applyBorder="1" applyAlignment="1">
      <alignment horizontal="center"/>
    </xf>
    <xf numFmtId="0" fontId="30" fillId="9" borderId="74" xfId="0" applyFont="1" applyFill="1" applyBorder="1" applyAlignment="1">
      <alignment horizontal="center"/>
    </xf>
    <xf numFmtId="0" fontId="30" fillId="9" borderId="37" xfId="0" applyFont="1" applyFill="1" applyBorder="1" applyAlignment="1">
      <alignment horizontal="center"/>
    </xf>
    <xf numFmtId="0" fontId="30" fillId="9" borderId="86" xfId="0" applyFont="1" applyFill="1" applyBorder="1" applyAlignment="1">
      <alignment horizontal="center"/>
    </xf>
    <xf numFmtId="0" fontId="30" fillId="9" borderId="11" xfId="0" applyFont="1" applyFill="1" applyBorder="1" applyAlignment="1">
      <alignment horizontal="center"/>
    </xf>
    <xf numFmtId="0" fontId="30" fillId="9" borderId="12" xfId="0" applyFont="1" applyFill="1" applyBorder="1" applyAlignment="1">
      <alignment horizontal="center"/>
    </xf>
    <xf numFmtId="0" fontId="30" fillId="9" borderId="87" xfId="0" applyFont="1" applyFill="1" applyBorder="1" applyAlignment="1">
      <alignment horizontal="center"/>
    </xf>
    <xf numFmtId="0" fontId="30" fillId="10" borderId="11" xfId="0" applyFont="1" applyFill="1" applyBorder="1" applyAlignment="1">
      <alignment horizontal="left"/>
    </xf>
    <xf numFmtId="0" fontId="30" fillId="10" borderId="12" xfId="0" applyFont="1" applyFill="1" applyBorder="1" applyAlignment="1">
      <alignment horizontal="left"/>
    </xf>
    <xf numFmtId="0" fontId="30" fillId="10" borderId="80" xfId="0" applyFont="1" applyFill="1" applyBorder="1" applyAlignment="1">
      <alignment horizontal="left"/>
    </xf>
    <xf numFmtId="0" fontId="30" fillId="10" borderId="87" xfId="0" applyFont="1" applyFill="1" applyBorder="1" applyAlignment="1">
      <alignment horizontal="left"/>
    </xf>
    <xf numFmtId="0" fontId="30" fillId="10" borderId="79" xfId="0" applyFont="1" applyFill="1" applyBorder="1" applyAlignment="1">
      <alignment horizontal="left"/>
    </xf>
    <xf numFmtId="0" fontId="30" fillId="10" borderId="8" xfId="0" applyFont="1" applyFill="1" applyBorder="1" applyAlignment="1">
      <alignment horizontal="left"/>
    </xf>
    <xf numFmtId="0" fontId="30" fillId="9" borderId="17" xfId="0" applyFont="1" applyFill="1" applyBorder="1" applyAlignment="1">
      <alignment horizontal="center"/>
    </xf>
    <xf numFmtId="0" fontId="30" fillId="9" borderId="0" xfId="0" applyFont="1" applyFill="1" applyAlignment="1">
      <alignment horizontal="center"/>
    </xf>
    <xf numFmtId="0" fontId="30" fillId="9" borderId="18" xfId="0" applyFont="1" applyFill="1" applyBorder="1" applyAlignment="1">
      <alignment horizontal="center"/>
    </xf>
    <xf numFmtId="0" fontId="30" fillId="10" borderId="83" xfId="0" applyFont="1" applyFill="1" applyBorder="1" applyAlignment="1">
      <alignment horizontal="left"/>
    </xf>
    <xf numFmtId="0" fontId="30" fillId="10" borderId="84" xfId="0" applyFont="1" applyFill="1" applyBorder="1" applyAlignment="1">
      <alignment horizontal="left"/>
    </xf>
    <xf numFmtId="0" fontId="30" fillId="10" borderId="14" xfId="0" applyFont="1" applyFill="1" applyBorder="1" applyAlignment="1">
      <alignment horizontal="left"/>
    </xf>
    <xf numFmtId="0" fontId="30" fillId="10" borderId="15" xfId="0" applyFont="1" applyFill="1" applyBorder="1" applyAlignment="1">
      <alignment horizontal="left"/>
    </xf>
    <xf numFmtId="0" fontId="30" fillId="10" borderId="17" xfId="0" applyFont="1" applyFill="1" applyBorder="1" applyAlignment="1">
      <alignment horizontal="left"/>
    </xf>
    <xf numFmtId="0" fontId="30" fillId="10" borderId="0" xfId="0" applyFont="1" applyFill="1" applyAlignment="1">
      <alignment horizontal="left"/>
    </xf>
    <xf numFmtId="166" fontId="23" fillId="0" borderId="39" xfId="4" applyNumberFormat="1" applyFont="1" applyBorder="1" applyAlignment="1">
      <alignment horizontal="center" vertical="center" wrapText="1"/>
    </xf>
    <xf numFmtId="166" fontId="23" fillId="0" borderId="40" xfId="4" applyNumberFormat="1" applyFont="1" applyBorder="1" applyAlignment="1">
      <alignment horizontal="center" vertical="center" wrapText="1"/>
    </xf>
    <xf numFmtId="0" fontId="30" fillId="9" borderId="49" xfId="0" applyFont="1" applyFill="1" applyBorder="1" applyAlignment="1">
      <alignment horizontal="center"/>
    </xf>
    <xf numFmtId="0" fontId="30" fillId="9" borderId="67" xfId="0" applyFont="1" applyFill="1" applyBorder="1" applyAlignment="1">
      <alignment horizontal="center"/>
    </xf>
    <xf numFmtId="0" fontId="30" fillId="9" borderId="48" xfId="0" applyFont="1" applyFill="1" applyBorder="1" applyAlignment="1">
      <alignment horizontal="center"/>
    </xf>
    <xf numFmtId="1" fontId="30" fillId="9" borderId="49" xfId="0" applyNumberFormat="1" applyFont="1" applyFill="1" applyBorder="1" applyAlignment="1">
      <alignment horizontal="center"/>
    </xf>
    <xf numFmtId="1" fontId="30" fillId="9" borderId="67" xfId="0" applyNumberFormat="1" applyFont="1" applyFill="1" applyBorder="1" applyAlignment="1">
      <alignment horizontal="center"/>
    </xf>
    <xf numFmtId="1" fontId="30" fillId="9" borderId="48" xfId="0" applyNumberFormat="1" applyFont="1" applyFill="1" applyBorder="1" applyAlignment="1">
      <alignment horizontal="center"/>
    </xf>
    <xf numFmtId="0" fontId="30" fillId="10" borderId="76" xfId="0" applyFont="1" applyFill="1" applyBorder="1" applyAlignment="1">
      <alignment horizontal="left"/>
    </xf>
    <xf numFmtId="0" fontId="30" fillId="10" borderId="63" xfId="0" applyFont="1" applyFill="1" applyBorder="1" applyAlignment="1">
      <alignment horizontal="left"/>
    </xf>
    <xf numFmtId="0" fontId="30" fillId="10" borderId="68" xfId="0" applyFont="1" applyFill="1" applyBorder="1" applyAlignment="1">
      <alignment horizontal="left"/>
    </xf>
    <xf numFmtId="0" fontId="23" fillId="3" borderId="6" xfId="0" applyFont="1" applyFill="1" applyBorder="1" applyAlignment="1">
      <alignment horizontal="center" vertical="center" wrapText="1"/>
    </xf>
    <xf numFmtId="0" fontId="23" fillId="3" borderId="37" xfId="0" applyFont="1" applyFill="1" applyBorder="1" applyAlignment="1">
      <alignment horizontal="center" vertical="center" wrapText="1"/>
    </xf>
    <xf numFmtId="0" fontId="23" fillId="3" borderId="5" xfId="0" applyFont="1" applyFill="1" applyBorder="1" applyAlignment="1">
      <alignment horizontal="center" vertical="center" wrapText="1"/>
    </xf>
    <xf numFmtId="166" fontId="23" fillId="4" borderId="6" xfId="4" applyNumberFormat="1" applyFont="1" applyFill="1" applyBorder="1" applyAlignment="1">
      <alignment horizontal="center" vertical="center" wrapText="1"/>
    </xf>
    <xf numFmtId="166" fontId="23" fillId="4" borderId="37" xfId="4" applyNumberFormat="1" applyFont="1" applyFill="1" applyBorder="1" applyAlignment="1">
      <alignment horizontal="center" vertical="center" wrapText="1"/>
    </xf>
    <xf numFmtId="166" fontId="23" fillId="4" borderId="5" xfId="4" applyNumberFormat="1" applyFont="1" applyFill="1" applyBorder="1" applyAlignment="1">
      <alignment horizontal="center" vertical="center" wrapText="1"/>
    </xf>
    <xf numFmtId="166" fontId="23" fillId="4" borderId="17" xfId="4" applyNumberFormat="1" applyFont="1" applyFill="1" applyBorder="1" applyAlignment="1">
      <alignment horizontal="center" vertical="center" wrapText="1"/>
    </xf>
    <xf numFmtId="166" fontId="23" fillId="4" borderId="0" xfId="4" applyNumberFormat="1" applyFont="1" applyFill="1" applyBorder="1" applyAlignment="1">
      <alignment horizontal="center" vertical="center" wrapText="1"/>
    </xf>
    <xf numFmtId="0" fontId="30" fillId="9" borderId="53" xfId="0" applyFont="1" applyFill="1" applyBorder="1" applyAlignment="1">
      <alignment horizontal="center"/>
    </xf>
    <xf numFmtId="0" fontId="30" fillId="9" borderId="54" xfId="0" applyFont="1" applyFill="1" applyBorder="1" applyAlignment="1">
      <alignment horizontal="center"/>
    </xf>
    <xf numFmtId="0" fontId="30" fillId="10" borderId="95" xfId="0" applyFont="1" applyFill="1" applyBorder="1" applyAlignment="1">
      <alignment horizontal="left"/>
    </xf>
    <xf numFmtId="0" fontId="30" fillId="10" borderId="96" xfId="0" applyFont="1" applyFill="1" applyBorder="1" applyAlignment="1">
      <alignment horizontal="left"/>
    </xf>
    <xf numFmtId="0" fontId="30" fillId="10" borderId="51" xfId="0" applyFont="1" applyFill="1" applyBorder="1" applyAlignment="1">
      <alignment horizontal="left"/>
    </xf>
    <xf numFmtId="0" fontId="30" fillId="10" borderId="61" xfId="0" applyFont="1" applyFill="1" applyBorder="1" applyAlignment="1">
      <alignment horizontal="left"/>
    </xf>
    <xf numFmtId="1" fontId="30" fillId="10" borderId="51" xfId="0" applyNumberFormat="1" applyFont="1" applyFill="1" applyBorder="1" applyAlignment="1">
      <alignment horizontal="left"/>
    </xf>
    <xf numFmtId="1" fontId="30" fillId="10" borderId="61" xfId="0" applyNumberFormat="1" applyFont="1" applyFill="1" applyBorder="1" applyAlignment="1">
      <alignment horizontal="left"/>
    </xf>
    <xf numFmtId="0" fontId="21" fillId="0" borderId="0" xfId="2" applyFont="1" applyAlignment="1">
      <alignment horizontal="left" vertical="center" wrapText="1"/>
    </xf>
    <xf numFmtId="0" fontId="21" fillId="0" borderId="0" xfId="2" applyFont="1" applyAlignment="1">
      <alignment horizontal="left" vertical="top"/>
    </xf>
    <xf numFmtId="0" fontId="23" fillId="2" borderId="3" xfId="3" applyFont="1" applyFill="1" applyBorder="1" applyAlignment="1">
      <alignment horizontal="center" vertical="center"/>
    </xf>
    <xf numFmtId="0" fontId="23" fillId="2" borderId="4" xfId="3" applyFont="1" applyFill="1" applyBorder="1" applyAlignment="1">
      <alignment horizontal="center" vertical="center"/>
    </xf>
    <xf numFmtId="0" fontId="23" fillId="2" borderId="5" xfId="3" applyFont="1" applyFill="1" applyBorder="1" applyAlignment="1">
      <alignment horizontal="center" vertical="center"/>
    </xf>
    <xf numFmtId="0" fontId="11" fillId="8" borderId="41" xfId="0" applyFont="1" applyFill="1" applyBorder="1" applyAlignment="1">
      <alignment horizontal="left" vertical="center"/>
    </xf>
    <xf numFmtId="0" fontId="11" fillId="8" borderId="41" xfId="0" applyFont="1" applyFill="1" applyBorder="1" applyAlignment="1">
      <alignment vertical="center"/>
    </xf>
    <xf numFmtId="0" fontId="11" fillId="8" borderId="0" xfId="0" applyFont="1" applyFill="1" applyAlignment="1">
      <alignment vertical="center"/>
    </xf>
    <xf numFmtId="0" fontId="12" fillId="8" borderId="41" xfId="0" applyFont="1" applyFill="1" applyBorder="1" applyAlignment="1">
      <alignment horizontal="left" vertical="top"/>
    </xf>
    <xf numFmtId="0" fontId="14" fillId="8" borderId="41" xfId="0" applyFont="1" applyFill="1" applyBorder="1" applyAlignment="1">
      <alignment horizontal="center" vertical="center" wrapText="1"/>
    </xf>
    <xf numFmtId="0" fontId="14" fillId="8" borderId="0" xfId="0" applyFont="1" applyFill="1" applyAlignment="1">
      <alignment horizontal="center" vertical="center" wrapText="1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702543</xdr:colOff>
      <xdr:row>0</xdr:row>
      <xdr:rowOff>152400</xdr:rowOff>
    </xdr:from>
    <xdr:to>
      <xdr:col>5</xdr:col>
      <xdr:colOff>572796</xdr:colOff>
      <xdr:row>1</xdr:row>
      <xdr:rowOff>73025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214FAB90-49BB-42BA-83FF-EF6CE54A1A3A}"/>
            </a:ext>
          </a:extLst>
        </xdr:cNvPr>
        <xdr:cNvSpPr/>
      </xdr:nvSpPr>
      <xdr:spPr bwMode="auto">
        <a:xfrm>
          <a:off x="699863" y="152400"/>
          <a:ext cx="87994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605227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22D466AC-C36C-43DE-B765-C36253F83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3814" cy="372267"/>
        </a:xfrm>
        <a:prstGeom prst="rect">
          <a:avLst/>
        </a:prstGeom>
      </xdr:spPr>
    </xdr:pic>
    <xdr:clientData/>
  </xdr:twoCellAnchor>
  <xdr:twoCellAnchor editAs="absolute">
    <xdr:from>
      <xdr:col>37</xdr:col>
      <xdr:colOff>2057625</xdr:colOff>
      <xdr:row>0</xdr:row>
      <xdr:rowOff>190500</xdr:rowOff>
    </xdr:from>
    <xdr:to>
      <xdr:col>38</xdr:col>
      <xdr:colOff>582040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9C21CEE4-6060-4223-9DD8-B8B36F65B533}"/>
            </a:ext>
          </a:extLst>
        </xdr:cNvPr>
        <xdr:cNvSpPr/>
      </xdr:nvSpPr>
      <xdr:spPr bwMode="auto">
        <a:xfrm>
          <a:off x="29637944" y="190500"/>
          <a:ext cx="99825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37</xdr:col>
      <xdr:colOff>1541473</xdr:colOff>
      <xdr:row>0</xdr:row>
      <xdr:rowOff>185741</xdr:rowOff>
    </xdr:from>
    <xdr:to>
      <xdr:col>37</xdr:col>
      <xdr:colOff>1981422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B8324303-66CB-4AA4-8E07-EBA2E0659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12803" y="179391"/>
          <a:ext cx="448938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702543</xdr:colOff>
      <xdr:row>0</xdr:row>
      <xdr:rowOff>152400</xdr:rowOff>
    </xdr:from>
    <xdr:to>
      <xdr:col>5</xdr:col>
      <xdr:colOff>572796</xdr:colOff>
      <xdr:row>1</xdr:row>
      <xdr:rowOff>73025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EB0BD2BA-3C29-4FDD-B14B-2895F1435E0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863" y="152400"/>
          <a:ext cx="87994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37</xdr:col>
      <xdr:colOff>2057625</xdr:colOff>
      <xdr:row>0</xdr:row>
      <xdr:rowOff>190500</xdr:rowOff>
    </xdr:from>
    <xdr:to>
      <xdr:col>38</xdr:col>
      <xdr:colOff>582040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F6D4D86-A880-4D9A-8012-4BAAE272BE3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37944" y="190500"/>
          <a:ext cx="99825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326571</xdr:colOff>
      <xdr:row>4</xdr:row>
      <xdr:rowOff>285750</xdr:rowOff>
    </xdr:from>
    <xdr:to>
      <xdr:col>11</xdr:col>
      <xdr:colOff>149493</xdr:colOff>
      <xdr:row>9</xdr:row>
      <xdr:rowOff>147910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284ED87F-0E14-4794-B79A-CF864118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109857" y="1836964"/>
          <a:ext cx="2123849" cy="15022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E3F6B-C069-416D-A684-D7C98BD9A02C}">
  <dimension ref="A1:F31"/>
  <sheetViews>
    <sheetView showGridLines="0" tabSelected="1" topLeftCell="A14" zoomScaleNormal="100" workbookViewId="0">
      <selection activeCell="E32" sqref="E32"/>
    </sheetView>
  </sheetViews>
  <sheetFormatPr defaultColWidth="8.6640625" defaultRowHeight="16.2" x14ac:dyDescent="0.35"/>
  <cols>
    <col min="1" max="1" width="8.6640625" style="31"/>
    <col min="2" max="2" width="26.109375" style="31" customWidth="1"/>
    <col min="3" max="3" width="35.88671875" style="31" customWidth="1"/>
    <col min="4" max="4" width="20.44140625" style="31" customWidth="1"/>
    <col min="5" max="5" width="18.44140625" style="31" customWidth="1"/>
    <col min="6" max="6" width="11.88671875" style="32" bestFit="1" customWidth="1"/>
    <col min="7" max="7" width="12.88671875" style="31" bestFit="1" customWidth="1"/>
    <col min="8" max="8" width="12.5546875" style="31" bestFit="1" customWidth="1"/>
    <col min="9" max="16384" width="8.6640625" style="31"/>
  </cols>
  <sheetData>
    <row r="1" spans="1:5" s="32" customFormat="1" hidden="1" x14ac:dyDescent="0.35">
      <c r="A1" s="31"/>
      <c r="B1" s="31"/>
      <c r="C1" s="31"/>
      <c r="D1" s="31"/>
      <c r="E1" s="31"/>
    </row>
    <row r="2" spans="1:5" s="32" customFormat="1" hidden="1" x14ac:dyDescent="0.35">
      <c r="A2" s="31"/>
      <c r="B2" s="31"/>
      <c r="C2" s="31"/>
      <c r="D2" s="31"/>
      <c r="E2" s="31"/>
    </row>
    <row r="3" spans="1:5" s="32" customFormat="1" hidden="1" x14ac:dyDescent="0.35">
      <c r="A3" s="31"/>
      <c r="B3" s="31"/>
      <c r="C3" s="33">
        <v>45866</v>
      </c>
      <c r="D3" s="34"/>
      <c r="E3" s="238" t="e">
        <f>SUM(#REF!)</f>
        <v>#REF!</v>
      </c>
    </row>
    <row r="4" spans="1:5" s="32" customFormat="1" ht="15.6" hidden="1" customHeight="1" thickBot="1" x14ac:dyDescent="0.4">
      <c r="A4" s="31"/>
      <c r="B4" s="31"/>
      <c r="C4" s="35">
        <v>45867</v>
      </c>
      <c r="D4" s="36"/>
      <c r="E4" s="239"/>
    </row>
    <row r="5" spans="1:5" s="32" customFormat="1" hidden="1" x14ac:dyDescent="0.35">
      <c r="A5" s="31"/>
      <c r="B5" s="31"/>
      <c r="C5" s="37" t="s">
        <v>223</v>
      </c>
      <c r="D5" s="38"/>
      <c r="E5" s="31"/>
    </row>
    <row r="6" spans="1:5" s="32" customFormat="1" hidden="1" x14ac:dyDescent="0.35">
      <c r="A6" s="31"/>
      <c r="B6" s="31"/>
      <c r="C6" s="37" t="s">
        <v>224</v>
      </c>
      <c r="D6" s="38"/>
      <c r="E6" s="31"/>
    </row>
    <row r="7" spans="1:5" s="32" customFormat="1" ht="16.8" hidden="1" thickBot="1" x14ac:dyDescent="0.4">
      <c r="A7" s="31"/>
      <c r="B7" s="31"/>
      <c r="C7" s="39" t="s">
        <v>43</v>
      </c>
      <c r="D7" s="40"/>
      <c r="E7" s="31"/>
    </row>
    <row r="9" spans="1:5" s="32" customFormat="1" x14ac:dyDescent="0.35">
      <c r="A9" s="31" t="s">
        <v>104</v>
      </c>
      <c r="B9" s="31"/>
      <c r="C9" s="31"/>
      <c r="D9" s="31"/>
      <c r="E9" s="31"/>
    </row>
    <row r="10" spans="1:5" s="32" customFormat="1" ht="24" customHeight="1" x14ac:dyDescent="0.35">
      <c r="A10" s="31"/>
      <c r="B10" s="31"/>
      <c r="C10" s="31"/>
      <c r="D10" s="31"/>
      <c r="E10" s="31"/>
    </row>
    <row r="11" spans="1:5" ht="16.8" thickBot="1" x14ac:dyDescent="0.4"/>
    <row r="12" spans="1:5" s="32" customFormat="1" ht="15" customHeight="1" x14ac:dyDescent="0.35">
      <c r="A12" s="31"/>
      <c r="B12" s="229" t="s">
        <v>149</v>
      </c>
      <c r="C12" s="230" t="s">
        <v>186</v>
      </c>
      <c r="D12" s="41"/>
      <c r="E12" s="31"/>
    </row>
    <row r="13" spans="1:5" s="32" customFormat="1" ht="15" customHeight="1" x14ac:dyDescent="0.35">
      <c r="A13" s="31"/>
      <c r="B13" s="231" t="s">
        <v>150</v>
      </c>
      <c r="C13" s="232" t="s">
        <v>148</v>
      </c>
      <c r="D13" s="41"/>
      <c r="E13" s="31"/>
    </row>
    <row r="14" spans="1:5" s="32" customFormat="1" ht="15" customHeight="1" x14ac:dyDescent="0.35">
      <c r="A14" s="31"/>
      <c r="B14" s="231" t="s">
        <v>151</v>
      </c>
      <c r="C14" s="232" t="s">
        <v>158</v>
      </c>
      <c r="D14" s="42"/>
      <c r="E14" s="31"/>
    </row>
    <row r="15" spans="1:5" s="32" customFormat="1" ht="15" customHeight="1" x14ac:dyDescent="0.35">
      <c r="A15" s="31"/>
      <c r="B15" s="231" t="s">
        <v>152</v>
      </c>
      <c r="C15" s="232" t="s">
        <v>159</v>
      </c>
      <c r="D15" s="42"/>
      <c r="E15" s="31"/>
    </row>
    <row r="16" spans="1:5" s="32" customFormat="1" ht="15" customHeight="1" x14ac:dyDescent="0.35">
      <c r="A16" s="31"/>
      <c r="B16" s="231" t="s">
        <v>153</v>
      </c>
      <c r="C16" s="232" t="s">
        <v>160</v>
      </c>
      <c r="D16" s="43"/>
      <c r="E16" s="31"/>
    </row>
    <row r="17" spans="2:6" ht="15" customHeight="1" x14ac:dyDescent="0.35">
      <c r="B17" s="231" t="s">
        <v>154</v>
      </c>
      <c r="C17" s="232" t="s">
        <v>116</v>
      </c>
      <c r="D17" s="42"/>
    </row>
    <row r="18" spans="2:6" ht="15" customHeight="1" x14ac:dyDescent="0.35">
      <c r="B18" s="231" t="s">
        <v>155</v>
      </c>
      <c r="C18" s="232" t="s">
        <v>157</v>
      </c>
      <c r="D18" s="42"/>
    </row>
    <row r="19" spans="2:6" ht="15" customHeight="1" thickBot="1" x14ac:dyDescent="0.4">
      <c r="B19" s="233" t="s">
        <v>156</v>
      </c>
      <c r="C19" s="234" t="s">
        <v>187</v>
      </c>
      <c r="D19" s="42"/>
    </row>
    <row r="21" spans="2:6" ht="15.6" customHeight="1" x14ac:dyDescent="0.35">
      <c r="B21" s="44"/>
      <c r="C21" s="44" t="s">
        <v>225</v>
      </c>
      <c r="D21" s="44" t="s">
        <v>226</v>
      </c>
      <c r="E21" s="44" t="s">
        <v>227</v>
      </c>
    </row>
    <row r="22" spans="2:6" x14ac:dyDescent="0.35">
      <c r="B22" s="45" t="s">
        <v>228</v>
      </c>
      <c r="C22" s="46">
        <f>'CIO BRASIL '!N47</f>
        <v>78337.254007704745</v>
      </c>
      <c r="D22" s="46">
        <f>'CIO BRASIL '!T47</f>
        <v>54794.54</v>
      </c>
      <c r="E22" s="46">
        <f>C22-D22</f>
        <v>23542.714007704744</v>
      </c>
      <c r="F22" s="47">
        <f>E22*100%/C22</f>
        <v>0.30053024331679068</v>
      </c>
    </row>
    <row r="23" spans="2:6" x14ac:dyDescent="0.35">
      <c r="B23" s="44" t="s">
        <v>43</v>
      </c>
      <c r="C23" s="48">
        <f>SUM(C22:C22)</f>
        <v>78337.254007704745</v>
      </c>
      <c r="D23" s="48">
        <f>SUM(D22:D22)</f>
        <v>54794.54</v>
      </c>
      <c r="E23" s="48">
        <f>SUM(E22:E22)</f>
        <v>23542.714007704744</v>
      </c>
      <c r="F23" s="47">
        <f t="shared" ref="F23" si="0">E23*100%/C23</f>
        <v>0.30053024331679068</v>
      </c>
    </row>
    <row r="25" spans="2:6" ht="200.1" hidden="1" customHeight="1" x14ac:dyDescent="0.35"/>
    <row r="27" spans="2:6" ht="16.8" thickBot="1" x14ac:dyDescent="0.4"/>
    <row r="28" spans="2:6" ht="21.9" customHeight="1" thickBot="1" x14ac:dyDescent="0.4">
      <c r="B28" s="240" t="s">
        <v>229</v>
      </c>
      <c r="C28" s="241"/>
      <c r="D28" s="241"/>
      <c r="E28" s="241"/>
      <c r="F28" s="242"/>
    </row>
    <row r="29" spans="2:6" ht="24.9" customHeight="1" thickBot="1" x14ac:dyDescent="0.4">
      <c r="B29" s="49" t="s">
        <v>237</v>
      </c>
      <c r="C29" s="50">
        <v>58637.51</v>
      </c>
      <c r="D29" s="51">
        <f>D23</f>
        <v>54794.54</v>
      </c>
      <c r="E29" s="52">
        <f>C29-D29</f>
        <v>3842.9700000000012</v>
      </c>
      <c r="F29" s="53">
        <f>E29*100%/C29</f>
        <v>6.5537741967556282E-2</v>
      </c>
    </row>
    <row r="30" spans="2:6" ht="29.4" customHeight="1" thickBot="1" x14ac:dyDescent="0.4">
      <c r="B30" s="54" t="s">
        <v>238</v>
      </c>
      <c r="C30" s="55">
        <v>19699.73</v>
      </c>
      <c r="D30" s="56">
        <f>C30*0.15</f>
        <v>2954.9594999999999</v>
      </c>
      <c r="E30" s="56">
        <f>C30-D30</f>
        <v>16744.770499999999</v>
      </c>
      <c r="F30" s="57">
        <f>E30*100%/C30</f>
        <v>0.85</v>
      </c>
    </row>
    <row r="31" spans="2:6" ht="20.25" customHeight="1" thickBot="1" x14ac:dyDescent="0.4">
      <c r="B31" s="58"/>
      <c r="C31" s="59">
        <f>SUM(C29:C30)</f>
        <v>78337.240000000005</v>
      </c>
      <c r="D31" s="60">
        <f>SUM(D29:D30)</f>
        <v>57749.499499999998</v>
      </c>
      <c r="E31" s="61">
        <f>SUM(E29:E30)</f>
        <v>20587.7405</v>
      </c>
      <c r="F31" s="57">
        <f>E31*100%/C31</f>
        <v>0.2628091122434234</v>
      </c>
    </row>
  </sheetData>
  <mergeCells count="2">
    <mergeCell ref="E3:E4"/>
    <mergeCell ref="B28:F28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8932-2CF4-4DE5-ABE5-2EDB3EE7510F}">
  <sheetPr codeName="Planilha14">
    <pageSetUpPr autoPageBreaks="0" fitToPage="1"/>
  </sheetPr>
  <dimension ref="A1:AQ51"/>
  <sheetViews>
    <sheetView showGridLines="0" topLeftCell="B1" zoomScale="40" zoomScaleNormal="40" zoomScaleSheetLayoutView="25" workbookViewId="0">
      <pane ySplit="1" topLeftCell="A45" activePane="bottomLeft" state="frozen"/>
      <selection pane="bottomLeft" activeCell="AN40" sqref="AN40"/>
    </sheetView>
  </sheetViews>
  <sheetFormatPr defaultColWidth="8.88671875" defaultRowHeight="28.8" x14ac:dyDescent="0.55000000000000004"/>
  <cols>
    <col min="1" max="1" width="5.88671875" style="62" hidden="1" customWidth="1"/>
    <col min="2" max="2" width="14.88671875" style="62" customWidth="1"/>
    <col min="3" max="3" width="11" style="62" hidden="1" customWidth="1"/>
    <col min="4" max="4" width="10.5546875" style="62" hidden="1" customWidth="1"/>
    <col min="5" max="5" width="5.5546875" style="62" hidden="1" customWidth="1"/>
    <col min="6" max="6" width="32.44140625" style="62" customWidth="1"/>
    <col min="7" max="7" width="74.44140625" style="62" customWidth="1"/>
    <col min="8" max="8" width="5.88671875" style="65" hidden="1" customWidth="1"/>
    <col min="9" max="9" width="7.88671875" style="65" hidden="1" customWidth="1"/>
    <col min="10" max="10" width="16.44140625" style="62" hidden="1" customWidth="1"/>
    <col min="11" max="11" width="34.44140625" style="62" bestFit="1" customWidth="1"/>
    <col min="12" max="12" width="34.33203125" style="62" bestFit="1" customWidth="1"/>
    <col min="13" max="13" width="31.88671875" style="62" bestFit="1" customWidth="1"/>
    <col min="14" max="14" width="34.44140625" style="62" bestFit="1" customWidth="1"/>
    <col min="15" max="15" width="30.33203125" style="62" hidden="1" customWidth="1"/>
    <col min="16" max="16" width="1.88671875" style="62" hidden="1" customWidth="1"/>
    <col min="17" max="17" width="6.44140625" style="65" customWidth="1"/>
    <col min="18" max="18" width="8.44140625" style="65" hidden="1" customWidth="1"/>
    <col min="19" max="19" width="17.88671875" style="62" hidden="1" customWidth="1"/>
    <col min="20" max="20" width="34.44140625" style="62" bestFit="1" customWidth="1"/>
    <col min="21" max="21" width="24.6640625" style="62" hidden="1" customWidth="1"/>
    <col min="22" max="22" width="9.6640625" style="62" hidden="1" customWidth="1"/>
    <col min="23" max="23" width="16.109375" style="62" hidden="1" customWidth="1"/>
    <col min="24" max="24" width="67.5546875" style="62" bestFit="1" customWidth="1"/>
    <col min="25" max="25" width="26.6640625" style="62" hidden="1" customWidth="1"/>
    <col min="26" max="26" width="14.6640625" style="62" hidden="1" customWidth="1"/>
    <col min="27" max="27" width="24.6640625" style="62" hidden="1" customWidth="1"/>
    <col min="28" max="28" width="38.109375" style="62" hidden="1" customWidth="1"/>
    <col min="29" max="29" width="14.109375" style="62" hidden="1" customWidth="1"/>
    <col min="30" max="30" width="7.6640625" style="62" hidden="1" customWidth="1"/>
    <col min="31" max="31" width="6.88671875" style="62" hidden="1" customWidth="1"/>
    <col min="32" max="32" width="1.33203125" style="62" hidden="1" customWidth="1"/>
    <col min="33" max="33" width="14" style="62" hidden="1" customWidth="1"/>
    <col min="34" max="34" width="11.6640625" style="62" hidden="1" customWidth="1"/>
    <col min="35" max="35" width="6.33203125" style="62" hidden="1" customWidth="1"/>
    <col min="36" max="36" width="12.6640625" style="62" hidden="1" customWidth="1"/>
    <col min="37" max="37" width="29.44140625" style="62" customWidth="1"/>
    <col min="38" max="38" width="37.109375" style="62" customWidth="1"/>
    <col min="39" max="39" width="8.88671875" style="237" customWidth="1"/>
    <col min="40" max="40" width="21.33203125" style="62" customWidth="1"/>
    <col min="41" max="16384" width="8.88671875" style="62"/>
  </cols>
  <sheetData>
    <row r="1" spans="1:38" ht="49.5" customHeight="1" x14ac:dyDescent="0.55000000000000004">
      <c r="B1" s="63"/>
      <c r="C1" s="64"/>
      <c r="D1" s="64"/>
      <c r="F1" s="291" t="s">
        <v>106</v>
      </c>
      <c r="G1" s="291"/>
    </row>
    <row r="2" spans="1:38" ht="24.75" customHeight="1" x14ac:dyDescent="0.55000000000000004">
      <c r="B2" s="66"/>
      <c r="D2" s="64"/>
      <c r="F2" s="292" t="s">
        <v>0</v>
      </c>
      <c r="G2" s="292"/>
    </row>
    <row r="3" spans="1:38" ht="29.4" thickBot="1" x14ac:dyDescent="0.6">
      <c r="B3" s="67"/>
      <c r="F3" s="68"/>
      <c r="G3" s="68"/>
    </row>
    <row r="4" spans="1:38" ht="29.1" customHeight="1" x14ac:dyDescent="0.55000000000000004">
      <c r="F4" s="69" t="s">
        <v>149</v>
      </c>
      <c r="G4" s="70" t="s">
        <v>186</v>
      </c>
    </row>
    <row r="5" spans="1:38" ht="27.6" customHeight="1" x14ac:dyDescent="0.55000000000000004">
      <c r="F5" s="71" t="s">
        <v>150</v>
      </c>
      <c r="G5" s="72" t="s">
        <v>148</v>
      </c>
    </row>
    <row r="6" spans="1:38" ht="24.9" customHeight="1" x14ac:dyDescent="0.55000000000000004">
      <c r="D6" s="62" t="s">
        <v>104</v>
      </c>
      <c r="F6" s="71" t="s">
        <v>151</v>
      </c>
      <c r="G6" s="72" t="s">
        <v>158</v>
      </c>
    </row>
    <row r="7" spans="1:38" ht="25.5" customHeight="1" x14ac:dyDescent="0.55000000000000004">
      <c r="F7" s="71" t="s">
        <v>152</v>
      </c>
      <c r="G7" s="72" t="s">
        <v>159</v>
      </c>
      <c r="J7" s="62" t="s">
        <v>105</v>
      </c>
    </row>
    <row r="8" spans="1:38" ht="26.1" customHeight="1" x14ac:dyDescent="0.55000000000000004">
      <c r="F8" s="71" t="s">
        <v>153</v>
      </c>
      <c r="G8" s="72" t="s">
        <v>160</v>
      </c>
    </row>
    <row r="9" spans="1:38" ht="27.6" customHeight="1" x14ac:dyDescent="0.55000000000000004">
      <c r="F9" s="71" t="s">
        <v>154</v>
      </c>
      <c r="G9" s="72" t="s">
        <v>116</v>
      </c>
      <c r="J9" s="62" t="s">
        <v>104</v>
      </c>
    </row>
    <row r="10" spans="1:38" ht="27" customHeight="1" x14ac:dyDescent="0.55000000000000004">
      <c r="F10" s="71" t="s">
        <v>155</v>
      </c>
      <c r="G10" s="72" t="s">
        <v>157</v>
      </c>
    </row>
    <row r="11" spans="1:38" ht="29.4" thickBot="1" x14ac:dyDescent="0.6">
      <c r="F11" s="73" t="s">
        <v>156</v>
      </c>
      <c r="G11" s="74" t="s">
        <v>187</v>
      </c>
    </row>
    <row r="12" spans="1:38" ht="87" hidden="1" thickBot="1" x14ac:dyDescent="0.6">
      <c r="B12" s="75"/>
      <c r="M12" s="76"/>
      <c r="Q12" s="293" t="s">
        <v>1</v>
      </c>
      <c r="R12" s="294"/>
      <c r="S12" s="294"/>
      <c r="T12" s="295"/>
      <c r="U12" s="275" t="s">
        <v>2</v>
      </c>
      <c r="V12" s="276"/>
      <c r="W12" s="276"/>
      <c r="X12" s="277"/>
      <c r="Y12" s="77" t="s">
        <v>56</v>
      </c>
      <c r="Z12" s="78">
        <f>(1/(1-M14))-1</f>
        <v>0.24269914253759173</v>
      </c>
      <c r="AC12" s="278" t="s">
        <v>3</v>
      </c>
      <c r="AD12" s="279"/>
      <c r="AE12" s="280"/>
      <c r="AG12" s="281" t="s">
        <v>58</v>
      </c>
      <c r="AH12" s="282"/>
      <c r="AJ12" s="79" t="s">
        <v>60</v>
      </c>
      <c r="AK12" s="264" t="s">
        <v>59</v>
      </c>
      <c r="AL12" s="265"/>
    </row>
    <row r="13" spans="1:38" ht="29.4" thickBot="1" x14ac:dyDescent="0.6">
      <c r="A13" s="80" t="s">
        <v>4</v>
      </c>
      <c r="B13" s="81" t="s">
        <v>5</v>
      </c>
      <c r="C13" s="80" t="s">
        <v>6</v>
      </c>
      <c r="D13" s="80" t="s">
        <v>7</v>
      </c>
      <c r="E13" s="80" t="s">
        <v>8</v>
      </c>
      <c r="M13" s="82">
        <v>0.81</v>
      </c>
    </row>
    <row r="14" spans="1:38" ht="50.1" customHeight="1" thickBot="1" x14ac:dyDescent="0.6">
      <c r="A14" s="83">
        <v>0</v>
      </c>
      <c r="B14" s="84"/>
      <c r="C14" s="85"/>
      <c r="D14" s="86"/>
      <c r="E14" s="86"/>
      <c r="F14" s="87" t="s">
        <v>83</v>
      </c>
      <c r="G14" s="88" t="s">
        <v>84</v>
      </c>
      <c r="H14" s="89" t="s">
        <v>85</v>
      </c>
      <c r="I14" s="89" t="s">
        <v>86</v>
      </c>
      <c r="J14" s="90" t="s">
        <v>87</v>
      </c>
      <c r="K14" s="91" t="s">
        <v>9</v>
      </c>
      <c r="L14" s="92">
        <v>0.09</v>
      </c>
      <c r="M14" s="93">
        <v>0.1953</v>
      </c>
      <c r="N14" s="94" t="s">
        <v>81</v>
      </c>
      <c r="Q14" s="95" t="s">
        <v>88</v>
      </c>
      <c r="R14" s="96" t="s">
        <v>89</v>
      </c>
      <c r="S14" s="97" t="s">
        <v>90</v>
      </c>
      <c r="T14" s="98" t="s">
        <v>91</v>
      </c>
      <c r="U14" s="99" t="s">
        <v>92</v>
      </c>
      <c r="V14" s="100" t="s">
        <v>93</v>
      </c>
      <c r="W14" s="101" t="s">
        <v>94</v>
      </c>
      <c r="X14" s="101" t="s">
        <v>95</v>
      </c>
      <c r="Y14" s="102" t="s">
        <v>96</v>
      </c>
      <c r="Z14" s="103" t="s">
        <v>97</v>
      </c>
      <c r="AA14" s="104" t="s">
        <v>82</v>
      </c>
      <c r="AC14" s="105" t="s">
        <v>98</v>
      </c>
      <c r="AD14" s="106" t="s">
        <v>99</v>
      </c>
      <c r="AE14" s="106" t="s">
        <v>33</v>
      </c>
      <c r="AG14" s="107" t="s">
        <v>100</v>
      </c>
      <c r="AH14" s="108" t="s">
        <v>101</v>
      </c>
      <c r="AK14" s="109" t="s">
        <v>102</v>
      </c>
      <c r="AL14" s="110" t="s">
        <v>103</v>
      </c>
    </row>
    <row r="15" spans="1:38" ht="50.1" customHeight="1" thickBot="1" x14ac:dyDescent="0.6">
      <c r="A15" s="86">
        <v>1</v>
      </c>
      <c r="B15" s="111">
        <v>1</v>
      </c>
      <c r="C15" s="112" t="s">
        <v>107</v>
      </c>
      <c r="D15" s="86"/>
      <c r="E15" s="86"/>
      <c r="F15" s="266" t="s">
        <v>122</v>
      </c>
      <c r="G15" s="267"/>
      <c r="H15" s="267"/>
      <c r="I15" s="267"/>
      <c r="J15" s="267"/>
      <c r="K15" s="267"/>
      <c r="L15" s="267"/>
      <c r="M15" s="267"/>
      <c r="N15" s="268"/>
      <c r="Q15" s="269" t="str">
        <f>IF(F15&lt;&gt;"",F15,"")</f>
        <v>INTERNOS</v>
      </c>
      <c r="R15" s="270"/>
      <c r="S15" s="270"/>
      <c r="T15" s="270"/>
      <c r="U15" s="270"/>
      <c r="V15" s="270"/>
      <c r="W15" s="270"/>
      <c r="X15" s="270"/>
      <c r="Y15" s="271"/>
      <c r="Z15" s="113"/>
      <c r="AK15" s="283"/>
      <c r="AL15" s="284"/>
    </row>
    <row r="16" spans="1:38" ht="50.1" customHeight="1" x14ac:dyDescent="0.55000000000000004">
      <c r="A16" s="86">
        <v>2</v>
      </c>
      <c r="B16" s="111" t="s">
        <v>109</v>
      </c>
      <c r="C16" s="112" t="s">
        <v>108</v>
      </c>
      <c r="D16" s="86"/>
      <c r="E16" s="86"/>
      <c r="F16" s="272" t="s">
        <v>122</v>
      </c>
      <c r="G16" s="273"/>
      <c r="H16" s="273"/>
      <c r="I16" s="273"/>
      <c r="J16" s="273"/>
      <c r="K16" s="273"/>
      <c r="L16" s="114" t="s">
        <v>110</v>
      </c>
      <c r="M16" s="114" t="s">
        <v>111</v>
      </c>
      <c r="N16" s="115" t="s">
        <v>81</v>
      </c>
      <c r="Q16" s="272" t="str">
        <f>IF(F16&lt;&gt;"",F16,"")</f>
        <v>INTERNOS</v>
      </c>
      <c r="R16" s="273"/>
      <c r="S16" s="273"/>
      <c r="T16" s="273"/>
      <c r="U16" s="273"/>
      <c r="V16" s="273"/>
      <c r="W16" s="273"/>
      <c r="X16" s="273"/>
      <c r="Y16" s="274"/>
      <c r="Z16" s="116" t="s">
        <v>112</v>
      </c>
      <c r="AA16" s="117" t="s">
        <v>82</v>
      </c>
      <c r="AK16" s="285"/>
      <c r="AL16" s="286"/>
    </row>
    <row r="17" spans="1:39" ht="180" customHeight="1" x14ac:dyDescent="0.55000000000000004">
      <c r="A17" s="86">
        <v>5</v>
      </c>
      <c r="B17" s="111" t="s">
        <v>114</v>
      </c>
      <c r="C17" s="112" t="s">
        <v>113</v>
      </c>
      <c r="D17" s="86" t="s">
        <v>118</v>
      </c>
      <c r="E17" s="86" t="s">
        <v>119</v>
      </c>
      <c r="F17" s="118" t="s">
        <v>190</v>
      </c>
      <c r="G17" s="119" t="s">
        <v>230</v>
      </c>
      <c r="H17" s="120">
        <v>1</v>
      </c>
      <c r="I17" s="120">
        <v>1</v>
      </c>
      <c r="J17" s="121">
        <v>5250</v>
      </c>
      <c r="K17" s="121">
        <f>IF(F17&lt;&gt;"",H17*I17*J17,"")</f>
        <v>5250</v>
      </c>
      <c r="L17" s="121">
        <f>IF(K17&lt;&gt;"",IF(D17="INTERNO",0,K17*$L$14),"")</f>
        <v>0</v>
      </c>
      <c r="M17" s="121">
        <f>IF(K17&lt;&gt;"",IF(E17="FAT.OGGI",SUM(K17:L17)*(1/(1-$M$14)-1),L17*(1/(1-$M$14)-1)),0)</f>
        <v>1274.1704983223565</v>
      </c>
      <c r="N17" s="122">
        <f>SUM(K17:M17)</f>
        <v>6524.1704983223563</v>
      </c>
      <c r="Q17" s="123">
        <f t="shared" ref="Q17:R18" si="0">IF(H17&lt;&gt;"",H17,"")</f>
        <v>1</v>
      </c>
      <c r="R17" s="124">
        <f t="shared" si="0"/>
        <v>1</v>
      </c>
      <c r="S17" s="125">
        <v>0</v>
      </c>
      <c r="T17" s="125">
        <f>IF(Q17&lt;&gt;"",Q17*R17*S17,"")</f>
        <v>0</v>
      </c>
      <c r="U17" s="126">
        <f>IF(Q17&lt;&gt;"",K17-T17,"")</f>
        <v>5250</v>
      </c>
      <c r="V17" s="127">
        <f>IF(Q17&lt;&gt;"",0%,"")</f>
        <v>0</v>
      </c>
      <c r="W17" s="128">
        <f>IF(Q17&lt;&gt;"",V17*U17,"")</f>
        <v>0</v>
      </c>
      <c r="X17" s="128">
        <f>IF(Q17&lt;&gt;"",W17+T17,"")</f>
        <v>0</v>
      </c>
      <c r="Y17" s="129">
        <f t="shared" ref="Y17:Y20" si="1">IF(Q17&lt;&gt;"",X17+M17,"")</f>
        <v>1274.1704983223565</v>
      </c>
      <c r="Z17" s="113">
        <f>IF(Q17&lt;&gt;"", IFERROR(U17/K17, 0), 0)</f>
        <v>1</v>
      </c>
      <c r="AA17" s="130" t="str">
        <f>IFERROR(T17/$T$20, "")</f>
        <v/>
      </c>
      <c r="AK17" s="131">
        <f>X17-AL17</f>
        <v>0</v>
      </c>
      <c r="AL17" s="132"/>
    </row>
    <row r="18" spans="1:39" ht="180" customHeight="1" x14ac:dyDescent="0.55000000000000004">
      <c r="A18" s="86">
        <v>6</v>
      </c>
      <c r="B18" s="111" t="s">
        <v>115</v>
      </c>
      <c r="C18" s="112" t="s">
        <v>113</v>
      </c>
      <c r="D18" s="86" t="s">
        <v>118</v>
      </c>
      <c r="E18" s="86" t="s">
        <v>119</v>
      </c>
      <c r="F18" s="118" t="s">
        <v>117</v>
      </c>
      <c r="G18" s="119" t="s">
        <v>191</v>
      </c>
      <c r="H18" s="120">
        <v>1</v>
      </c>
      <c r="I18" s="120">
        <v>1</v>
      </c>
      <c r="J18" s="121">
        <v>4000</v>
      </c>
      <c r="K18" s="121">
        <f>IF(F18&lt;&gt;"",H18*I18*J18,"")</f>
        <v>4000</v>
      </c>
      <c r="L18" s="121">
        <f>IF(K18&lt;&gt;"",IF(D18="INTERNO",0,K18*$L$14),"")</f>
        <v>0</v>
      </c>
      <c r="M18" s="121">
        <f>IF(K18&lt;&gt;"",IF(E18="FAT.OGGI",SUM(K18:L18)*(1/(1-$M$14)-1),L18*(1/(1-$M$14)-1)),0)</f>
        <v>970.79657015036696</v>
      </c>
      <c r="N18" s="122">
        <f>SUM(K18:M18)</f>
        <v>4970.7965701503672</v>
      </c>
      <c r="Q18" s="123">
        <f t="shared" si="0"/>
        <v>1</v>
      </c>
      <c r="R18" s="124">
        <f t="shared" si="0"/>
        <v>1</v>
      </c>
      <c r="S18" s="125">
        <v>0</v>
      </c>
      <c r="T18" s="125">
        <f>IF(Q18&lt;&gt;"",Q18*R18*S18,"")</f>
        <v>0</v>
      </c>
      <c r="U18" s="126">
        <f>IF(Q18&lt;&gt;"",K18-T18,"")</f>
        <v>4000</v>
      </c>
      <c r="V18" s="127">
        <f>IF(Q18&lt;&gt;"",0%,"")</f>
        <v>0</v>
      </c>
      <c r="W18" s="128">
        <f>IF(Q18&lt;&gt;"",V18*U18,"")</f>
        <v>0</v>
      </c>
      <c r="X18" s="128">
        <f>IF(Q18&lt;&gt;"",W18+T18,"")</f>
        <v>0</v>
      </c>
      <c r="Y18" s="129">
        <f t="shared" si="1"/>
        <v>970.79657015036696</v>
      </c>
      <c r="Z18" s="113">
        <f>IF(Q18&lt;&gt;"", IFERROR(U18/K18, 0), 0)</f>
        <v>1</v>
      </c>
      <c r="AA18" s="130" t="str">
        <f>IFERROR(T18/$T$20, "")</f>
        <v/>
      </c>
      <c r="AK18" s="131">
        <f t="shared" ref="AK18:AK45" si="2">X18-AL18</f>
        <v>0</v>
      </c>
      <c r="AL18" s="132"/>
    </row>
    <row r="19" spans="1:39" ht="180" customHeight="1" x14ac:dyDescent="0.55000000000000004">
      <c r="A19" s="86">
        <v>7</v>
      </c>
      <c r="B19" s="111" t="s">
        <v>136</v>
      </c>
      <c r="C19" s="112" t="s">
        <v>113</v>
      </c>
      <c r="D19" s="86" t="s">
        <v>118</v>
      </c>
      <c r="E19" s="86" t="s">
        <v>119</v>
      </c>
      <c r="F19" s="118" t="s">
        <v>137</v>
      </c>
      <c r="G19" s="119" t="s">
        <v>231</v>
      </c>
      <c r="H19" s="120">
        <v>1</v>
      </c>
      <c r="I19" s="120">
        <v>1</v>
      </c>
      <c r="J19" s="121">
        <v>1100</v>
      </c>
      <c r="K19" s="121">
        <f>IF(F19&lt;&gt;"",H19*I19*J19,"")</f>
        <v>1100</v>
      </c>
      <c r="L19" s="121">
        <f>IF(K19&lt;&gt;"",IF(D19="INTERNO",0,K19*$L$14),"")</f>
        <v>0</v>
      </c>
      <c r="M19" s="121">
        <f>IF(K19&lt;&gt;"",IF(E19="FAT.OGGI",SUM(K19:L19)*(1/(1-$M$14)-1),L19*(1/(1-$M$14)-1)),0)</f>
        <v>266.96905679135091</v>
      </c>
      <c r="N19" s="122">
        <f>SUM(K19:M19)</f>
        <v>1366.9690567913508</v>
      </c>
      <c r="Q19" s="123">
        <f>IF(H19&lt;&gt;"",H19,"")</f>
        <v>1</v>
      </c>
      <c r="R19" s="124">
        <f>IF(I19&lt;&gt;"",I19,"")</f>
        <v>1</v>
      </c>
      <c r="S19" s="125">
        <v>0</v>
      </c>
      <c r="T19" s="125">
        <f>IF(Q19&lt;&gt;"",Q19*R19*S19,"")</f>
        <v>0</v>
      </c>
      <c r="U19" s="126">
        <f>IF(Q19&lt;&gt;"",K19-T19,"")</f>
        <v>1100</v>
      </c>
      <c r="V19" s="127">
        <f>IF(Q19&lt;&gt;"",0%,"")</f>
        <v>0</v>
      </c>
      <c r="W19" s="128">
        <f>IF(Q19&lt;&gt;"",V19*U19,"")</f>
        <v>0</v>
      </c>
      <c r="X19" s="128">
        <f>IF(Q19&lt;&gt;"",W19+T19,"")</f>
        <v>0</v>
      </c>
      <c r="Y19" s="129">
        <f t="shared" si="1"/>
        <v>266.96905679135091</v>
      </c>
      <c r="Z19" s="113">
        <f>IF(Q19&lt;&gt;"", IFERROR(U19/K19, 0), 0)</f>
        <v>1</v>
      </c>
      <c r="AA19" s="130" t="str">
        <f>IFERROR(T19/$T$20, "")</f>
        <v/>
      </c>
      <c r="AK19" s="131">
        <f t="shared" si="2"/>
        <v>0</v>
      </c>
      <c r="AL19" s="132"/>
    </row>
    <row r="20" spans="1:39" ht="50.1" customHeight="1" thickBot="1" x14ac:dyDescent="0.6">
      <c r="A20" s="86">
        <v>8</v>
      </c>
      <c r="B20" s="111"/>
      <c r="C20" s="112" t="s">
        <v>120</v>
      </c>
      <c r="D20" s="86"/>
      <c r="E20" s="86"/>
      <c r="F20" s="287" t="s">
        <v>147</v>
      </c>
      <c r="G20" s="288"/>
      <c r="H20" s="288"/>
      <c r="I20" s="288"/>
      <c r="J20" s="288"/>
      <c r="K20" s="133">
        <f>SUM(K17:K19)</f>
        <v>10350</v>
      </c>
      <c r="L20" s="133">
        <f>SUM(L17:L19)</f>
        <v>0</v>
      </c>
      <c r="M20" s="133">
        <f>SUM(M17:M19)</f>
        <v>2511.9361252640742</v>
      </c>
      <c r="N20" s="134">
        <f>SUM(N17:N19)</f>
        <v>12861.936125264076</v>
      </c>
      <c r="Q20" s="289" t="s">
        <v>147</v>
      </c>
      <c r="R20" s="290"/>
      <c r="S20" s="290"/>
      <c r="T20" s="135">
        <f>SUM(T17:T19)</f>
        <v>0</v>
      </c>
      <c r="U20" s="136">
        <f>SUM(U17:U19)</f>
        <v>10350</v>
      </c>
      <c r="V20" s="137"/>
      <c r="W20" s="138"/>
      <c r="X20" s="139">
        <f>SUM(X17:X19)</f>
        <v>0</v>
      </c>
      <c r="Y20" s="140">
        <f t="shared" si="1"/>
        <v>2511.9361252640742</v>
      </c>
      <c r="Z20" s="113"/>
      <c r="AA20" s="141"/>
      <c r="AK20" s="131"/>
      <c r="AL20" s="132"/>
    </row>
    <row r="21" spans="1:39" ht="50.1" customHeight="1" thickBot="1" x14ac:dyDescent="0.6">
      <c r="A21" s="86">
        <v>9</v>
      </c>
      <c r="B21" s="111">
        <v>2</v>
      </c>
      <c r="C21" s="112" t="s">
        <v>107</v>
      </c>
      <c r="D21" s="86"/>
      <c r="E21" s="86"/>
      <c r="F21" s="243" t="s">
        <v>162</v>
      </c>
      <c r="G21" s="244"/>
      <c r="H21" s="244"/>
      <c r="I21" s="244"/>
      <c r="J21" s="244"/>
      <c r="K21" s="244"/>
      <c r="L21" s="244"/>
      <c r="M21" s="244"/>
      <c r="N21" s="245"/>
      <c r="Q21" s="255" t="str">
        <f>IF(F21&lt;&gt;"",F21,"")</f>
        <v xml:space="preserve">STAFF </v>
      </c>
      <c r="R21" s="256"/>
      <c r="S21" s="256"/>
      <c r="T21" s="256"/>
      <c r="U21" s="256"/>
      <c r="V21" s="256"/>
      <c r="W21" s="256"/>
      <c r="X21" s="256"/>
      <c r="Y21" s="257"/>
      <c r="AK21" s="131"/>
      <c r="AL21" s="132"/>
    </row>
    <row r="22" spans="1:39" ht="50.1" customHeight="1" x14ac:dyDescent="0.55000000000000004">
      <c r="A22" s="86">
        <v>10</v>
      </c>
      <c r="B22" s="111" t="s">
        <v>121</v>
      </c>
      <c r="C22" s="112" t="s">
        <v>108</v>
      </c>
      <c r="D22" s="86"/>
      <c r="E22" s="86"/>
      <c r="F22" s="249" t="s">
        <v>162</v>
      </c>
      <c r="G22" s="250"/>
      <c r="H22" s="250"/>
      <c r="I22" s="250"/>
      <c r="J22" s="250"/>
      <c r="K22" s="251"/>
      <c r="L22" s="142" t="s">
        <v>110</v>
      </c>
      <c r="M22" s="143" t="s">
        <v>111</v>
      </c>
      <c r="N22" s="144" t="s">
        <v>81</v>
      </c>
      <c r="Q22" s="249" t="str">
        <f>IF(F22&lt;&gt;"",F22,"")</f>
        <v xml:space="preserve">STAFF </v>
      </c>
      <c r="R22" s="250"/>
      <c r="S22" s="250"/>
      <c r="T22" s="250"/>
      <c r="U22" s="250"/>
      <c r="V22" s="250"/>
      <c r="W22" s="250"/>
      <c r="X22" s="250"/>
      <c r="Y22" s="252"/>
      <c r="Z22" s="116" t="s">
        <v>112</v>
      </c>
      <c r="AA22" s="117" t="s">
        <v>82</v>
      </c>
      <c r="AK22" s="131"/>
      <c r="AL22" s="132"/>
    </row>
    <row r="23" spans="1:39" ht="180" customHeight="1" x14ac:dyDescent="0.55000000000000004">
      <c r="A23" s="86">
        <v>11</v>
      </c>
      <c r="B23" s="111" t="s">
        <v>123</v>
      </c>
      <c r="C23" s="112" t="s">
        <v>113</v>
      </c>
      <c r="D23" s="86" t="s">
        <v>125</v>
      </c>
      <c r="E23" s="86" t="s">
        <v>126</v>
      </c>
      <c r="F23" s="145" t="s">
        <v>163</v>
      </c>
      <c r="G23" s="146" t="s">
        <v>164</v>
      </c>
      <c r="H23" s="147">
        <v>1</v>
      </c>
      <c r="I23" s="147">
        <v>4</v>
      </c>
      <c r="J23" s="148">
        <v>800</v>
      </c>
      <c r="K23" s="148">
        <f>IF(F23&lt;&gt;"",H23*I23*J23,"")</f>
        <v>3200</v>
      </c>
      <c r="L23" s="148">
        <f>IF(K23&lt;&gt;"",IF(D23="INTERNO",0,K23*$L$14),"")</f>
        <v>288</v>
      </c>
      <c r="M23" s="148">
        <f>IF(K23&lt;&gt;"",IF(E23="FAT.OGGI",SUM(K23:L23)*(1/(1-$M$14)-1),L23*(1/(1-$M$14)-1)),"")</f>
        <v>69.89735305082641</v>
      </c>
      <c r="N23" s="149">
        <f>SUM(K23:M23)</f>
        <v>3557.8973530508265</v>
      </c>
      <c r="Q23" s="150">
        <f t="shared" ref="Q23:R24" si="3">IF(H23&lt;&gt;"",H23,"")</f>
        <v>1</v>
      </c>
      <c r="R23" s="151">
        <f t="shared" si="3"/>
        <v>4</v>
      </c>
      <c r="S23" s="152">
        <v>600</v>
      </c>
      <c r="T23" s="152">
        <v>4550</v>
      </c>
      <c r="U23" s="153">
        <f>IF(Q23&lt;&gt;"",K23-T23,"")</f>
        <v>-1350</v>
      </c>
      <c r="V23" s="154">
        <f>IF(Q23&lt;&gt;"",0%,"")</f>
        <v>0</v>
      </c>
      <c r="W23" s="155">
        <f>IF(Q23&lt;&gt;"",V23*U23,"")</f>
        <v>0</v>
      </c>
      <c r="X23" s="155">
        <f>IF(Q23&lt;&gt;"",W23+T23,"")</f>
        <v>4550</v>
      </c>
      <c r="Y23" s="156">
        <f>IF(Q23&lt;&gt;"",X23+M23,"")</f>
        <v>4619.8973530508265</v>
      </c>
      <c r="Z23" s="113">
        <f>IF(Q23&lt;&gt;"",U23/K23,"")</f>
        <v>-0.421875</v>
      </c>
      <c r="AA23" s="130">
        <f>T23/$T$25</f>
        <v>1</v>
      </c>
      <c r="AK23" s="131">
        <f t="shared" si="2"/>
        <v>0</v>
      </c>
      <c r="AL23" s="132">
        <v>4550</v>
      </c>
      <c r="AM23" s="237" t="s">
        <v>246</v>
      </c>
    </row>
    <row r="24" spans="1:39" ht="180" customHeight="1" x14ac:dyDescent="0.55000000000000004">
      <c r="A24" s="86">
        <v>13</v>
      </c>
      <c r="B24" s="111" t="s">
        <v>124</v>
      </c>
      <c r="C24" s="112" t="s">
        <v>113</v>
      </c>
      <c r="D24" s="86" t="s">
        <v>125</v>
      </c>
      <c r="E24" s="86" t="s">
        <v>126</v>
      </c>
      <c r="F24" s="145" t="s">
        <v>165</v>
      </c>
      <c r="G24" s="146" t="s">
        <v>166</v>
      </c>
      <c r="H24" s="147">
        <v>1</v>
      </c>
      <c r="I24" s="147">
        <v>3</v>
      </c>
      <c r="J24" s="148">
        <v>550</v>
      </c>
      <c r="K24" s="148">
        <f>IF(F24&lt;&gt;"",H24*I24*J24,"")</f>
        <v>1650</v>
      </c>
      <c r="L24" s="148">
        <f>IF(K24&lt;&gt;"",IF(D24="INTERNO",0,K24*$L$14),"")</f>
        <v>148.5</v>
      </c>
      <c r="M24" s="148">
        <f>IF(K24&lt;&gt;"",IF(E24="FAT.OGGI",SUM(K24:L24)*(1/(1-$M$14)-1),L24*(1/(1-$M$14)-1)),"")</f>
        <v>36.040822666832369</v>
      </c>
      <c r="N24" s="149">
        <f>SUM(K24:M24)</f>
        <v>1834.5408226668324</v>
      </c>
      <c r="Q24" s="150">
        <f t="shared" si="3"/>
        <v>1</v>
      </c>
      <c r="R24" s="151">
        <f t="shared" si="3"/>
        <v>3</v>
      </c>
      <c r="S24" s="152">
        <v>450</v>
      </c>
      <c r="T24" s="152">
        <v>0</v>
      </c>
      <c r="U24" s="153">
        <f>IF(Q24&lt;&gt;"",K24-T24,"")</f>
        <v>1650</v>
      </c>
      <c r="V24" s="154">
        <f>IF(Q24&lt;&gt;"",0%,"")</f>
        <v>0</v>
      </c>
      <c r="W24" s="155">
        <f>IF(Q24&lt;&gt;"",V24*U24,"")</f>
        <v>0</v>
      </c>
      <c r="X24" s="155">
        <f>IF(Q24&lt;&gt;"",W24+T24,"")</f>
        <v>0</v>
      </c>
      <c r="Y24" s="156">
        <f>IF(Q24&lt;&gt;"",X24+M24,"")</f>
        <v>36.040822666832369</v>
      </c>
      <c r="Z24" s="113">
        <f>IF(Q24&lt;&gt;"",U24/K24,"")</f>
        <v>1</v>
      </c>
      <c r="AA24" s="130">
        <f>T24/$T$25</f>
        <v>0</v>
      </c>
      <c r="AK24" s="131">
        <f t="shared" si="2"/>
        <v>0</v>
      </c>
      <c r="AL24" s="132"/>
    </row>
    <row r="25" spans="1:39" ht="50.1" customHeight="1" thickBot="1" x14ac:dyDescent="0.6">
      <c r="A25" s="86">
        <v>14</v>
      </c>
      <c r="B25" s="111"/>
      <c r="C25" s="112" t="s">
        <v>120</v>
      </c>
      <c r="D25" s="86"/>
      <c r="E25" s="86"/>
      <c r="F25" s="262" t="s">
        <v>167</v>
      </c>
      <c r="G25" s="263"/>
      <c r="H25" s="263"/>
      <c r="I25" s="263"/>
      <c r="J25" s="263"/>
      <c r="K25" s="157">
        <f>SUM(K23:K24)</f>
        <v>4850</v>
      </c>
      <c r="L25" s="157">
        <f>SUM(L23:L24)</f>
        <v>436.5</v>
      </c>
      <c r="M25" s="157">
        <f>SUM(M23:M24)</f>
        <v>105.93817571765878</v>
      </c>
      <c r="N25" s="158">
        <f>SUM(N23:N24)</f>
        <v>5392.4381757176589</v>
      </c>
      <c r="Q25" s="260" t="s">
        <v>167</v>
      </c>
      <c r="R25" s="261"/>
      <c r="S25" s="261"/>
      <c r="T25" s="159">
        <f>SUM(T23:T24)</f>
        <v>4550</v>
      </c>
      <c r="U25" s="160">
        <f>SUM(U23:U24)</f>
        <v>300</v>
      </c>
      <c r="V25" s="161"/>
      <c r="W25" s="161"/>
      <c r="X25" s="162">
        <f>SUM(X23:X24)</f>
        <v>4550</v>
      </c>
      <c r="Y25" s="163">
        <f>IF(Q25&lt;&gt;"",X25+M25,"")</f>
        <v>4655.9381757176589</v>
      </c>
      <c r="AK25" s="131"/>
      <c r="AL25" s="132"/>
    </row>
    <row r="26" spans="1:39" ht="50.1" customHeight="1" thickBot="1" x14ac:dyDescent="0.6">
      <c r="A26" s="86">
        <v>15</v>
      </c>
      <c r="B26" s="111">
        <v>3</v>
      </c>
      <c r="C26" s="112" t="s">
        <v>107</v>
      </c>
      <c r="D26" s="86"/>
      <c r="E26" s="86"/>
      <c r="F26" s="243" t="s">
        <v>161</v>
      </c>
      <c r="G26" s="244"/>
      <c r="H26" s="244"/>
      <c r="I26" s="244"/>
      <c r="J26" s="244"/>
      <c r="K26" s="244"/>
      <c r="L26" s="244"/>
      <c r="M26" s="244"/>
      <c r="N26" s="245"/>
      <c r="Q26" s="246" t="str">
        <f>IF(F26&lt;&gt;"",F26,"")</f>
        <v xml:space="preserve">OPERACIONAL </v>
      </c>
      <c r="R26" s="247"/>
      <c r="S26" s="247"/>
      <c r="T26" s="247"/>
      <c r="U26" s="247"/>
      <c r="V26" s="247"/>
      <c r="W26" s="247"/>
      <c r="X26" s="247"/>
      <c r="Y26" s="248"/>
      <c r="AK26" s="131"/>
      <c r="AL26" s="132"/>
    </row>
    <row r="27" spans="1:39" ht="50.1" customHeight="1" x14ac:dyDescent="0.55000000000000004">
      <c r="A27" s="86">
        <v>16</v>
      </c>
      <c r="B27" s="111" t="s">
        <v>127</v>
      </c>
      <c r="C27" s="112" t="s">
        <v>108</v>
      </c>
      <c r="D27" s="86"/>
      <c r="E27" s="86"/>
      <c r="F27" s="249" t="s">
        <v>161</v>
      </c>
      <c r="G27" s="250"/>
      <c r="H27" s="250"/>
      <c r="I27" s="250"/>
      <c r="J27" s="250"/>
      <c r="K27" s="251"/>
      <c r="L27" s="142" t="s">
        <v>110</v>
      </c>
      <c r="M27" s="143" t="s">
        <v>111</v>
      </c>
      <c r="N27" s="144" t="s">
        <v>81</v>
      </c>
      <c r="Q27" s="249" t="str">
        <f>IF(F27&lt;&gt;"",F27,"")</f>
        <v xml:space="preserve">OPERACIONAL </v>
      </c>
      <c r="R27" s="250"/>
      <c r="S27" s="250"/>
      <c r="T27" s="250"/>
      <c r="U27" s="250"/>
      <c r="V27" s="250"/>
      <c r="W27" s="250"/>
      <c r="X27" s="250"/>
      <c r="Y27" s="252"/>
      <c r="Z27" s="116" t="s">
        <v>112</v>
      </c>
      <c r="AA27" s="117" t="s">
        <v>82</v>
      </c>
      <c r="AK27" s="131"/>
      <c r="AL27" s="132"/>
    </row>
    <row r="28" spans="1:39" ht="180" customHeight="1" x14ac:dyDescent="0.55000000000000004">
      <c r="A28" s="86">
        <v>17</v>
      </c>
      <c r="B28" s="111" t="s">
        <v>128</v>
      </c>
      <c r="C28" s="112" t="s">
        <v>113</v>
      </c>
      <c r="D28" s="86" t="s">
        <v>125</v>
      </c>
      <c r="E28" s="86" t="s">
        <v>126</v>
      </c>
      <c r="F28" s="164" t="s">
        <v>168</v>
      </c>
      <c r="G28" s="146" t="s">
        <v>171</v>
      </c>
      <c r="H28" s="147">
        <v>1</v>
      </c>
      <c r="I28" s="147">
        <v>1</v>
      </c>
      <c r="J28" s="148">
        <v>250</v>
      </c>
      <c r="K28" s="148">
        <f t="shared" ref="K28:K30" si="4">IF(F28&lt;&gt;"",H28*I28*J28,"")</f>
        <v>250</v>
      </c>
      <c r="L28" s="148">
        <f t="shared" ref="L28:L30" si="5">IF(K28&lt;&gt;"",IF(D28="INTERNO",0,K28*$L$14),"")</f>
        <v>22.5</v>
      </c>
      <c r="M28" s="148">
        <f t="shared" ref="M28:M30" si="6">IF(K28&lt;&gt;"",IF(E28="FAT.OGGI",SUM(K28:L28)*(1/(1-$M$14)-1),L28*(1/(1-$M$14)-1)),"")</f>
        <v>5.4607307070958138</v>
      </c>
      <c r="N28" s="149">
        <f t="shared" ref="N28:N30" si="7">SUM(K28:M28)</f>
        <v>277.96073070709582</v>
      </c>
      <c r="Q28" s="150">
        <f t="shared" ref="Q28:R30" si="8">IF(H28&lt;&gt;"",H28,"")</f>
        <v>1</v>
      </c>
      <c r="R28" s="151">
        <f t="shared" si="8"/>
        <v>1</v>
      </c>
      <c r="S28" s="152">
        <v>70</v>
      </c>
      <c r="T28" s="152">
        <v>0</v>
      </c>
      <c r="U28" s="153">
        <f t="shared" ref="U28:U30" si="9">IF(Q28&lt;&gt;"",K28-T28,"")</f>
        <v>250</v>
      </c>
      <c r="V28" s="154">
        <f t="shared" ref="V28:V30" si="10">IF(Q28&lt;&gt;"",0%,"")</f>
        <v>0</v>
      </c>
      <c r="W28" s="155">
        <f t="shared" ref="W28:W30" si="11">IF(Q28&lt;&gt;"",V28*U28,"")</f>
        <v>0</v>
      </c>
      <c r="X28" s="155">
        <f t="shared" ref="X28:X30" si="12">IF(Q28&lt;&gt;"",W28+T28,"")</f>
        <v>0</v>
      </c>
      <c r="Y28" s="156">
        <f t="shared" ref="Y28:Y31" si="13">IF(Q28&lt;&gt;"",X28+M28,"")</f>
        <v>5.4607307070958138</v>
      </c>
      <c r="Z28" s="113">
        <f t="shared" ref="Z28:Z30" si="14">IF(Q28&lt;&gt;"",U28/K28,"")</f>
        <v>1</v>
      </c>
      <c r="AA28" s="130">
        <f>T28/$T$31</f>
        <v>0</v>
      </c>
      <c r="AK28" s="131">
        <f t="shared" si="2"/>
        <v>0</v>
      </c>
      <c r="AL28" s="132"/>
    </row>
    <row r="29" spans="1:39" ht="180" customHeight="1" x14ac:dyDescent="0.55000000000000004">
      <c r="A29" s="86">
        <v>18</v>
      </c>
      <c r="B29" s="111" t="s">
        <v>129</v>
      </c>
      <c r="C29" s="112" t="s">
        <v>113</v>
      </c>
      <c r="D29" s="86" t="s">
        <v>125</v>
      </c>
      <c r="E29" s="86" t="s">
        <v>126</v>
      </c>
      <c r="F29" s="145" t="s">
        <v>169</v>
      </c>
      <c r="G29" s="146" t="s">
        <v>192</v>
      </c>
      <c r="H29" s="147">
        <v>21</v>
      </c>
      <c r="I29" s="147">
        <v>1</v>
      </c>
      <c r="J29" s="148">
        <v>99</v>
      </c>
      <c r="K29" s="148">
        <f t="shared" si="4"/>
        <v>2079</v>
      </c>
      <c r="L29" s="148">
        <f t="shared" si="5"/>
        <v>187.10999999999999</v>
      </c>
      <c r="M29" s="148">
        <f t="shared" si="6"/>
        <v>45.411436560208784</v>
      </c>
      <c r="N29" s="149">
        <f t="shared" si="7"/>
        <v>2311.5214365602087</v>
      </c>
      <c r="O29" s="62" t="s">
        <v>193</v>
      </c>
      <c r="Q29" s="150">
        <f t="shared" si="8"/>
        <v>21</v>
      </c>
      <c r="R29" s="151">
        <f t="shared" si="8"/>
        <v>1</v>
      </c>
      <c r="S29" s="152">
        <v>99</v>
      </c>
      <c r="T29" s="152">
        <v>1679.79</v>
      </c>
      <c r="U29" s="153">
        <f t="shared" si="9"/>
        <v>399.21000000000004</v>
      </c>
      <c r="V29" s="154">
        <f t="shared" si="10"/>
        <v>0</v>
      </c>
      <c r="W29" s="155">
        <f t="shared" si="11"/>
        <v>0</v>
      </c>
      <c r="X29" s="155">
        <f t="shared" si="12"/>
        <v>1679.79</v>
      </c>
      <c r="Y29" s="156">
        <f t="shared" si="13"/>
        <v>1725.2014365602088</v>
      </c>
      <c r="Z29" s="113">
        <f t="shared" si="14"/>
        <v>0.19202020202020204</v>
      </c>
      <c r="AA29" s="130">
        <f>T29/$T$31</f>
        <v>0.61535502730979308</v>
      </c>
      <c r="AC29" s="165">
        <v>79.790000000000006</v>
      </c>
      <c r="AD29" s="166">
        <f>T29-AC29</f>
        <v>1600</v>
      </c>
      <c r="AE29" s="167">
        <v>46086</v>
      </c>
      <c r="AG29" s="168" t="s">
        <v>205</v>
      </c>
      <c r="AH29" s="169" t="s">
        <v>206</v>
      </c>
      <c r="AK29" s="131">
        <f t="shared" si="2"/>
        <v>0</v>
      </c>
      <c r="AL29" s="132">
        <v>1679.79</v>
      </c>
      <c r="AM29" s="237" t="s">
        <v>239</v>
      </c>
    </row>
    <row r="30" spans="1:39" ht="180" customHeight="1" x14ac:dyDescent="0.55000000000000004">
      <c r="A30" s="86">
        <v>19</v>
      </c>
      <c r="B30" s="111" t="s">
        <v>139</v>
      </c>
      <c r="C30" s="112" t="s">
        <v>113</v>
      </c>
      <c r="D30" s="86" t="s">
        <v>125</v>
      </c>
      <c r="E30" s="86" t="s">
        <v>126</v>
      </c>
      <c r="F30" s="118" t="s">
        <v>170</v>
      </c>
      <c r="G30" s="119" t="s">
        <v>172</v>
      </c>
      <c r="H30" s="120">
        <v>21</v>
      </c>
      <c r="I30" s="120">
        <v>1</v>
      </c>
      <c r="J30" s="121">
        <v>35</v>
      </c>
      <c r="K30" s="121">
        <f t="shared" si="4"/>
        <v>735</v>
      </c>
      <c r="L30" s="121">
        <f t="shared" si="5"/>
        <v>66.149999999999991</v>
      </c>
      <c r="M30" s="121">
        <f t="shared" si="6"/>
        <v>16.054548278861692</v>
      </c>
      <c r="N30" s="122">
        <f t="shared" si="7"/>
        <v>817.20454827886169</v>
      </c>
      <c r="O30" s="62" t="s">
        <v>194</v>
      </c>
      <c r="Q30" s="170">
        <v>1</v>
      </c>
      <c r="R30" s="171">
        <f t="shared" si="8"/>
        <v>1</v>
      </c>
      <c r="S30" s="172">
        <v>1050</v>
      </c>
      <c r="T30" s="172">
        <f t="shared" ref="T30" si="15">IF(Q30&lt;&gt;"",Q30*R30*S30,"")</f>
        <v>1050</v>
      </c>
      <c r="U30" s="173">
        <f t="shared" si="9"/>
        <v>-315</v>
      </c>
      <c r="V30" s="174">
        <f t="shared" si="10"/>
        <v>0</v>
      </c>
      <c r="W30" s="175">
        <f t="shared" si="11"/>
        <v>0</v>
      </c>
      <c r="X30" s="175">
        <f t="shared" si="12"/>
        <v>1050</v>
      </c>
      <c r="Y30" s="129">
        <f t="shared" si="13"/>
        <v>1066.0545482788616</v>
      </c>
      <c r="Z30" s="113">
        <f t="shared" si="14"/>
        <v>-0.42857142857142855</v>
      </c>
      <c r="AA30" s="130">
        <f>T30/$T$31</f>
        <v>0.38464497269020692</v>
      </c>
      <c r="AK30" s="131">
        <f t="shared" si="2"/>
        <v>0</v>
      </c>
      <c r="AL30" s="132">
        <v>1050</v>
      </c>
      <c r="AM30" s="237" t="s">
        <v>240</v>
      </c>
    </row>
    <row r="31" spans="1:39" ht="50.1" customHeight="1" thickBot="1" x14ac:dyDescent="0.6">
      <c r="A31" s="86">
        <v>22</v>
      </c>
      <c r="B31" s="111"/>
      <c r="C31" s="112" t="s">
        <v>120</v>
      </c>
      <c r="D31" s="86"/>
      <c r="E31" s="86"/>
      <c r="F31" s="260" t="s">
        <v>173</v>
      </c>
      <c r="G31" s="261"/>
      <c r="H31" s="261"/>
      <c r="I31" s="261"/>
      <c r="J31" s="261"/>
      <c r="K31" s="176">
        <f>SUM(K28:K30)</f>
        <v>3064</v>
      </c>
      <c r="L31" s="157">
        <f>SUM(L28:L30)</f>
        <v>275.76</v>
      </c>
      <c r="M31" s="157">
        <f>SUM(M28:M30)</f>
        <v>66.926715546166292</v>
      </c>
      <c r="N31" s="177">
        <f>SUM(N28:N30)</f>
        <v>3406.6867155461664</v>
      </c>
      <c r="Q31" s="260" t="s">
        <v>173</v>
      </c>
      <c r="R31" s="261"/>
      <c r="S31" s="261"/>
      <c r="T31" s="159">
        <f>SUM(T28:T30)</f>
        <v>2729.79</v>
      </c>
      <c r="U31" s="160">
        <f>SUM(U28:U30)</f>
        <v>334.21000000000004</v>
      </c>
      <c r="V31" s="161"/>
      <c r="W31" s="161"/>
      <c r="X31" s="162">
        <f>SUM(X28:X30)</f>
        <v>2729.79</v>
      </c>
      <c r="Y31" s="163">
        <f t="shared" si="13"/>
        <v>2796.7167155461661</v>
      </c>
      <c r="AK31" s="131"/>
      <c r="AL31" s="132"/>
    </row>
    <row r="32" spans="1:39" ht="50.1" customHeight="1" thickBot="1" x14ac:dyDescent="0.6">
      <c r="A32" s="86">
        <v>23</v>
      </c>
      <c r="B32" s="111">
        <v>4</v>
      </c>
      <c r="C32" s="112" t="s">
        <v>107</v>
      </c>
      <c r="D32" s="86"/>
      <c r="E32" s="86"/>
      <c r="F32" s="255" t="s">
        <v>175</v>
      </c>
      <c r="G32" s="256"/>
      <c r="H32" s="256"/>
      <c r="I32" s="256"/>
      <c r="J32" s="256"/>
      <c r="K32" s="256"/>
      <c r="L32" s="256"/>
      <c r="M32" s="256"/>
      <c r="N32" s="257"/>
      <c r="Q32" s="246" t="str">
        <f>IF(F32&lt;&gt;"",F32,"")</f>
        <v>SALA DE APRESENTAÇÃO</v>
      </c>
      <c r="R32" s="247"/>
      <c r="S32" s="247"/>
      <c r="T32" s="247"/>
      <c r="U32" s="247"/>
      <c r="V32" s="247"/>
      <c r="W32" s="247"/>
      <c r="X32" s="247"/>
      <c r="Y32" s="248"/>
      <c r="AK32" s="131"/>
      <c r="AL32" s="132"/>
    </row>
    <row r="33" spans="1:43" ht="50.1" customHeight="1" x14ac:dyDescent="0.55000000000000004">
      <c r="A33" s="86">
        <v>24</v>
      </c>
      <c r="B33" s="111" t="s">
        <v>130</v>
      </c>
      <c r="C33" s="112" t="s">
        <v>108</v>
      </c>
      <c r="D33" s="86"/>
      <c r="E33" s="86"/>
      <c r="F33" s="249" t="s">
        <v>175</v>
      </c>
      <c r="G33" s="250"/>
      <c r="H33" s="250"/>
      <c r="I33" s="250"/>
      <c r="J33" s="250"/>
      <c r="K33" s="251"/>
      <c r="L33" s="142" t="s">
        <v>110</v>
      </c>
      <c r="M33" s="143" t="s">
        <v>111</v>
      </c>
      <c r="N33" s="144" t="s">
        <v>81</v>
      </c>
      <c r="Q33" s="249" t="str">
        <f>IF(F33&lt;&gt;"",F33,"")</f>
        <v>SALA DE APRESENTAÇÃO</v>
      </c>
      <c r="R33" s="250"/>
      <c r="S33" s="250"/>
      <c r="T33" s="250"/>
      <c r="U33" s="250"/>
      <c r="V33" s="250"/>
      <c r="W33" s="250"/>
      <c r="X33" s="250"/>
      <c r="Y33" s="252"/>
      <c r="Z33" s="116" t="s">
        <v>112</v>
      </c>
      <c r="AA33" s="117" t="s">
        <v>82</v>
      </c>
      <c r="AK33" s="131"/>
      <c r="AL33" s="132"/>
    </row>
    <row r="34" spans="1:43" ht="180" customHeight="1" x14ac:dyDescent="0.55000000000000004">
      <c r="A34" s="86">
        <v>25</v>
      </c>
      <c r="B34" s="111" t="s">
        <v>131</v>
      </c>
      <c r="C34" s="112" t="s">
        <v>113</v>
      </c>
      <c r="D34" s="86" t="s">
        <v>125</v>
      </c>
      <c r="E34" s="86" t="s">
        <v>126</v>
      </c>
      <c r="F34" s="145" t="s">
        <v>176</v>
      </c>
      <c r="G34" s="146" t="s">
        <v>232</v>
      </c>
      <c r="H34" s="147">
        <v>1</v>
      </c>
      <c r="I34" s="147">
        <v>1</v>
      </c>
      <c r="J34" s="148">
        <v>40000</v>
      </c>
      <c r="K34" s="148">
        <f t="shared" ref="K34:K36" si="16">IF(F34&lt;&gt;"",H34*I34*J34,"")</f>
        <v>40000</v>
      </c>
      <c r="L34" s="148">
        <f>IF(K34&lt;&gt;"",IF(D34="INTERNO",0,K34*$L$14),"")</f>
        <v>3600</v>
      </c>
      <c r="M34" s="148">
        <f t="shared" ref="M34:M36" si="17">IF(K34&lt;&gt;"",IF(E34="FAT.OGGI",SUM(K34:L34)*(1/(1-$M$14)-1),L34*(1/(1-$M$14)-1)),"")</f>
        <v>873.71691313533017</v>
      </c>
      <c r="N34" s="149">
        <f t="shared" ref="N34:N36" si="18">SUM(K34:M34)</f>
        <v>44473.716913135329</v>
      </c>
      <c r="O34" s="62" t="s">
        <v>195</v>
      </c>
      <c r="Q34" s="150">
        <f t="shared" ref="Q34:R36" si="19">IF(H34&lt;&gt;"",H34,"")</f>
        <v>1</v>
      </c>
      <c r="R34" s="151">
        <f t="shared" si="19"/>
        <v>1</v>
      </c>
      <c r="S34" s="152">
        <v>40000</v>
      </c>
      <c r="T34" s="152">
        <f t="shared" ref="T34" si="20">IF(Q34&lt;&gt;"",Q34*R34*S34,"")</f>
        <v>40000</v>
      </c>
      <c r="U34" s="153">
        <f t="shared" ref="U34:U36" si="21">IF(Q34&lt;&gt;"",K34-T34,"")</f>
        <v>0</v>
      </c>
      <c r="V34" s="154">
        <f t="shared" ref="V34:V36" si="22">IF(Q34&lt;&gt;"",0%,"")</f>
        <v>0</v>
      </c>
      <c r="W34" s="155">
        <f t="shared" ref="W34:W36" si="23">IF(Q34&lt;&gt;"",V34*U34,"")</f>
        <v>0</v>
      </c>
      <c r="X34" s="155">
        <f t="shared" ref="X34:X36" si="24">IF(Q34&lt;&gt;"",W34+T34,"")</f>
        <v>40000</v>
      </c>
      <c r="Y34" s="156">
        <f t="shared" ref="Y34:Y37" si="25">IF(Q34&lt;&gt;"",X34+M34,"")</f>
        <v>40873.716913135329</v>
      </c>
      <c r="Z34" s="113">
        <f t="shared" ref="Z34:Z36" si="26">IF(Q34&lt;&gt;"",U34/K34,"")</f>
        <v>0</v>
      </c>
      <c r="AA34" s="130">
        <f>T34/$T$37</f>
        <v>0.90359520199983689</v>
      </c>
      <c r="AK34" s="131">
        <f t="shared" si="2"/>
        <v>0</v>
      </c>
      <c r="AL34" s="132">
        <v>40000</v>
      </c>
      <c r="AM34" s="237" t="s">
        <v>242</v>
      </c>
    </row>
    <row r="35" spans="1:43" ht="180" customHeight="1" x14ac:dyDescent="0.55000000000000004">
      <c r="A35" s="178">
        <v>27</v>
      </c>
      <c r="B35" s="111" t="s">
        <v>138</v>
      </c>
      <c r="C35" s="179" t="s">
        <v>113</v>
      </c>
      <c r="D35" s="86" t="s">
        <v>125</v>
      </c>
      <c r="E35" s="86" t="s">
        <v>126</v>
      </c>
      <c r="F35" s="180" t="s">
        <v>185</v>
      </c>
      <c r="G35" s="119" t="s">
        <v>233</v>
      </c>
      <c r="H35" s="120">
        <v>1</v>
      </c>
      <c r="I35" s="120">
        <v>1</v>
      </c>
      <c r="J35" s="121">
        <v>475</v>
      </c>
      <c r="K35" s="121">
        <f t="shared" si="16"/>
        <v>475</v>
      </c>
      <c r="L35" s="121">
        <f t="shared" ref="L35:L36" si="27">IF(K35&lt;&gt;"",IF(D35="INTERNO",0,K35*$L$14),"")</f>
        <v>42.75</v>
      </c>
      <c r="M35" s="121">
        <f t="shared" si="17"/>
        <v>10.375388343482046</v>
      </c>
      <c r="N35" s="122">
        <f t="shared" si="18"/>
        <v>528.12538834348209</v>
      </c>
      <c r="Q35" s="170">
        <f>IF(H35&lt;&gt;"",H35,"")</f>
        <v>1</v>
      </c>
      <c r="R35" s="171">
        <f>IF(I35&lt;&gt;"",I35,"")</f>
        <v>1</v>
      </c>
      <c r="S35" s="172">
        <v>60</v>
      </c>
      <c r="T35" s="172">
        <v>267.61</v>
      </c>
      <c r="U35" s="173">
        <f t="shared" si="21"/>
        <v>207.39</v>
      </c>
      <c r="V35" s="174">
        <f t="shared" si="22"/>
        <v>0</v>
      </c>
      <c r="W35" s="175">
        <f t="shared" si="23"/>
        <v>0</v>
      </c>
      <c r="X35" s="175">
        <f t="shared" si="24"/>
        <v>267.61</v>
      </c>
      <c r="Y35" s="129">
        <f>IF(Q35&lt;&gt;"",X35+M35,"")</f>
        <v>277.98538834348204</v>
      </c>
      <c r="Z35" s="113">
        <f t="shared" si="26"/>
        <v>0.43661052631578945</v>
      </c>
      <c r="AA35" s="130"/>
      <c r="AC35" s="165">
        <v>167.61</v>
      </c>
      <c r="AD35" s="166">
        <f>T35-AC35</f>
        <v>100</v>
      </c>
      <c r="AE35" s="167">
        <v>46091</v>
      </c>
      <c r="AG35" s="168" t="s">
        <v>219</v>
      </c>
      <c r="AH35" s="169" t="s">
        <v>220</v>
      </c>
      <c r="AK35" s="131">
        <f t="shared" si="2"/>
        <v>0</v>
      </c>
      <c r="AL35" s="132">
        <f>167.61+100</f>
        <v>267.61</v>
      </c>
      <c r="AM35" s="237" t="s">
        <v>243</v>
      </c>
    </row>
    <row r="36" spans="1:43" ht="180" customHeight="1" x14ac:dyDescent="0.55000000000000004">
      <c r="A36" s="181">
        <v>27</v>
      </c>
      <c r="B36" s="111" t="s">
        <v>174</v>
      </c>
      <c r="C36" s="182" t="s">
        <v>113</v>
      </c>
      <c r="D36" s="181" t="s">
        <v>125</v>
      </c>
      <c r="E36" s="181" t="s">
        <v>126</v>
      </c>
      <c r="F36" s="183" t="s">
        <v>177</v>
      </c>
      <c r="G36" s="184" t="s">
        <v>189</v>
      </c>
      <c r="H36" s="185">
        <v>1</v>
      </c>
      <c r="I36" s="185">
        <v>1</v>
      </c>
      <c r="J36" s="186">
        <v>4000</v>
      </c>
      <c r="K36" s="186">
        <f t="shared" si="16"/>
        <v>4000</v>
      </c>
      <c r="L36" s="186">
        <f t="shared" si="27"/>
        <v>360</v>
      </c>
      <c r="M36" s="186">
        <f t="shared" si="17"/>
        <v>87.37169131353302</v>
      </c>
      <c r="N36" s="187">
        <f t="shared" si="18"/>
        <v>4447.3716913135331</v>
      </c>
      <c r="O36" s="62" t="s">
        <v>196</v>
      </c>
      <c r="Q36" s="188">
        <f t="shared" si="19"/>
        <v>1</v>
      </c>
      <c r="R36" s="189">
        <f t="shared" si="19"/>
        <v>1</v>
      </c>
      <c r="S36" s="190">
        <v>4000</v>
      </c>
      <c r="T36" s="190">
        <v>4000</v>
      </c>
      <c r="U36" s="191">
        <f t="shared" si="21"/>
        <v>0</v>
      </c>
      <c r="V36" s="192">
        <f t="shared" si="22"/>
        <v>0</v>
      </c>
      <c r="W36" s="193">
        <f t="shared" si="23"/>
        <v>0</v>
      </c>
      <c r="X36" s="193">
        <f t="shared" si="24"/>
        <v>4000</v>
      </c>
      <c r="Y36" s="194">
        <f t="shared" si="25"/>
        <v>4087.3716913135331</v>
      </c>
      <c r="Z36" s="113">
        <f t="shared" si="26"/>
        <v>0</v>
      </c>
      <c r="AA36" s="130">
        <f>T36/$T$37</f>
        <v>9.0359520199983695E-2</v>
      </c>
      <c r="AK36" s="131">
        <f t="shared" si="2"/>
        <v>0</v>
      </c>
      <c r="AL36" s="132">
        <v>4000</v>
      </c>
      <c r="AM36" s="237" t="s">
        <v>247</v>
      </c>
    </row>
    <row r="37" spans="1:43" ht="50.1" customHeight="1" thickBot="1" x14ac:dyDescent="0.6">
      <c r="A37" s="86">
        <v>31</v>
      </c>
      <c r="B37" s="111"/>
      <c r="C37" s="112" t="s">
        <v>120</v>
      </c>
      <c r="D37" s="86"/>
      <c r="E37" s="86"/>
      <c r="F37" s="258" t="s">
        <v>178</v>
      </c>
      <c r="G37" s="259"/>
      <c r="H37" s="259"/>
      <c r="I37" s="259"/>
      <c r="J37" s="259"/>
      <c r="K37" s="176">
        <f>SUM(K34:K36)</f>
        <v>44475</v>
      </c>
      <c r="L37" s="157">
        <f>SUM(L34:L36)</f>
        <v>4002.75</v>
      </c>
      <c r="M37" s="157">
        <f>SUM(M34:M36)</f>
        <v>971.46399279234527</v>
      </c>
      <c r="N37" s="177">
        <f>SUM(N34:N36)</f>
        <v>49449.213992792349</v>
      </c>
      <c r="Q37" s="258" t="s">
        <v>178</v>
      </c>
      <c r="R37" s="259"/>
      <c r="S37" s="259"/>
      <c r="T37" s="159">
        <f>SUM(T34:T36)</f>
        <v>44267.61</v>
      </c>
      <c r="U37" s="160">
        <f>SUM(U34:U36)</f>
        <v>207.39</v>
      </c>
      <c r="V37" s="161"/>
      <c r="W37" s="161"/>
      <c r="X37" s="162">
        <f>SUM(X34:X36)</f>
        <v>44267.61</v>
      </c>
      <c r="Y37" s="163">
        <f t="shared" si="25"/>
        <v>45239.073992792342</v>
      </c>
      <c r="AK37" s="131"/>
      <c r="AL37" s="132"/>
    </row>
    <row r="38" spans="1:43" ht="50.1" customHeight="1" thickBot="1" x14ac:dyDescent="0.6">
      <c r="A38" s="86">
        <v>32</v>
      </c>
      <c r="B38" s="111">
        <v>5</v>
      </c>
      <c r="C38" s="112" t="s">
        <v>107</v>
      </c>
      <c r="D38" s="86"/>
      <c r="E38" s="86"/>
      <c r="F38" s="255" t="s">
        <v>144</v>
      </c>
      <c r="G38" s="256"/>
      <c r="H38" s="256"/>
      <c r="I38" s="256"/>
      <c r="J38" s="256"/>
      <c r="K38" s="256"/>
      <c r="L38" s="256"/>
      <c r="M38" s="256"/>
      <c r="N38" s="257"/>
      <c r="Q38" s="246" t="str">
        <f>IF(F38&lt;&gt;"",F38,"")</f>
        <v>BRINDES</v>
      </c>
      <c r="R38" s="247"/>
      <c r="S38" s="247"/>
      <c r="T38" s="247"/>
      <c r="U38" s="247"/>
      <c r="V38" s="247"/>
      <c r="W38" s="247"/>
      <c r="X38" s="247"/>
      <c r="Y38" s="248"/>
      <c r="AK38" s="131"/>
      <c r="AL38" s="132"/>
    </row>
    <row r="39" spans="1:43" ht="50.1" customHeight="1" x14ac:dyDescent="0.55000000000000004">
      <c r="A39" s="86">
        <v>33</v>
      </c>
      <c r="B39" s="111" t="s">
        <v>132</v>
      </c>
      <c r="C39" s="112" t="s">
        <v>108</v>
      </c>
      <c r="D39" s="86"/>
      <c r="E39" s="86"/>
      <c r="F39" s="249" t="s">
        <v>144</v>
      </c>
      <c r="G39" s="250"/>
      <c r="H39" s="250"/>
      <c r="I39" s="250"/>
      <c r="J39" s="250"/>
      <c r="K39" s="251"/>
      <c r="L39" s="142" t="s">
        <v>110</v>
      </c>
      <c r="M39" s="143" t="s">
        <v>111</v>
      </c>
      <c r="N39" s="144" t="s">
        <v>81</v>
      </c>
      <c r="Q39" s="249" t="str">
        <f>IF(F39&lt;&gt;"",F39,"")</f>
        <v>BRINDES</v>
      </c>
      <c r="R39" s="250"/>
      <c r="S39" s="250"/>
      <c r="T39" s="250"/>
      <c r="U39" s="250"/>
      <c r="V39" s="250"/>
      <c r="W39" s="250"/>
      <c r="X39" s="250"/>
      <c r="Y39" s="252"/>
      <c r="Z39" s="116" t="s">
        <v>112</v>
      </c>
      <c r="AA39" s="117" t="s">
        <v>82</v>
      </c>
      <c r="AK39" s="131"/>
      <c r="AL39" s="132"/>
    </row>
    <row r="40" spans="1:43" ht="180" customHeight="1" x14ac:dyDescent="0.55000000000000004">
      <c r="A40" s="181">
        <v>36</v>
      </c>
      <c r="B40" s="111" t="s">
        <v>140</v>
      </c>
      <c r="C40" s="182" t="s">
        <v>113</v>
      </c>
      <c r="D40" s="181" t="s">
        <v>125</v>
      </c>
      <c r="E40" s="181" t="s">
        <v>126</v>
      </c>
      <c r="F40" s="183" t="s">
        <v>145</v>
      </c>
      <c r="G40" s="195" t="s">
        <v>234</v>
      </c>
      <c r="H40" s="196">
        <v>1</v>
      </c>
      <c r="I40" s="196">
        <v>0</v>
      </c>
      <c r="J40" s="197">
        <v>500</v>
      </c>
      <c r="K40" s="197">
        <f t="shared" ref="K40" si="28">IF(F40&lt;&gt;"",H40*I40*J40,"")</f>
        <v>0</v>
      </c>
      <c r="L40" s="197">
        <f t="shared" ref="L40" si="29">IF(K40&lt;&gt;"",IF(D40="INTERNO",0,K40*$L$14),"")</f>
        <v>0</v>
      </c>
      <c r="M40" s="197">
        <f t="shared" ref="M40" si="30">IF(K40&lt;&gt;"",IF(E40="FAT.OGGI",SUM(K40:L40)*(1/(1-$M$14)-1),L40*(1/(1-$M$14)-1)),"")</f>
        <v>0</v>
      </c>
      <c r="N40" s="198">
        <f t="shared" ref="N40" si="31">SUM(K40:M40)</f>
        <v>0</v>
      </c>
      <c r="O40" s="62" t="s">
        <v>197</v>
      </c>
      <c r="Q40" s="199">
        <f t="shared" ref="Q40" si="32">IF(H40&lt;&gt;"",H40,"")</f>
        <v>1</v>
      </c>
      <c r="R40" s="200">
        <v>1</v>
      </c>
      <c r="S40" s="201">
        <v>200</v>
      </c>
      <c r="T40" s="201">
        <v>554</v>
      </c>
      <c r="U40" s="202">
        <f t="shared" ref="U40" si="33">IF(Q40&lt;&gt;"",K40-T40,"")</f>
        <v>-554</v>
      </c>
      <c r="V40" s="203">
        <f t="shared" ref="V40" si="34">IF(Q40&lt;&gt;"",0%,"")</f>
        <v>0</v>
      </c>
      <c r="W40" s="204">
        <f t="shared" ref="W40" si="35">IF(Q40&lt;&gt;"",V40*U40,"")</f>
        <v>0</v>
      </c>
      <c r="X40" s="193">
        <f t="shared" ref="X40" si="36">IF(Q40&lt;&gt;"",W40+T40,"")</f>
        <v>554</v>
      </c>
      <c r="Y40" s="194">
        <f t="shared" ref="Y40:Y41" si="37">IF(Q40&lt;&gt;"",X40+M40,"")</f>
        <v>554</v>
      </c>
      <c r="Z40" s="205" t="e">
        <f t="shared" ref="Z40" si="38">IF(Q40&lt;&gt;"",U40/K40,"")</f>
        <v>#DIV/0!</v>
      </c>
      <c r="AA40" s="206">
        <f>T40/$T$41</f>
        <v>1</v>
      </c>
      <c r="AK40" s="131">
        <f>X40-AL40</f>
        <v>0</v>
      </c>
      <c r="AL40" s="132">
        <v>554</v>
      </c>
      <c r="AM40" s="237" t="s">
        <v>244</v>
      </c>
    </row>
    <row r="41" spans="1:43" ht="50.1" customHeight="1" thickBot="1" x14ac:dyDescent="0.6">
      <c r="A41" s="86">
        <v>39</v>
      </c>
      <c r="B41" s="111"/>
      <c r="C41" s="112" t="s">
        <v>120</v>
      </c>
      <c r="D41" s="86"/>
      <c r="E41" s="86"/>
      <c r="F41" s="253" t="s">
        <v>146</v>
      </c>
      <c r="G41" s="254"/>
      <c r="H41" s="254"/>
      <c r="I41" s="254"/>
      <c r="J41" s="254"/>
      <c r="K41" s="157">
        <f>SUM(K40:K40)</f>
        <v>0</v>
      </c>
      <c r="L41" s="157">
        <f>SUM(L40:L40)</f>
        <v>0</v>
      </c>
      <c r="M41" s="157">
        <f>SUM(M40:M40)</f>
        <v>0</v>
      </c>
      <c r="N41" s="158">
        <f>SUM(N40:N40)</f>
        <v>0</v>
      </c>
      <c r="Q41" s="258" t="s">
        <v>146</v>
      </c>
      <c r="R41" s="259"/>
      <c r="S41" s="259"/>
      <c r="T41" s="159">
        <f>SUM(T40:T40)</f>
        <v>554</v>
      </c>
      <c r="U41" s="160">
        <f>SUM(U40:U40)</f>
        <v>-554</v>
      </c>
      <c r="V41" s="161"/>
      <c r="W41" s="161"/>
      <c r="X41" s="162">
        <f>SUM(X40:X40)</f>
        <v>554</v>
      </c>
      <c r="Y41" s="163">
        <f t="shared" si="37"/>
        <v>554</v>
      </c>
      <c r="AK41" s="131"/>
      <c r="AL41" s="132"/>
    </row>
    <row r="42" spans="1:43" ht="50.1" customHeight="1" thickBot="1" x14ac:dyDescent="0.6">
      <c r="A42" s="86">
        <v>40</v>
      </c>
      <c r="B42" s="111">
        <v>6</v>
      </c>
      <c r="C42" s="112" t="s">
        <v>107</v>
      </c>
      <c r="D42" s="86"/>
      <c r="E42" s="86"/>
      <c r="F42" s="243" t="s">
        <v>179</v>
      </c>
      <c r="G42" s="244"/>
      <c r="H42" s="244"/>
      <c r="I42" s="244"/>
      <c r="J42" s="244"/>
      <c r="K42" s="244"/>
      <c r="L42" s="244"/>
      <c r="M42" s="244"/>
      <c r="N42" s="245"/>
      <c r="Q42" s="246" t="str">
        <f>IF(F42&lt;&gt;"",F42,"")</f>
        <v xml:space="preserve">LOGISTICA / OPERACIONAL </v>
      </c>
      <c r="R42" s="247"/>
      <c r="S42" s="247"/>
      <c r="T42" s="247"/>
      <c r="U42" s="247"/>
      <c r="V42" s="247"/>
      <c r="W42" s="247"/>
      <c r="X42" s="247"/>
      <c r="Y42" s="248"/>
      <c r="AK42" s="131"/>
      <c r="AL42" s="132"/>
    </row>
    <row r="43" spans="1:43" ht="50.1" customHeight="1" x14ac:dyDescent="0.55000000000000004">
      <c r="A43" s="86">
        <v>41</v>
      </c>
      <c r="B43" s="111" t="s">
        <v>141</v>
      </c>
      <c r="C43" s="112" t="s">
        <v>108</v>
      </c>
      <c r="D43" s="86"/>
      <c r="E43" s="86"/>
      <c r="F43" s="249" t="s">
        <v>179</v>
      </c>
      <c r="G43" s="250"/>
      <c r="H43" s="250"/>
      <c r="I43" s="250"/>
      <c r="J43" s="250"/>
      <c r="K43" s="251"/>
      <c r="L43" s="142" t="s">
        <v>110</v>
      </c>
      <c r="M43" s="143" t="s">
        <v>111</v>
      </c>
      <c r="N43" s="144" t="s">
        <v>81</v>
      </c>
      <c r="Q43" s="249" t="str">
        <f>IF(F43&lt;&gt;"",F43,"")</f>
        <v xml:space="preserve">LOGISTICA / OPERACIONAL </v>
      </c>
      <c r="R43" s="250"/>
      <c r="S43" s="250"/>
      <c r="T43" s="250"/>
      <c r="U43" s="250"/>
      <c r="V43" s="250"/>
      <c r="W43" s="250"/>
      <c r="X43" s="250"/>
      <c r="Y43" s="252"/>
      <c r="Z43" s="116" t="s">
        <v>112</v>
      </c>
      <c r="AA43" s="117" t="s">
        <v>82</v>
      </c>
      <c r="AK43" s="131"/>
      <c r="AL43" s="132"/>
    </row>
    <row r="44" spans="1:43" ht="180" customHeight="1" x14ac:dyDescent="0.55000000000000004">
      <c r="A44" s="181">
        <v>45</v>
      </c>
      <c r="B44" s="111" t="s">
        <v>142</v>
      </c>
      <c r="C44" s="182" t="s">
        <v>113</v>
      </c>
      <c r="D44" s="181" t="s">
        <v>125</v>
      </c>
      <c r="E44" s="181" t="s">
        <v>126</v>
      </c>
      <c r="F44" s="183" t="s">
        <v>180</v>
      </c>
      <c r="G44" s="207" t="s">
        <v>181</v>
      </c>
      <c r="H44" s="196">
        <v>1</v>
      </c>
      <c r="I44" s="196">
        <v>1</v>
      </c>
      <c r="J44" s="197">
        <v>5500</v>
      </c>
      <c r="K44" s="197">
        <f t="shared" ref="K44:K45" si="39">IF(F44&lt;&gt;"",H44*I44*J44,"")</f>
        <v>5500</v>
      </c>
      <c r="L44" s="197">
        <f t="shared" ref="L44:L45" si="40">IF(K44&lt;&gt;"",IF(D44="INTERNO",0,K44*$L$14),"")</f>
        <v>495</v>
      </c>
      <c r="M44" s="197">
        <f t="shared" ref="M44:M45" si="41">IF(K44&lt;&gt;"",IF(E44="FAT.OGGI",SUM(K44:L44)*(1/(1-$M$14)-1),L44*(1/(1-$M$14)-1)),"")</f>
        <v>120.13607555610791</v>
      </c>
      <c r="N44" s="198">
        <f t="shared" ref="N44:N45" si="42">SUM(K44:M44)</f>
        <v>6115.1360755561082</v>
      </c>
      <c r="O44" s="62" t="s">
        <v>198</v>
      </c>
      <c r="Q44" s="188">
        <f t="shared" ref="Q44:R45" si="43">IF(H44&lt;&gt;"",H44,"")</f>
        <v>1</v>
      </c>
      <c r="R44" s="189">
        <f t="shared" si="43"/>
        <v>1</v>
      </c>
      <c r="S44" s="190">
        <v>2500</v>
      </c>
      <c r="T44" s="190">
        <v>2383.14</v>
      </c>
      <c r="U44" s="191">
        <f t="shared" ref="U44:U45" si="44">IF(Q44&lt;&gt;"",K44-T44,"")</f>
        <v>3116.86</v>
      </c>
      <c r="V44" s="192">
        <f t="shared" ref="V44:V45" si="45">IF(Q44&lt;&gt;"",0%,"")</f>
        <v>0</v>
      </c>
      <c r="W44" s="193">
        <f t="shared" ref="W44:W45" si="46">IF(Q44&lt;&gt;"",V44*U44,"")</f>
        <v>0</v>
      </c>
      <c r="X44" s="193">
        <f t="shared" ref="X44:X45" si="47">IF(Q44&lt;&gt;"",W44+T44,"")</f>
        <v>2383.14</v>
      </c>
      <c r="Y44" s="194">
        <f t="shared" ref="Y44:Y46" si="48">IF(Q44&lt;&gt;"",X44+M44,"")</f>
        <v>2503.2760755561076</v>
      </c>
      <c r="Z44" s="113">
        <f t="shared" ref="Z44:Z45" si="49">IF(Q44&lt;&gt;"",U44/K44,"")</f>
        <v>0.5667018181818182</v>
      </c>
      <c r="AA44" s="130">
        <f>T44/$T$46</f>
        <v>0.88489272744825742</v>
      </c>
      <c r="AK44" s="131">
        <f t="shared" si="2"/>
        <v>0</v>
      </c>
      <c r="AL44" s="132">
        <v>2383.14</v>
      </c>
      <c r="AM44" s="237" t="s">
        <v>245</v>
      </c>
    </row>
    <row r="45" spans="1:43" ht="180" customHeight="1" thickBot="1" x14ac:dyDescent="0.6">
      <c r="A45" s="86">
        <v>46</v>
      </c>
      <c r="B45" s="111" t="s">
        <v>143</v>
      </c>
      <c r="C45" s="112" t="s">
        <v>113</v>
      </c>
      <c r="D45" s="86" t="s">
        <v>125</v>
      </c>
      <c r="E45" s="86" t="s">
        <v>126</v>
      </c>
      <c r="F45" s="118" t="s">
        <v>182</v>
      </c>
      <c r="G45" s="208" t="s">
        <v>183</v>
      </c>
      <c r="H45" s="120">
        <v>1</v>
      </c>
      <c r="I45" s="120">
        <v>1</v>
      </c>
      <c r="J45" s="121">
        <v>1000</v>
      </c>
      <c r="K45" s="121">
        <f t="shared" si="39"/>
        <v>1000</v>
      </c>
      <c r="L45" s="121">
        <f t="shared" si="40"/>
        <v>90</v>
      </c>
      <c r="M45" s="121">
        <f t="shared" si="41"/>
        <v>21.842922828383255</v>
      </c>
      <c r="N45" s="122">
        <f t="shared" si="42"/>
        <v>1111.8429228283833</v>
      </c>
      <c r="O45" s="62" t="s">
        <v>199</v>
      </c>
      <c r="Q45" s="170">
        <f t="shared" si="43"/>
        <v>1</v>
      </c>
      <c r="R45" s="171">
        <f t="shared" si="43"/>
        <v>1</v>
      </c>
      <c r="S45" s="172">
        <v>500</v>
      </c>
      <c r="T45" s="172">
        <v>310</v>
      </c>
      <c r="U45" s="173">
        <f t="shared" si="44"/>
        <v>690</v>
      </c>
      <c r="V45" s="174">
        <f t="shared" si="45"/>
        <v>0</v>
      </c>
      <c r="W45" s="175">
        <f t="shared" si="46"/>
        <v>0</v>
      </c>
      <c r="X45" s="175">
        <f t="shared" si="47"/>
        <v>310</v>
      </c>
      <c r="Y45" s="129">
        <f t="shared" si="48"/>
        <v>331.84292282838328</v>
      </c>
      <c r="Z45" s="209">
        <f t="shared" si="49"/>
        <v>0.69</v>
      </c>
      <c r="AA45" s="210">
        <f>T45/$T$46</f>
        <v>0.11510727255174258</v>
      </c>
      <c r="AK45" s="131">
        <f t="shared" si="2"/>
        <v>0</v>
      </c>
      <c r="AL45" s="132">
        <f>60+150+100</f>
        <v>310</v>
      </c>
      <c r="AM45" s="237" t="s">
        <v>241</v>
      </c>
    </row>
    <row r="46" spans="1:43" ht="50.1" customHeight="1" thickBot="1" x14ac:dyDescent="0.6">
      <c r="A46" s="86">
        <v>47</v>
      </c>
      <c r="B46" s="111"/>
      <c r="C46" s="112" t="s">
        <v>120</v>
      </c>
      <c r="D46" s="86"/>
      <c r="E46" s="86"/>
      <c r="F46" s="253" t="s">
        <v>184</v>
      </c>
      <c r="G46" s="254"/>
      <c r="H46" s="254"/>
      <c r="I46" s="254"/>
      <c r="J46" s="254"/>
      <c r="K46" s="157">
        <f>SUM(K44:K45)</f>
        <v>6500</v>
      </c>
      <c r="L46" s="157">
        <f>SUM(L44:L45)</f>
        <v>585</v>
      </c>
      <c r="M46" s="157">
        <f>SUM(M44:M45)</f>
        <v>141.97899838449118</v>
      </c>
      <c r="N46" s="158">
        <f>SUM(N44:N45)</f>
        <v>7226.9789983844912</v>
      </c>
      <c r="Q46" s="253" t="s">
        <v>184</v>
      </c>
      <c r="R46" s="254"/>
      <c r="S46" s="254"/>
      <c r="T46" s="211">
        <f>SUM(T44:T45)</f>
        <v>2693.14</v>
      </c>
      <c r="U46" s="212">
        <f>SUM(U44:U45)</f>
        <v>3806.86</v>
      </c>
      <c r="V46" s="213"/>
      <c r="W46" s="213"/>
      <c r="X46" s="214">
        <f>SUM(X44:X45)</f>
        <v>2693.14</v>
      </c>
      <c r="Y46" s="215">
        <f t="shared" si="48"/>
        <v>2835.1189983844911</v>
      </c>
      <c r="Z46" s="216" t="s">
        <v>134</v>
      </c>
      <c r="AA46" s="217" t="s">
        <v>135</v>
      </c>
      <c r="AK46" s="131"/>
      <c r="AL46" s="132"/>
    </row>
    <row r="47" spans="1:43" ht="50.1" customHeight="1" thickBot="1" x14ac:dyDescent="0.6">
      <c r="A47" s="178">
        <v>57</v>
      </c>
      <c r="B47" s="218"/>
      <c r="C47" s="179" t="s">
        <v>133</v>
      </c>
      <c r="D47" s="178"/>
      <c r="E47" s="178"/>
      <c r="F47" s="219" t="s">
        <v>188</v>
      </c>
      <c r="G47" s="220"/>
      <c r="H47" s="221"/>
      <c r="I47" s="221"/>
      <c r="J47" s="220"/>
      <c r="K47" s="222">
        <f>SUM(K17:K19)+SUM(K23:K24)+SUM(K28:K30)+SUM(K34:K36)+SUM(K40:K40)+SUM(K44:K45)</f>
        <v>69239</v>
      </c>
      <c r="L47" s="222">
        <f>SUM(L17:L19)+SUM(L23:L24)+SUM(L28:L30)+SUM(L34:L36)+SUM(L40:L40)+SUM(L44:L45)</f>
        <v>5300.01</v>
      </c>
      <c r="M47" s="222">
        <f>SUM(M17:M19)+SUM(M23:M24)+SUM(M28:M30)+SUM(M34:M36)+SUM(M40:M40)+SUM(M44:M45)</f>
        <v>3798.2440077047358</v>
      </c>
      <c r="N47" s="223">
        <f>SUM(N17:N19)+SUM(N23:N24)+SUM(N28:N30)+SUM(N34:N36)+SUM(N40:N40)+SUM(N44:N45)</f>
        <v>78337.254007704745</v>
      </c>
      <c r="Q47" s="224" t="s">
        <v>43</v>
      </c>
      <c r="R47" s="221"/>
      <c r="S47" s="220"/>
      <c r="T47" s="222">
        <f>SUM(T17:T19)+SUM(T23:T24)+SUM(T28:T30)+SUM(T34:T36)+SUM(T40:T40)+SUM(T44:T45)</f>
        <v>54794.54</v>
      </c>
      <c r="U47" s="222">
        <f>SUM(U17:U19)+SUM(U23:U24)+SUM(U28:U30)+SUM(U34:U36)+SUM(U40:U40)+SUM(U44:U45)</f>
        <v>14444.46</v>
      </c>
      <c r="V47" s="220"/>
      <c r="W47" s="220"/>
      <c r="X47" s="222">
        <f>SUM(X17:X19)+SUM(X23:X24)+SUM(X28:X30)+SUM(X34:X36)+SUM(X40:X40)+SUM(X44:X45)</f>
        <v>54794.54</v>
      </c>
      <c r="Y47" s="223">
        <f>SUM(Y17:Y19)+SUM(Y23:Y24)+SUM(Y28:Y30)+SUM(Y34:Y36)+SUM(Y40:Y40)+SUM(Y44:Y45)</f>
        <v>58592.784007704737</v>
      </c>
      <c r="Z47" s="225">
        <f>IF(Q47&lt;&gt;"",(N47-Y47)/N47,"")</f>
        <v>0.25204444871220621</v>
      </c>
      <c r="AA47" s="226">
        <f>IF(Z47&lt;&gt;"",(N47-Y47),"")</f>
        <v>19744.470000000008</v>
      </c>
      <c r="AK47" s="131">
        <f>SUM(AK17:AK46)</f>
        <v>0</v>
      </c>
      <c r="AL47" s="132">
        <f>SUM(AL17:AL46)</f>
        <v>54794.54</v>
      </c>
    </row>
    <row r="48" spans="1:43" x14ac:dyDescent="0.55000000000000004">
      <c r="AM48" s="227" t="s">
        <v>235</v>
      </c>
      <c r="AQ48" s="227"/>
    </row>
    <row r="49" spans="38:43" x14ac:dyDescent="0.55000000000000004">
      <c r="AL49" s="235">
        <f>X47</f>
        <v>54794.54</v>
      </c>
      <c r="AM49" s="227" t="s">
        <v>236</v>
      </c>
      <c r="AQ49" s="227"/>
    </row>
    <row r="50" spans="38:43" x14ac:dyDescent="0.55000000000000004">
      <c r="AL50" s="235">
        <f>N47-X47</f>
        <v>23542.714007704744</v>
      </c>
      <c r="AM50" s="228" t="s">
        <v>227</v>
      </c>
      <c r="AQ50" s="228"/>
    </row>
    <row r="51" spans="38:43" x14ac:dyDescent="0.55000000000000004">
      <c r="AL51" s="236">
        <f>AL50*100%/N47</f>
        <v>0.30053024331679068</v>
      </c>
    </row>
  </sheetData>
  <autoFilter ref="A1:AL14" xr:uid="{107B9E09-8154-459A-AE62-6A4242823A27}">
    <filterColumn colId="5" showButton="0"/>
  </autoFilter>
  <mergeCells count="45">
    <mergeCell ref="F20:J20"/>
    <mergeCell ref="Q20:S20"/>
    <mergeCell ref="F1:G1"/>
    <mergeCell ref="F2:G2"/>
    <mergeCell ref="Q12:T12"/>
    <mergeCell ref="AK12:AL12"/>
    <mergeCell ref="F15:N15"/>
    <mergeCell ref="Q15:Y15"/>
    <mergeCell ref="F16:K16"/>
    <mergeCell ref="Q16:Y16"/>
    <mergeCell ref="U12:X12"/>
    <mergeCell ref="AC12:AE12"/>
    <mergeCell ref="AG12:AH12"/>
    <mergeCell ref="AK15:AL15"/>
    <mergeCell ref="AK16:AL16"/>
    <mergeCell ref="F21:N21"/>
    <mergeCell ref="Q21:Y21"/>
    <mergeCell ref="F22:K22"/>
    <mergeCell ref="Q22:Y22"/>
    <mergeCell ref="F25:J25"/>
    <mergeCell ref="Q25:S25"/>
    <mergeCell ref="F26:N26"/>
    <mergeCell ref="Q26:Y26"/>
    <mergeCell ref="F27:K27"/>
    <mergeCell ref="Q27:Y27"/>
    <mergeCell ref="F31:J31"/>
    <mergeCell ref="Q31:S31"/>
    <mergeCell ref="F32:N32"/>
    <mergeCell ref="Q32:Y32"/>
    <mergeCell ref="F33:K33"/>
    <mergeCell ref="Q33:Y33"/>
    <mergeCell ref="F37:J37"/>
    <mergeCell ref="Q37:S37"/>
    <mergeCell ref="F38:N38"/>
    <mergeCell ref="Q38:Y38"/>
    <mergeCell ref="F39:K39"/>
    <mergeCell ref="Q39:Y39"/>
    <mergeCell ref="F41:J41"/>
    <mergeCell ref="Q41:S41"/>
    <mergeCell ref="F42:N42"/>
    <mergeCell ref="Q42:Y42"/>
    <mergeCell ref="F43:K43"/>
    <mergeCell ref="Q43:Y43"/>
    <mergeCell ref="F46:J46"/>
    <mergeCell ref="Q46:S46"/>
  </mergeCells>
  <dataValidations count="3">
    <dataValidation type="list" allowBlank="1" showInputMessage="1" showErrorMessage="1" sqref="E44:E45 E23:E24 E28:E30 E17:E20 E34:E36 E40" xr:uid="{929887DC-7D05-4145-B5ED-C6DF97AE69FC}">
      <formula1>"FAT.OGGI,FAT.CLIENTE"</formula1>
    </dataValidation>
    <dataValidation type="list" allowBlank="1" showInputMessage="1" showErrorMessage="1" sqref="D44:D45 D23:D24 D47 D28:D30 D17:D20 D34:D36 D40" xr:uid="{0EF484B7-F620-4084-88A1-BEE4D2C001C9}">
      <formula1>"INTERNO,OPERACIONAL"</formula1>
    </dataValidation>
    <dataValidation type="list" allowBlank="1" showInputMessage="1" showErrorMessage="1" sqref="E47" xr:uid="{1B483F8C-E003-4FCD-B777-1D033DF819C8}">
      <formula1>"FAT.OGGI,FAT.CLIENTE "</formula1>
    </dataValidation>
  </dataValidations>
  <pageMargins left="0" right="0" top="0.39370078740157483" bottom="0.19685039370078741" header="0" footer="0"/>
  <pageSetup paperSize="9" scale="31" fitToHeight="0" orientation="landscape" horizontalDpi="360" verticalDpi="360" r:id="rId1"/>
  <rowBreaks count="2" manualBreakCount="2">
    <brk id="25" max="16383" man="1"/>
    <brk id="41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10"/>
  <sheetViews>
    <sheetView zoomScale="70" zoomScaleNormal="70" workbookViewId="0">
      <selection activeCell="A8" sqref="A8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24" t="s">
        <v>48</v>
      </c>
      <c r="B8" s="24" t="s">
        <v>49</v>
      </c>
      <c r="C8" s="24" t="s">
        <v>50</v>
      </c>
      <c r="D8" s="24" t="s">
        <v>51</v>
      </c>
      <c r="E8" s="24" t="s">
        <v>52</v>
      </c>
      <c r="F8" s="24" t="s">
        <v>53</v>
      </c>
      <c r="G8" s="25" t="s">
        <v>46</v>
      </c>
      <c r="H8" s="25" t="s">
        <v>47</v>
      </c>
      <c r="I8" s="25" t="s">
        <v>9</v>
      </c>
      <c r="J8" s="25" t="s">
        <v>10</v>
      </c>
      <c r="K8" s="25" t="s">
        <v>54</v>
      </c>
      <c r="L8" s="25" t="s">
        <v>55</v>
      </c>
    </row>
    <row r="9" spans="1:12" x14ac:dyDescent="0.3">
      <c r="A9">
        <v>18</v>
      </c>
      <c r="B9" t="s">
        <v>161</v>
      </c>
      <c r="C9" t="s">
        <v>161</v>
      </c>
      <c r="D9" t="s">
        <v>169</v>
      </c>
      <c r="E9" t="s">
        <v>192</v>
      </c>
      <c r="F9" t="s">
        <v>200</v>
      </c>
      <c r="G9" t="s">
        <v>157</v>
      </c>
      <c r="H9" t="s">
        <v>207</v>
      </c>
      <c r="I9" t="s">
        <v>204</v>
      </c>
      <c r="J9" t="s">
        <v>11</v>
      </c>
      <c r="K9" t="s">
        <v>203</v>
      </c>
      <c r="L9" t="s">
        <v>11</v>
      </c>
    </row>
    <row r="10" spans="1:12" x14ac:dyDescent="0.3">
      <c r="A10">
        <v>27</v>
      </c>
      <c r="B10" t="s">
        <v>175</v>
      </c>
      <c r="C10" t="s">
        <v>175</v>
      </c>
      <c r="D10" t="s">
        <v>185</v>
      </c>
      <c r="E10" t="s">
        <v>221</v>
      </c>
      <c r="F10" t="s">
        <v>208</v>
      </c>
      <c r="G10" t="s">
        <v>157</v>
      </c>
      <c r="H10" t="s">
        <v>222</v>
      </c>
      <c r="I10" t="s">
        <v>216</v>
      </c>
      <c r="J10" t="s">
        <v>210</v>
      </c>
      <c r="K10" t="s">
        <v>211</v>
      </c>
      <c r="L10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297" t="s">
        <v>11</v>
      </c>
      <c r="B1" s="297"/>
      <c r="C1" s="297"/>
      <c r="D1" s="299" t="s">
        <v>61</v>
      </c>
      <c r="E1" s="299"/>
      <c r="F1" s="299"/>
      <c r="G1" s="299"/>
      <c r="H1" s="299"/>
      <c r="I1" s="299"/>
      <c r="J1" s="26" t="s">
        <v>11</v>
      </c>
      <c r="K1" s="26" t="s">
        <v>11</v>
      </c>
      <c r="L1" s="26" t="s">
        <v>11</v>
      </c>
      <c r="M1" s="26" t="s">
        <v>11</v>
      </c>
      <c r="N1" s="26" t="s">
        <v>11</v>
      </c>
      <c r="O1" s="27" t="s">
        <v>11</v>
      </c>
    </row>
    <row r="2" spans="1:15" x14ac:dyDescent="0.3">
      <c r="A2" s="298"/>
      <c r="B2" s="298"/>
      <c r="C2" s="298"/>
      <c r="D2" s="297" t="s">
        <v>62</v>
      </c>
      <c r="E2" s="297"/>
      <c r="F2" s="297"/>
      <c r="G2" s="297"/>
      <c r="H2" s="297"/>
      <c r="I2" s="297"/>
      <c r="J2" s="26"/>
      <c r="K2" s="26"/>
      <c r="L2" s="26"/>
      <c r="M2" s="26"/>
      <c r="N2" s="26"/>
      <c r="O2" s="300" t="s">
        <v>63</v>
      </c>
    </row>
    <row r="3" spans="1:15" x14ac:dyDescent="0.3">
      <c r="A3" s="298"/>
      <c r="B3" s="298"/>
      <c r="C3" s="298"/>
      <c r="D3" s="297" t="s">
        <v>64</v>
      </c>
      <c r="E3" s="297"/>
      <c r="F3" s="297"/>
      <c r="G3" s="297"/>
      <c r="H3" s="297"/>
      <c r="I3" s="297"/>
      <c r="J3" s="26"/>
      <c r="K3" s="26"/>
      <c r="L3" s="26"/>
      <c r="M3" s="26"/>
      <c r="N3" s="26"/>
      <c r="O3" s="301"/>
    </row>
    <row r="4" spans="1:15" x14ac:dyDescent="0.3">
      <c r="A4" s="298"/>
      <c r="B4" s="298"/>
      <c r="C4" s="298"/>
      <c r="D4" s="297" t="s">
        <v>65</v>
      </c>
      <c r="E4" s="297"/>
      <c r="F4" s="297"/>
      <c r="G4" s="297"/>
      <c r="H4" s="297"/>
      <c r="I4" s="297"/>
      <c r="J4" s="26"/>
      <c r="K4" s="26"/>
      <c r="L4" s="26"/>
      <c r="M4" s="26"/>
      <c r="N4" s="26"/>
      <c r="O4" s="301"/>
    </row>
    <row r="5" spans="1:15" x14ac:dyDescent="0.3">
      <c r="A5" s="298"/>
      <c r="B5" s="298"/>
      <c r="C5" s="298"/>
      <c r="D5" s="297" t="s">
        <v>66</v>
      </c>
      <c r="E5" s="297"/>
      <c r="F5" s="297"/>
      <c r="G5" s="297"/>
      <c r="H5" s="297"/>
      <c r="I5" s="297"/>
      <c r="J5" s="26"/>
      <c r="K5" s="26"/>
      <c r="L5" s="26"/>
      <c r="M5" s="26"/>
      <c r="N5" s="26"/>
      <c r="O5" s="301"/>
    </row>
    <row r="6" spans="1:15" x14ac:dyDescent="0.3">
      <c r="A6" s="298"/>
      <c r="B6" s="298"/>
      <c r="C6" s="298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301"/>
    </row>
    <row r="7" spans="1:15" x14ac:dyDescent="0.3">
      <c r="A7" s="298"/>
      <c r="B7" s="298"/>
      <c r="C7" s="298"/>
      <c r="D7" s="297" t="s">
        <v>67</v>
      </c>
      <c r="E7" s="297"/>
      <c r="F7" s="297"/>
      <c r="G7" s="297"/>
      <c r="H7" s="297"/>
      <c r="I7" s="297"/>
      <c r="J7" s="26"/>
      <c r="K7" s="26"/>
      <c r="L7" s="26"/>
      <c r="M7" s="26"/>
      <c r="N7" s="26"/>
      <c r="O7" s="28">
        <v>45264.482613275461</v>
      </c>
    </row>
    <row r="8" spans="1:15" x14ac:dyDescent="0.3">
      <c r="A8" s="296" t="s">
        <v>68</v>
      </c>
      <c r="B8" s="296"/>
      <c r="C8" s="296"/>
      <c r="D8" s="296"/>
      <c r="E8" s="296"/>
      <c r="F8" s="296"/>
      <c r="G8" s="296"/>
      <c r="H8" s="296"/>
      <c r="I8" s="296"/>
      <c r="J8" s="296"/>
      <c r="K8" s="296"/>
      <c r="L8" s="296"/>
      <c r="M8" s="296"/>
      <c r="N8" s="296"/>
      <c r="O8" s="296"/>
    </row>
    <row r="9" spans="1:15" ht="27.6" x14ac:dyDescent="0.3">
      <c r="A9" s="29" t="s">
        <v>69</v>
      </c>
      <c r="B9" s="29" t="s">
        <v>70</v>
      </c>
      <c r="C9" s="29" t="s">
        <v>71</v>
      </c>
      <c r="D9" s="29" t="s">
        <v>52</v>
      </c>
      <c r="E9" s="29" t="s">
        <v>72</v>
      </c>
      <c r="F9" s="29" t="s">
        <v>73</v>
      </c>
      <c r="G9" s="29" t="s">
        <v>34</v>
      </c>
      <c r="H9" s="29" t="s">
        <v>74</v>
      </c>
      <c r="I9" s="29" t="s">
        <v>75</v>
      </c>
      <c r="J9" s="29" t="s">
        <v>73</v>
      </c>
      <c r="K9" s="29" t="s">
        <v>76</v>
      </c>
      <c r="L9" s="29" t="s">
        <v>77</v>
      </c>
      <c r="M9" s="29" t="s">
        <v>78</v>
      </c>
      <c r="N9" s="29" t="s">
        <v>79</v>
      </c>
      <c r="O9" s="30" t="s">
        <v>80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335" t="s">
        <v>3</v>
      </c>
      <c r="C2" s="336"/>
      <c r="D2" s="336"/>
      <c r="E2" s="336"/>
      <c r="F2" s="336"/>
      <c r="G2" s="336"/>
      <c r="H2" s="336"/>
      <c r="I2" s="336"/>
      <c r="J2" s="336"/>
      <c r="K2" s="336"/>
      <c r="L2" s="337"/>
    </row>
    <row r="3" spans="2:12" ht="47.4" customHeight="1" thickBot="1" x14ac:dyDescent="0.35">
      <c r="B3" s="338" t="s">
        <v>12</v>
      </c>
      <c r="C3" s="339"/>
      <c r="D3" s="339"/>
      <c r="E3" s="339"/>
      <c r="F3" s="339"/>
      <c r="G3" s="339"/>
      <c r="H3" s="339"/>
      <c r="I3" s="339"/>
      <c r="J3" s="339"/>
      <c r="K3" s="339"/>
      <c r="L3" s="340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307" t="s">
        <v>13</v>
      </c>
      <c r="D6" s="307"/>
      <c r="E6" s="307"/>
      <c r="F6" s="307"/>
      <c r="G6" s="307"/>
      <c r="H6" s="307"/>
      <c r="I6" s="307"/>
      <c r="J6" s="307"/>
      <c r="K6" s="307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14</v>
      </c>
      <c r="D8" s="341" t="s">
        <v>208</v>
      </c>
      <c r="E8" s="342"/>
      <c r="F8" s="342"/>
      <c r="G8" s="342"/>
      <c r="H8" s="342"/>
      <c r="I8" s="342"/>
      <c r="J8" s="342"/>
      <c r="K8" s="343"/>
      <c r="L8" s="5"/>
    </row>
    <row r="9" spans="2:12" x14ac:dyDescent="0.3">
      <c r="B9" s="4"/>
      <c r="C9" s="7" t="s">
        <v>15</v>
      </c>
      <c r="D9" s="328" t="s">
        <v>16</v>
      </c>
      <c r="E9" s="329"/>
      <c r="F9" s="329"/>
      <c r="G9" s="329"/>
      <c r="H9" s="329"/>
      <c r="I9" s="329"/>
      <c r="J9" s="329"/>
      <c r="K9" s="330"/>
      <c r="L9" s="5"/>
    </row>
    <row r="10" spans="2:12" x14ac:dyDescent="0.3">
      <c r="B10" s="4"/>
      <c r="C10" s="7" t="s">
        <v>17</v>
      </c>
      <c r="D10" s="328" t="s">
        <v>148</v>
      </c>
      <c r="E10" s="329"/>
      <c r="F10" s="329"/>
      <c r="G10" s="329"/>
      <c r="H10" s="329"/>
      <c r="I10" s="329"/>
      <c r="J10" s="329"/>
      <c r="K10" s="330"/>
      <c r="L10" s="5"/>
    </row>
    <row r="11" spans="2:12" x14ac:dyDescent="0.3">
      <c r="B11" s="4"/>
      <c r="C11" s="7" t="s">
        <v>18</v>
      </c>
      <c r="D11" s="328" t="s">
        <v>201</v>
      </c>
      <c r="E11" s="329"/>
      <c r="F11" s="329"/>
      <c r="G11" s="329"/>
      <c r="H11" s="329"/>
      <c r="I11" s="329"/>
      <c r="J11" s="329"/>
      <c r="K11" s="330"/>
      <c r="L11" s="5"/>
    </row>
    <row r="12" spans="2:12" x14ac:dyDescent="0.3">
      <c r="B12" s="4"/>
      <c r="C12" s="10" t="s">
        <v>19</v>
      </c>
      <c r="D12" s="325" t="s">
        <v>202</v>
      </c>
      <c r="E12" s="326"/>
      <c r="F12" s="326"/>
      <c r="G12" s="326"/>
      <c r="H12" s="327"/>
      <c r="I12" s="11" t="s">
        <v>20</v>
      </c>
      <c r="J12" s="325" t="s">
        <v>138</v>
      </c>
      <c r="K12" s="327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307" t="s">
        <v>21</v>
      </c>
      <c r="D16" s="307"/>
      <c r="E16" s="307"/>
      <c r="F16" s="307"/>
      <c r="G16" s="307"/>
      <c r="H16" s="307"/>
      <c r="I16" s="307"/>
      <c r="J16" s="307"/>
      <c r="K16" s="307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331" t="s">
        <v>209</v>
      </c>
      <c r="E18" s="331"/>
      <c r="F18" s="331"/>
      <c r="G18" s="322"/>
      <c r="H18" s="331" t="s">
        <v>22</v>
      </c>
      <c r="I18" s="331"/>
      <c r="J18" s="331"/>
      <c r="K18" s="322"/>
      <c r="L18" s="5"/>
    </row>
    <row r="19" spans="2:12" x14ac:dyDescent="0.3">
      <c r="B19" s="4"/>
      <c r="C19" s="15" t="s">
        <v>23</v>
      </c>
      <c r="D19" s="332" t="s">
        <v>211</v>
      </c>
      <c r="E19" s="333"/>
      <c r="F19" s="333"/>
      <c r="G19" s="333"/>
      <c r="H19" s="333"/>
      <c r="I19" s="333"/>
      <c r="J19" s="333"/>
      <c r="K19" s="334"/>
      <c r="L19" s="5"/>
    </row>
    <row r="20" spans="2:12" x14ac:dyDescent="0.3">
      <c r="B20" s="4"/>
      <c r="C20" s="7" t="s">
        <v>24</v>
      </c>
      <c r="D20" s="328"/>
      <c r="E20" s="329"/>
      <c r="F20" s="329"/>
      <c r="G20" s="329"/>
      <c r="H20" s="329"/>
      <c r="I20" s="329"/>
      <c r="J20" s="329"/>
      <c r="K20" s="330"/>
      <c r="L20" s="5"/>
    </row>
    <row r="21" spans="2:12" x14ac:dyDescent="0.3">
      <c r="B21" s="4"/>
      <c r="C21" s="7" t="s">
        <v>25</v>
      </c>
      <c r="D21" s="328" t="s">
        <v>212</v>
      </c>
      <c r="E21" s="330"/>
      <c r="F21" s="7" t="s">
        <v>57</v>
      </c>
      <c r="G21" s="16" t="s">
        <v>213</v>
      </c>
      <c r="H21" s="7" t="s">
        <v>26</v>
      </c>
      <c r="I21" s="8" t="s">
        <v>214</v>
      </c>
      <c r="J21" s="7" t="s">
        <v>27</v>
      </c>
      <c r="K21" s="9" t="s">
        <v>11</v>
      </c>
      <c r="L21" s="5"/>
    </row>
    <row r="22" spans="2:12" x14ac:dyDescent="0.3">
      <c r="B22" s="4"/>
      <c r="C22" s="7" t="s">
        <v>28</v>
      </c>
      <c r="D22" s="328"/>
      <c r="E22" s="329"/>
      <c r="F22" s="329"/>
      <c r="G22" s="330"/>
      <c r="H22" s="7" t="s">
        <v>29</v>
      </c>
      <c r="I22" s="328" t="s">
        <v>210</v>
      </c>
      <c r="J22" s="329"/>
      <c r="K22" s="330"/>
      <c r="L22" s="5"/>
    </row>
    <row r="23" spans="2:12" x14ac:dyDescent="0.3">
      <c r="B23" s="4"/>
      <c r="C23" s="10" t="s">
        <v>30</v>
      </c>
      <c r="D23" s="325" t="s">
        <v>11</v>
      </c>
      <c r="E23" s="326"/>
      <c r="F23" s="326"/>
      <c r="G23" s="327"/>
      <c r="H23" s="10" t="s">
        <v>31</v>
      </c>
      <c r="I23" s="325" t="s">
        <v>11</v>
      </c>
      <c r="J23" s="326"/>
      <c r="K23" s="327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307" t="s">
        <v>21</v>
      </c>
      <c r="D27" s="307"/>
      <c r="E27" s="307"/>
      <c r="F27" s="307"/>
      <c r="G27" s="307"/>
      <c r="H27" s="307"/>
      <c r="I27" s="307"/>
      <c r="J27" s="307"/>
      <c r="K27" s="307"/>
      <c r="L27" s="5"/>
    </row>
    <row r="28" spans="2:12" x14ac:dyDescent="0.3">
      <c r="B28" s="4"/>
      <c r="L28" s="5"/>
    </row>
    <row r="29" spans="2:12" x14ac:dyDescent="0.3">
      <c r="B29" s="4"/>
      <c r="C29" s="6" t="s">
        <v>32</v>
      </c>
      <c r="D29" s="321" t="s">
        <v>33</v>
      </c>
      <c r="E29" s="322"/>
      <c r="F29" s="321" t="s">
        <v>34</v>
      </c>
      <c r="G29" s="322"/>
      <c r="H29" s="323" t="s">
        <v>35</v>
      </c>
      <c r="I29" s="323"/>
      <c r="J29" s="323"/>
      <c r="K29" s="324"/>
      <c r="L29" s="5"/>
    </row>
    <row r="30" spans="2:12" x14ac:dyDescent="0.3">
      <c r="B30" s="4"/>
      <c r="C30" s="17" t="s">
        <v>36</v>
      </c>
      <c r="D30" s="308" t="s">
        <v>215</v>
      </c>
      <c r="E30" s="309"/>
      <c r="F30" s="310" t="s">
        <v>216</v>
      </c>
      <c r="G30" s="311"/>
      <c r="H30" s="18" t="s">
        <v>37</v>
      </c>
      <c r="I30" s="321" t="s">
        <v>217</v>
      </c>
      <c r="J30" s="322"/>
      <c r="K30" s="6" t="s">
        <v>38</v>
      </c>
      <c r="L30" s="5"/>
    </row>
    <row r="31" spans="2:12" x14ac:dyDescent="0.3">
      <c r="B31" s="4"/>
      <c r="C31" s="17" t="s">
        <v>39</v>
      </c>
      <c r="D31" s="308" t="s">
        <v>11</v>
      </c>
      <c r="E31" s="309"/>
      <c r="F31" s="310" t="s">
        <v>11</v>
      </c>
      <c r="G31" s="311"/>
      <c r="H31" s="17" t="s">
        <v>37</v>
      </c>
      <c r="I31" s="312" t="s">
        <v>40</v>
      </c>
      <c r="J31" s="313"/>
      <c r="K31" s="7" t="s">
        <v>38</v>
      </c>
      <c r="L31" s="5"/>
    </row>
    <row r="32" spans="2:12" x14ac:dyDescent="0.3">
      <c r="B32" s="4"/>
      <c r="C32" s="17" t="s">
        <v>41</v>
      </c>
      <c r="D32" s="308" t="s">
        <v>11</v>
      </c>
      <c r="E32" s="309"/>
      <c r="F32" s="310" t="s">
        <v>11</v>
      </c>
      <c r="G32" s="311"/>
      <c r="H32" s="17" t="s">
        <v>37</v>
      </c>
      <c r="I32" s="312" t="s">
        <v>40</v>
      </c>
      <c r="J32" s="313"/>
      <c r="K32" s="7" t="s">
        <v>38</v>
      </c>
      <c r="L32" s="5"/>
    </row>
    <row r="33" spans="2:12" x14ac:dyDescent="0.3">
      <c r="B33" s="4"/>
      <c r="C33" s="19" t="s">
        <v>42</v>
      </c>
      <c r="D33" s="308" t="s">
        <v>11</v>
      </c>
      <c r="E33" s="309"/>
      <c r="F33" s="314" t="s">
        <v>11</v>
      </c>
      <c r="G33" s="315"/>
      <c r="H33" s="17" t="s">
        <v>37</v>
      </c>
      <c r="I33" s="312" t="s">
        <v>40</v>
      </c>
      <c r="J33" s="313"/>
      <c r="K33" s="7" t="s">
        <v>38</v>
      </c>
      <c r="L33" s="5"/>
    </row>
    <row r="34" spans="2:12" x14ac:dyDescent="0.3">
      <c r="B34" s="4"/>
      <c r="C34" s="316" t="s">
        <v>43</v>
      </c>
      <c r="D34" s="317"/>
      <c r="E34" s="318"/>
      <c r="F34" s="319" t="s">
        <v>216</v>
      </c>
      <c r="G34" s="320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307" t="s">
        <v>44</v>
      </c>
      <c r="D38" s="307"/>
      <c r="E38" s="307"/>
      <c r="F38" s="307"/>
      <c r="G38" s="307"/>
      <c r="H38" s="307"/>
      <c r="I38" s="307"/>
      <c r="J38" s="307"/>
      <c r="K38" s="307"/>
      <c r="L38" s="5"/>
    </row>
    <row r="39" spans="2:12" x14ac:dyDescent="0.3">
      <c r="B39" s="4"/>
      <c r="C39" s="305" t="s">
        <v>218</v>
      </c>
      <c r="D39" s="305"/>
      <c r="E39" s="305"/>
      <c r="F39" s="305"/>
      <c r="G39" s="305"/>
      <c r="H39" s="305"/>
      <c r="I39" s="305"/>
      <c r="J39" s="305"/>
      <c r="K39" s="305"/>
      <c r="L39" s="5"/>
    </row>
    <row r="40" spans="2:12" x14ac:dyDescent="0.3">
      <c r="B40" s="4"/>
      <c r="C40" s="305"/>
      <c r="D40" s="305"/>
      <c r="E40" s="305"/>
      <c r="F40" s="305"/>
      <c r="G40" s="305"/>
      <c r="H40" s="305"/>
      <c r="I40" s="305"/>
      <c r="J40" s="305"/>
      <c r="K40" s="305"/>
      <c r="L40" s="5"/>
    </row>
    <row r="41" spans="2:12" x14ac:dyDescent="0.3">
      <c r="B41" s="4"/>
      <c r="C41" s="305"/>
      <c r="D41" s="305"/>
      <c r="E41" s="305"/>
      <c r="F41" s="305"/>
      <c r="G41" s="305"/>
      <c r="H41" s="305"/>
      <c r="I41" s="305"/>
      <c r="J41" s="305"/>
      <c r="K41" s="305"/>
      <c r="L41" s="5"/>
    </row>
    <row r="42" spans="2:12" x14ac:dyDescent="0.3">
      <c r="B42" s="4"/>
      <c r="C42" s="305"/>
      <c r="D42" s="305"/>
      <c r="E42" s="305"/>
      <c r="F42" s="305"/>
      <c r="G42" s="305"/>
      <c r="H42" s="305"/>
      <c r="I42" s="305"/>
      <c r="J42" s="305"/>
      <c r="K42" s="305"/>
      <c r="L42" s="5"/>
    </row>
    <row r="43" spans="2:12" x14ac:dyDescent="0.3">
      <c r="B43" s="4"/>
      <c r="C43" s="305"/>
      <c r="D43" s="305"/>
      <c r="E43" s="305"/>
      <c r="F43" s="305"/>
      <c r="G43" s="305"/>
      <c r="H43" s="305"/>
      <c r="I43" s="305"/>
      <c r="J43" s="305"/>
      <c r="K43" s="305"/>
      <c r="L43" s="5"/>
    </row>
    <row r="44" spans="2:12" x14ac:dyDescent="0.3">
      <c r="B44" s="4"/>
      <c r="C44" s="305"/>
      <c r="D44" s="305"/>
      <c r="E44" s="305"/>
      <c r="F44" s="305"/>
      <c r="G44" s="305"/>
      <c r="H44" s="305"/>
      <c r="I44" s="305"/>
      <c r="J44" s="305"/>
      <c r="K44" s="305"/>
      <c r="L44" s="5"/>
    </row>
    <row r="45" spans="2:12" x14ac:dyDescent="0.3">
      <c r="B45" s="4"/>
      <c r="C45" s="306"/>
      <c r="D45" s="306"/>
      <c r="E45" s="306"/>
      <c r="F45" s="306"/>
      <c r="G45" s="306"/>
      <c r="H45" s="306"/>
      <c r="I45" s="306"/>
      <c r="J45" s="306"/>
      <c r="K45" s="306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302" t="s">
        <v>45</v>
      </c>
      <c r="C48" s="303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304" t="s">
        <v>46</v>
      </c>
      <c r="D51" s="304"/>
      <c r="E51" s="304"/>
      <c r="F51" s="304"/>
      <c r="H51" s="304" t="s">
        <v>47</v>
      </c>
      <c r="I51" s="304"/>
      <c r="J51" s="304"/>
      <c r="K51" s="304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36B072B9476384EAB3ACCDDD2384384" ma:contentTypeVersion="11" ma:contentTypeDescription="Crie um novo documento." ma:contentTypeScope="" ma:versionID="c9ae70d9359dd23e9a48b07547b717ad">
  <xsd:schema xmlns:xsd="http://www.w3.org/2001/XMLSchema" xmlns:xs="http://www.w3.org/2001/XMLSchema" xmlns:p="http://schemas.microsoft.com/office/2006/metadata/properties" xmlns:ns2="7a991dad-45c2-4a9e-9fda-9c556ad46bbb" xmlns:ns3="e3d5a89f-10c1-48c7-b69d-72d2ad4a8504" targetNamespace="http://schemas.microsoft.com/office/2006/metadata/properties" ma:root="true" ma:fieldsID="3937aaad769f7dbee2ffe085997c1990" ns2:_="" ns3:_="">
    <xsd:import namespace="7a991dad-45c2-4a9e-9fda-9c556ad46bbb"/>
    <xsd:import namespace="e3d5a89f-10c1-48c7-b69d-72d2ad4a850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991dad-45c2-4a9e-9fda-9c556ad46b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b0438eb4-5b5a-4ed9-a302-1fe602507e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d5a89f-10c1-48c7-b69d-72d2ad4a8504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2b14d52-2751-4760-8594-93415ecef864}" ma:internalName="TaxCatchAll" ma:showField="CatchAllData" ma:web="e3d5a89f-10c1-48c7-b69d-72d2ad4a850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a991dad-45c2-4a9e-9fda-9c556ad46bbb">
      <Terms xmlns="http://schemas.microsoft.com/office/infopath/2007/PartnerControls"/>
    </lcf76f155ced4ddcb4097134ff3c332f>
    <TaxCatchAll xmlns="e3d5a89f-10c1-48c7-b69d-72d2ad4a8504" xsi:nil="true"/>
  </documentManagement>
</p:properties>
</file>

<file path=customXml/itemProps1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851F440-CB5F-4979-B04A-4EA3DFBB93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991dad-45c2-4a9e-9fda-9c556ad46bbb"/>
    <ds:schemaRef ds:uri="e3d5a89f-10c1-48c7-b69d-72d2ad4a850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15</vt:i4>
      </vt:variant>
    </vt:vector>
  </HeadingPairs>
  <TitlesOfParts>
    <vt:vector size="20" baseType="lpstr">
      <vt:lpstr>RESUMO</vt:lpstr>
      <vt:lpstr>CIO BRASIL </vt:lpstr>
      <vt:lpstr>Solicitações de Pagamento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2026-04-24T18:41:23Z</cp:lastPrinted>
  <dcterms:created xsi:type="dcterms:W3CDTF">2023-09-21T21:02:20Z</dcterms:created>
  <dcterms:modified xsi:type="dcterms:W3CDTF">2026-04-28T23:43:59Z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0x010100B36B072B9476384EAB3ACCDDD2384384</vt:lpwstr>
  </property>
  <property fmtid="{D5CDD505-2E9C-101B-9397-08002B2CF9AE}" pid="3" name="MediaServiceImageTags">
    <vt:lpwstr/>
  </property>
</Properties>
</file>