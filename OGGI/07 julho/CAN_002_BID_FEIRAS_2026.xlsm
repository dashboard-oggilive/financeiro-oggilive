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ink/ink3.xml" ContentType="application/inkml+xml"/>
  <Override PartName="/xl/ink/ink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7 julho\OK\"/>
    </mc:Choice>
  </mc:AlternateContent>
  <xr:revisionPtr revIDLastSave="0" documentId="13_ncr:1_{EA7E109D-0F4C-4848-988D-6A8794E6DF3C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103" r:id="rId1"/>
    <sheet name="PNEUSHOW" sheetId="99" r:id="rId2"/>
    <sheet name="EXTRAS PNEUSHOW" sheetId="101" r:id="rId3"/>
    <sheet name="CUSTOS OP." sheetId="102" r:id="rId4"/>
    <sheet name="ItensOrc" sheetId="76" state="hidden" r:id="rId5"/>
    <sheet name="Template SP" sheetId="3" state="hidden" r:id="rId6"/>
  </sheets>
  <definedNames>
    <definedName name="_xlnm._FilterDatabase" localSheetId="2" hidden="1">'EXTRAS PNEUSHOW'!$A$1:$AM$14</definedName>
    <definedName name="_xlnm._FilterDatabase" localSheetId="1" hidden="1">PNEUSHOW!$A$1:$AM$14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03" l="1"/>
  <c r="C25" i="103"/>
  <c r="D32" i="103"/>
  <c r="D31" i="103"/>
  <c r="D30" i="103"/>
  <c r="E23" i="103"/>
  <c r="C33" i="103"/>
  <c r="E30" i="103"/>
  <c r="F30" i="103" s="1"/>
  <c r="E31" i="103"/>
  <c r="F31" i="103" s="1"/>
  <c r="E32" i="103"/>
  <c r="F32" i="103"/>
  <c r="AC23" i="99"/>
  <c r="T30" i="101"/>
  <c r="AC59" i="99"/>
  <c r="E17" i="102"/>
  <c r="AC54" i="99" s="1"/>
  <c r="AC20" i="99"/>
  <c r="AC50" i="99"/>
  <c r="AC26" i="99"/>
  <c r="AC35" i="99"/>
  <c r="C22" i="103"/>
  <c r="AB24" i="99"/>
  <c r="AB26" i="99"/>
  <c r="AB27" i="99"/>
  <c r="AB29" i="99"/>
  <c r="AB44" i="99"/>
  <c r="AB46" i="99"/>
  <c r="AB55" i="99"/>
  <c r="AC39" i="101"/>
  <c r="E3" i="103"/>
  <c r="AC61" i="99" l="1"/>
  <c r="R20" i="101" l="1"/>
  <c r="Q20" i="101"/>
  <c r="K20" i="101"/>
  <c r="R49" i="99"/>
  <c r="V26" i="101"/>
  <c r="K26" i="101"/>
  <c r="L20" i="101" l="1"/>
  <c r="U20" i="101"/>
  <c r="Z20" i="101" s="1"/>
  <c r="V20" i="101"/>
  <c r="U26" i="101"/>
  <c r="Z26" i="101" s="1"/>
  <c r="L26" i="101"/>
  <c r="R28" i="101"/>
  <c r="Q28" i="101"/>
  <c r="V28" i="101" s="1"/>
  <c r="K28" i="101"/>
  <c r="R29" i="101"/>
  <c r="Q29" i="101"/>
  <c r="V29" i="101"/>
  <c r="K29" i="101"/>
  <c r="R27" i="101"/>
  <c r="Q27" i="101"/>
  <c r="V27" i="101" s="1"/>
  <c r="K27" i="101"/>
  <c r="R25" i="101"/>
  <c r="Q25" i="101"/>
  <c r="V25" i="101" s="1"/>
  <c r="K25" i="101"/>
  <c r="R24" i="101"/>
  <c r="Q24" i="101"/>
  <c r="V24" i="101" s="1"/>
  <c r="K24" i="101"/>
  <c r="R37" i="101"/>
  <c r="Q37" i="101"/>
  <c r="V37" i="101" s="1"/>
  <c r="K37" i="101"/>
  <c r="R36" i="101"/>
  <c r="Q36" i="101"/>
  <c r="V36" i="101" s="1"/>
  <c r="K36" i="101"/>
  <c r="R35" i="101"/>
  <c r="Q35" i="101"/>
  <c r="V35" i="101" s="1"/>
  <c r="K35" i="101"/>
  <c r="Q31" i="101"/>
  <c r="R22" i="101"/>
  <c r="Q22" i="101"/>
  <c r="K22" i="101"/>
  <c r="W26" i="101" l="1"/>
  <c r="X26" i="101" s="1"/>
  <c r="AB26" i="101" s="1"/>
  <c r="W20" i="101"/>
  <c r="X20" i="101" s="1"/>
  <c r="AB20" i="101" s="1"/>
  <c r="M20" i="101"/>
  <c r="M26" i="101"/>
  <c r="N26" i="101" s="1"/>
  <c r="U28" i="101"/>
  <c r="L28" i="101"/>
  <c r="M28" i="101" s="1"/>
  <c r="U24" i="101"/>
  <c r="W24" i="101" s="1"/>
  <c r="X24" i="101" s="1"/>
  <c r="AB24" i="101" s="1"/>
  <c r="U29" i="101"/>
  <c r="Z29" i="101" s="1"/>
  <c r="L29" i="101"/>
  <c r="U25" i="101"/>
  <c r="U27" i="101"/>
  <c r="L27" i="101"/>
  <c r="M27" i="101" s="1"/>
  <c r="U36" i="101"/>
  <c r="U35" i="101"/>
  <c r="Z35" i="101" s="1"/>
  <c r="L25" i="101"/>
  <c r="L24" i="101"/>
  <c r="U37" i="101"/>
  <c r="W37" i="101" s="1"/>
  <c r="X37" i="101" s="1"/>
  <c r="AB37" i="101" s="1"/>
  <c r="L37" i="101"/>
  <c r="L36" i="101"/>
  <c r="M36" i="101" s="1"/>
  <c r="L35" i="101"/>
  <c r="L22" i="101"/>
  <c r="V22" i="101"/>
  <c r="W29" i="101" l="1"/>
  <c r="X29" i="101" s="1"/>
  <c r="AB29" i="101" s="1"/>
  <c r="N20" i="101"/>
  <c r="Y20" i="101"/>
  <c r="Y26" i="101"/>
  <c r="Z25" i="101"/>
  <c r="W25" i="101"/>
  <c r="X25" i="101" s="1"/>
  <c r="AB25" i="101" s="1"/>
  <c r="Z28" i="101"/>
  <c r="W28" i="101"/>
  <c r="X28" i="101" s="1"/>
  <c r="N28" i="101"/>
  <c r="M29" i="101"/>
  <c r="N29" i="101" s="1"/>
  <c r="Z27" i="101"/>
  <c r="W27" i="101"/>
  <c r="X27" i="101" s="1"/>
  <c r="N27" i="101"/>
  <c r="Z36" i="101"/>
  <c r="W36" i="101"/>
  <c r="X36" i="101" s="1"/>
  <c r="W35" i="101"/>
  <c r="X35" i="101" s="1"/>
  <c r="AB35" i="101" s="1"/>
  <c r="M25" i="101"/>
  <c r="N25" i="101" s="1"/>
  <c r="Z24" i="101"/>
  <c r="M24" i="101"/>
  <c r="N24" i="101" s="1"/>
  <c r="Z37" i="101"/>
  <c r="M37" i="101"/>
  <c r="N36" i="101"/>
  <c r="M35" i="101"/>
  <c r="N35" i="101" s="1"/>
  <c r="U22" i="101"/>
  <c r="Z22" i="101" s="1"/>
  <c r="M22" i="101"/>
  <c r="N22" i="101" s="1"/>
  <c r="Y36" i="101" l="1"/>
  <c r="AB36" i="101"/>
  <c r="Y28" i="101"/>
  <c r="AB28" i="101"/>
  <c r="Y27" i="101"/>
  <c r="AB27" i="101"/>
  <c r="Y29" i="101"/>
  <c r="W22" i="101"/>
  <c r="X22" i="101" s="1"/>
  <c r="AB22" i="101" s="1"/>
  <c r="Y25" i="101"/>
  <c r="Y24" i="101"/>
  <c r="N37" i="101"/>
  <c r="Y37" i="101"/>
  <c r="Y35" i="101"/>
  <c r="Y22" i="101"/>
  <c r="R34" i="101"/>
  <c r="Q34" i="101"/>
  <c r="K34" i="101"/>
  <c r="L34" i="101" s="1"/>
  <c r="R33" i="101"/>
  <c r="Q33" i="101"/>
  <c r="K33" i="101"/>
  <c r="Q32" i="101"/>
  <c r="Q23" i="101"/>
  <c r="K23" i="101"/>
  <c r="L23" i="101" s="1"/>
  <c r="R21" i="101"/>
  <c r="Q21" i="101"/>
  <c r="K21" i="101"/>
  <c r="R19" i="101"/>
  <c r="K19" i="101"/>
  <c r="R18" i="101"/>
  <c r="Q18" i="101"/>
  <c r="K18" i="101"/>
  <c r="R17" i="101"/>
  <c r="Q17" i="101"/>
  <c r="K17" i="101"/>
  <c r="Q16" i="101"/>
  <c r="Q15" i="101"/>
  <c r="Z12" i="101"/>
  <c r="K39" i="101" l="1"/>
  <c r="K30" i="101"/>
  <c r="K38" i="101"/>
  <c r="L33" i="101"/>
  <c r="L38" i="101" s="1"/>
  <c r="M23" i="101"/>
  <c r="V23" i="101"/>
  <c r="V34" i="101"/>
  <c r="M34" i="101"/>
  <c r="N34" i="101" s="1"/>
  <c r="V33" i="101"/>
  <c r="L21" i="101"/>
  <c r="V19" i="101"/>
  <c r="L19" i="101"/>
  <c r="L18" i="101"/>
  <c r="L17" i="101"/>
  <c r="V21" i="101"/>
  <c r="V18" i="101"/>
  <c r="V17" i="101"/>
  <c r="R59" i="99"/>
  <c r="Q59" i="99"/>
  <c r="V59" i="99"/>
  <c r="K59" i="99"/>
  <c r="L59" i="99" s="1"/>
  <c r="L60" i="99" s="1"/>
  <c r="Q58" i="99"/>
  <c r="Q57" i="99"/>
  <c r="K36" i="99"/>
  <c r="P34" i="99"/>
  <c r="R36" i="99"/>
  <c r="Q36" i="99"/>
  <c r="P37" i="99"/>
  <c r="R55" i="99"/>
  <c r="Q55" i="99"/>
  <c r="T55" i="99" s="1"/>
  <c r="K55" i="99"/>
  <c r="T38" i="101" l="1"/>
  <c r="AA34" i="101" s="1"/>
  <c r="V36" i="99"/>
  <c r="V55" i="99"/>
  <c r="K60" i="99"/>
  <c r="T39" i="101"/>
  <c r="AA22" i="101"/>
  <c r="L39" i="101"/>
  <c r="L30" i="101"/>
  <c r="U18" i="101"/>
  <c r="Z18" i="101" s="1"/>
  <c r="U21" i="101"/>
  <c r="Z21" i="101" s="1"/>
  <c r="U23" i="101"/>
  <c r="Z23" i="101" s="1"/>
  <c r="U19" i="101"/>
  <c r="Z19" i="101" s="1"/>
  <c r="M17" i="101"/>
  <c r="M33" i="101"/>
  <c r="M38" i="101" s="1"/>
  <c r="U17" i="101"/>
  <c r="N23" i="101"/>
  <c r="U33" i="101"/>
  <c r="U34" i="101"/>
  <c r="W34" i="101" s="1"/>
  <c r="X34" i="101" s="1"/>
  <c r="M21" i="101"/>
  <c r="N21" i="101" s="1"/>
  <c r="M19" i="101"/>
  <c r="W18" i="101"/>
  <c r="X18" i="101" s="1"/>
  <c r="AB18" i="101" s="1"/>
  <c r="M18" i="101"/>
  <c r="N18" i="101" s="1"/>
  <c r="M59" i="99"/>
  <c r="U59" i="99"/>
  <c r="U36" i="99"/>
  <c r="Z36" i="99" s="1"/>
  <c r="L36" i="99"/>
  <c r="U55" i="99"/>
  <c r="Z55" i="99" s="1"/>
  <c r="L55" i="99"/>
  <c r="AA33" i="101" l="1"/>
  <c r="Y34" i="101"/>
  <c r="AB34" i="101"/>
  <c r="N59" i="99"/>
  <c r="N60" i="99" s="1"/>
  <c r="M60" i="99"/>
  <c r="M39" i="101"/>
  <c r="M30" i="101"/>
  <c r="U38" i="101"/>
  <c r="U39" i="101"/>
  <c r="U30" i="101"/>
  <c r="AA19" i="101"/>
  <c r="W17" i="101"/>
  <c r="X17" i="101" s="1"/>
  <c r="AB17" i="101" s="1"/>
  <c r="W21" i="101"/>
  <c r="X21" i="101" s="1"/>
  <c r="AA36" i="101"/>
  <c r="AA35" i="101"/>
  <c r="AA37" i="101"/>
  <c r="AA23" i="101"/>
  <c r="AA21" i="101"/>
  <c r="AA18" i="101"/>
  <c r="N17" i="101"/>
  <c r="W23" i="101"/>
  <c r="X23" i="101" s="1"/>
  <c r="W19" i="101"/>
  <c r="X19" i="101" s="1"/>
  <c r="AB19" i="101" s="1"/>
  <c r="AA17" i="101"/>
  <c r="Z17" i="101"/>
  <c r="W33" i="101"/>
  <c r="X33" i="101" s="1"/>
  <c r="Y17" i="101"/>
  <c r="N33" i="101"/>
  <c r="N38" i="101" s="1"/>
  <c r="Z34" i="101"/>
  <c r="Z33" i="101"/>
  <c r="N19" i="101"/>
  <c r="Y18" i="101"/>
  <c r="Z59" i="99"/>
  <c r="U60" i="99"/>
  <c r="W59" i="99"/>
  <c r="X59" i="99" s="1"/>
  <c r="AB59" i="99" s="1"/>
  <c r="W36" i="99"/>
  <c r="X36" i="99" s="1"/>
  <c r="AB36" i="99" s="1"/>
  <c r="M36" i="99"/>
  <c r="N36" i="99" s="1"/>
  <c r="W55" i="99"/>
  <c r="X55" i="99" s="1"/>
  <c r="M55" i="99"/>
  <c r="N55" i="99" s="1"/>
  <c r="X38" i="101" l="1"/>
  <c r="Y38" i="101" s="1"/>
  <c r="AB33" i="101"/>
  <c r="Y23" i="101"/>
  <c r="AB23" i="101"/>
  <c r="Y21" i="101"/>
  <c r="AB21" i="101"/>
  <c r="AB39" i="101"/>
  <c r="X39" i="101"/>
  <c r="D22" i="103" s="1"/>
  <c r="E22" i="103" s="1"/>
  <c r="F22" i="103" s="1"/>
  <c r="X30" i="101"/>
  <c r="Y30" i="101" s="1"/>
  <c r="N39" i="101"/>
  <c r="N30" i="101"/>
  <c r="Y19" i="101"/>
  <c r="Y33" i="101"/>
  <c r="Y59" i="99"/>
  <c r="X60" i="99"/>
  <c r="Y60" i="99" s="1"/>
  <c r="Y36" i="99"/>
  <c r="Y55" i="99"/>
  <c r="K30" i="99"/>
  <c r="R30" i="99"/>
  <c r="Q30" i="99"/>
  <c r="P35" i="99"/>
  <c r="P36" i="99" s="1"/>
  <c r="Y39" i="101" l="1"/>
  <c r="Z39" i="101" s="1"/>
  <c r="AA39" i="101" s="1"/>
  <c r="AC42" i="101"/>
  <c r="AC43" i="101"/>
  <c r="AC44" i="101" s="1"/>
  <c r="U30" i="99"/>
  <c r="Z30" i="99" s="1"/>
  <c r="V30" i="99"/>
  <c r="L30" i="99"/>
  <c r="M30" i="99" s="1"/>
  <c r="K37" i="99"/>
  <c r="L37" i="99" s="1"/>
  <c r="K35" i="99"/>
  <c r="W30" i="99" l="1"/>
  <c r="X30" i="99" s="1"/>
  <c r="N30" i="99"/>
  <c r="K39" i="99"/>
  <c r="K38" i="99"/>
  <c r="L35" i="99"/>
  <c r="M37" i="99"/>
  <c r="N37" i="99" s="1"/>
  <c r="Y30" i="99" l="1"/>
  <c r="AB30" i="99"/>
  <c r="L39" i="99"/>
  <c r="L38" i="99"/>
  <c r="M35" i="99"/>
  <c r="M39" i="99" s="1"/>
  <c r="N35" i="99" l="1"/>
  <c r="N38" i="99" s="1"/>
  <c r="M38" i="99"/>
  <c r="N39" i="99" l="1"/>
  <c r="R46" i="99"/>
  <c r="Q46" i="99"/>
  <c r="K46" i="99"/>
  <c r="R45" i="99"/>
  <c r="Q45" i="99"/>
  <c r="K45" i="99"/>
  <c r="R44" i="99"/>
  <c r="Q44" i="99"/>
  <c r="K44" i="99"/>
  <c r="K43" i="99"/>
  <c r="L43" i="99" s="1"/>
  <c r="R42" i="99"/>
  <c r="Q42" i="99"/>
  <c r="K42" i="99"/>
  <c r="K47" i="99" l="1"/>
  <c r="M43" i="99"/>
  <c r="N43" i="99" s="1"/>
  <c r="L46" i="99"/>
  <c r="L42" i="99"/>
  <c r="M42" i="99" s="1"/>
  <c r="N42" i="99" s="1"/>
  <c r="L45" i="99"/>
  <c r="L44" i="99"/>
  <c r="M44" i="99" l="1"/>
  <c r="M45" i="99"/>
  <c r="N45" i="99" s="1"/>
  <c r="L47" i="99"/>
  <c r="M46" i="99"/>
  <c r="N44" i="99" l="1"/>
  <c r="M47" i="99"/>
  <c r="N46" i="99"/>
  <c r="V35" i="99"/>
  <c r="R54" i="99"/>
  <c r="Q54" i="99"/>
  <c r="V54" i="99" s="1"/>
  <c r="K54" i="99"/>
  <c r="R53" i="99"/>
  <c r="Q53" i="99"/>
  <c r="K53" i="99"/>
  <c r="L53" i="99" s="1"/>
  <c r="R52" i="99"/>
  <c r="Q52" i="99"/>
  <c r="K52" i="99"/>
  <c r="R51" i="99"/>
  <c r="Q51" i="99"/>
  <c r="K51" i="99"/>
  <c r="R50" i="99"/>
  <c r="Q50" i="99"/>
  <c r="V50" i="99" s="1"/>
  <c r="K50" i="99"/>
  <c r="K49" i="99"/>
  <c r="L49" i="99" s="1"/>
  <c r="Q48" i="99"/>
  <c r="T46" i="99"/>
  <c r="V44" i="99"/>
  <c r="Q41" i="99"/>
  <c r="Q40" i="99"/>
  <c r="V37" i="99"/>
  <c r="Q34" i="99"/>
  <c r="Q33" i="99"/>
  <c r="R29" i="99"/>
  <c r="Q29" i="99"/>
  <c r="V29" i="99" s="1"/>
  <c r="K29" i="99"/>
  <c r="R28" i="99"/>
  <c r="Q28" i="99"/>
  <c r="V28" i="99" s="1"/>
  <c r="K28" i="99"/>
  <c r="R27" i="99"/>
  <c r="Q27" i="99"/>
  <c r="K27" i="99"/>
  <c r="L27" i="99" s="1"/>
  <c r="M27" i="99" s="1"/>
  <c r="N27" i="99" s="1"/>
  <c r="R26" i="99"/>
  <c r="Q26" i="99"/>
  <c r="V26" i="99" s="1"/>
  <c r="K26" i="99"/>
  <c r="Q25" i="99"/>
  <c r="V25" i="99" s="1"/>
  <c r="K25" i="99"/>
  <c r="R24" i="99"/>
  <c r="Q24" i="99"/>
  <c r="K24" i="99"/>
  <c r="L24" i="99" s="1"/>
  <c r="M24" i="99" s="1"/>
  <c r="N24" i="99" s="1"/>
  <c r="Q23" i="99"/>
  <c r="K23" i="99"/>
  <c r="L23" i="99" s="1"/>
  <c r="Q22" i="99"/>
  <c r="R20" i="99"/>
  <c r="Q20" i="99"/>
  <c r="V20" i="99" s="1"/>
  <c r="K20" i="99"/>
  <c r="L20" i="99" s="1"/>
  <c r="R19" i="99"/>
  <c r="Q19" i="99"/>
  <c r="V19" i="99" s="1"/>
  <c r="K19" i="99"/>
  <c r="R18" i="99"/>
  <c r="Q18" i="99"/>
  <c r="K18" i="99"/>
  <c r="L18" i="99" s="1"/>
  <c r="R17" i="99"/>
  <c r="Q17" i="99"/>
  <c r="K17" i="99"/>
  <c r="Q16" i="99"/>
  <c r="Q15" i="99"/>
  <c r="Z12" i="99"/>
  <c r="K61" i="99" l="1"/>
  <c r="N47" i="99"/>
  <c r="L51" i="99"/>
  <c r="T24" i="99"/>
  <c r="U24" i="99" s="1"/>
  <c r="Z24" i="99" s="1"/>
  <c r="L17" i="99"/>
  <c r="L21" i="99" s="1"/>
  <c r="K21" i="99"/>
  <c r="K31" i="99"/>
  <c r="K32" i="99"/>
  <c r="K56" i="99"/>
  <c r="M20" i="99"/>
  <c r="N20" i="99" s="1"/>
  <c r="T27" i="99"/>
  <c r="U27" i="99" s="1"/>
  <c r="Z27" i="99" s="1"/>
  <c r="U51" i="99"/>
  <c r="T29" i="99"/>
  <c r="U29" i="99" s="1"/>
  <c r="W29" i="99" s="1"/>
  <c r="X29" i="99" s="1"/>
  <c r="U53" i="99"/>
  <c r="Z53" i="99" s="1"/>
  <c r="T26" i="99"/>
  <c r="U26" i="99" s="1"/>
  <c r="W26" i="99" s="1"/>
  <c r="X26" i="99" s="1"/>
  <c r="U49" i="99"/>
  <c r="V51" i="99"/>
  <c r="U28" i="99"/>
  <c r="Z28" i="99" s="1"/>
  <c r="U18" i="99"/>
  <c r="Z18" i="99" s="1"/>
  <c r="L26" i="99"/>
  <c r="M26" i="99" s="1"/>
  <c r="L29" i="99"/>
  <c r="V43" i="99"/>
  <c r="M23" i="99"/>
  <c r="N23" i="99" s="1"/>
  <c r="U43" i="99"/>
  <c r="Z43" i="99" s="1"/>
  <c r="M49" i="99"/>
  <c r="N49" i="99" s="1"/>
  <c r="M53" i="99"/>
  <c r="N53" i="99" s="1"/>
  <c r="U37" i="99"/>
  <c r="L50" i="99"/>
  <c r="L54" i="99"/>
  <c r="M54" i="99" s="1"/>
  <c r="N54" i="99" s="1"/>
  <c r="M19" i="99"/>
  <c r="L25" i="99"/>
  <c r="L28" i="99"/>
  <c r="U42" i="99"/>
  <c r="Z42" i="99" s="1"/>
  <c r="U46" i="99"/>
  <c r="V49" i="99"/>
  <c r="U52" i="99"/>
  <c r="Z52" i="99" s="1"/>
  <c r="V53" i="99"/>
  <c r="V18" i="99"/>
  <c r="V24" i="99"/>
  <c r="V27" i="99"/>
  <c r="V42" i="99"/>
  <c r="V46" i="99"/>
  <c r="V52" i="99"/>
  <c r="V17" i="99"/>
  <c r="M18" i="99"/>
  <c r="V23" i="99"/>
  <c r="T44" i="99"/>
  <c r="V45" i="99"/>
  <c r="L52" i="99"/>
  <c r="U50" i="99"/>
  <c r="U54" i="99"/>
  <c r="M29" i="99" l="1"/>
  <c r="Y29" i="99" s="1"/>
  <c r="L61" i="99"/>
  <c r="T61" i="99"/>
  <c r="AA59" i="99" s="1"/>
  <c r="M17" i="99"/>
  <c r="N17" i="99" s="1"/>
  <c r="M51" i="99"/>
  <c r="M21" i="99"/>
  <c r="L31" i="99"/>
  <c r="L32" i="99"/>
  <c r="M50" i="99"/>
  <c r="N50" i="99" s="1"/>
  <c r="L56" i="99"/>
  <c r="T31" i="99"/>
  <c r="AA23" i="99" s="1"/>
  <c r="U20" i="99"/>
  <c r="W20" i="99" s="1"/>
  <c r="X20" i="99" s="1"/>
  <c r="AB20" i="99" s="1"/>
  <c r="T32" i="99"/>
  <c r="T21" i="99"/>
  <c r="AA19" i="99" s="1"/>
  <c r="T39" i="99"/>
  <c r="T38" i="99"/>
  <c r="AA37" i="99" s="1"/>
  <c r="T47" i="99"/>
  <c r="AA44" i="99" s="1"/>
  <c r="W51" i="99"/>
  <c r="X51" i="99" s="1"/>
  <c r="AB51" i="99" s="1"/>
  <c r="U56" i="99"/>
  <c r="T56" i="99"/>
  <c r="U25" i="99"/>
  <c r="W43" i="99"/>
  <c r="X43" i="99" s="1"/>
  <c r="AB43" i="99" s="1"/>
  <c r="Z46" i="99"/>
  <c r="W27" i="99"/>
  <c r="X27" i="99" s="1"/>
  <c r="Y27" i="99" s="1"/>
  <c r="W46" i="99"/>
  <c r="X46" i="99" s="1"/>
  <c r="W42" i="99"/>
  <c r="X42" i="99" s="1"/>
  <c r="Z51" i="99"/>
  <c r="Z26" i="99"/>
  <c r="W28" i="99"/>
  <c r="X28" i="99" s="1"/>
  <c r="AB28" i="99" s="1"/>
  <c r="W52" i="99"/>
  <c r="X52" i="99" s="1"/>
  <c r="AB52" i="99" s="1"/>
  <c r="W53" i="99"/>
  <c r="X53" i="99" s="1"/>
  <c r="W49" i="99"/>
  <c r="X49" i="99" s="1"/>
  <c r="Y26" i="99"/>
  <c r="Z50" i="99"/>
  <c r="W50" i="99"/>
  <c r="X50" i="99" s="1"/>
  <c r="AB50" i="99" s="1"/>
  <c r="N29" i="99"/>
  <c r="U35" i="99"/>
  <c r="W24" i="99"/>
  <c r="X24" i="99" s="1"/>
  <c r="Y24" i="99" s="1"/>
  <c r="N26" i="99"/>
  <c r="Z29" i="99"/>
  <c r="W54" i="99"/>
  <c r="X54" i="99" s="1"/>
  <c r="Z54" i="99"/>
  <c r="M52" i="99"/>
  <c r="N52" i="99" s="1"/>
  <c r="N19" i="99"/>
  <c r="M28" i="99"/>
  <c r="W18" i="99"/>
  <c r="X18" i="99" s="1"/>
  <c r="W37" i="99"/>
  <c r="X37" i="99" s="1"/>
  <c r="AB37" i="99" s="1"/>
  <c r="N18" i="99"/>
  <c r="Z49" i="99"/>
  <c r="M25" i="99"/>
  <c r="U17" i="99"/>
  <c r="W17" i="99" s="1"/>
  <c r="X17" i="99" s="1"/>
  <c r="AB17" i="99" s="1"/>
  <c r="U44" i="99"/>
  <c r="U23" i="99"/>
  <c r="U45" i="99"/>
  <c r="U19" i="99"/>
  <c r="Z37" i="99"/>
  <c r="Y54" i="99" l="1"/>
  <c r="AB54" i="99"/>
  <c r="Y53" i="99"/>
  <c r="AB53" i="99"/>
  <c r="Y49" i="99"/>
  <c r="AB49" i="99"/>
  <c r="Y42" i="99"/>
  <c r="AB42" i="99"/>
  <c r="Y18" i="99"/>
  <c r="AB18" i="99"/>
  <c r="N21" i="99"/>
  <c r="M61" i="99"/>
  <c r="U61" i="99"/>
  <c r="AA50" i="99"/>
  <c r="AA55" i="99"/>
  <c r="N51" i="99"/>
  <c r="N56" i="99" s="1"/>
  <c r="Y50" i="99"/>
  <c r="U31" i="99"/>
  <c r="Y28" i="99"/>
  <c r="M31" i="99"/>
  <c r="M32" i="99"/>
  <c r="M56" i="99"/>
  <c r="Y20" i="99"/>
  <c r="Z20" i="99"/>
  <c r="U21" i="99"/>
  <c r="U32" i="99"/>
  <c r="AA35" i="99"/>
  <c r="Z45" i="99"/>
  <c r="U47" i="99"/>
  <c r="Y51" i="99"/>
  <c r="X56" i="99"/>
  <c r="U38" i="99"/>
  <c r="U39" i="99"/>
  <c r="Z25" i="99"/>
  <c r="W25" i="99"/>
  <c r="X25" i="99" s="1"/>
  <c r="AB25" i="99" s="1"/>
  <c r="Y46" i="99"/>
  <c r="Y52" i="99"/>
  <c r="AA45" i="99"/>
  <c r="AA52" i="99"/>
  <c r="Z35" i="99"/>
  <c r="W35" i="99"/>
  <c r="X35" i="99" s="1"/>
  <c r="AB35" i="99" s="1"/>
  <c r="AA54" i="99"/>
  <c r="N25" i="99"/>
  <c r="Z19" i="99"/>
  <c r="W19" i="99"/>
  <c r="X19" i="99" s="1"/>
  <c r="AB19" i="99" s="1"/>
  <c r="Y43" i="99"/>
  <c r="Y37" i="99"/>
  <c r="AA49" i="99"/>
  <c r="AA51" i="99"/>
  <c r="AA53" i="99"/>
  <c r="AA27" i="99"/>
  <c r="AA26" i="99"/>
  <c r="AA29" i="99"/>
  <c r="AA25" i="99"/>
  <c r="AA28" i="99"/>
  <c r="AA24" i="99"/>
  <c r="Y17" i="99"/>
  <c r="Z23" i="99"/>
  <c r="Z17" i="99"/>
  <c r="W45" i="99"/>
  <c r="X45" i="99" s="1"/>
  <c r="AB45" i="99" s="1"/>
  <c r="AA20" i="99"/>
  <c r="AA18" i="99"/>
  <c r="AA17" i="99"/>
  <c r="AA42" i="99"/>
  <c r="AA46" i="99"/>
  <c r="AA43" i="99"/>
  <c r="W44" i="99"/>
  <c r="X44" i="99" s="1"/>
  <c r="Z44" i="99"/>
  <c r="N28" i="99"/>
  <c r="N32" i="99" s="1"/>
  <c r="W23" i="99"/>
  <c r="X23" i="99" s="1"/>
  <c r="AB23" i="99" s="1"/>
  <c r="AB61" i="99" l="1"/>
  <c r="N61" i="99"/>
  <c r="C21" i="103" s="1"/>
  <c r="X61" i="99"/>
  <c r="D21" i="103" s="1"/>
  <c r="Y56" i="99"/>
  <c r="X31" i="99"/>
  <c r="Y31" i="99" s="1"/>
  <c r="Y25" i="99"/>
  <c r="N31" i="99"/>
  <c r="X32" i="99"/>
  <c r="Y32" i="99" s="1"/>
  <c r="X21" i="99"/>
  <c r="Y21" i="99" s="1"/>
  <c r="Y45" i="99"/>
  <c r="X47" i="99"/>
  <c r="Y47" i="99" s="1"/>
  <c r="Y35" i="99"/>
  <c r="X38" i="99"/>
  <c r="Y38" i="99" s="1"/>
  <c r="X39" i="99"/>
  <c r="Y39" i="99" s="1"/>
  <c r="Y19" i="99"/>
  <c r="Y23" i="99"/>
  <c r="Y44" i="99"/>
  <c r="D23" i="103" l="1"/>
  <c r="D27" i="103" s="1"/>
  <c r="E21" i="103"/>
  <c r="F21" i="103" s="1"/>
  <c r="C23" i="103"/>
  <c r="Y61" i="99"/>
  <c r="Z61" i="99" s="1"/>
  <c r="AA61" i="99" s="1"/>
  <c r="F27" i="103" l="1"/>
  <c r="D33" i="103"/>
  <c r="F23" i="103"/>
  <c r="E33" i="103" l="1"/>
  <c r="F33" i="103" s="1"/>
</calcChain>
</file>

<file path=xl/sharedStrings.xml><?xml version="1.0" encoding="utf-8"?>
<sst xmlns="http://schemas.openxmlformats.org/spreadsheetml/2006/main" count="703" uniqueCount="355">
  <si>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</si>
  <si>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</si>
  <si>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</si>
  <si>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</si>
  <si>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</si>
  <si>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</si>
  <si>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</si>
  <si>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</si>
  <si>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</si>
  <si>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</si>
  <si>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</si>
  <si>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</si>
  <si>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</si>
  <si>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</si>
  <si>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</si>
  <si>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</si>
  <si>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</si>
  <si>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</si>
  <si>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</si>
  <si>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</si>
  <si>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</si>
  <si>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</si>
  <si>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</si>
  <si>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</si>
  <si>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</si>
  <si>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</si>
  <si>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</si>
  <si>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</si>
  <si>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</si>
  <si>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</si>
  <si>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</si>
  <si>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</si>
  <si>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</si>
  <si>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</si>
  <si>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</si>
  <si>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</si>
  <si>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</si>
  <si>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</si>
  <si>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</si>
  <si>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</si>
  <si>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</si>
  <si>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</si>
  <si>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</si>
  <si>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</si>
  <si>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</si>
  <si>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</si>
  <si>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</si>
  <si>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</si>
  <si>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</si>
  <si>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</si>
  <si>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</si>
  <si>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</si>
  <si>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</si>
  <si>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</si>
  <si>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</si>
  <si>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</si>
  <si>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</si>
  <si>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</si>
  <si>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</si>
  <si>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</si>
  <si>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</si>
  <si>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</si>
  <si>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</si>
  <si>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</si>
  <si>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</si>
  <si>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</si>
  <si>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</si>
  <si>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</si>
  <si>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</si>
  <si>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</si>
  <si>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</si>
  <si>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</si>
  <si>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</si>
  <si>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</si>
  <si>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</si>
  <si>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</si>
  <si>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</si>
  <si>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</si>
  <si>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</si>
  <si>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</si>
  <si>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</si>
  <si>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</si>
  <si>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</si>
  <si>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</si>
  <si>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</si>
  <si>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</si>
  <si>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</si>
  <si>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</si>
  <si>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</si>
  <si>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</si>
  <si>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</si>
  <si>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</si>
  <si>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</si>
  <si>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</si>
  <si>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</si>
  <si>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</si>
  <si>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</si>
  <si>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</si>
  <si>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</si>
  <si>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</si>
  <si>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</si>
  <si>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</si>
  <si>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</si>
  <si>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</si>
  <si>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</si>
  <si>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</si>
  <si>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</si>
  <si>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</si>
  <si>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</si>
  <si>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</si>
  <si>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</si>
  <si>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</si>
  <si>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INTERNO</t>
  </si>
  <si>
    <t>SUBGRUPO</t>
  </si>
  <si>
    <t>1.1</t>
  </si>
  <si>
    <t>AGENCIAMENTO</t>
  </si>
  <si>
    <t>IMPOSTOS</t>
  </si>
  <si>
    <t>Marg.</t>
  </si>
  <si>
    <t>EQUIPE INTERNA</t>
  </si>
  <si>
    <t>ITEM</t>
  </si>
  <si>
    <t>1.1.1</t>
  </si>
  <si>
    <t>1.1.3</t>
  </si>
  <si>
    <t>1.1.4</t>
  </si>
  <si>
    <t>1.2</t>
  </si>
  <si>
    <t>STAFF</t>
  </si>
  <si>
    <t>1.2.1</t>
  </si>
  <si>
    <t>1.2.2</t>
  </si>
  <si>
    <t>1.2.3</t>
  </si>
  <si>
    <t>1.2.4</t>
  </si>
  <si>
    <t>1.2.5</t>
  </si>
  <si>
    <t>1.2.6</t>
  </si>
  <si>
    <t>SUBTOTAL SUBGRUPO</t>
  </si>
  <si>
    <t>Subtotal EQUIPE INTERNA</t>
  </si>
  <si>
    <t>Subtotal STAFF</t>
  </si>
  <si>
    <t>SUBTOTAL GRUPO</t>
  </si>
  <si>
    <t>Subtotal INTERNO</t>
  </si>
  <si>
    <t>2.1</t>
  </si>
  <si>
    <t>2.1.1</t>
  </si>
  <si>
    <t>Subtotal CENOGRAFIA</t>
  </si>
  <si>
    <t>Subtotal TÉCNICA</t>
  </si>
  <si>
    <t>3.1</t>
  </si>
  <si>
    <t>3.1.1</t>
  </si>
  <si>
    <t>4.1</t>
  </si>
  <si>
    <t>CUSTOS OPERACIONAIS</t>
  </si>
  <si>
    <t>Subtotal TAXAS E LIBERAÇÕES</t>
  </si>
  <si>
    <t>OPERAÇÃO</t>
  </si>
  <si>
    <t>TAXAS E DECUMENTAÇÕES</t>
  </si>
  <si>
    <t>Subtotal TAXAS E DOCUMENTAÇÕES</t>
  </si>
  <si>
    <t>Subtotal OPERAÇÃO</t>
  </si>
  <si>
    <t>SUBTOTAL PLANILHA</t>
  </si>
  <si>
    <t>Marg. Lucro</t>
  </si>
  <si>
    <t>Lucro</t>
  </si>
  <si>
    <t>CRIAÇÃO DO PROJETO</t>
  </si>
  <si>
    <t>PLANEJAMENTO</t>
  </si>
  <si>
    <t>ATENDIMENTO</t>
  </si>
  <si>
    <t>PRODUÇÃO</t>
  </si>
  <si>
    <t>PRODUTORES GERAL</t>
  </si>
  <si>
    <t>CARREGADORES</t>
  </si>
  <si>
    <t>RÁDIO</t>
  </si>
  <si>
    <t>SEGURO</t>
  </si>
  <si>
    <t>VERBA DE PRODUÇÃO</t>
  </si>
  <si>
    <t>TRANSPORTE DE MATERIAIS</t>
  </si>
  <si>
    <t>FAT.OGGI</t>
  </si>
  <si>
    <t>OPERACIONAL</t>
  </si>
  <si>
    <t>FAT.CLIENTE</t>
  </si>
  <si>
    <t>2.1.2</t>
  </si>
  <si>
    <t>LAVAGEM UNIFORME</t>
  </si>
  <si>
    <t>R BRASIL</t>
  </si>
  <si>
    <t>VANESSA</t>
  </si>
  <si>
    <t>1.2.7</t>
  </si>
  <si>
    <t>EVENTSEG</t>
  </si>
  <si>
    <t>GABRIEL GRECCO</t>
  </si>
  <si>
    <t>X</t>
  </si>
  <si>
    <t>Cantu</t>
  </si>
  <si>
    <t>PRODUTORES DE APOIO</t>
  </si>
  <si>
    <t>4.1.1</t>
  </si>
  <si>
    <t>1.2.8</t>
  </si>
  <si>
    <t>PRODUTORES MONTAGEM / DESMONTAGEM</t>
  </si>
  <si>
    <t>TOTAL CANTU_CAN002_BID FEIRAS</t>
  </si>
  <si>
    <t>CENOGRAFIA</t>
  </si>
  <si>
    <t>3.2</t>
  </si>
  <si>
    <t>3.2.1</t>
  </si>
  <si>
    <t>2.1.3</t>
  </si>
  <si>
    <t>PneuShow</t>
  </si>
  <si>
    <t>Expo Center Norte</t>
  </si>
  <si>
    <t>23 a 25 de junho de 2026</t>
  </si>
  <si>
    <t>Fernanda Pinheiro / Carolina Kelm</t>
  </si>
  <si>
    <t>z</t>
  </si>
  <si>
    <t>PNEUSHOW</t>
  </si>
  <si>
    <t>CÓDIGO DO JOB:</t>
  </si>
  <si>
    <t>CLIENTE:</t>
  </si>
  <si>
    <t>EVENTO:</t>
  </si>
  <si>
    <t>LOCAL:</t>
  </si>
  <si>
    <t>DATA:</t>
  </si>
  <si>
    <t>ATENDIMENTO:</t>
  </si>
  <si>
    <t>PRODUTOR:</t>
  </si>
  <si>
    <t>NOME PLANILHA:</t>
  </si>
  <si>
    <t>PRODUTOR TÉCNICO</t>
  </si>
  <si>
    <t xml:space="preserve">CREDENCIAIS
</t>
  </si>
  <si>
    <t xml:space="preserve">PONTOS AÉREOS
</t>
  </si>
  <si>
    <t>ALIMENTAÇÃO E TRANSPORTE EQUIPE OGGI</t>
  </si>
  <si>
    <t>3.1.2</t>
  </si>
  <si>
    <t>3.1.3</t>
  </si>
  <si>
    <t>3.1.4</t>
  </si>
  <si>
    <t>3.1.5</t>
  </si>
  <si>
    <t>3.2.2</t>
  </si>
  <si>
    <t>3.2.3</t>
  </si>
  <si>
    <t>3.2.4</t>
  </si>
  <si>
    <t>3.2.5</t>
  </si>
  <si>
    <t>3.2.6</t>
  </si>
  <si>
    <t>3.2.7</t>
  </si>
  <si>
    <t xml:space="preserve">PONTOS HIDRÁULICOS
</t>
  </si>
  <si>
    <t xml:space="preserve">CENOGRAFIA </t>
  </si>
  <si>
    <t>MOBILIÁRIO</t>
  </si>
  <si>
    <t>ATIVAÇÃO</t>
  </si>
  <si>
    <t>Painel de Led</t>
  </si>
  <si>
    <t>Painel de led p2 .Dimensões 3 x1m .Montagem 21/06.Inclui tecnico e manutenção.
Conteúdo responsabilidade do cliente.</t>
  </si>
  <si>
    <t>Subtotal Painel de Led</t>
  </si>
  <si>
    <t>CANTU_CAN_002_BID FEIRAS</t>
  </si>
  <si>
    <t>CAN_002</t>
  </si>
  <si>
    <t>JAQUELINE BRUN</t>
  </si>
  <si>
    <t>KLEBER TOSTES</t>
  </si>
  <si>
    <t>K011</t>
  </si>
  <si>
    <t>MR RADIOS</t>
  </si>
  <si>
    <t>MW LED - DIMITRI</t>
  </si>
  <si>
    <t>OCA</t>
  </si>
  <si>
    <t>EXTRAS</t>
  </si>
  <si>
    <t>Geladeira</t>
  </si>
  <si>
    <t>Dimensões: 75,5P × 62,1L × 176A cm 375L</t>
  </si>
  <si>
    <t>Prateleiras e balcão copa</t>
  </si>
  <si>
    <t>Bolachas pneus</t>
  </si>
  <si>
    <t>Adesivos tampões</t>
  </si>
  <si>
    <t>1.1.5</t>
  </si>
  <si>
    <t>EXTRAS TAXAS</t>
  </si>
  <si>
    <t>Solicitação de segurança oficial</t>
  </si>
  <si>
    <t>DIÁRIA DE SEGURANÇA (24H) - ÁREA ATÉ 200M² - 21/06 - 1.00 DIÁRIA,DIÁRIA DE SEGURANÇA (24H) - ÁREA ATÉ 200M² - 22/06 - 1.00 DIÁRIA,DIÁRIA DE SEGURANÇA (24H) - ÁREA ATÉ 200M² - 23/06 - 1.00 DIÁRIA,DIÁRIA DE SEGURANÇA (24H) - ÁREA ATÉ 200M² - 24/06 - 1.00 DIÁRIA,DIÁRIA DE SEGURANÇA (24H) - ÁREA ATÉ 200M² - 25/06 - 1.00 DIÁRIA</t>
  </si>
  <si>
    <t>Solicitação de extintor</t>
  </si>
  <si>
    <t>EXTINTOR - PQS (PÓ QUÍMICO SECO) - 4.00 EXTINTOR(ES)</t>
  </si>
  <si>
    <t>Subtotal EXTRAS TAXAS</t>
  </si>
  <si>
    <t>TOTAL CANTU_CAN_002_BID FEIRAS</t>
  </si>
  <si>
    <t>PS adesivado de 1mm - para 6 bistrôs</t>
  </si>
  <si>
    <t>Caixa de som</t>
  </si>
  <si>
    <t xml:space="preserve">
- 1x Falante 15 polegadas
- Gabinete Polipropoleno com tela em aço
- SPL máximo: 129dB
- Resposta de frequência (±3 dB): 59Hz - 16,5kHz
- Potência: 350W RMS
- Impedância de entrada: 100k Ohms balanceado
- Padrão de cobertura: 100º (horizontal) x 60º (vertical) nominal
- Bluetooth: Audio streaming, Bluetooth versão 5.0
- DSP: 15 presets
- Conexões: 2 Entradas XLR/TRS combo mic/line, 1 Entrada Aux 3,5 mm ,1 Saida XLR pass-thru
- Suporte: 35 mm (duplo ângulo)
- Dimensões (A x L x P): 729x425x415mm
- Peso: 19Kg para horário do jogo 23/06</t>
  </si>
  <si>
    <t>1.1.7</t>
  </si>
  <si>
    <t>Camisetas</t>
  </si>
  <si>
    <t>Camisetas promotoras</t>
  </si>
  <si>
    <t>21 bolachas de tamanhos variados</t>
  </si>
  <si>
    <t>Estrutura de ferro com prateleiras em madeira revestida de napa preta, balcão em madeira</t>
  </si>
  <si>
    <t>Silvia Brito / Natália Nobeschi</t>
  </si>
  <si>
    <t>Subtotal EXTRAS</t>
  </si>
  <si>
    <t>311581660001-64</t>
  </si>
  <si>
    <t>WAGNER e LUCAS</t>
  </si>
  <si>
    <t>FRANCAL FEIRAS E EMPREEND.</t>
  </si>
  <si>
    <t>050.230.978/0001-18</t>
  </si>
  <si>
    <t>DENIS GOMES DE OLIVEIRA LTDA</t>
  </si>
  <si>
    <t>012.183.552/0001-61</t>
  </si>
  <si>
    <t>1.1.6</t>
  </si>
  <si>
    <t>2.1.4</t>
  </si>
  <si>
    <t>2.1.5</t>
  </si>
  <si>
    <t>Limpeza</t>
  </si>
  <si>
    <t xml:space="preserve">EXTINTORES
</t>
  </si>
  <si>
    <t xml:space="preserve">CONSUMO KVAS
</t>
  </si>
  <si>
    <t>Leads</t>
  </si>
  <si>
    <t xml:space="preserve">Consumo KVAs
</t>
  </si>
  <si>
    <t>Pacote geração de leads</t>
  </si>
  <si>
    <t>LIMPEZA
Considerado limpeza para montagem, evento e desmontagem
Carga horária: 12 horas /Datas: 21 a 25/06</t>
  </si>
  <si>
    <t>CONSUMO DE KVAs.Contrato " Cálculo de energia: 132.00 m² X 0,09 KVA =11,8 "
Taxa de consumo de KVAs</t>
  </si>
  <si>
    <t>OCA STAGE</t>
  </si>
  <si>
    <t>10.707.589/0001-16</t>
  </si>
  <si>
    <t>TV PARA 24/06</t>
  </si>
  <si>
    <t>LOCAÇÃO DE TV
Tv de 75' no pedestal para o dia 24/06-jogo do Brasil.</t>
  </si>
  <si>
    <t>1.1.8</t>
  </si>
  <si>
    <t>Produtor Desmontagem</t>
  </si>
  <si>
    <t>Produtor para acompanhar desmontagem no dia 26/06 para liberação dos pneus no pavilhão</t>
  </si>
  <si>
    <t>1.1.9</t>
  </si>
  <si>
    <t>Carregadores</t>
  </si>
  <si>
    <t>1.1.10</t>
  </si>
  <si>
    <t>Credencial</t>
  </si>
  <si>
    <t>1.1.11</t>
  </si>
  <si>
    <t>Spray Pneus</t>
  </si>
  <si>
    <t>Spray para pneus</t>
  </si>
  <si>
    <t>Logística</t>
  </si>
  <si>
    <t>Logística de devolução de materiais pós evento</t>
  </si>
  <si>
    <t xml:space="preserve">Carregadores para auxilio nas cargas dos pneus </t>
  </si>
  <si>
    <t>1.1.12</t>
  </si>
  <si>
    <t>Apoio pneus</t>
  </si>
  <si>
    <t>2 encarregados em passar os pretinhos nos pneus durante o evento</t>
  </si>
  <si>
    <t>Credencial solicitada para André Furlaneti dia 24/06</t>
  </si>
  <si>
    <t>1.1.13</t>
  </si>
  <si>
    <t>Bolachas pneus reimpressão</t>
  </si>
  <si>
    <t>Bolachas que tiveram que ser reimpressas por tamanho enviado diferente do formato dos pneus in loco</t>
  </si>
  <si>
    <t>VÍDEO</t>
  </si>
  <si>
    <t>STUDIO ROCA</t>
  </si>
  <si>
    <t>VENDA</t>
  </si>
  <si>
    <t xml:space="preserve">CUSTO </t>
  </si>
  <si>
    <t>LUCRO</t>
  </si>
  <si>
    <t>NOTAS EMITIDAS</t>
  </si>
  <si>
    <r>
      <rPr>
        <b/>
        <sz val="16"/>
        <rFont val="Trebuchet MS"/>
        <family val="2"/>
      </rPr>
      <t>CRIAÇÃO DO PROJETO</t>
    </r>
    <r>
      <rPr>
        <sz val="16"/>
        <rFont val="Trebuchet MS"/>
        <family val="2"/>
      </rPr>
      <t xml:space="preserve">
Criação do projeto 3D do evento e desdobramento de artes 2Ds para, materiais gráficos, etc.</t>
    </r>
  </si>
  <si>
    <r>
      <rPr>
        <b/>
        <sz val="16"/>
        <rFont val="Trebuchet MS"/>
        <family val="2"/>
      </rPr>
      <t>PLANEJAMENTO DO PROJETO</t>
    </r>
    <r>
      <rPr>
        <sz val="16"/>
        <rFont val="Trebuchet MS"/>
        <family val="2"/>
      </rPr>
      <t xml:space="preserve">
Planejamento de dinâmicas e cronograma do evento
*Valor distribuido no pacote para atender 3 feiras</t>
    </r>
  </si>
  <si>
    <r>
      <rPr>
        <b/>
        <sz val="16"/>
        <rFont val="Trebuchet MS"/>
        <family val="2"/>
      </rPr>
      <t>ATENDIMENTO EXCLUSIVO</t>
    </r>
    <r>
      <rPr>
        <sz val="16"/>
        <rFont val="Trebuchet MS"/>
        <family val="2"/>
      </rPr>
      <t xml:space="preserve">
01 profissional de atendimento por 01 mes 
Pré-evento, evento e entrega de relatório</t>
    </r>
  </si>
  <si>
    <r>
      <rPr>
        <b/>
        <sz val="16"/>
        <rFont val="Trebuchet MS"/>
        <family val="2"/>
      </rPr>
      <t>PRODUTOR EXECUTIVO</t>
    </r>
    <r>
      <rPr>
        <sz val="16"/>
        <rFont val="Trebuchet MS"/>
        <family val="2"/>
      </rPr>
      <t xml:space="preserve">
01 profissional de atendimento/produção por 01 mes 
Pré-evento, evento e entrega de relatório</t>
    </r>
  </si>
  <si>
    <r>
      <rPr>
        <b/>
        <sz val="16"/>
        <color theme="1"/>
        <rFont val="Trebuchet MS"/>
        <family val="2"/>
      </rPr>
      <t>PRODUTORES - MONTAGEM E DESMONTAGEM</t>
    </r>
    <r>
      <rPr>
        <sz val="16"/>
        <color theme="1"/>
        <rFont val="Trebuchet MS"/>
        <family val="2"/>
      </rPr>
      <t xml:space="preserve">
01 - Produtor de Montagem e desmontagem
Montagem: 20 e 22/06/Desmontagem: 25/06</t>
    </r>
  </si>
  <si>
    <r>
      <rPr>
        <b/>
        <sz val="16"/>
        <color theme="1"/>
        <rFont val="Trebuchet MS"/>
        <family val="2"/>
      </rPr>
      <t>PRODUTORES - GERAL</t>
    </r>
    <r>
      <rPr>
        <sz val="16"/>
        <color theme="1"/>
        <rFont val="Trebuchet MS"/>
        <family val="2"/>
      </rPr>
      <t xml:space="preserve">
01 - Produtor Geral
Carga horária: 12 horas/Datas: de 22 a 25/06</t>
    </r>
  </si>
  <si>
    <r>
      <rPr>
        <b/>
        <sz val="16"/>
        <rFont val="Trebuchet MS"/>
        <family val="2"/>
      </rPr>
      <t>PRODUTOR TÉCNICO</t>
    </r>
    <r>
      <rPr>
        <sz val="16"/>
        <rFont val="Trebuchet MS"/>
        <family val="2"/>
      </rPr>
      <t xml:space="preserve">
01 - Produtor Técnico
Carga horária: 12 horas/Montagem, Evento e Desmontagem</t>
    </r>
  </si>
  <si>
    <r>
      <rPr>
        <b/>
        <sz val="16"/>
        <color theme="1"/>
        <rFont val="Trebuchet MS"/>
        <family val="2"/>
      </rPr>
      <t>PRODUTOR DE APOIO</t>
    </r>
    <r>
      <rPr>
        <sz val="16"/>
        <color theme="1"/>
        <rFont val="Trebuchet MS"/>
        <family val="2"/>
      </rPr>
      <t xml:space="preserve">
02 - Produtores de Apoio (Buffet, Serviços, Promotores, Estoque)
Carga horária: 12 horas/Datas: de 22 a 25/06</t>
    </r>
  </si>
  <si>
    <r>
      <t xml:space="preserve">LIMPEZA
</t>
    </r>
    <r>
      <rPr>
        <b/>
        <sz val="16"/>
        <color rgb="FFFF0000"/>
        <rFont val="Trebuchet MS"/>
        <family val="2"/>
      </rPr>
      <t>Pagamento efetuado pelo cliente no CAF</t>
    </r>
  </si>
  <si>
    <r>
      <rPr>
        <b/>
        <sz val="16"/>
        <color theme="1"/>
        <rFont val="Trebuchet MS"/>
        <family val="2"/>
      </rPr>
      <t>LIMPEZA</t>
    </r>
    <r>
      <rPr>
        <sz val="16"/>
        <color theme="1"/>
        <rFont val="Trebuchet MS"/>
        <family val="2"/>
      </rPr>
      <t xml:space="preserve">
Considerado 2 profissionais de limpeza para montagem, evento e desmontagem
Carga horária: 12 horas /Datas: 22 a 25/06</t>
    </r>
  </si>
  <si>
    <r>
      <rPr>
        <b/>
        <sz val="16"/>
        <color theme="1"/>
        <rFont val="Trebuchet MS"/>
        <family val="2"/>
      </rPr>
      <t>CARREGADORES</t>
    </r>
    <r>
      <rPr>
        <sz val="16"/>
        <color theme="1"/>
        <rFont val="Trebuchet MS"/>
        <family val="2"/>
      </rPr>
      <t xml:space="preserve">
Considerado carregadores para montagem e desmontagem.
Carga horária: 12 horas/Montagem: 20 a 22/06
Desmontagem: 25/06</t>
    </r>
  </si>
  <si>
    <r>
      <t>SEGURANÇA MONTAGEM</t>
    </r>
    <r>
      <rPr>
        <b/>
        <sz val="16"/>
        <color rgb="FFFF0000"/>
        <rFont val="Trebuchet MS"/>
        <family val="2"/>
      </rPr>
      <t xml:space="preserve">
Pagamento efetuado pelo cliente</t>
    </r>
    <r>
      <rPr>
        <b/>
        <sz val="16"/>
        <color theme="1"/>
        <rFont val="Trebuchet MS"/>
        <family val="2"/>
      </rPr>
      <t xml:space="preserve"> </t>
    </r>
    <r>
      <rPr>
        <b/>
        <sz val="16"/>
        <color rgb="FFFF0000"/>
        <rFont val="Trebuchet MS"/>
        <family val="2"/>
      </rPr>
      <t>no CAF</t>
    </r>
  </si>
  <si>
    <r>
      <rPr>
        <b/>
        <sz val="16"/>
        <color theme="1"/>
        <rFont val="Trebuchet MS"/>
        <family val="2"/>
      </rPr>
      <t>SEGURANÇA DE 19 A 22/06</t>
    </r>
    <r>
      <rPr>
        <sz val="16"/>
        <color theme="1"/>
        <rFont val="Trebuchet MS"/>
        <family val="2"/>
      </rPr>
      <t xml:space="preserve">
Considerado 01 profissional de segurança para montagem a cada 12 horas.</t>
    </r>
  </si>
  <si>
    <r>
      <t xml:space="preserve">SEGURANÇA EVENTO
</t>
    </r>
    <r>
      <rPr>
        <b/>
        <sz val="16"/>
        <color rgb="FFFF0000"/>
        <rFont val="Trebuchet MS"/>
        <family val="2"/>
      </rPr>
      <t>Pagamento efetuado pelo cliente no CAF</t>
    </r>
  </si>
  <si>
    <r>
      <rPr>
        <b/>
        <sz val="16"/>
        <color theme="1"/>
        <rFont val="Trebuchet MS"/>
        <family val="2"/>
      </rPr>
      <t>SEGURANÇA DE 23 A 26/06</t>
    </r>
    <r>
      <rPr>
        <sz val="16"/>
        <color theme="1"/>
        <rFont val="Trebuchet MS"/>
        <family val="2"/>
      </rPr>
      <t xml:space="preserve">
Considerados 2 profissionais de segurança a cada 12 horas  para evento e desmontagem.</t>
    </r>
  </si>
  <si>
    <r>
      <rPr>
        <b/>
        <sz val="16"/>
        <rFont val="Trebuchet MS"/>
        <family val="2"/>
      </rPr>
      <t>CENOGRAFIA</t>
    </r>
    <r>
      <rPr>
        <sz val="16"/>
        <rFont val="Trebuchet MS"/>
        <family val="2"/>
      </rPr>
      <t xml:space="preserve">
Contratação de parceiro de Cenografia para execução do projeto  (STAND 132m²).Montagem, Evento e Desmontagem.Pgto via Oggi com emissão de ND .</t>
    </r>
  </si>
  <si>
    <r>
      <rPr>
        <b/>
        <sz val="16"/>
        <color theme="1"/>
        <rFont val="Trebuchet MS"/>
        <family val="2"/>
      </rPr>
      <t>ATIVAÇÃO</t>
    </r>
    <r>
      <rPr>
        <sz val="16"/>
        <color theme="1"/>
        <rFont val="Trebuchet MS"/>
        <family val="2"/>
      </rPr>
      <t xml:space="preserve">
Cenografia com paredes reforçadas + trave e tela de gol e espaço para encaixe do pneu sem escape .</t>
    </r>
  </si>
  <si>
    <r>
      <rPr>
        <b/>
        <sz val="16"/>
        <rFont val="Trebuchet MS"/>
        <family val="2"/>
      </rPr>
      <t>MOBILIARIO</t>
    </r>
    <r>
      <rPr>
        <sz val="16"/>
        <rFont val="Trebuchet MS"/>
        <family val="2"/>
      </rPr>
      <t xml:space="preserve">
Locação de mobiliário conforme projeto</t>
    </r>
  </si>
  <si>
    <r>
      <rPr>
        <b/>
        <sz val="16"/>
        <color theme="1"/>
        <rFont val="Trebuchet MS"/>
        <family val="2"/>
      </rPr>
      <t>CREDENCIAIS</t>
    </r>
    <r>
      <rPr>
        <sz val="16"/>
        <color theme="1"/>
        <rFont val="Trebuchet MS"/>
        <family val="2"/>
      </rPr>
      <t xml:space="preserve">
Compra de credenciais STAFF</t>
    </r>
  </si>
  <si>
    <r>
      <rPr>
        <b/>
        <sz val="16"/>
        <color theme="1"/>
        <rFont val="Trebuchet MS"/>
        <family val="2"/>
      </rPr>
      <t>PONTOS AÉREOS</t>
    </r>
    <r>
      <rPr>
        <sz val="16"/>
        <color theme="1"/>
        <rFont val="Trebuchet MS"/>
        <family val="2"/>
      </rPr>
      <t xml:space="preserve">
Taxa de utilização de pontos aéreos</t>
    </r>
  </si>
  <si>
    <r>
      <rPr>
        <b/>
        <sz val="16"/>
        <color theme="1"/>
        <rFont val="Trebuchet MS"/>
        <family val="2"/>
      </rPr>
      <t>PONTOS HIDRÁULICOS</t>
    </r>
    <r>
      <rPr>
        <sz val="16"/>
        <color theme="1"/>
        <rFont val="Trebuchet MS"/>
        <family val="2"/>
      </rPr>
      <t xml:space="preserve">
Taxa de mapeamento de Ponto Hidráulico e deságue.</t>
    </r>
  </si>
  <si>
    <r>
      <rPr>
        <b/>
        <sz val="16"/>
        <color theme="1"/>
        <rFont val="Trebuchet MS"/>
        <family val="2"/>
      </rPr>
      <t>EXTINTORES</t>
    </r>
    <r>
      <rPr>
        <sz val="16"/>
        <color theme="1"/>
        <rFont val="Trebuchet MS"/>
        <family val="2"/>
      </rPr>
      <t xml:space="preserve">
Compra de extintores </t>
    </r>
  </si>
  <si>
    <r>
      <rPr>
        <b/>
        <sz val="16"/>
        <color theme="1"/>
        <rFont val="Trebuchet MS"/>
        <family val="2"/>
      </rPr>
      <t>CONSUMO DE KVAs.Contrato " Cálculo de energia: 132.00 m² X 0,09 KVA =11,8 "</t>
    </r>
    <r>
      <rPr>
        <sz val="16"/>
        <color theme="1"/>
        <rFont val="Trebuchet MS"/>
        <family val="2"/>
      </rPr>
      <t xml:space="preserve">
Taxa de consumo de KVAs</t>
    </r>
  </si>
  <si>
    <r>
      <rPr>
        <b/>
        <sz val="16"/>
        <color theme="1"/>
        <rFont val="Trebuchet MS"/>
        <family val="2"/>
      </rPr>
      <t>RÁDIO HT</t>
    </r>
    <r>
      <rPr>
        <sz val="16"/>
        <color theme="1"/>
        <rFont val="Trebuchet MS"/>
        <family val="2"/>
      </rPr>
      <t xml:space="preserve">
8 rádios HT para equipe agência</t>
    </r>
  </si>
  <si>
    <r>
      <rPr>
        <b/>
        <sz val="16"/>
        <color theme="1"/>
        <rFont val="Trebuchet MS"/>
        <family val="2"/>
      </rPr>
      <t>SEGURO RC + RD + AP</t>
    </r>
    <r>
      <rPr>
        <sz val="16"/>
        <color theme="1"/>
        <rFont val="Trebuchet MS"/>
        <family val="2"/>
      </rPr>
      <t xml:space="preserve">
Contratação de Seguro</t>
    </r>
  </si>
  <si>
    <r>
      <rPr>
        <b/>
        <sz val="16"/>
        <color theme="1"/>
        <rFont val="Trebuchet MS"/>
        <family val="2"/>
      </rPr>
      <t>ALIMENTAÇÃO E TRANSPORTE EQUIPE INTERNA</t>
    </r>
    <r>
      <rPr>
        <sz val="16"/>
        <color theme="1"/>
        <rFont val="Trebuchet MS"/>
        <family val="2"/>
      </rPr>
      <t xml:space="preserve">
Reserva de verba  alimentação e transporte da equipe Oggi.</t>
    </r>
  </si>
  <si>
    <r>
      <rPr>
        <b/>
        <sz val="16"/>
        <color theme="1"/>
        <rFont val="Trebuchet MS"/>
        <family val="2"/>
      </rPr>
      <t>TRANSPORTE DE MATERIAIS</t>
    </r>
    <r>
      <rPr>
        <sz val="16"/>
        <color theme="1"/>
        <rFont val="Trebuchet MS"/>
        <family val="2"/>
      </rPr>
      <t xml:space="preserve">
Reserva de verba para transporte de materiais (brindes, insumos, etc).</t>
    </r>
  </si>
  <si>
    <r>
      <rPr>
        <b/>
        <sz val="16"/>
        <color theme="1"/>
        <rFont val="Trebuchet MS"/>
        <family val="2"/>
      </rPr>
      <t>LAVAGEM UNIFORME</t>
    </r>
    <r>
      <rPr>
        <sz val="16"/>
        <color theme="1"/>
        <rFont val="Trebuchet MS"/>
        <family val="2"/>
      </rPr>
      <t xml:space="preserve">
Reserva de verba para lavagem de uniforme.</t>
    </r>
  </si>
  <si>
    <r>
      <rPr>
        <b/>
        <sz val="16"/>
        <color theme="1"/>
        <rFont val="Trebuchet MS"/>
        <family val="2"/>
      </rPr>
      <t>VERBA DE PRODUÇÃO</t>
    </r>
    <r>
      <rPr>
        <sz val="16"/>
        <color theme="1"/>
        <rFont val="Trebuchet MS"/>
        <family val="2"/>
      </rPr>
      <t xml:space="preserve">
Reserva de verba para custos operacionais</t>
    </r>
  </si>
  <si>
    <t>IMPOSTO</t>
  </si>
  <si>
    <t>CUSTO TOTAL</t>
  </si>
  <si>
    <t>NOOVA</t>
  </si>
  <si>
    <t>WAGNER - LUCAS</t>
  </si>
  <si>
    <t>CHUBB - BERKLEY</t>
  </si>
  <si>
    <t>FRANCAL</t>
  </si>
  <si>
    <t>DENIS GOMES</t>
  </si>
  <si>
    <t>NATALIA</t>
  </si>
  <si>
    <t>FERNANDA SILVA PINHEIRO</t>
  </si>
  <si>
    <t>GABRIEL VITOR DE ARAÚJO SILVA</t>
  </si>
  <si>
    <t>JK PRODUCOES E EVENTOS LTDA</t>
  </si>
  <si>
    <t>NATALIA NOBESCHI</t>
  </si>
  <si>
    <t>PETERSON EMILIANO LOPES</t>
  </si>
  <si>
    <t>SILVIA CRISTIANE FERREIRA BRITO</t>
  </si>
  <si>
    <t>NOME</t>
  </si>
  <si>
    <t>RONALDO TRIGUEIRO DA SILVA</t>
  </si>
  <si>
    <t>SK COPIADORA E IMPRESSAO DIGITAL LTDA</t>
  </si>
  <si>
    <t>JK PRODUÇÕES</t>
  </si>
  <si>
    <t>GLOBAL AUDIO</t>
  </si>
  <si>
    <t>ALESSANDRO SANTOS MORAIS 00060269588</t>
  </si>
  <si>
    <t>DA ORIKASSA TRANSPORTES E LOGISTICA</t>
  </si>
  <si>
    <t>MW LED - MARIA EMILIA</t>
  </si>
  <si>
    <t>JK PRODUÇÕES - INSTITUTO</t>
  </si>
  <si>
    <t>NOTA DE DÉBITO 01</t>
  </si>
  <si>
    <t>NOTA DE DÉBITO 02</t>
  </si>
  <si>
    <t>NOTA DE DÉBITO 03</t>
  </si>
  <si>
    <t>NOTA FISCAL 2980</t>
  </si>
  <si>
    <t>NOTA FISCAL 2981</t>
  </si>
  <si>
    <t>NOTA FISCAL 2997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</si>
</sst>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_-* #,##0_-;\-* #,##0_-;_-* &quot;-&quot;??_-;_-@_-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6"/>
      <color theme="0"/>
      <name val="Trebuchet MS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6"/>
      <color rgb="FFFF0000"/>
      <name val="Trebuchet MS"/>
      <family val="2"/>
    </font>
    <font>
      <b/>
      <sz val="12"/>
      <color theme="0"/>
      <name val="Trebuchet MS"/>
      <family val="2"/>
    </font>
    <font>
      <b/>
      <sz val="11"/>
      <name val="Trebuchet MS"/>
      <family val="2"/>
    </font>
    <font>
      <b/>
      <sz val="18"/>
      <color theme="0"/>
      <name val="Trebuchet MS"/>
      <family val="2"/>
    </font>
    <font>
      <sz val="18"/>
      <color theme="1"/>
      <name val="Trebuchet MS"/>
      <family val="2"/>
    </font>
    <font>
      <b/>
      <sz val="18"/>
      <name val="Trebuchet MS"/>
      <family val="2"/>
    </font>
    <font>
      <b/>
      <sz val="18"/>
      <color theme="1"/>
      <name val="Trebuchet MS"/>
      <family val="2"/>
    </font>
    <font>
      <b/>
      <sz val="18"/>
      <color indexed="63"/>
      <name val="Trebuchet MS"/>
      <family val="2"/>
    </font>
    <font>
      <sz val="18"/>
      <color theme="0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rgb="FFFF0000"/>
      <name val="Trebuchet MS"/>
      <family val="2"/>
    </font>
    <font>
      <sz val="16"/>
      <color theme="1"/>
      <name val="Trebuchet MS"/>
      <family val="2"/>
    </font>
    <font>
      <b/>
      <sz val="16"/>
      <name val="Trebuchet MS"/>
      <family val="2"/>
    </font>
    <font>
      <b/>
      <sz val="16"/>
      <color theme="1"/>
      <name val="Trebuchet MS"/>
      <family val="2"/>
    </font>
    <font>
      <b/>
      <sz val="16"/>
      <color indexed="63"/>
      <name val="Trebuchet MS"/>
      <family val="2"/>
    </font>
    <font>
      <sz val="16"/>
      <color theme="0"/>
      <name val="Trebuchet MS"/>
      <family val="2"/>
    </font>
    <font>
      <b/>
      <sz val="16"/>
      <color rgb="FF00B050"/>
      <name val="Trebuchet MS"/>
      <family val="2"/>
    </font>
    <font>
      <sz val="16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FF0000"/>
      <name val="Trebuchet MS"/>
      <family val="2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indexed="63"/>
      <name val="Trebuchet MS"/>
      <family val="2"/>
    </font>
    <font>
      <b/>
      <sz val="12"/>
      <color rgb="FFFF0000"/>
      <name val="Trebuchet MS"/>
      <family val="2"/>
    </font>
    <font>
      <sz val="12"/>
      <color theme="0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</fills>
  <borders count="96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9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6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6" xfId="0" applyBorder="1"/>
    <xf numFmtId="0" fontId="0" fillId="0" borderId="17" xfId="0" applyBorder="1"/>
    <xf numFmtId="0" fontId="2" fillId="0" borderId="18" xfId="0" applyFont="1" applyBorder="1"/>
    <xf numFmtId="0" fontId="2" fillId="0" borderId="22" xfId="0" applyFont="1" applyBorder="1"/>
    <xf numFmtId="0" fontId="0" fillId="0" borderId="2" xfId="0" applyBorder="1" applyAlignment="1">
      <alignment horizontal="left"/>
    </xf>
    <xf numFmtId="0" fontId="0" fillId="0" borderId="24" xfId="0" applyBorder="1" applyAlignment="1">
      <alignment horizontal="left"/>
    </xf>
    <xf numFmtId="0" fontId="2" fillId="0" borderId="25" xfId="0" applyFont="1" applyBorder="1"/>
    <xf numFmtId="0" fontId="2" fillId="0" borderId="25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0" borderId="29" xfId="0" applyFont="1" applyBorder="1"/>
    <xf numFmtId="0" fontId="2" fillId="0" borderId="2" xfId="0" applyFont="1" applyBorder="1" applyAlignment="1">
      <alignment horizontal="left"/>
    </xf>
    <xf numFmtId="0" fontId="2" fillId="0" borderId="22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0" fillId="0" borderId="0" xfId="0" applyAlignment="1">
      <alignment horizontal="right"/>
    </xf>
    <xf numFmtId="0" fontId="10" fillId="8" borderId="39" xfId="0" applyFont="1" applyFill="1" applyBorder="1" applyAlignment="1">
      <alignment vertical="center"/>
    </xf>
    <xf numFmtId="0" fontId="12" fillId="8" borderId="39" xfId="0" applyFont="1" applyFill="1" applyBorder="1" applyAlignment="1">
      <alignment horizontal="center" vertical="center"/>
    </xf>
    <xf numFmtId="22" fontId="10" fillId="8" borderId="39" xfId="0" applyNumberFormat="1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 wrapText="1"/>
    </xf>
    <xf numFmtId="0" fontId="14" fillId="8" borderId="41" xfId="0" applyFont="1" applyFill="1" applyBorder="1" applyAlignment="1">
      <alignment horizontal="center" vertical="center" wrapText="1"/>
    </xf>
    <xf numFmtId="44" fontId="21" fillId="15" borderId="83" xfId="8" applyFont="1" applyFill="1" applyBorder="1"/>
    <xf numFmtId="0" fontId="18" fillId="15" borderId="11" xfId="0" applyFont="1" applyFill="1" applyBorder="1"/>
    <xf numFmtId="44" fontId="18" fillId="15" borderId="11" xfId="0" applyNumberFormat="1" applyFont="1" applyFill="1" applyBorder="1"/>
    <xf numFmtId="44" fontId="18" fillId="15" borderId="91" xfId="0" applyNumberFormat="1" applyFont="1" applyFill="1" applyBorder="1"/>
    <xf numFmtId="0" fontId="18" fillId="15" borderId="10" xfId="0" applyFont="1" applyFill="1" applyBorder="1"/>
    <xf numFmtId="9" fontId="21" fillId="15" borderId="16" xfId="1" applyFont="1" applyFill="1" applyBorder="1"/>
    <xf numFmtId="0" fontId="16" fillId="0" borderId="0" xfId="0" applyFont="1"/>
    <xf numFmtId="0" fontId="16" fillId="0" borderId="0" xfId="0" applyFont="1" applyAlignment="1">
      <alignment horizontal="center"/>
    </xf>
    <xf numFmtId="16" fontId="16" fillId="18" borderId="10" xfId="0" applyNumberFormat="1" applyFont="1" applyFill="1" applyBorder="1"/>
    <xf numFmtId="16" fontId="16" fillId="18" borderId="11" xfId="0" applyNumberFormat="1" applyFont="1" applyFill="1" applyBorder="1"/>
    <xf numFmtId="16" fontId="16" fillId="19" borderId="13" xfId="0" applyNumberFormat="1" applyFont="1" applyFill="1" applyBorder="1"/>
    <xf numFmtId="16" fontId="16" fillId="19" borderId="14" xfId="0" applyNumberFormat="1" applyFont="1" applyFill="1" applyBorder="1"/>
    <xf numFmtId="0" fontId="16" fillId="20" borderId="16" xfId="0" applyFont="1" applyFill="1" applyBorder="1" applyAlignment="1">
      <alignment horizontal="right"/>
    </xf>
    <xf numFmtId="0" fontId="16" fillId="20" borderId="0" xfId="0" applyFont="1" applyFill="1" applyAlignment="1">
      <alignment horizontal="right"/>
    </xf>
    <xf numFmtId="0" fontId="22" fillId="21" borderId="13" xfId="0" applyFont="1" applyFill="1" applyBorder="1"/>
    <xf numFmtId="0" fontId="22" fillId="21" borderId="14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20" fillId="22" borderId="56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164" fontId="23" fillId="0" borderId="56" xfId="2" applyNumberFormat="1" applyFont="1" applyBorder="1" applyAlignment="1" applyProtection="1">
      <alignment horizontal="left" vertical="center"/>
      <protection locked="0"/>
    </xf>
    <xf numFmtId="44" fontId="20" fillId="0" borderId="56" xfId="0" applyNumberFormat="1" applyFont="1" applyBorder="1"/>
    <xf numFmtId="9" fontId="20" fillId="0" borderId="56" xfId="1" applyFont="1" applyBorder="1" applyAlignment="1">
      <alignment horizontal="center"/>
    </xf>
    <xf numFmtId="44" fontId="20" fillId="22" borderId="56" xfId="0" applyNumberFormat="1" applyFont="1" applyFill="1" applyBorder="1" applyAlignment="1">
      <alignment horizontal="center"/>
    </xf>
    <xf numFmtId="44" fontId="17" fillId="0" borderId="77" xfId="0" applyNumberFormat="1" applyFont="1" applyBorder="1"/>
    <xf numFmtId="170" fontId="17" fillId="0" borderId="77" xfId="0" applyNumberFormat="1" applyFont="1" applyBorder="1"/>
    <xf numFmtId="9" fontId="17" fillId="0" borderId="46" xfId="1" applyFont="1" applyBorder="1" applyAlignment="1">
      <alignment horizontal="center"/>
    </xf>
    <xf numFmtId="0" fontId="17" fillId="0" borderId="0" xfId="0" applyFont="1"/>
    <xf numFmtId="170" fontId="17" fillId="22" borderId="73" xfId="0" applyNumberFormat="1" applyFont="1" applyFill="1" applyBorder="1" applyAlignment="1">
      <alignment horizontal="center"/>
    </xf>
    <xf numFmtId="44" fontId="17" fillId="22" borderId="56" xfId="0" applyNumberFormat="1" applyFont="1" applyFill="1" applyBorder="1"/>
    <xf numFmtId="170" fontId="17" fillId="22" borderId="56" xfId="0" applyNumberFormat="1" applyFont="1" applyFill="1" applyBorder="1"/>
    <xf numFmtId="44" fontId="16" fillId="0" borderId="0" xfId="0" applyNumberFormat="1" applyFont="1"/>
    <xf numFmtId="170" fontId="16" fillId="0" borderId="0" xfId="0" applyNumberFormat="1" applyFont="1"/>
    <xf numFmtId="164" fontId="4" fillId="16" borderId="19" xfId="2" applyNumberFormat="1" applyFont="1" applyFill="1" applyBorder="1" applyAlignment="1" applyProtection="1">
      <alignment horizontal="left" vertical="center"/>
      <protection locked="0"/>
    </xf>
    <xf numFmtId="164" fontId="4" fillId="0" borderId="18" xfId="2" applyNumberFormat="1" applyFont="1" applyBorder="1" applyAlignment="1" applyProtection="1">
      <alignment horizontal="left" vertical="center"/>
      <protection locked="0"/>
    </xf>
    <xf numFmtId="164" fontId="4" fillId="16" borderId="30" xfId="2" applyNumberFormat="1" applyFont="1" applyFill="1" applyBorder="1" applyAlignment="1" applyProtection="1">
      <alignment horizontal="left" vertical="center"/>
      <protection locked="0"/>
    </xf>
    <xf numFmtId="164" fontId="4" fillId="0" borderId="29" xfId="2" applyNumberFormat="1" applyFont="1" applyBorder="1" applyAlignment="1" applyProtection="1">
      <alignment horizontal="left" vertical="center"/>
      <protection locked="0"/>
    </xf>
    <xf numFmtId="0" fontId="4" fillId="0" borderId="22" xfId="2" applyFont="1" applyBorder="1" applyAlignment="1" applyProtection="1">
      <alignment horizontal="left" vertical="center"/>
      <protection locked="0"/>
    </xf>
    <xf numFmtId="14" fontId="4" fillId="0" borderId="29" xfId="2" applyNumberFormat="1" applyFont="1" applyBorder="1" applyAlignment="1" applyProtection="1">
      <alignment horizontal="left" vertical="center"/>
      <protection locked="0"/>
    </xf>
    <xf numFmtId="164" fontId="4" fillId="16" borderId="36" xfId="2" applyNumberFormat="1" applyFont="1" applyFill="1" applyBorder="1" applyAlignment="1" applyProtection="1">
      <alignment horizontal="left" vertical="center"/>
      <protection locked="0"/>
    </xf>
    <xf numFmtId="0" fontId="4" fillId="0" borderId="25" xfId="2" applyFont="1" applyBorder="1" applyAlignment="1" applyProtection="1">
      <alignment horizontal="left" vertical="center"/>
      <protection locked="0"/>
    </xf>
    <xf numFmtId="0" fontId="25" fillId="0" borderId="0" xfId="0" applyFont="1" applyAlignment="1">
      <alignment vertical="center"/>
    </xf>
    <xf numFmtId="49" fontId="26" fillId="0" borderId="0" xfId="2" applyNumberFormat="1" applyFont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64" fontId="26" fillId="16" borderId="0" xfId="2" applyNumberFormat="1" applyFont="1" applyFill="1" applyAlignment="1">
      <alignment horizontal="left" vertical="center"/>
    </xf>
    <xf numFmtId="164" fontId="26" fillId="0" borderId="0" xfId="2" applyNumberFormat="1" applyFont="1" applyAlignment="1">
      <alignment horizontal="left" vertical="center"/>
    </xf>
    <xf numFmtId="164" fontId="26" fillId="16" borderId="19" xfId="2" applyNumberFormat="1" applyFont="1" applyFill="1" applyBorder="1" applyAlignment="1" applyProtection="1">
      <alignment horizontal="left" vertical="center"/>
      <protection locked="0"/>
    </xf>
    <xf numFmtId="164" fontId="26" fillId="0" borderId="18" xfId="2" applyNumberFormat="1" applyFont="1" applyBorder="1" applyAlignment="1" applyProtection="1">
      <alignment horizontal="left" vertical="center"/>
      <protection locked="0"/>
    </xf>
    <xf numFmtId="164" fontId="26" fillId="16" borderId="30" xfId="2" applyNumberFormat="1" applyFont="1" applyFill="1" applyBorder="1" applyAlignment="1" applyProtection="1">
      <alignment horizontal="left" vertical="center"/>
      <protection locked="0"/>
    </xf>
    <xf numFmtId="164" fontId="26" fillId="0" borderId="29" xfId="2" applyNumberFormat="1" applyFont="1" applyBorder="1" applyAlignment="1" applyProtection="1">
      <alignment horizontal="left" vertical="center"/>
      <protection locked="0"/>
    </xf>
    <xf numFmtId="0" fontId="26" fillId="0" borderId="22" xfId="2" applyFont="1" applyBorder="1" applyAlignment="1" applyProtection="1">
      <alignment horizontal="left" vertical="center"/>
      <protection locked="0"/>
    </xf>
    <xf numFmtId="14" fontId="26" fillId="0" borderId="29" xfId="2" applyNumberFormat="1" applyFont="1" applyBorder="1" applyAlignment="1" applyProtection="1">
      <alignment horizontal="left" vertical="center"/>
      <protection locked="0"/>
    </xf>
    <xf numFmtId="164" fontId="26" fillId="16" borderId="36" xfId="2" applyNumberFormat="1" applyFont="1" applyFill="1" applyBorder="1" applyAlignment="1" applyProtection="1">
      <alignment horizontal="left" vertical="center"/>
      <protection locked="0"/>
    </xf>
    <xf numFmtId="0" fontId="26" fillId="0" borderId="25" xfId="2" applyFont="1" applyBorder="1" applyAlignment="1" applyProtection="1">
      <alignment horizontal="left" vertical="center"/>
      <protection locked="0"/>
    </xf>
    <xf numFmtId="49" fontId="25" fillId="0" borderId="0" xfId="0" applyNumberFormat="1" applyFont="1" applyAlignment="1">
      <alignment vertical="center"/>
    </xf>
    <xf numFmtId="0" fontId="25" fillId="16" borderId="0" xfId="0" applyFont="1" applyFill="1" applyAlignment="1">
      <alignment vertical="center"/>
    </xf>
    <xf numFmtId="0" fontId="25" fillId="0" borderId="0" xfId="1" applyNumberFormat="1" applyFont="1" applyAlignment="1">
      <alignment vertical="center"/>
    </xf>
    <xf numFmtId="165" fontId="28" fillId="6" borderId="35" xfId="4" applyFont="1" applyFill="1" applyBorder="1" applyAlignment="1">
      <alignment horizontal="center" vertical="center" wrapText="1"/>
    </xf>
    <xf numFmtId="168" fontId="27" fillId="0" borderId="67" xfId="1" applyNumberFormat="1" applyFont="1" applyBorder="1" applyAlignment="1">
      <alignment vertical="center"/>
    </xf>
    <xf numFmtId="166" fontId="28" fillId="0" borderId="37" xfId="4" applyNumberFormat="1" applyFont="1" applyBorder="1" applyAlignment="1">
      <alignment horizontal="center" vertical="center" wrapText="1"/>
    </xf>
    <xf numFmtId="0" fontId="27" fillId="5" borderId="0" xfId="0" applyFont="1" applyFill="1" applyAlignment="1">
      <alignment vertical="center"/>
    </xf>
    <xf numFmtId="49" fontId="27" fillId="5" borderId="0" xfId="0" applyNumberFormat="1" applyFont="1" applyFill="1" applyAlignment="1">
      <alignment vertical="center"/>
    </xf>
    <xf numFmtId="0" fontId="29" fillId="0" borderId="0" xfId="0" applyFont="1" applyAlignment="1">
      <alignment vertical="center"/>
    </xf>
    <xf numFmtId="0" fontId="25" fillId="0" borderId="42" xfId="0" applyFont="1" applyBorder="1" applyAlignment="1">
      <alignment horizontal="left" vertical="center"/>
    </xf>
    <xf numFmtId="49" fontId="25" fillId="0" borderId="43" xfId="0" applyNumberFormat="1" applyFont="1" applyBorder="1" applyAlignment="1">
      <alignment horizontal="left" vertical="center"/>
    </xf>
    <xf numFmtId="0" fontId="25" fillId="0" borderId="44" xfId="0" applyFont="1" applyBorder="1" applyAlignment="1">
      <alignment horizontal="left" vertical="center"/>
    </xf>
    <xf numFmtId="0" fontId="25" fillId="0" borderId="42" xfId="0" applyFont="1" applyBorder="1" applyAlignment="1">
      <alignment horizontal="left" vertical="center" wrapText="1"/>
    </xf>
    <xf numFmtId="0" fontId="26" fillId="16" borderId="63" xfId="3" applyFont="1" applyFill="1" applyBorder="1" applyAlignment="1">
      <alignment horizontal="left" vertical="center"/>
    </xf>
    <xf numFmtId="0" fontId="26" fillId="6" borderId="53" xfId="3" applyFont="1" applyFill="1" applyBorder="1" applyAlignment="1">
      <alignment horizontal="center" vertical="center"/>
    </xf>
    <xf numFmtId="0" fontId="27" fillId="6" borderId="50" xfId="3" applyFont="1" applyFill="1" applyBorder="1" applyAlignment="1">
      <alignment horizontal="center" vertical="center"/>
    </xf>
    <xf numFmtId="169" fontId="27" fillId="6" borderId="50" xfId="3" applyNumberFormat="1" applyFont="1" applyFill="1" applyBorder="1" applyAlignment="1">
      <alignment horizontal="center" vertical="center" wrapText="1"/>
    </xf>
    <xf numFmtId="0" fontId="27" fillId="6" borderId="51" xfId="3" applyFont="1" applyFill="1" applyBorder="1" applyAlignment="1">
      <alignment horizontal="center" vertical="center" wrapText="1"/>
    </xf>
    <xf numFmtId="9" fontId="27" fillId="6" borderId="49" xfId="1" applyFont="1" applyFill="1" applyBorder="1" applyAlignment="1">
      <alignment horizontal="center" vertical="center" wrapText="1"/>
    </xf>
    <xf numFmtId="10" fontId="27" fillId="6" borderId="50" xfId="1" applyNumberFormat="1" applyFont="1" applyFill="1" applyBorder="1" applyAlignment="1">
      <alignment horizontal="center" vertical="center" wrapText="1"/>
    </xf>
    <xf numFmtId="0" fontId="27" fillId="6" borderId="52" xfId="3" applyFont="1" applyFill="1" applyBorder="1" applyAlignment="1">
      <alignment horizontal="center" vertical="center" wrapText="1"/>
    </xf>
    <xf numFmtId="37" fontId="28" fillId="6" borderId="49" xfId="3" applyNumberFormat="1" applyFont="1" applyFill="1" applyBorder="1" applyAlignment="1">
      <alignment horizontal="center" vertical="center"/>
    </xf>
    <xf numFmtId="37" fontId="28" fillId="6" borderId="50" xfId="3" applyNumberFormat="1" applyFont="1" applyFill="1" applyBorder="1" applyAlignment="1">
      <alignment horizontal="center" vertical="center"/>
    </xf>
    <xf numFmtId="40" fontId="28" fillId="6" borderId="50" xfId="4" applyNumberFormat="1" applyFont="1" applyFill="1" applyBorder="1" applyAlignment="1">
      <alignment horizontal="center" vertical="center"/>
    </xf>
    <xf numFmtId="165" fontId="28" fillId="6" borderId="50" xfId="4" applyFont="1" applyFill="1" applyBorder="1" applyAlignment="1">
      <alignment horizontal="right" vertical="center"/>
    </xf>
    <xf numFmtId="40" fontId="28" fillId="6" borderId="50" xfId="4" applyNumberFormat="1" applyFont="1" applyFill="1" applyBorder="1" applyAlignment="1">
      <alignment horizontal="center" vertical="center" wrapText="1"/>
    </xf>
    <xf numFmtId="10" fontId="28" fillId="6" borderId="50" xfId="5" applyNumberFormat="1" applyFont="1" applyFill="1" applyBorder="1" applyAlignment="1">
      <alignment horizontal="center" vertical="center" wrapText="1"/>
    </xf>
    <xf numFmtId="165" fontId="28" fillId="6" borderId="50" xfId="4" applyFont="1" applyFill="1" applyBorder="1" applyAlignment="1">
      <alignment horizontal="center" vertical="center" wrapText="1"/>
    </xf>
    <xf numFmtId="165" fontId="28" fillId="6" borderId="52" xfId="4" applyFont="1" applyFill="1" applyBorder="1" applyAlignment="1">
      <alignment horizontal="center" vertical="center" wrapText="1"/>
    </xf>
    <xf numFmtId="10" fontId="28" fillId="6" borderId="45" xfId="5" applyNumberFormat="1" applyFont="1" applyFill="1" applyBorder="1" applyAlignment="1">
      <alignment horizontal="center" vertical="center" wrapText="1"/>
    </xf>
    <xf numFmtId="10" fontId="28" fillId="6" borderId="46" xfId="5" applyNumberFormat="1" applyFont="1" applyFill="1" applyBorder="1" applyAlignment="1">
      <alignment horizontal="center" vertical="center" wrapText="1"/>
    </xf>
    <xf numFmtId="166" fontId="30" fillId="6" borderId="47" xfId="4" applyNumberFormat="1" applyFont="1" applyFill="1" applyBorder="1" applyAlignment="1">
      <alignment horizontal="center" vertical="center" wrapText="1"/>
    </xf>
    <xf numFmtId="166" fontId="31" fillId="6" borderId="55" xfId="4" applyNumberFormat="1" applyFont="1" applyFill="1" applyBorder="1" applyAlignment="1">
      <alignment horizontal="center" vertical="center" wrapText="1"/>
    </xf>
    <xf numFmtId="165" fontId="28" fillId="0" borderId="0" xfId="4" applyFont="1" applyFill="1" applyBorder="1" applyAlignment="1">
      <alignment horizontal="center" vertical="center" wrapText="1"/>
    </xf>
    <xf numFmtId="37" fontId="28" fillId="6" borderId="3" xfId="3" applyNumberFormat="1" applyFont="1" applyFill="1" applyBorder="1" applyAlignment="1">
      <alignment horizontal="center" vertical="center"/>
    </xf>
    <xf numFmtId="40" fontId="28" fillId="6" borderId="70" xfId="4" applyNumberFormat="1" applyFont="1" applyFill="1" applyBorder="1" applyAlignment="1">
      <alignment horizontal="center" vertical="center"/>
    </xf>
    <xf numFmtId="166" fontId="31" fillId="6" borderId="48" xfId="4" applyNumberFormat="1" applyFont="1" applyFill="1" applyBorder="1" applyAlignment="1">
      <alignment horizontal="center" vertical="center" wrapText="1"/>
    </xf>
    <xf numFmtId="49" fontId="25" fillId="0" borderId="43" xfId="0" applyNumberFormat="1" applyFont="1" applyBorder="1" applyAlignment="1">
      <alignment horizontal="left" vertical="center" wrapText="1"/>
    </xf>
    <xf numFmtId="0" fontId="25" fillId="0" borderId="44" xfId="0" applyFont="1" applyBorder="1" applyAlignment="1">
      <alignment horizontal="left" vertical="center" wrapText="1"/>
    </xf>
    <xf numFmtId="0" fontId="27" fillId="11" borderId="51" xfId="0" applyFont="1" applyFill="1" applyBorder="1" applyAlignment="1">
      <alignment horizontal="center" vertical="center"/>
    </xf>
    <xf numFmtId="0" fontId="27" fillId="11" borderId="50" xfId="0" applyFont="1" applyFill="1" applyBorder="1" applyAlignment="1">
      <alignment horizontal="center" vertical="center"/>
    </xf>
    <xf numFmtId="0" fontId="27" fillId="11" borderId="85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56" xfId="0" applyFont="1" applyFill="1" applyBorder="1" applyAlignment="1">
      <alignment horizontal="center" vertical="center"/>
    </xf>
    <xf numFmtId="0" fontId="25" fillId="0" borderId="56" xfId="0" applyFont="1" applyBorder="1" applyAlignment="1">
      <alignment horizontal="center" vertical="center"/>
    </xf>
    <xf numFmtId="0" fontId="25" fillId="0" borderId="56" xfId="0" applyFont="1" applyBorder="1" applyAlignment="1">
      <alignment vertical="center"/>
    </xf>
    <xf numFmtId="0" fontId="25" fillId="16" borderId="47" xfId="0" applyFont="1" applyFill="1" applyBorder="1" applyAlignment="1">
      <alignment horizontal="left" vertical="center" wrapText="1"/>
    </xf>
    <xf numFmtId="0" fontId="25" fillId="0" borderId="57" xfId="0" applyFont="1" applyBorder="1" applyAlignment="1">
      <alignment horizontal="left" vertical="center" wrapText="1"/>
    </xf>
    <xf numFmtId="0" fontId="25" fillId="0" borderId="57" xfId="0" applyFont="1" applyBorder="1" applyAlignment="1">
      <alignment vertical="center"/>
    </xf>
    <xf numFmtId="44" fontId="25" fillId="0" borderId="57" xfId="8" applyFont="1" applyBorder="1" applyAlignment="1">
      <alignment vertical="center"/>
    </xf>
    <xf numFmtId="44" fontId="25" fillId="0" borderId="48" xfId="8" applyFont="1" applyBorder="1" applyAlignment="1">
      <alignment vertical="center"/>
    </xf>
    <xf numFmtId="0" fontId="32" fillId="0" borderId="0" xfId="0" applyFont="1"/>
    <xf numFmtId="1" fontId="25" fillId="12" borderId="59" xfId="0" applyNumberFormat="1" applyFont="1" applyFill="1" applyBorder="1" applyAlignment="1">
      <alignment vertical="center"/>
    </xf>
    <xf numFmtId="1" fontId="25" fillId="12" borderId="55" xfId="0" applyNumberFormat="1" applyFont="1" applyFill="1" applyBorder="1" applyAlignment="1">
      <alignment vertical="center"/>
    </xf>
    <xf numFmtId="44" fontId="25" fillId="12" borderId="55" xfId="8" applyFont="1" applyFill="1" applyBorder="1" applyAlignment="1">
      <alignment vertical="center"/>
    </xf>
    <xf numFmtId="44" fontId="25" fillId="14" borderId="55" xfId="8" applyFont="1" applyFill="1" applyBorder="1" applyAlignment="1">
      <alignment vertical="center"/>
    </xf>
    <xf numFmtId="9" fontId="25" fillId="13" borderId="55" xfId="1" applyFont="1" applyFill="1" applyBorder="1" applyAlignment="1">
      <alignment vertical="center"/>
    </xf>
    <xf numFmtId="44" fontId="25" fillId="13" borderId="55" xfId="8" applyFont="1" applyFill="1" applyBorder="1" applyAlignment="1">
      <alignment vertical="center"/>
    </xf>
    <xf numFmtId="44" fontId="25" fillId="13" borderId="48" xfId="8" applyFont="1" applyFill="1" applyBorder="1" applyAlignment="1">
      <alignment vertical="center"/>
    </xf>
    <xf numFmtId="10" fontId="25" fillId="14" borderId="9" xfId="0" applyNumberFormat="1" applyFont="1" applyFill="1" applyBorder="1" applyAlignment="1">
      <alignment horizontal="center" vertical="center"/>
    </xf>
    <xf numFmtId="10" fontId="25" fillId="14" borderId="56" xfId="0" applyNumberFormat="1" applyFont="1" applyFill="1" applyBorder="1" applyAlignment="1">
      <alignment horizontal="center" vertical="center"/>
    </xf>
    <xf numFmtId="44" fontId="33" fillId="0" borderId="56" xfId="0" applyNumberFormat="1" applyFont="1" applyBorder="1"/>
    <xf numFmtId="44" fontId="34" fillId="0" borderId="56" xfId="8" applyFont="1" applyBorder="1"/>
    <xf numFmtId="0" fontId="32" fillId="0" borderId="56" xfId="0" applyFont="1" applyBorder="1"/>
    <xf numFmtId="43" fontId="32" fillId="0" borderId="0" xfId="18" applyFont="1" applyFill="1" applyBorder="1"/>
    <xf numFmtId="16" fontId="32" fillId="0" borderId="0" xfId="0" applyNumberFormat="1" applyFont="1"/>
    <xf numFmtId="0" fontId="32" fillId="0" borderId="56" xfId="0" applyFont="1" applyBorder="1" applyAlignment="1">
      <alignment horizontal="center"/>
    </xf>
    <xf numFmtId="0" fontId="25" fillId="16" borderId="57" xfId="0" applyFont="1" applyFill="1" applyBorder="1" applyAlignment="1">
      <alignment vertical="center"/>
    </xf>
    <xf numFmtId="0" fontId="25" fillId="0" borderId="78" xfId="0" applyFont="1" applyBorder="1" applyAlignment="1">
      <alignment horizontal="left" vertical="center" wrapText="1"/>
    </xf>
    <xf numFmtId="0" fontId="25" fillId="0" borderId="79" xfId="0" applyFont="1" applyBorder="1" applyAlignment="1">
      <alignment horizontal="left" vertical="center" wrapText="1"/>
    </xf>
    <xf numFmtId="0" fontId="25" fillId="16" borderId="56" xfId="0" applyFont="1" applyFill="1" applyBorder="1" applyAlignment="1">
      <alignment horizontal="left" vertical="center" wrapText="1"/>
    </xf>
    <xf numFmtId="0" fontId="25" fillId="0" borderId="56" xfId="0" applyFont="1" applyBorder="1" applyAlignment="1">
      <alignment horizontal="left" vertical="center" wrapText="1"/>
    </xf>
    <xf numFmtId="44" fontId="25" fillId="0" borderId="56" xfId="8" applyFont="1" applyBorder="1" applyAlignment="1">
      <alignment vertical="center"/>
    </xf>
    <xf numFmtId="1" fontId="25" fillId="12" borderId="6" xfId="0" applyNumberFormat="1" applyFont="1" applyFill="1" applyBorder="1" applyAlignment="1">
      <alignment vertical="center"/>
    </xf>
    <xf numFmtId="44" fontId="25" fillId="12" borderId="6" xfId="8" applyFont="1" applyFill="1" applyBorder="1" applyAlignment="1">
      <alignment vertical="center"/>
    </xf>
    <xf numFmtId="44" fontId="25" fillId="14" borderId="6" xfId="8" applyFont="1" applyFill="1" applyBorder="1" applyAlignment="1">
      <alignment vertical="center"/>
    </xf>
    <xf numFmtId="9" fontId="25" fillId="13" borderId="6" xfId="1" applyFont="1" applyFill="1" applyBorder="1" applyAlignment="1">
      <alignment vertical="center"/>
    </xf>
    <xf numFmtId="44" fontId="25" fillId="13" borderId="6" xfId="8" applyFont="1" applyFill="1" applyBorder="1" applyAlignment="1">
      <alignment vertical="center"/>
    </xf>
    <xf numFmtId="44" fontId="25" fillId="13" borderId="56" xfId="8" applyFont="1" applyFill="1" applyBorder="1" applyAlignment="1">
      <alignment vertical="center"/>
    </xf>
    <xf numFmtId="0" fontId="25" fillId="0" borderId="71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5" fillId="16" borderId="82" xfId="0" applyFont="1" applyFill="1" applyBorder="1" applyAlignment="1">
      <alignment horizontal="left" vertical="center" wrapText="1"/>
    </xf>
    <xf numFmtId="0" fontId="25" fillId="0" borderId="81" xfId="0" applyFont="1" applyBorder="1" applyAlignment="1">
      <alignment horizontal="left" vertical="center" wrapText="1"/>
    </xf>
    <xf numFmtId="0" fontId="25" fillId="0" borderId="81" xfId="0" applyFont="1" applyBorder="1" applyAlignment="1">
      <alignment vertical="center"/>
    </xf>
    <xf numFmtId="44" fontId="25" fillId="0" borderId="81" xfId="8" applyFont="1" applyBorder="1" applyAlignment="1">
      <alignment vertical="center"/>
    </xf>
    <xf numFmtId="44" fontId="25" fillId="0" borderId="80" xfId="8" applyFont="1" applyBorder="1" applyAlignment="1">
      <alignment vertical="center"/>
    </xf>
    <xf numFmtId="1" fontId="25" fillId="12" borderId="16" xfId="0" applyNumberFormat="1" applyFont="1" applyFill="1" applyBorder="1" applyAlignment="1">
      <alignment vertical="center"/>
    </xf>
    <xf numFmtId="1" fontId="25" fillId="12" borderId="87" xfId="0" applyNumberFormat="1" applyFont="1" applyFill="1" applyBorder="1" applyAlignment="1">
      <alignment vertical="center"/>
    </xf>
    <xf numFmtId="44" fontId="25" fillId="12" borderId="87" xfId="8" applyFont="1" applyFill="1" applyBorder="1" applyAlignment="1">
      <alignment vertical="center"/>
    </xf>
    <xf numFmtId="44" fontId="25" fillId="14" borderId="87" xfId="8" applyFont="1" applyFill="1" applyBorder="1" applyAlignment="1">
      <alignment vertical="center"/>
    </xf>
    <xf numFmtId="9" fontId="25" fillId="13" borderId="87" xfId="1" applyFont="1" applyFill="1" applyBorder="1" applyAlignment="1">
      <alignment vertical="center"/>
    </xf>
    <xf numFmtId="44" fontId="25" fillId="13" borderId="87" xfId="8" applyFont="1" applyFill="1" applyBorder="1" applyAlignment="1">
      <alignment vertical="center"/>
    </xf>
    <xf numFmtId="44" fontId="25" fillId="13" borderId="80" xfId="8" applyFont="1" applyFill="1" applyBorder="1" applyAlignment="1">
      <alignment vertical="center"/>
    </xf>
    <xf numFmtId="0" fontId="25" fillId="16" borderId="58" xfId="0" applyFont="1" applyFill="1" applyBorder="1" applyAlignment="1">
      <alignment horizontal="left" vertical="center" wrapText="1"/>
    </xf>
    <xf numFmtId="44" fontId="25" fillId="0" borderId="62" xfId="8" applyFont="1" applyBorder="1" applyAlignment="1">
      <alignment vertical="center"/>
    </xf>
    <xf numFmtId="1" fontId="25" fillId="12" borderId="88" xfId="0" applyNumberFormat="1" applyFont="1" applyFill="1" applyBorder="1" applyAlignment="1">
      <alignment vertical="center"/>
    </xf>
    <xf numFmtId="44" fontId="25" fillId="13" borderId="62" xfId="8" applyFont="1" applyFill="1" applyBorder="1" applyAlignment="1">
      <alignment vertical="center"/>
    </xf>
    <xf numFmtId="0" fontId="25" fillId="16" borderId="57" xfId="0" applyFont="1" applyFill="1" applyBorder="1" applyAlignment="1">
      <alignment horizontal="left" vertical="center" wrapText="1"/>
    </xf>
    <xf numFmtId="44" fontId="25" fillId="13" borderId="57" xfId="8" applyFont="1" applyFill="1" applyBorder="1" applyAlignment="1">
      <alignment vertical="center"/>
    </xf>
    <xf numFmtId="10" fontId="25" fillId="14" borderId="0" xfId="0" applyNumberFormat="1" applyFont="1" applyFill="1" applyAlignment="1">
      <alignment horizontal="center" vertical="center"/>
    </xf>
    <xf numFmtId="0" fontId="25" fillId="16" borderId="81" xfId="0" applyFont="1" applyFill="1" applyBorder="1" applyAlignment="1">
      <alignment horizontal="left" vertical="center" wrapText="1"/>
    </xf>
    <xf numFmtId="44" fontId="25" fillId="13" borderId="81" xfId="8" applyFont="1" applyFill="1" applyBorder="1" applyAlignment="1">
      <alignment vertical="center"/>
    </xf>
    <xf numFmtId="0" fontId="25" fillId="0" borderId="89" xfId="0" applyFont="1" applyBorder="1" applyAlignment="1">
      <alignment horizontal="left" vertical="center" wrapText="1"/>
    </xf>
    <xf numFmtId="0" fontId="25" fillId="0" borderId="93" xfId="0" applyFont="1" applyBorder="1" applyAlignment="1">
      <alignment horizontal="left" vertical="center" wrapText="1"/>
    </xf>
    <xf numFmtId="0" fontId="25" fillId="16" borderId="73" xfId="0" applyFont="1" applyFill="1" applyBorder="1" applyAlignment="1">
      <alignment horizontal="left" vertical="center" wrapText="1"/>
    </xf>
    <xf numFmtId="0" fontId="25" fillId="0" borderId="73" xfId="0" applyFont="1" applyBorder="1" applyAlignment="1">
      <alignment horizontal="left" vertical="center" wrapText="1"/>
    </xf>
    <xf numFmtId="0" fontId="25" fillId="0" borderId="73" xfId="0" applyFont="1" applyBorder="1" applyAlignment="1">
      <alignment vertical="center"/>
    </xf>
    <xf numFmtId="44" fontId="25" fillId="0" borderId="73" xfId="8" applyFont="1" applyBorder="1" applyAlignment="1">
      <alignment vertical="center"/>
    </xf>
    <xf numFmtId="1" fontId="25" fillId="12" borderId="36" xfId="0" applyNumberFormat="1" applyFont="1" applyFill="1" applyBorder="1" applyAlignment="1">
      <alignment vertical="center"/>
    </xf>
    <xf numFmtId="44" fontId="25" fillId="12" borderId="36" xfId="8" applyFont="1" applyFill="1" applyBorder="1" applyAlignment="1">
      <alignment vertical="center"/>
    </xf>
    <xf numFmtId="44" fontId="25" fillId="14" borderId="36" xfId="8" applyFont="1" applyFill="1" applyBorder="1" applyAlignment="1">
      <alignment vertical="center"/>
    </xf>
    <xf numFmtId="9" fontId="25" fillId="13" borderId="36" xfId="1" applyFont="1" applyFill="1" applyBorder="1" applyAlignment="1">
      <alignment vertical="center"/>
    </xf>
    <xf numFmtId="44" fontId="25" fillId="13" borderId="36" xfId="8" applyFont="1" applyFill="1" applyBorder="1" applyAlignment="1">
      <alignment vertical="center"/>
    </xf>
    <xf numFmtId="44" fontId="25" fillId="13" borderId="73" xfId="8" applyFont="1" applyFill="1" applyBorder="1" applyAlignment="1">
      <alignment vertical="center"/>
    </xf>
    <xf numFmtId="170" fontId="24" fillId="10" borderId="14" xfId="8" applyNumberFormat="1" applyFont="1" applyFill="1" applyBorder="1" applyAlignment="1">
      <alignment horizontal="right"/>
    </xf>
    <xf numFmtId="170" fontId="24" fillId="10" borderId="86" xfId="8" applyNumberFormat="1" applyFont="1" applyFill="1" applyBorder="1" applyAlignment="1">
      <alignment horizontal="right"/>
    </xf>
    <xf numFmtId="44" fontId="24" fillId="10" borderId="14" xfId="8" applyFont="1" applyFill="1" applyBorder="1" applyAlignment="1">
      <alignment horizontal="right"/>
    </xf>
    <xf numFmtId="44" fontId="27" fillId="14" borderId="14" xfId="8" applyFont="1" applyFill="1" applyBorder="1" applyAlignment="1">
      <alignment vertical="center"/>
    </xf>
    <xf numFmtId="9" fontId="25" fillId="13" borderId="14" xfId="1" applyFont="1" applyFill="1" applyBorder="1" applyAlignment="1">
      <alignment vertical="center"/>
    </xf>
    <xf numFmtId="44" fontId="25" fillId="13" borderId="14" xfId="8" applyFont="1" applyFill="1" applyBorder="1" applyAlignment="1">
      <alignment vertical="center"/>
    </xf>
    <xf numFmtId="44" fontId="27" fillId="13" borderId="14" xfId="8" applyFont="1" applyFill="1" applyBorder="1" applyAlignment="1">
      <alignment vertical="center"/>
    </xf>
    <xf numFmtId="44" fontId="27" fillId="13" borderId="86" xfId="8" applyFont="1" applyFill="1" applyBorder="1" applyAlignment="1">
      <alignment vertical="center"/>
    </xf>
    <xf numFmtId="0" fontId="35" fillId="11" borderId="9" xfId="0" applyFont="1" applyFill="1" applyBorder="1" applyAlignment="1">
      <alignment horizontal="center" vertical="center"/>
    </xf>
    <xf numFmtId="0" fontId="35" fillId="11" borderId="56" xfId="0" applyFont="1" applyFill="1" applyBorder="1" applyAlignment="1">
      <alignment horizontal="center" vertical="center"/>
    </xf>
    <xf numFmtId="0" fontId="27" fillId="16" borderId="47" xfId="0" applyFont="1" applyFill="1" applyBorder="1" applyAlignment="1">
      <alignment horizontal="left" vertical="center" wrapText="1"/>
    </xf>
    <xf numFmtId="1" fontId="25" fillId="12" borderId="58" xfId="0" applyNumberFormat="1" applyFont="1" applyFill="1" applyBorder="1" applyAlignment="1">
      <alignment vertical="center"/>
    </xf>
    <xf numFmtId="1" fontId="25" fillId="12" borderId="56" xfId="0" applyNumberFormat="1" applyFont="1" applyFill="1" applyBorder="1" applyAlignment="1">
      <alignment vertical="center"/>
    </xf>
    <xf numFmtId="44" fontId="25" fillId="12" borderId="56" xfId="8" applyFont="1" applyFill="1" applyBorder="1" applyAlignment="1">
      <alignment vertical="center"/>
    </xf>
    <xf numFmtId="44" fontId="25" fillId="14" borderId="56" xfId="8" applyFont="1" applyFill="1" applyBorder="1" applyAlignment="1">
      <alignment vertical="center"/>
    </xf>
    <xf numFmtId="9" fontId="25" fillId="13" borderId="56" xfId="1" applyFont="1" applyFill="1" applyBorder="1" applyAlignment="1">
      <alignment vertical="center"/>
    </xf>
    <xf numFmtId="1" fontId="25" fillId="12" borderId="47" xfId="0" applyNumberFormat="1" applyFont="1" applyFill="1" applyBorder="1" applyAlignment="1">
      <alignment vertical="center"/>
    </xf>
    <xf numFmtId="1" fontId="25" fillId="12" borderId="57" xfId="0" applyNumberFormat="1" applyFont="1" applyFill="1" applyBorder="1" applyAlignment="1">
      <alignment vertical="center"/>
    </xf>
    <xf numFmtId="44" fontId="25" fillId="12" borderId="57" xfId="8" applyFont="1" applyFill="1" applyBorder="1" applyAlignment="1">
      <alignment vertical="center"/>
    </xf>
    <xf numFmtId="44" fontId="25" fillId="14" borderId="57" xfId="8" applyFont="1" applyFill="1" applyBorder="1" applyAlignment="1">
      <alignment vertical="center"/>
    </xf>
    <xf numFmtId="9" fontId="25" fillId="13" borderId="57" xfId="1" applyFont="1" applyFill="1" applyBorder="1" applyAlignment="1">
      <alignment vertical="center"/>
    </xf>
    <xf numFmtId="10" fontId="25" fillId="14" borderId="32" xfId="0" applyNumberFormat="1" applyFont="1" applyFill="1" applyBorder="1" applyAlignment="1">
      <alignment horizontal="center" vertical="center"/>
    </xf>
    <xf numFmtId="10" fontId="25" fillId="14" borderId="57" xfId="0" applyNumberFormat="1" applyFont="1" applyFill="1" applyBorder="1" applyAlignment="1">
      <alignment horizontal="center" vertical="center"/>
    </xf>
    <xf numFmtId="170" fontId="24" fillId="10" borderId="0" xfId="0" applyNumberFormat="1" applyFont="1" applyFill="1" applyAlignment="1">
      <alignment horizontal="right"/>
    </xf>
    <xf numFmtId="170" fontId="24" fillId="10" borderId="69" xfId="0" applyNumberFormat="1" applyFont="1" applyFill="1" applyBorder="1" applyAlignment="1">
      <alignment horizontal="right"/>
    </xf>
    <xf numFmtId="44" fontId="24" fillId="10" borderId="0" xfId="0" applyNumberFormat="1" applyFont="1" applyFill="1" applyAlignment="1">
      <alignment horizontal="right"/>
    </xf>
    <xf numFmtId="44" fontId="27" fillId="14" borderId="0" xfId="0" applyNumberFormat="1" applyFont="1" applyFill="1"/>
    <xf numFmtId="0" fontId="32" fillId="13" borderId="0" xfId="0" applyFont="1" applyFill="1"/>
    <xf numFmtId="44" fontId="27" fillId="13" borderId="0" xfId="0" applyNumberFormat="1" applyFont="1" applyFill="1"/>
    <xf numFmtId="44" fontId="27" fillId="13" borderId="0" xfId="8" applyFont="1" applyFill="1" applyBorder="1"/>
    <xf numFmtId="44" fontId="24" fillId="15" borderId="10" xfId="8" applyFont="1" applyFill="1" applyBorder="1" applyAlignment="1">
      <alignment horizontal="center"/>
    </xf>
    <xf numFmtId="44" fontId="24" fillId="15" borderId="91" xfId="8" applyFont="1" applyFill="1" applyBorder="1" applyAlignment="1">
      <alignment horizontal="center"/>
    </xf>
    <xf numFmtId="49" fontId="25" fillId="0" borderId="54" xfId="0" applyNumberFormat="1" applyFont="1" applyBorder="1" applyAlignment="1">
      <alignment horizontal="left" vertical="center" wrapText="1"/>
    </xf>
    <xf numFmtId="0" fontId="24" fillId="16" borderId="5" xfId="0" applyFont="1" applyFill="1" applyBorder="1"/>
    <xf numFmtId="0" fontId="24" fillId="15" borderId="34" xfId="0" applyFont="1" applyFill="1" applyBorder="1"/>
    <xf numFmtId="44" fontId="24" fillId="15" borderId="34" xfId="0" applyNumberFormat="1" applyFont="1" applyFill="1" applyBorder="1"/>
    <xf numFmtId="44" fontId="24" fillId="15" borderId="90" xfId="0" applyNumberFormat="1" applyFont="1" applyFill="1" applyBorder="1"/>
    <xf numFmtId="0" fontId="24" fillId="15" borderId="5" xfId="0" applyFont="1" applyFill="1" applyBorder="1"/>
    <xf numFmtId="9" fontId="24" fillId="15" borderId="13" xfId="1" applyFont="1" applyFill="1" applyBorder="1"/>
    <xf numFmtId="44" fontId="24" fillId="15" borderId="92" xfId="8" applyFont="1" applyFill="1" applyBorder="1"/>
    <xf numFmtId="0" fontId="32" fillId="16" borderId="0" xfId="0" applyFont="1" applyFill="1"/>
    <xf numFmtId="44" fontId="25" fillId="0" borderId="0" xfId="0" applyNumberFormat="1" applyFont="1" applyAlignment="1">
      <alignment vertical="center"/>
    </xf>
    <xf numFmtId="9" fontId="36" fillId="0" borderId="0" xfId="0" applyNumberFormat="1" applyFont="1" applyAlignment="1">
      <alignment vertical="center"/>
    </xf>
    <xf numFmtId="4" fontId="36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49" fontId="38" fillId="0" borderId="0" xfId="2" applyNumberFormat="1" applyFont="1" applyAlignment="1">
      <alignment horizontal="left" vertical="center" wrapText="1"/>
    </xf>
    <xf numFmtId="0" fontId="38" fillId="0" borderId="0" xfId="2" applyFont="1" applyAlignment="1">
      <alignment horizontal="left" vertical="center" wrapText="1"/>
    </xf>
    <xf numFmtId="0" fontId="37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64" fontId="38" fillId="16" borderId="0" xfId="2" applyNumberFormat="1" applyFont="1" applyFill="1" applyAlignment="1">
      <alignment horizontal="left" vertical="center"/>
    </xf>
    <xf numFmtId="164" fontId="38" fillId="0" borderId="0" xfId="2" applyNumberFormat="1" applyFont="1" applyAlignment="1">
      <alignment horizontal="left" vertical="center"/>
    </xf>
    <xf numFmtId="164" fontId="38" fillId="16" borderId="19" xfId="2" applyNumberFormat="1" applyFont="1" applyFill="1" applyBorder="1" applyAlignment="1" applyProtection="1">
      <alignment horizontal="left" vertical="center"/>
      <protection locked="0"/>
    </xf>
    <xf numFmtId="164" fontId="38" fillId="0" borderId="18" xfId="2" applyNumberFormat="1" applyFont="1" applyBorder="1" applyAlignment="1" applyProtection="1">
      <alignment horizontal="left" vertical="center"/>
      <protection locked="0"/>
    </xf>
    <xf numFmtId="164" fontId="38" fillId="16" borderId="30" xfId="2" applyNumberFormat="1" applyFont="1" applyFill="1" applyBorder="1" applyAlignment="1" applyProtection="1">
      <alignment horizontal="left" vertical="center"/>
      <protection locked="0"/>
    </xf>
    <xf numFmtId="164" fontId="38" fillId="0" borderId="29" xfId="2" applyNumberFormat="1" applyFont="1" applyBorder="1" applyAlignment="1" applyProtection="1">
      <alignment horizontal="left" vertical="center"/>
      <protection locked="0"/>
    </xf>
    <xf numFmtId="0" fontId="38" fillId="0" borderId="22" xfId="2" applyFont="1" applyBorder="1" applyAlignment="1" applyProtection="1">
      <alignment horizontal="left" vertical="center"/>
      <protection locked="0"/>
    </xf>
    <xf numFmtId="14" fontId="38" fillId="0" borderId="29" xfId="2" applyNumberFormat="1" applyFont="1" applyBorder="1" applyAlignment="1" applyProtection="1">
      <alignment horizontal="left" vertical="center"/>
      <protection locked="0"/>
    </xf>
    <xf numFmtId="164" fontId="38" fillId="16" borderId="36" xfId="2" applyNumberFormat="1" applyFont="1" applyFill="1" applyBorder="1" applyAlignment="1" applyProtection="1">
      <alignment horizontal="left" vertical="center"/>
      <protection locked="0"/>
    </xf>
    <xf numFmtId="0" fontId="38" fillId="0" borderId="25" xfId="2" applyFont="1" applyBorder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0" fontId="37" fillId="16" borderId="0" xfId="0" applyFont="1" applyFill="1" applyAlignment="1">
      <alignment vertical="center"/>
    </xf>
    <xf numFmtId="0" fontId="37" fillId="0" borderId="0" xfId="1" applyNumberFormat="1" applyFont="1" applyAlignment="1">
      <alignment vertical="center"/>
    </xf>
    <xf numFmtId="165" fontId="40" fillId="6" borderId="35" xfId="4" applyFont="1" applyFill="1" applyBorder="1" applyAlignment="1">
      <alignment horizontal="center" vertical="center" wrapText="1"/>
    </xf>
    <xf numFmtId="168" fontId="39" fillId="0" borderId="67" xfId="1" applyNumberFormat="1" applyFont="1" applyBorder="1" applyAlignment="1">
      <alignment vertical="center"/>
    </xf>
    <xf numFmtId="166" fontId="40" fillId="0" borderId="37" xfId="4" applyNumberFormat="1" applyFont="1" applyBorder="1" applyAlignment="1">
      <alignment horizontal="center" vertical="center" wrapText="1"/>
    </xf>
    <xf numFmtId="0" fontId="39" fillId="5" borderId="0" xfId="0" applyFont="1" applyFill="1" applyAlignment="1">
      <alignment vertical="center"/>
    </xf>
    <xf numFmtId="49" fontId="39" fillId="5" borderId="0" xfId="0" applyNumberFormat="1" applyFont="1" applyFill="1" applyAlignment="1">
      <alignment vertical="center"/>
    </xf>
    <xf numFmtId="0" fontId="41" fillId="0" borderId="0" xfId="0" applyFont="1" applyAlignment="1">
      <alignment vertical="center"/>
    </xf>
    <xf numFmtId="0" fontId="37" fillId="0" borderId="42" xfId="0" applyFont="1" applyBorder="1" applyAlignment="1">
      <alignment horizontal="left" vertical="center"/>
    </xf>
    <xf numFmtId="49" fontId="37" fillId="0" borderId="43" xfId="0" applyNumberFormat="1" applyFont="1" applyBorder="1" applyAlignment="1">
      <alignment horizontal="left" vertical="center"/>
    </xf>
    <xf numFmtId="0" fontId="37" fillId="0" borderId="44" xfId="0" applyFont="1" applyBorder="1" applyAlignment="1">
      <alignment horizontal="left" vertical="center"/>
    </xf>
    <xf numFmtId="0" fontId="37" fillId="0" borderId="42" xfId="0" applyFont="1" applyBorder="1" applyAlignment="1">
      <alignment horizontal="left" vertical="center" wrapText="1"/>
    </xf>
    <xf numFmtId="0" fontId="38" fillId="16" borderId="63" xfId="3" applyFont="1" applyFill="1" applyBorder="1" applyAlignment="1">
      <alignment horizontal="left" vertical="center"/>
    </xf>
    <xf numFmtId="0" fontId="38" fillId="6" borderId="53" xfId="3" applyFont="1" applyFill="1" applyBorder="1" applyAlignment="1">
      <alignment horizontal="center" vertical="center"/>
    </xf>
    <xf numFmtId="0" fontId="39" fillId="6" borderId="50" xfId="3" applyFont="1" applyFill="1" applyBorder="1" applyAlignment="1">
      <alignment horizontal="center" vertical="center"/>
    </xf>
    <xf numFmtId="169" fontId="39" fillId="6" borderId="50" xfId="3" applyNumberFormat="1" applyFont="1" applyFill="1" applyBorder="1" applyAlignment="1">
      <alignment horizontal="center" vertical="center" wrapText="1"/>
    </xf>
    <xf numFmtId="0" fontId="39" fillId="6" borderId="51" xfId="3" applyFont="1" applyFill="1" applyBorder="1" applyAlignment="1">
      <alignment horizontal="center" vertical="center" wrapText="1"/>
    </xf>
    <xf numFmtId="9" fontId="39" fillId="6" borderId="49" xfId="1" applyFont="1" applyFill="1" applyBorder="1" applyAlignment="1">
      <alignment horizontal="center" vertical="center" wrapText="1"/>
    </xf>
    <xf numFmtId="10" fontId="39" fillId="6" borderId="50" xfId="1" applyNumberFormat="1" applyFont="1" applyFill="1" applyBorder="1" applyAlignment="1">
      <alignment horizontal="center" vertical="center" wrapText="1"/>
    </xf>
    <xf numFmtId="0" fontId="39" fillId="6" borderId="52" xfId="3" applyFont="1" applyFill="1" applyBorder="1" applyAlignment="1">
      <alignment horizontal="center" vertical="center" wrapText="1"/>
    </xf>
    <xf numFmtId="37" fontId="40" fillId="6" borderId="49" xfId="3" applyNumberFormat="1" applyFont="1" applyFill="1" applyBorder="1" applyAlignment="1">
      <alignment horizontal="center" vertical="center"/>
    </xf>
    <xf numFmtId="37" fontId="40" fillId="6" borderId="50" xfId="3" applyNumberFormat="1" applyFont="1" applyFill="1" applyBorder="1" applyAlignment="1">
      <alignment horizontal="center" vertical="center"/>
    </xf>
    <xf numFmtId="40" fontId="40" fillId="6" borderId="50" xfId="4" applyNumberFormat="1" applyFont="1" applyFill="1" applyBorder="1" applyAlignment="1">
      <alignment horizontal="center" vertical="center"/>
    </xf>
    <xf numFmtId="165" fontId="40" fillId="6" borderId="50" xfId="4" applyFont="1" applyFill="1" applyBorder="1" applyAlignment="1">
      <alignment horizontal="right" vertical="center"/>
    </xf>
    <xf numFmtId="40" fontId="40" fillId="6" borderId="50" xfId="4" applyNumberFormat="1" applyFont="1" applyFill="1" applyBorder="1" applyAlignment="1">
      <alignment horizontal="center" vertical="center" wrapText="1"/>
    </xf>
    <xf numFmtId="10" fontId="40" fillId="6" borderId="50" xfId="5" applyNumberFormat="1" applyFont="1" applyFill="1" applyBorder="1" applyAlignment="1">
      <alignment horizontal="center" vertical="center" wrapText="1"/>
    </xf>
    <xf numFmtId="165" fontId="40" fillId="6" borderId="50" xfId="4" applyFont="1" applyFill="1" applyBorder="1" applyAlignment="1">
      <alignment horizontal="center" vertical="center" wrapText="1"/>
    </xf>
    <xf numFmtId="165" fontId="40" fillId="6" borderId="52" xfId="4" applyFont="1" applyFill="1" applyBorder="1" applyAlignment="1">
      <alignment horizontal="center" vertical="center" wrapText="1"/>
    </xf>
    <xf numFmtId="10" fontId="40" fillId="6" borderId="45" xfId="5" applyNumberFormat="1" applyFont="1" applyFill="1" applyBorder="1" applyAlignment="1">
      <alignment horizontal="center" vertical="center" wrapText="1"/>
    </xf>
    <xf numFmtId="10" fontId="40" fillId="6" borderId="46" xfId="5" applyNumberFormat="1" applyFont="1" applyFill="1" applyBorder="1" applyAlignment="1">
      <alignment horizontal="center" vertical="center" wrapText="1"/>
    </xf>
    <xf numFmtId="166" fontId="21" fillId="6" borderId="47" xfId="4" applyNumberFormat="1" applyFont="1" applyFill="1" applyBorder="1" applyAlignment="1">
      <alignment horizontal="center" vertical="center" wrapText="1"/>
    </xf>
    <xf numFmtId="166" fontId="42" fillId="6" borderId="55" xfId="4" applyNumberFormat="1" applyFont="1" applyFill="1" applyBorder="1" applyAlignment="1">
      <alignment horizontal="center" vertical="center" wrapText="1"/>
    </xf>
    <xf numFmtId="165" fontId="40" fillId="0" borderId="0" xfId="4" applyFont="1" applyFill="1" applyBorder="1" applyAlignment="1">
      <alignment horizontal="center" vertical="center" wrapText="1"/>
    </xf>
    <xf numFmtId="37" fontId="40" fillId="6" borderId="3" xfId="3" applyNumberFormat="1" applyFont="1" applyFill="1" applyBorder="1" applyAlignment="1">
      <alignment horizontal="center" vertical="center"/>
    </xf>
    <xf numFmtId="40" fontId="40" fillId="6" borderId="70" xfId="4" applyNumberFormat="1" applyFont="1" applyFill="1" applyBorder="1" applyAlignment="1">
      <alignment horizontal="center" vertical="center"/>
    </xf>
    <xf numFmtId="166" fontId="42" fillId="6" borderId="48" xfId="4" applyNumberFormat="1" applyFont="1" applyFill="1" applyBorder="1" applyAlignment="1">
      <alignment horizontal="center" vertical="center" wrapText="1"/>
    </xf>
    <xf numFmtId="49" fontId="37" fillId="0" borderId="43" xfId="0" applyNumberFormat="1" applyFont="1" applyBorder="1" applyAlignment="1">
      <alignment horizontal="left" vertical="center" wrapText="1"/>
    </xf>
    <xf numFmtId="0" fontId="37" fillId="0" borderId="44" xfId="0" applyFont="1" applyBorder="1" applyAlignment="1">
      <alignment horizontal="left" vertical="center" wrapText="1"/>
    </xf>
    <xf numFmtId="0" fontId="39" fillId="11" borderId="51" xfId="0" applyFont="1" applyFill="1" applyBorder="1" applyAlignment="1">
      <alignment horizontal="center" vertical="center"/>
    </xf>
    <xf numFmtId="0" fontId="39" fillId="11" borderId="50" xfId="0" applyFont="1" applyFill="1" applyBorder="1" applyAlignment="1">
      <alignment horizontal="center" vertical="center"/>
    </xf>
    <xf numFmtId="0" fontId="39" fillId="11" borderId="68" xfId="0" applyFont="1" applyFill="1" applyBorder="1" applyAlignment="1">
      <alignment horizontal="center" vertical="center"/>
    </xf>
    <xf numFmtId="0" fontId="39" fillId="11" borderId="9" xfId="0" applyFont="1" applyFill="1" applyBorder="1" applyAlignment="1">
      <alignment horizontal="center" vertical="center"/>
    </xf>
    <xf numFmtId="0" fontId="39" fillId="11" borderId="56" xfId="0" applyFont="1" applyFill="1" applyBorder="1" applyAlignment="1">
      <alignment horizontal="center" vertical="center"/>
    </xf>
    <xf numFmtId="0" fontId="38" fillId="16" borderId="47" xfId="0" applyFont="1" applyFill="1" applyBorder="1" applyAlignment="1">
      <alignment horizontal="left" vertical="center" wrapText="1"/>
    </xf>
    <xf numFmtId="0" fontId="43" fillId="0" borderId="57" xfId="0" applyFont="1" applyBorder="1" applyAlignment="1">
      <alignment horizontal="left" vertical="center" wrapText="1"/>
    </xf>
    <xf numFmtId="0" fontId="43" fillId="0" borderId="57" xfId="0" applyFont="1" applyBorder="1" applyAlignment="1">
      <alignment horizontal="center" vertical="center"/>
    </xf>
    <xf numFmtId="0" fontId="43" fillId="16" borderId="57" xfId="0" applyFont="1" applyFill="1" applyBorder="1" applyAlignment="1">
      <alignment horizontal="center" vertical="center"/>
    </xf>
    <xf numFmtId="44" fontId="43" fillId="0" borderId="57" xfId="8" applyFont="1" applyBorder="1" applyAlignment="1">
      <alignment vertical="center"/>
    </xf>
    <xf numFmtId="44" fontId="37" fillId="0" borderId="57" xfId="8" applyFont="1" applyBorder="1" applyAlignment="1">
      <alignment vertical="center"/>
    </xf>
    <xf numFmtId="44" fontId="37" fillId="0" borderId="48" xfId="8" applyFont="1" applyBorder="1" applyAlignment="1">
      <alignment vertical="center"/>
    </xf>
    <xf numFmtId="1" fontId="37" fillId="12" borderId="58" xfId="0" applyNumberFormat="1" applyFont="1" applyFill="1" applyBorder="1" applyAlignment="1">
      <alignment horizontal="center" vertical="center"/>
    </xf>
    <xf numFmtId="1" fontId="37" fillId="12" borderId="56" xfId="0" applyNumberFormat="1" applyFont="1" applyFill="1" applyBorder="1" applyAlignment="1">
      <alignment horizontal="center" vertical="center"/>
    </xf>
    <xf numFmtId="44" fontId="37" fillId="12" borderId="56" xfId="8" applyFont="1" applyFill="1" applyBorder="1" applyAlignment="1">
      <alignment vertical="center"/>
    </xf>
    <xf numFmtId="44" fontId="37" fillId="14" borderId="56" xfId="8" applyFont="1" applyFill="1" applyBorder="1" applyAlignment="1">
      <alignment vertical="center"/>
    </xf>
    <xf numFmtId="9" fontId="37" fillId="13" borderId="56" xfId="1" applyFont="1" applyFill="1" applyBorder="1" applyAlignment="1">
      <alignment horizontal="center" vertical="center"/>
    </xf>
    <xf numFmtId="44" fontId="37" fillId="13" borderId="56" xfId="8" applyFont="1" applyFill="1" applyBorder="1" applyAlignment="1">
      <alignment vertical="center"/>
    </xf>
    <xf numFmtId="44" fontId="37" fillId="13" borderId="62" xfId="8" applyFont="1" applyFill="1" applyBorder="1" applyAlignment="1">
      <alignment vertical="center"/>
    </xf>
    <xf numFmtId="10" fontId="37" fillId="14" borderId="9" xfId="0" applyNumberFormat="1" applyFont="1" applyFill="1" applyBorder="1" applyAlignment="1">
      <alignment horizontal="center" vertical="center"/>
    </xf>
    <xf numFmtId="10" fontId="37" fillId="14" borderId="56" xfId="0" applyNumberFormat="1" applyFont="1" applyFill="1" applyBorder="1" applyAlignment="1">
      <alignment horizontal="center" vertical="center"/>
    </xf>
    <xf numFmtId="44" fontId="44" fillId="0" borderId="56" xfId="0" applyNumberFormat="1" applyFont="1" applyBorder="1"/>
    <xf numFmtId="44" fontId="45" fillId="0" borderId="56" xfId="8" applyFont="1" applyBorder="1"/>
    <xf numFmtId="0" fontId="37" fillId="0" borderId="56" xfId="0" applyFont="1" applyBorder="1" applyAlignment="1">
      <alignment horizontal="center" vertical="center"/>
    </xf>
    <xf numFmtId="0" fontId="43" fillId="16" borderId="57" xfId="0" applyFont="1" applyFill="1" applyBorder="1" applyAlignment="1">
      <alignment horizontal="left" vertical="center" wrapText="1"/>
    </xf>
    <xf numFmtId="170" fontId="18" fillId="10" borderId="0" xfId="0" applyNumberFormat="1" applyFont="1" applyFill="1" applyAlignment="1">
      <alignment horizontal="right" vertical="center"/>
    </xf>
    <xf numFmtId="170" fontId="18" fillId="10" borderId="69" xfId="0" applyNumberFormat="1" applyFont="1" applyFill="1" applyBorder="1" applyAlignment="1">
      <alignment horizontal="right" vertical="center"/>
    </xf>
    <xf numFmtId="44" fontId="18" fillId="10" borderId="56" xfId="0" applyNumberFormat="1" applyFont="1" applyFill="1" applyBorder="1" applyAlignment="1">
      <alignment horizontal="right" vertical="center"/>
    </xf>
    <xf numFmtId="44" fontId="39" fillId="14" borderId="56" xfId="0" applyNumberFormat="1" applyFont="1" applyFill="1" applyBorder="1" applyAlignment="1">
      <alignment vertical="center"/>
    </xf>
    <xf numFmtId="0" fontId="37" fillId="13" borderId="56" xfId="0" applyFont="1" applyFill="1" applyBorder="1" applyAlignment="1">
      <alignment horizontal="center" vertical="center"/>
    </xf>
    <xf numFmtId="0" fontId="37" fillId="13" borderId="56" xfId="0" applyFont="1" applyFill="1" applyBorder="1" applyAlignment="1">
      <alignment vertical="center"/>
    </xf>
    <xf numFmtId="44" fontId="39" fillId="13" borderId="56" xfId="0" applyNumberFormat="1" applyFont="1" applyFill="1" applyBorder="1" applyAlignment="1">
      <alignment vertical="center"/>
    </xf>
    <xf numFmtId="44" fontId="39" fillId="13" borderId="62" xfId="8" applyFont="1" applyFill="1" applyBorder="1" applyAlignment="1">
      <alignment vertical="center"/>
    </xf>
    <xf numFmtId="0" fontId="39" fillId="16" borderId="47" xfId="0" applyFont="1" applyFill="1" applyBorder="1" applyAlignment="1">
      <alignment horizontal="left" vertical="center" wrapText="1"/>
    </xf>
    <xf numFmtId="0" fontId="37" fillId="0" borderId="57" xfId="0" applyFont="1" applyBorder="1" applyAlignment="1">
      <alignment horizontal="left" vertical="center" wrapText="1"/>
    </xf>
    <xf numFmtId="0" fontId="37" fillId="0" borderId="57" xfId="0" applyFont="1" applyBorder="1" applyAlignment="1">
      <alignment horizontal="center" vertical="center"/>
    </xf>
    <xf numFmtId="0" fontId="37" fillId="16" borderId="57" xfId="0" applyFont="1" applyFill="1" applyBorder="1" applyAlignment="1">
      <alignment horizontal="left" vertical="center" wrapText="1"/>
    </xf>
    <xf numFmtId="44" fontId="37" fillId="0" borderId="57" xfId="8" applyFont="1" applyFill="1" applyBorder="1" applyAlignment="1">
      <alignment vertical="center"/>
    </xf>
    <xf numFmtId="0" fontId="37" fillId="17" borderId="42" xfId="0" applyFont="1" applyFill="1" applyBorder="1" applyAlignment="1">
      <alignment horizontal="left" vertical="center" wrapText="1"/>
    </xf>
    <xf numFmtId="0" fontId="39" fillId="16" borderId="58" xfId="0" applyFont="1" applyFill="1" applyBorder="1" applyAlignment="1">
      <alignment horizontal="left" vertical="center" wrapText="1"/>
    </xf>
    <xf numFmtId="0" fontId="37" fillId="0" borderId="56" xfId="0" applyFont="1" applyBorder="1" applyAlignment="1">
      <alignment horizontal="left" vertical="center" wrapText="1"/>
    </xf>
    <xf numFmtId="44" fontId="37" fillId="16" borderId="56" xfId="8" applyFont="1" applyFill="1" applyBorder="1" applyAlignment="1">
      <alignment vertical="center"/>
    </xf>
    <xf numFmtId="44" fontId="37" fillId="16" borderId="57" xfId="8" applyFont="1" applyFill="1" applyBorder="1" applyAlignment="1">
      <alignment vertical="center"/>
    </xf>
    <xf numFmtId="44" fontId="37" fillId="0" borderId="62" xfId="8" applyFont="1" applyBorder="1" applyAlignment="1">
      <alignment vertical="center"/>
    </xf>
    <xf numFmtId="0" fontId="37" fillId="16" borderId="57" xfId="0" applyFont="1" applyFill="1" applyBorder="1" applyAlignment="1">
      <alignment horizontal="center" vertical="center"/>
    </xf>
    <xf numFmtId="1" fontId="37" fillId="12" borderId="47" xfId="0" applyNumberFormat="1" applyFont="1" applyFill="1" applyBorder="1" applyAlignment="1">
      <alignment horizontal="center" vertical="center"/>
    </xf>
    <xf numFmtId="1" fontId="37" fillId="12" borderId="57" xfId="0" applyNumberFormat="1" applyFont="1" applyFill="1" applyBorder="1" applyAlignment="1">
      <alignment horizontal="center" vertical="center"/>
    </xf>
    <xf numFmtId="44" fontId="37" fillId="12" borderId="57" xfId="8" applyFont="1" applyFill="1" applyBorder="1" applyAlignment="1">
      <alignment vertical="center"/>
    </xf>
    <xf numFmtId="44" fontId="37" fillId="14" borderId="57" xfId="8" applyFont="1" applyFill="1" applyBorder="1" applyAlignment="1">
      <alignment vertical="center"/>
    </xf>
    <xf numFmtId="9" fontId="37" fillId="13" borderId="57" xfId="1" applyFont="1" applyFill="1" applyBorder="1" applyAlignment="1">
      <alignment horizontal="center" vertical="center"/>
    </xf>
    <xf numFmtId="44" fontId="37" fillId="13" borderId="57" xfId="8" applyFont="1" applyFill="1" applyBorder="1" applyAlignment="1">
      <alignment vertical="center"/>
    </xf>
    <xf numFmtId="44" fontId="37" fillId="13" borderId="48" xfId="8" applyFont="1" applyFill="1" applyBorder="1" applyAlignment="1">
      <alignment vertical="center"/>
    </xf>
    <xf numFmtId="0" fontId="37" fillId="0" borderId="78" xfId="0" applyFont="1" applyBorder="1" applyAlignment="1">
      <alignment horizontal="left" vertical="center" wrapText="1"/>
    </xf>
    <xf numFmtId="0" fontId="37" fillId="0" borderId="79" xfId="0" applyFont="1" applyBorder="1" applyAlignment="1">
      <alignment horizontal="left" vertical="center" wrapText="1"/>
    </xf>
    <xf numFmtId="1" fontId="37" fillId="12" borderId="6" xfId="0" applyNumberFormat="1" applyFont="1" applyFill="1" applyBorder="1" applyAlignment="1">
      <alignment horizontal="center" vertical="center"/>
    </xf>
    <xf numFmtId="44" fontId="37" fillId="12" borderId="6" xfId="8" applyFont="1" applyFill="1" applyBorder="1" applyAlignment="1">
      <alignment vertical="center"/>
    </xf>
    <xf numFmtId="44" fontId="37" fillId="14" borderId="6" xfId="8" applyFont="1" applyFill="1" applyBorder="1" applyAlignment="1">
      <alignment vertical="center"/>
    </xf>
    <xf numFmtId="9" fontId="37" fillId="13" borderId="6" xfId="1" applyFont="1" applyFill="1" applyBorder="1" applyAlignment="1">
      <alignment vertical="center"/>
    </xf>
    <xf numFmtId="44" fontId="37" fillId="13" borderId="6" xfId="8" applyFont="1" applyFill="1" applyBorder="1" applyAlignment="1">
      <alignment vertical="center"/>
    </xf>
    <xf numFmtId="10" fontId="37" fillId="14" borderId="0" xfId="0" applyNumberFormat="1" applyFont="1" applyFill="1" applyAlignment="1">
      <alignment horizontal="center" vertical="center"/>
    </xf>
    <xf numFmtId="0" fontId="37" fillId="0" borderId="71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170" fontId="18" fillId="10" borderId="14" xfId="0" applyNumberFormat="1" applyFont="1" applyFill="1" applyBorder="1" applyAlignment="1">
      <alignment horizontal="right" vertical="center"/>
    </xf>
    <xf numFmtId="170" fontId="18" fillId="10" borderId="15" xfId="0" applyNumberFormat="1" applyFont="1" applyFill="1" applyBorder="1" applyAlignment="1">
      <alignment horizontal="right" vertical="center"/>
    </xf>
    <xf numFmtId="44" fontId="18" fillId="10" borderId="73" xfId="0" applyNumberFormat="1" applyFont="1" applyFill="1" applyBorder="1" applyAlignment="1">
      <alignment horizontal="right" vertical="center"/>
    </xf>
    <xf numFmtId="44" fontId="39" fillId="14" borderId="73" xfId="0" applyNumberFormat="1" applyFont="1" applyFill="1" applyBorder="1" applyAlignment="1">
      <alignment vertical="center"/>
    </xf>
    <xf numFmtId="0" fontId="37" fillId="13" borderId="73" xfId="0" applyFont="1" applyFill="1" applyBorder="1" applyAlignment="1">
      <alignment horizontal="center" vertical="center"/>
    </xf>
    <xf numFmtId="0" fontId="37" fillId="13" borderId="73" xfId="0" applyFont="1" applyFill="1" applyBorder="1" applyAlignment="1">
      <alignment vertical="center"/>
    </xf>
    <xf numFmtId="44" fontId="39" fillId="13" borderId="73" xfId="0" applyNumberFormat="1" applyFont="1" applyFill="1" applyBorder="1" applyAlignment="1">
      <alignment vertical="center"/>
    </xf>
    <xf numFmtId="44" fontId="39" fillId="13" borderId="74" xfId="8" applyFont="1" applyFill="1" applyBorder="1" applyAlignment="1">
      <alignment vertical="center"/>
    </xf>
    <xf numFmtId="44" fontId="18" fillId="9" borderId="0" xfId="0" applyNumberFormat="1" applyFont="1" applyFill="1" applyAlignment="1">
      <alignment horizontal="right" vertical="center"/>
    </xf>
    <xf numFmtId="44" fontId="18" fillId="9" borderId="69" xfId="0" applyNumberFormat="1" applyFont="1" applyFill="1" applyBorder="1" applyAlignment="1">
      <alignment horizontal="right" vertical="center"/>
    </xf>
    <xf numFmtId="44" fontId="18" fillId="9" borderId="57" xfId="0" applyNumberFormat="1" applyFont="1" applyFill="1" applyBorder="1" applyAlignment="1">
      <alignment horizontal="right" vertical="center"/>
    </xf>
    <xf numFmtId="44" fontId="39" fillId="14" borderId="57" xfId="0" applyNumberFormat="1" applyFont="1" applyFill="1" applyBorder="1" applyAlignment="1">
      <alignment vertical="center"/>
    </xf>
    <xf numFmtId="0" fontId="37" fillId="13" borderId="57" xfId="0" applyFont="1" applyFill="1" applyBorder="1" applyAlignment="1">
      <alignment horizontal="center" vertical="center"/>
    </xf>
    <xf numFmtId="0" fontId="37" fillId="13" borderId="57" xfId="0" applyFont="1" applyFill="1" applyBorder="1" applyAlignment="1">
      <alignment vertical="center"/>
    </xf>
    <xf numFmtId="44" fontId="39" fillId="13" borderId="57" xfId="0" applyNumberFormat="1" applyFont="1" applyFill="1" applyBorder="1" applyAlignment="1">
      <alignment vertical="center"/>
    </xf>
    <xf numFmtId="44" fontId="39" fillId="13" borderId="48" xfId="8" applyFont="1" applyFill="1" applyBorder="1" applyAlignment="1">
      <alignment vertical="center"/>
    </xf>
    <xf numFmtId="44" fontId="37" fillId="0" borderId="0" xfId="0" applyNumberFormat="1" applyFont="1" applyAlignment="1">
      <alignment vertical="center"/>
    </xf>
    <xf numFmtId="0" fontId="21" fillId="16" borderId="47" xfId="0" applyFont="1" applyFill="1" applyBorder="1" applyAlignment="1">
      <alignment horizontal="left" vertical="center" wrapText="1"/>
    </xf>
    <xf numFmtId="44" fontId="43" fillId="16" borderId="57" xfId="8" applyFont="1" applyFill="1" applyBorder="1" applyAlignment="1">
      <alignment vertical="center"/>
    </xf>
    <xf numFmtId="4" fontId="37" fillId="0" borderId="0" xfId="0" applyNumberFormat="1" applyFont="1" applyAlignment="1">
      <alignment vertical="center"/>
    </xf>
    <xf numFmtId="0" fontId="21" fillId="16" borderId="56" xfId="0" applyFont="1" applyFill="1" applyBorder="1" applyAlignment="1">
      <alignment horizontal="left" vertical="center" wrapText="1"/>
    </xf>
    <xf numFmtId="0" fontId="37" fillId="16" borderId="56" xfId="0" applyFont="1" applyFill="1" applyBorder="1" applyAlignment="1">
      <alignment horizontal="left" vertical="center" wrapText="1"/>
    </xf>
    <xf numFmtId="0" fontId="37" fillId="16" borderId="56" xfId="0" applyFont="1" applyFill="1" applyBorder="1" applyAlignment="1">
      <alignment horizontal="center" vertical="center"/>
    </xf>
    <xf numFmtId="44" fontId="37" fillId="0" borderId="56" xfId="8" applyFont="1" applyBorder="1" applyAlignment="1">
      <alignment vertical="center"/>
    </xf>
    <xf numFmtId="0" fontId="37" fillId="17" borderId="71" xfId="0" applyFont="1" applyFill="1" applyBorder="1" applyAlignment="1">
      <alignment horizontal="left" vertical="center" wrapText="1"/>
    </xf>
    <xf numFmtId="0" fontId="21" fillId="16" borderId="82" xfId="0" applyFont="1" applyFill="1" applyBorder="1" applyAlignment="1">
      <alignment horizontal="left" vertical="center" wrapText="1"/>
    </xf>
    <xf numFmtId="0" fontId="43" fillId="16" borderId="81" xfId="0" applyFont="1" applyFill="1" applyBorder="1" applyAlignment="1">
      <alignment horizontal="left" vertical="center" wrapText="1"/>
    </xf>
    <xf numFmtId="0" fontId="43" fillId="16" borderId="81" xfId="0" applyFont="1" applyFill="1" applyBorder="1" applyAlignment="1">
      <alignment horizontal="center" vertical="center"/>
    </xf>
    <xf numFmtId="44" fontId="43" fillId="16" borderId="81" xfId="8" applyFont="1" applyFill="1" applyBorder="1" applyAlignment="1">
      <alignment vertical="center"/>
    </xf>
    <xf numFmtId="44" fontId="37" fillId="0" borderId="81" xfId="8" applyFont="1" applyBorder="1" applyAlignment="1">
      <alignment vertical="center"/>
    </xf>
    <xf numFmtId="44" fontId="37" fillId="0" borderId="80" xfId="8" applyFont="1" applyBorder="1" applyAlignment="1">
      <alignment vertical="center"/>
    </xf>
    <xf numFmtId="1" fontId="37" fillId="12" borderId="72" xfId="0" applyNumberFormat="1" applyFont="1" applyFill="1" applyBorder="1" applyAlignment="1">
      <alignment horizontal="center" vertical="center"/>
    </xf>
    <xf numFmtId="1" fontId="37" fillId="12" borderId="73" xfId="0" applyNumberFormat="1" applyFont="1" applyFill="1" applyBorder="1" applyAlignment="1">
      <alignment horizontal="center" vertical="center"/>
    </xf>
    <xf numFmtId="44" fontId="37" fillId="12" borderId="73" xfId="8" applyFont="1" applyFill="1" applyBorder="1" applyAlignment="1">
      <alignment vertical="center"/>
    </xf>
    <xf numFmtId="44" fontId="37" fillId="14" borderId="73" xfId="8" applyFont="1" applyFill="1" applyBorder="1" applyAlignment="1">
      <alignment vertical="center"/>
    </xf>
    <xf numFmtId="9" fontId="37" fillId="13" borderId="73" xfId="1" applyFont="1" applyFill="1" applyBorder="1" applyAlignment="1">
      <alignment horizontal="center" vertical="center"/>
    </xf>
    <xf numFmtId="44" fontId="37" fillId="13" borderId="73" xfId="8" applyFont="1" applyFill="1" applyBorder="1" applyAlignment="1">
      <alignment vertical="center"/>
    </xf>
    <xf numFmtId="44" fontId="37" fillId="13" borderId="74" xfId="8" applyFont="1" applyFill="1" applyBorder="1" applyAlignment="1">
      <alignment vertical="center"/>
    </xf>
    <xf numFmtId="0" fontId="39" fillId="16" borderId="56" xfId="0" applyFont="1" applyFill="1" applyBorder="1" applyAlignment="1">
      <alignment horizontal="left" vertical="center" wrapText="1"/>
    </xf>
    <xf numFmtId="44" fontId="18" fillId="10" borderId="81" xfId="0" applyNumberFormat="1" applyFont="1" applyFill="1" applyBorder="1" applyAlignment="1">
      <alignment horizontal="right" vertical="center"/>
    </xf>
    <xf numFmtId="44" fontId="39" fillId="14" borderId="81" xfId="0" applyNumberFormat="1" applyFont="1" applyFill="1" applyBorder="1" applyAlignment="1">
      <alignment vertical="center"/>
    </xf>
    <xf numFmtId="0" fontId="37" fillId="13" borderId="81" xfId="0" applyFont="1" applyFill="1" applyBorder="1" applyAlignment="1">
      <alignment horizontal="center" vertical="center"/>
    </xf>
    <xf numFmtId="0" fontId="37" fillId="13" borderId="81" xfId="0" applyFont="1" applyFill="1" applyBorder="1" applyAlignment="1">
      <alignment vertical="center"/>
    </xf>
    <xf numFmtId="44" fontId="39" fillId="13" borderId="81" xfId="0" applyNumberFormat="1" applyFont="1" applyFill="1" applyBorder="1" applyAlignment="1">
      <alignment vertical="center"/>
    </xf>
    <xf numFmtId="44" fontId="39" fillId="13" borderId="80" xfId="8" applyFont="1" applyFill="1" applyBorder="1" applyAlignment="1">
      <alignment vertical="center"/>
    </xf>
    <xf numFmtId="0" fontId="46" fillId="0" borderId="0" xfId="0" applyFont="1"/>
    <xf numFmtId="0" fontId="47" fillId="11" borderId="9" xfId="0" applyFont="1" applyFill="1" applyBorder="1" applyAlignment="1">
      <alignment horizontal="center" vertical="center"/>
    </xf>
    <xf numFmtId="0" fontId="47" fillId="11" borderId="56" xfId="0" applyFont="1" applyFill="1" applyBorder="1" applyAlignment="1">
      <alignment horizontal="center" vertical="center"/>
    </xf>
    <xf numFmtId="0" fontId="37" fillId="16" borderId="58" xfId="0" applyFont="1" applyFill="1" applyBorder="1" applyAlignment="1">
      <alignment horizontal="left" vertical="center" wrapText="1"/>
    </xf>
    <xf numFmtId="0" fontId="37" fillId="0" borderId="56" xfId="0" applyFont="1" applyBorder="1" applyAlignment="1">
      <alignment vertical="center"/>
    </xf>
    <xf numFmtId="1" fontId="37" fillId="12" borderId="58" xfId="0" applyNumberFormat="1" applyFont="1" applyFill="1" applyBorder="1" applyAlignment="1">
      <alignment vertical="center"/>
    </xf>
    <xf numFmtId="1" fontId="37" fillId="12" borderId="56" xfId="0" applyNumberFormat="1" applyFont="1" applyFill="1" applyBorder="1" applyAlignment="1">
      <alignment vertical="center"/>
    </xf>
    <xf numFmtId="9" fontId="37" fillId="13" borderId="56" xfId="1" applyFont="1" applyFill="1" applyBorder="1" applyAlignment="1">
      <alignment vertical="center"/>
    </xf>
    <xf numFmtId="10" fontId="37" fillId="14" borderId="32" xfId="0" applyNumberFormat="1" applyFont="1" applyFill="1" applyBorder="1" applyAlignment="1">
      <alignment horizontal="center" vertical="center"/>
    </xf>
    <xf numFmtId="10" fontId="37" fillId="14" borderId="57" xfId="0" applyNumberFormat="1" applyFont="1" applyFill="1" applyBorder="1" applyAlignment="1">
      <alignment horizontal="center" vertical="center"/>
    </xf>
    <xf numFmtId="171" fontId="37" fillId="0" borderId="56" xfId="18" applyNumberFormat="1" applyFont="1" applyBorder="1" applyAlignment="1">
      <alignment horizontal="center" vertical="center"/>
    </xf>
    <xf numFmtId="44" fontId="18" fillId="9" borderId="0" xfId="0" applyNumberFormat="1" applyFont="1" applyFill="1" applyAlignment="1">
      <alignment horizontal="right"/>
    </xf>
    <xf numFmtId="44" fontId="18" fillId="9" borderId="69" xfId="8" applyFont="1" applyFill="1" applyBorder="1" applyAlignment="1">
      <alignment horizontal="right"/>
    </xf>
    <xf numFmtId="44" fontId="18" fillId="9" borderId="57" xfId="0" applyNumberFormat="1" applyFont="1" applyFill="1" applyBorder="1" applyAlignment="1">
      <alignment horizontal="right"/>
    </xf>
    <xf numFmtId="44" fontId="39" fillId="13" borderId="55" xfId="8" applyFont="1" applyFill="1" applyBorder="1" applyAlignment="1">
      <alignment vertical="center"/>
    </xf>
    <xf numFmtId="44" fontId="18" fillId="15" borderId="10" xfId="8" applyFont="1" applyFill="1" applyBorder="1" applyAlignment="1">
      <alignment horizontal="center"/>
    </xf>
    <xf numFmtId="44" fontId="18" fillId="15" borderId="84" xfId="8" applyFont="1" applyFill="1" applyBorder="1" applyAlignment="1">
      <alignment horizontal="center"/>
    </xf>
    <xf numFmtId="9" fontId="48" fillId="0" borderId="0" xfId="0" applyNumberFormat="1" applyFont="1" applyAlignment="1">
      <alignment vertical="center"/>
    </xf>
    <xf numFmtId="4" fontId="48" fillId="0" borderId="0" xfId="0" applyNumberFormat="1" applyFont="1" applyAlignment="1">
      <alignment vertical="center"/>
    </xf>
    <xf numFmtId="165" fontId="28" fillId="0" borderId="0" xfId="4" applyFont="1" applyFill="1" applyBorder="1" applyAlignment="1">
      <alignment horizontal="left" vertical="center" wrapText="1"/>
    </xf>
    <xf numFmtId="0" fontId="27" fillId="0" borderId="0" xfId="0" applyFont="1" applyAlignment="1">
      <alignment horizontal="left" vertical="center"/>
    </xf>
    <xf numFmtId="0" fontId="35" fillId="0" borderId="0" xfId="0" applyFont="1" applyAlignment="1">
      <alignment horizontal="left"/>
    </xf>
    <xf numFmtId="0" fontId="49" fillId="0" borderId="0" xfId="0" applyFont="1"/>
    <xf numFmtId="0" fontId="38" fillId="0" borderId="0" xfId="0" applyFont="1" applyAlignment="1">
      <alignment horizontal="left"/>
    </xf>
    <xf numFmtId="44" fontId="49" fillId="0" borderId="0" xfId="0" applyNumberFormat="1" applyFont="1"/>
    <xf numFmtId="9" fontId="50" fillId="0" borderId="0" xfId="1" applyFont="1"/>
    <xf numFmtId="0" fontId="50" fillId="0" borderId="0" xfId="0" applyFont="1"/>
    <xf numFmtId="0" fontId="20" fillId="0" borderId="0" xfId="0" applyFont="1" applyAlignment="1">
      <alignment horizontal="left"/>
    </xf>
    <xf numFmtId="165" fontId="51" fillId="0" borderId="0" xfId="4" applyFont="1" applyFill="1" applyBorder="1" applyAlignment="1">
      <alignment horizontal="left" wrapText="1"/>
    </xf>
    <xf numFmtId="0" fontId="2" fillId="0" borderId="0" xfId="0" applyFont="1" applyAlignment="1">
      <alignment horizontal="left"/>
    </xf>
    <xf numFmtId="44" fontId="0" fillId="0" borderId="0" xfId="8" applyFont="1"/>
    <xf numFmtId="0" fontId="2" fillId="23" borderId="0" xfId="0" applyFont="1" applyFill="1"/>
    <xf numFmtId="44" fontId="2" fillId="23" borderId="0" xfId="8" applyFont="1" applyFill="1"/>
    <xf numFmtId="44" fontId="2" fillId="0" borderId="0" xfId="8" applyFont="1"/>
    <xf numFmtId="44" fontId="16" fillId="0" borderId="91" xfId="0" applyNumberFormat="1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0" fontId="17" fillId="22" borderId="5" xfId="0" applyFont="1" applyFill="1" applyBorder="1" applyAlignment="1">
      <alignment horizontal="center"/>
    </xf>
    <xf numFmtId="0" fontId="17" fillId="22" borderId="34" xfId="0" applyFont="1" applyFill="1" applyBorder="1" applyAlignment="1">
      <alignment horizontal="center"/>
    </xf>
    <xf numFmtId="0" fontId="17" fillId="22" borderId="90" xfId="0" applyFont="1" applyFill="1" applyBorder="1" applyAlignment="1">
      <alignment horizontal="center"/>
    </xf>
    <xf numFmtId="44" fontId="17" fillId="0" borderId="50" xfId="0" applyNumberFormat="1" applyFont="1" applyBorder="1" applyAlignment="1">
      <alignment horizontal="center" vertical="center"/>
    </xf>
    <xf numFmtId="44" fontId="17" fillId="0" borderId="81" xfId="0" applyNumberFormat="1" applyFont="1" applyBorder="1" applyAlignment="1">
      <alignment horizontal="center" vertical="center"/>
    </xf>
    <xf numFmtId="0" fontId="18" fillId="9" borderId="59" xfId="0" applyFont="1" applyFill="1" applyBorder="1" applyAlignment="1">
      <alignment horizontal="left"/>
    </xf>
    <xf numFmtId="0" fontId="18" fillId="9" borderId="7" xfId="0" applyFont="1" applyFill="1" applyBorder="1" applyAlignment="1">
      <alignment horizontal="left"/>
    </xf>
    <xf numFmtId="0" fontId="18" fillId="9" borderId="47" xfId="0" applyFont="1" applyFill="1" applyBorder="1" applyAlignment="1">
      <alignment horizontal="left"/>
    </xf>
    <xf numFmtId="0" fontId="18" fillId="9" borderId="57" xfId="0" applyFont="1" applyFill="1" applyBorder="1" applyAlignment="1">
      <alignment horizontal="left"/>
    </xf>
    <xf numFmtId="0" fontId="18" fillId="9" borderId="10" xfId="0" applyFont="1" applyFill="1" applyBorder="1" applyAlignment="1">
      <alignment horizontal="center" vertical="center"/>
    </xf>
    <xf numFmtId="0" fontId="18" fillId="9" borderId="11" xfId="0" applyFont="1" applyFill="1" applyBorder="1" applyAlignment="1">
      <alignment horizontal="center" vertical="center"/>
    </xf>
    <xf numFmtId="0" fontId="18" fillId="9" borderId="68" xfId="0" applyFont="1" applyFill="1" applyBorder="1" applyAlignment="1">
      <alignment horizontal="center" vertical="center"/>
    </xf>
    <xf numFmtId="0" fontId="18" fillId="9" borderId="65" xfId="0" applyFont="1" applyFill="1" applyBorder="1" applyAlignment="1">
      <alignment horizontal="center" vertical="center"/>
    </xf>
    <xf numFmtId="0" fontId="18" fillId="9" borderId="64" xfId="0" applyFont="1" applyFill="1" applyBorder="1" applyAlignment="1">
      <alignment horizontal="center" vertical="center"/>
    </xf>
    <xf numFmtId="0" fontId="18" fillId="9" borderId="66" xfId="0" applyFont="1" applyFill="1" applyBorder="1" applyAlignment="1">
      <alignment horizontal="center" vertical="center"/>
    </xf>
    <xf numFmtId="0" fontId="18" fillId="10" borderId="10" xfId="0" applyFont="1" applyFill="1" applyBorder="1" applyAlignment="1">
      <alignment horizontal="left" vertical="center"/>
    </xf>
    <xf numFmtId="0" fontId="18" fillId="10" borderId="11" xfId="0" applyFont="1" applyFill="1" applyBorder="1" applyAlignment="1">
      <alignment horizontal="left" vertical="center"/>
    </xf>
    <xf numFmtId="0" fontId="18" fillId="10" borderId="53" xfId="0" applyFont="1" applyFill="1" applyBorder="1" applyAlignment="1">
      <alignment horizontal="left" vertical="center"/>
    </xf>
    <xf numFmtId="0" fontId="18" fillId="10" borderId="58" xfId="0" applyFont="1" applyFill="1" applyBorder="1" applyAlignment="1">
      <alignment horizontal="left" vertical="center"/>
    </xf>
    <xf numFmtId="0" fontId="18" fillId="10" borderId="56" xfId="0" applyFont="1" applyFill="1" applyBorder="1" applyAlignment="1">
      <alignment horizontal="left" vertical="center"/>
    </xf>
    <xf numFmtId="0" fontId="18" fillId="10" borderId="62" xfId="0" applyFont="1" applyFill="1" applyBorder="1" applyAlignment="1">
      <alignment horizontal="left" vertical="center"/>
    </xf>
    <xf numFmtId="0" fontId="18" fillId="10" borderId="16" xfId="0" applyFont="1" applyFill="1" applyBorder="1" applyAlignment="1">
      <alignment horizontal="left" vertical="center"/>
    </xf>
    <xf numFmtId="0" fontId="18" fillId="10" borderId="0" xfId="0" applyFont="1" applyFill="1" applyAlignment="1">
      <alignment horizontal="left" vertical="center"/>
    </xf>
    <xf numFmtId="0" fontId="18" fillId="10" borderId="82" xfId="0" applyFont="1" applyFill="1" applyBorder="1" applyAlignment="1">
      <alignment horizontal="left" vertical="center"/>
    </xf>
    <xf numFmtId="0" fontId="18" fillId="10" borderId="81" xfId="0" applyFont="1" applyFill="1" applyBorder="1" applyAlignment="1">
      <alignment horizontal="left" vertical="center"/>
    </xf>
    <xf numFmtId="0" fontId="18" fillId="10" borderId="59" xfId="0" applyFont="1" applyFill="1" applyBorder="1" applyAlignment="1">
      <alignment horizontal="left" vertical="center"/>
    </xf>
    <xf numFmtId="0" fontId="18" fillId="10" borderId="7" xfId="0" applyFont="1" applyFill="1" applyBorder="1" applyAlignment="1">
      <alignment horizontal="left" vertical="center"/>
    </xf>
    <xf numFmtId="0" fontId="18" fillId="10" borderId="10" xfId="0" applyFont="1" applyFill="1" applyBorder="1" applyAlignment="1">
      <alignment horizontal="left"/>
    </xf>
    <xf numFmtId="0" fontId="18" fillId="10" borderId="11" xfId="0" applyFont="1" applyFill="1" applyBorder="1" applyAlignment="1">
      <alignment horizontal="left"/>
    </xf>
    <xf numFmtId="0" fontId="18" fillId="10" borderId="53" xfId="0" applyFont="1" applyFill="1" applyBorder="1" applyAlignment="1">
      <alignment horizontal="left"/>
    </xf>
    <xf numFmtId="0" fontId="18" fillId="10" borderId="65" xfId="0" applyFont="1" applyFill="1" applyBorder="1" applyAlignment="1">
      <alignment horizontal="left"/>
    </xf>
    <xf numFmtId="0" fontId="18" fillId="10" borderId="64" xfId="0" applyFont="1" applyFill="1" applyBorder="1" applyAlignment="1">
      <alignment horizontal="left"/>
    </xf>
    <xf numFmtId="0" fontId="18" fillId="10" borderId="66" xfId="0" applyFont="1" applyFill="1" applyBorder="1" applyAlignment="1">
      <alignment horizontal="left"/>
    </xf>
    <xf numFmtId="0" fontId="18" fillId="9" borderId="10" xfId="0" applyFont="1" applyFill="1" applyBorder="1" applyAlignment="1">
      <alignment horizontal="left" vertical="center"/>
    </xf>
    <xf numFmtId="0" fontId="18" fillId="9" borderId="11" xfId="0" applyFont="1" applyFill="1" applyBorder="1" applyAlignment="1">
      <alignment horizontal="left" vertical="center"/>
    </xf>
    <xf numFmtId="0" fontId="18" fillId="9" borderId="47" xfId="0" applyFont="1" applyFill="1" applyBorder="1" applyAlignment="1">
      <alignment horizontal="left" vertical="center"/>
    </xf>
    <xf numFmtId="0" fontId="18" fillId="9" borderId="57" xfId="0" applyFont="1" applyFill="1" applyBorder="1" applyAlignment="1">
      <alignment horizontal="left" vertical="center"/>
    </xf>
    <xf numFmtId="0" fontId="18" fillId="10" borderId="60" xfId="0" applyFont="1" applyFill="1" applyBorder="1" applyAlignment="1">
      <alignment horizontal="left" vertical="center"/>
    </xf>
    <xf numFmtId="0" fontId="18" fillId="10" borderId="61" xfId="0" applyFont="1" applyFill="1" applyBorder="1" applyAlignment="1">
      <alignment horizontal="left" vertical="center"/>
    </xf>
    <xf numFmtId="0" fontId="18" fillId="9" borderId="10" xfId="0" applyFont="1" applyFill="1" applyBorder="1" applyAlignment="1">
      <alignment horizontal="center"/>
    </xf>
    <xf numFmtId="0" fontId="18" fillId="9" borderId="11" xfId="0" applyFont="1" applyFill="1" applyBorder="1" applyAlignment="1">
      <alignment horizontal="center"/>
    </xf>
    <xf numFmtId="0" fontId="18" fillId="9" borderId="68" xfId="0" applyFont="1" applyFill="1" applyBorder="1" applyAlignment="1">
      <alignment horizontal="center"/>
    </xf>
    <xf numFmtId="0" fontId="18" fillId="9" borderId="49" xfId="0" applyFont="1" applyFill="1" applyBorder="1" applyAlignment="1">
      <alignment horizontal="center"/>
    </xf>
    <xf numFmtId="0" fontId="18" fillId="9" borderId="50" xfId="0" applyFont="1" applyFill="1" applyBorder="1" applyAlignment="1">
      <alignment horizontal="center"/>
    </xf>
    <xf numFmtId="0" fontId="18" fillId="9" borderId="52" xfId="0" applyFont="1" applyFill="1" applyBorder="1" applyAlignment="1">
      <alignment horizontal="center"/>
    </xf>
    <xf numFmtId="166" fontId="40" fillId="0" borderId="37" xfId="4" applyNumberFormat="1" applyFont="1" applyBorder="1" applyAlignment="1">
      <alignment horizontal="center" vertical="center" wrapText="1"/>
    </xf>
    <xf numFmtId="166" fontId="40" fillId="0" borderId="38" xfId="4" applyNumberFormat="1" applyFont="1" applyBorder="1" applyAlignment="1">
      <alignment horizontal="center" vertical="center" wrapText="1"/>
    </xf>
    <xf numFmtId="0" fontId="40" fillId="3" borderId="5" xfId="0" applyFont="1" applyFill="1" applyBorder="1" applyAlignment="1">
      <alignment horizontal="center" vertical="center" wrapText="1"/>
    </xf>
    <xf numFmtId="0" fontId="40" fillId="3" borderId="34" xfId="0" applyFont="1" applyFill="1" applyBorder="1" applyAlignment="1">
      <alignment horizontal="center" vertical="center" wrapText="1"/>
    </xf>
    <xf numFmtId="0" fontId="40" fillId="3" borderId="67" xfId="0" applyFont="1" applyFill="1" applyBorder="1" applyAlignment="1">
      <alignment horizontal="center" vertical="center" wrapText="1"/>
    </xf>
    <xf numFmtId="166" fontId="40" fillId="0" borderId="0" xfId="4" applyNumberFormat="1" applyFont="1" applyFill="1" applyBorder="1" applyAlignment="1">
      <alignment horizontal="center" vertical="center" wrapText="1"/>
    </xf>
    <xf numFmtId="166" fontId="40" fillId="4" borderId="16" xfId="4" applyNumberFormat="1" applyFont="1" applyFill="1" applyBorder="1" applyAlignment="1">
      <alignment horizontal="center" vertical="center" wrapText="1"/>
    </xf>
    <xf numFmtId="166" fontId="40" fillId="4" borderId="0" xfId="4" applyNumberFormat="1" applyFont="1" applyFill="1" applyBorder="1" applyAlignment="1">
      <alignment horizontal="center" vertical="center" wrapText="1"/>
    </xf>
    <xf numFmtId="0" fontId="18" fillId="9" borderId="16" xfId="0" applyFont="1" applyFill="1" applyBorder="1" applyAlignment="1">
      <alignment horizontal="center"/>
    </xf>
    <xf numFmtId="0" fontId="18" fillId="9" borderId="0" xfId="0" applyFont="1" applyFill="1" applyAlignment="1">
      <alignment horizontal="center"/>
    </xf>
    <xf numFmtId="0" fontId="18" fillId="10" borderId="75" xfId="0" applyFont="1" applyFill="1" applyBorder="1" applyAlignment="1">
      <alignment horizontal="left"/>
    </xf>
    <xf numFmtId="0" fontId="18" fillId="10" borderId="76" xfId="0" applyFont="1" applyFill="1" applyBorder="1" applyAlignment="1">
      <alignment horizontal="left"/>
    </xf>
    <xf numFmtId="0" fontId="38" fillId="0" borderId="0" xfId="2" applyFont="1" applyAlignment="1">
      <alignment horizontal="left" vertical="center" wrapText="1"/>
    </xf>
    <xf numFmtId="0" fontId="38" fillId="0" borderId="0" xfId="2" applyFont="1" applyAlignment="1">
      <alignment horizontal="left" vertical="center"/>
    </xf>
    <xf numFmtId="0" fontId="40" fillId="2" borderId="3" xfId="3" applyFont="1" applyFill="1" applyBorder="1" applyAlignment="1">
      <alignment horizontal="center" vertical="center"/>
    </xf>
    <xf numFmtId="0" fontId="40" fillId="2" borderId="4" xfId="3" applyFont="1" applyFill="1" applyBorder="1" applyAlignment="1">
      <alignment horizontal="center" vertical="center"/>
    </xf>
    <xf numFmtId="0" fontId="40" fillId="2" borderId="67" xfId="3" applyFont="1" applyFill="1" applyBorder="1" applyAlignment="1">
      <alignment horizontal="center" vertical="center"/>
    </xf>
    <xf numFmtId="0" fontId="18" fillId="10" borderId="13" xfId="0" applyFont="1" applyFill="1" applyBorder="1" applyAlignment="1">
      <alignment horizontal="left" vertical="center"/>
    </xf>
    <xf numFmtId="0" fontId="18" fillId="10" borderId="14" xfId="0" applyFont="1" applyFill="1" applyBorder="1" applyAlignment="1">
      <alignment horizontal="left" vertical="center"/>
    </xf>
    <xf numFmtId="0" fontId="18" fillId="10" borderId="72" xfId="0" applyFont="1" applyFill="1" applyBorder="1" applyAlignment="1">
      <alignment horizontal="left" vertical="center"/>
    </xf>
    <xf numFmtId="0" fontId="18" fillId="10" borderId="73" xfId="0" applyFont="1" applyFill="1" applyBorder="1" applyAlignment="1">
      <alignment horizontal="left" vertical="center"/>
    </xf>
    <xf numFmtId="0" fontId="24" fillId="10" borderId="16" xfId="0" applyFont="1" applyFill="1" applyBorder="1" applyAlignment="1">
      <alignment horizontal="left"/>
    </xf>
    <xf numFmtId="0" fontId="24" fillId="10" borderId="0" xfId="0" applyFont="1" applyFill="1" applyAlignment="1">
      <alignment horizontal="left"/>
    </xf>
    <xf numFmtId="0" fontId="24" fillId="9" borderId="16" xfId="0" applyFont="1" applyFill="1" applyBorder="1" applyAlignment="1">
      <alignment horizontal="center"/>
    </xf>
    <xf numFmtId="0" fontId="24" fillId="9" borderId="0" xfId="0" applyFont="1" applyFill="1" applyAlignment="1">
      <alignment horizontal="center"/>
    </xf>
    <xf numFmtId="0" fontId="24" fillId="9" borderId="69" xfId="0" applyFont="1" applyFill="1" applyBorder="1" applyAlignment="1">
      <alignment horizontal="center"/>
    </xf>
    <xf numFmtId="0" fontId="24" fillId="10" borderId="10" xfId="0" applyFont="1" applyFill="1" applyBorder="1" applyAlignment="1">
      <alignment horizontal="left"/>
    </xf>
    <xf numFmtId="0" fontId="24" fillId="10" borderId="11" xfId="0" applyFont="1" applyFill="1" applyBorder="1" applyAlignment="1">
      <alignment horizontal="left"/>
    </xf>
    <xf numFmtId="0" fontId="24" fillId="10" borderId="53" xfId="0" applyFont="1" applyFill="1" applyBorder="1" applyAlignment="1">
      <alignment horizontal="left"/>
    </xf>
    <xf numFmtId="0" fontId="24" fillId="10" borderId="65" xfId="0" applyFont="1" applyFill="1" applyBorder="1" applyAlignment="1">
      <alignment horizontal="left"/>
    </xf>
    <xf numFmtId="0" fontId="24" fillId="10" borderId="64" xfId="0" applyFont="1" applyFill="1" applyBorder="1" applyAlignment="1">
      <alignment horizontal="left"/>
    </xf>
    <xf numFmtId="0" fontId="24" fillId="10" borderId="66" xfId="0" applyFont="1" applyFill="1" applyBorder="1" applyAlignment="1">
      <alignment horizontal="left"/>
    </xf>
    <xf numFmtId="0" fontId="26" fillId="0" borderId="0" xfId="2" applyFont="1" applyAlignment="1">
      <alignment horizontal="left" vertical="center" wrapText="1"/>
    </xf>
    <xf numFmtId="0" fontId="26" fillId="0" borderId="0" xfId="2" applyFont="1" applyAlignment="1">
      <alignment horizontal="left" vertical="center"/>
    </xf>
    <xf numFmtId="0" fontId="28" fillId="2" borderId="3" xfId="3" applyFont="1" applyFill="1" applyBorder="1" applyAlignment="1">
      <alignment horizontal="center" vertical="center"/>
    </xf>
    <xf numFmtId="0" fontId="28" fillId="2" borderId="4" xfId="3" applyFont="1" applyFill="1" applyBorder="1" applyAlignment="1">
      <alignment horizontal="center" vertical="center"/>
    </xf>
    <xf numFmtId="0" fontId="28" fillId="2" borderId="67" xfId="3" applyFont="1" applyFill="1" applyBorder="1" applyAlignment="1">
      <alignment horizontal="center" vertical="center"/>
    </xf>
    <xf numFmtId="0" fontId="28" fillId="3" borderId="5" xfId="0" applyFont="1" applyFill="1" applyBorder="1" applyAlignment="1">
      <alignment horizontal="center" vertical="center" wrapText="1"/>
    </xf>
    <xf numFmtId="0" fontId="28" fillId="3" borderId="34" xfId="0" applyFont="1" applyFill="1" applyBorder="1" applyAlignment="1">
      <alignment horizontal="center" vertical="center" wrapText="1"/>
    </xf>
    <xf numFmtId="0" fontId="28" fillId="3" borderId="67" xfId="0" applyFont="1" applyFill="1" applyBorder="1" applyAlignment="1">
      <alignment horizontal="center" vertical="center" wrapText="1"/>
    </xf>
    <xf numFmtId="166" fontId="28" fillId="0" borderId="0" xfId="4" applyNumberFormat="1" applyFont="1" applyFill="1" applyBorder="1" applyAlignment="1">
      <alignment horizontal="center" vertical="center" wrapText="1"/>
    </xf>
    <xf numFmtId="0" fontId="24" fillId="10" borderId="13" xfId="0" applyFont="1" applyFill="1" applyBorder="1" applyAlignment="1">
      <alignment horizontal="left"/>
    </xf>
    <xf numFmtId="0" fontId="24" fillId="10" borderId="14" xfId="0" applyFont="1" applyFill="1" applyBorder="1" applyAlignment="1">
      <alignment horizontal="left"/>
    </xf>
    <xf numFmtId="1" fontId="24" fillId="10" borderId="13" xfId="0" applyNumberFormat="1" applyFont="1" applyFill="1" applyBorder="1" applyAlignment="1">
      <alignment horizontal="left"/>
    </xf>
    <xf numFmtId="1" fontId="24" fillId="10" borderId="14" xfId="0" applyNumberFormat="1" applyFont="1" applyFill="1" applyBorder="1" applyAlignment="1">
      <alignment horizontal="left"/>
    </xf>
    <xf numFmtId="166" fontId="28" fillId="0" borderId="37" xfId="4" applyNumberFormat="1" applyFont="1" applyBorder="1" applyAlignment="1">
      <alignment horizontal="center" vertical="center" wrapText="1"/>
    </xf>
    <xf numFmtId="166" fontId="28" fillId="0" borderId="38" xfId="4" applyNumberFormat="1" applyFont="1" applyBorder="1" applyAlignment="1">
      <alignment horizontal="center" vertical="center" wrapText="1"/>
    </xf>
    <xf numFmtId="0" fontId="24" fillId="9" borderId="10" xfId="0" applyFont="1" applyFill="1" applyBorder="1" applyAlignment="1">
      <alignment horizontal="center" vertical="center"/>
    </xf>
    <xf numFmtId="0" fontId="24" fillId="9" borderId="11" xfId="0" applyFont="1" applyFill="1" applyBorder="1" applyAlignment="1">
      <alignment horizontal="center" vertical="center"/>
    </xf>
    <xf numFmtId="0" fontId="24" fillId="9" borderId="68" xfId="0" applyFont="1" applyFill="1" applyBorder="1" applyAlignment="1">
      <alignment horizontal="center" vertical="center"/>
    </xf>
    <xf numFmtId="0" fontId="24" fillId="9" borderId="49" xfId="0" applyFont="1" applyFill="1" applyBorder="1" applyAlignment="1">
      <alignment horizontal="center" vertical="center"/>
    </xf>
    <xf numFmtId="0" fontId="24" fillId="9" borderId="50" xfId="0" applyFont="1" applyFill="1" applyBorder="1" applyAlignment="1">
      <alignment horizontal="center" vertical="center"/>
    </xf>
    <xf numFmtId="0" fontId="24" fillId="9" borderId="84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left" vertical="center"/>
    </xf>
    <xf numFmtId="0" fontId="24" fillId="10" borderId="11" xfId="0" applyFont="1" applyFill="1" applyBorder="1" applyAlignment="1">
      <alignment horizontal="left" vertical="center"/>
    </xf>
    <xf numFmtId="0" fontId="24" fillId="10" borderId="53" xfId="0" applyFont="1" applyFill="1" applyBorder="1" applyAlignment="1">
      <alignment horizontal="left" vertical="center"/>
    </xf>
    <xf numFmtId="0" fontId="24" fillId="10" borderId="49" xfId="0" applyFont="1" applyFill="1" applyBorder="1" applyAlignment="1">
      <alignment horizontal="left" vertical="center"/>
    </xf>
    <xf numFmtId="0" fontId="24" fillId="10" borderId="50" xfId="0" applyFont="1" applyFill="1" applyBorder="1" applyAlignment="1">
      <alignment horizontal="left" vertical="center"/>
    </xf>
    <xf numFmtId="0" fontId="24" fillId="10" borderId="84" xfId="0" applyFont="1" applyFill="1" applyBorder="1" applyAlignment="1">
      <alignment horizontal="left" vertical="center"/>
    </xf>
    <xf numFmtId="166" fontId="28" fillId="4" borderId="16" xfId="4" applyNumberFormat="1" applyFont="1" applyFill="1" applyBorder="1" applyAlignment="1">
      <alignment horizontal="center" vertical="center" wrapText="1"/>
    </xf>
    <xf numFmtId="166" fontId="28" fillId="4" borderId="0" xfId="4" applyNumberFormat="1" applyFont="1" applyFill="1" applyBorder="1" applyAlignment="1">
      <alignment horizontal="center" vertical="center" wrapText="1"/>
    </xf>
    <xf numFmtId="0" fontId="24" fillId="10" borderId="75" xfId="0" applyFont="1" applyFill="1" applyBorder="1" applyAlignment="1">
      <alignment horizontal="left"/>
    </xf>
    <xf numFmtId="0" fontId="24" fillId="10" borderId="76" xfId="0" applyFont="1" applyFill="1" applyBorder="1" applyAlignment="1">
      <alignment horizontal="left"/>
    </xf>
    <xf numFmtId="0" fontId="10" fillId="8" borderId="39" xfId="0" applyFont="1" applyFill="1" applyBorder="1" applyAlignment="1">
      <alignment horizontal="left" vertical="center"/>
    </xf>
    <xf numFmtId="0" fontId="10" fillId="8" borderId="39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39" xfId="0" applyFont="1" applyFill="1" applyBorder="1" applyAlignment="1">
      <alignment horizontal="left" vertical="top"/>
    </xf>
    <xf numFmtId="0" fontId="13" fillId="8" borderId="39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4" xfId="0" applyBorder="1" applyAlignment="1">
      <alignment horizontal="left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3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left"/>
    </xf>
    <xf numFmtId="0" fontId="2" fillId="0" borderId="1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44" fontId="0" fillId="0" borderId="23" xfId="8" applyFont="1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6" xfId="8" applyFont="1" applyBorder="1" applyAlignment="1">
      <alignment horizontal="center"/>
    </xf>
    <xf numFmtId="44" fontId="0" fillId="0" borderId="28" xfId="8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17" fillId="0" borderId="77" xfId="0" applyNumberFormat="1" applyFont="1" applyBorder="1" applyAlignment="1">
      <alignment vertical="center"/>
    </xf>
    <xf numFmtId="44" fontId="17" fillId="0" borderId="94" xfId="0" applyNumberFormat="1" applyFont="1" applyBorder="1" applyAlignment="1">
      <alignment horizontal="center" vertical="center"/>
    </xf>
    <xf numFmtId="170" fontId="52" fillId="0" borderId="50" xfId="0" applyNumberFormat="1" applyFont="1" applyBorder="1" applyAlignment="1">
      <alignment horizontal="center" vertical="center"/>
    </xf>
    <xf numFmtId="9" fontId="52" fillId="0" borderId="84" xfId="1" applyFont="1" applyBorder="1" applyAlignment="1">
      <alignment horizontal="center" vertical="center"/>
    </xf>
    <xf numFmtId="170" fontId="52" fillId="0" borderId="81" xfId="0" applyNumberFormat="1" applyFont="1" applyBorder="1" applyAlignment="1">
      <alignment horizontal="center" vertical="center"/>
    </xf>
    <xf numFmtId="9" fontId="52" fillId="0" borderId="80" xfId="1" applyFont="1" applyBorder="1" applyAlignment="1">
      <alignment horizontal="center" vertical="center"/>
    </xf>
    <xf numFmtId="170" fontId="52" fillId="0" borderId="94" xfId="0" applyNumberFormat="1" applyFont="1" applyBorder="1" applyAlignment="1">
      <alignment horizontal="center" vertical="center"/>
    </xf>
    <xf numFmtId="9" fontId="52" fillId="0" borderId="95" xfId="1" applyFont="1" applyBorder="1" applyAlignment="1">
      <alignment horizontal="center" vertical="center"/>
    </xf>
    <xf numFmtId="44" fontId="53" fillId="0" borderId="0" xfId="0" applyNumberFormat="1" applyFont="1"/>
  </cellXfs>
  <cellStyles count="19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  <cellStyle name="Vírgula" xfId="18" builtinId="3"/>
  </cellStyles>
  <dxfs count="0"/>
  <tableStyles count="0" defaultTableStyle="TableStyleMedium2" defaultPivotStyle="PivotStyleLight16"/>
  <colors>
    <mruColors>
      <color rgb="FF0476D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customXml" Target="../ink/ink2.xml"/><Relationship Id="rId5" Type="http://schemas.openxmlformats.org/officeDocument/2006/relationships/image" Target="../media/image4.png"/><Relationship Id="rId4" Type="http://schemas.openxmlformats.org/officeDocument/2006/relationships/customXml" Target="../ink/ink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customXml" Target="../ink/ink4.xml"/><Relationship Id="rId5" Type="http://schemas.openxmlformats.org/officeDocument/2006/relationships/image" Target="../media/image4.png"/><Relationship Id="rId4" Type="http://schemas.openxmlformats.org/officeDocument/2006/relationships/customXml" Target="../ink/ink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20172</xdr:colOff>
      <xdr:row>0</xdr:row>
      <xdr:rowOff>152400</xdr:rowOff>
    </xdr:from>
    <xdr:to>
      <xdr:col>5</xdr:col>
      <xdr:colOff>945552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71235CFC-4D70-49B5-BCA1-7D6A27AFCB59}"/>
            </a:ext>
          </a:extLst>
        </xdr:cNvPr>
        <xdr:cNvSpPr/>
      </xdr:nvSpPr>
      <xdr:spPr bwMode="auto">
        <a:xfrm>
          <a:off x="682521" y="152400"/>
          <a:ext cx="88677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655328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69545B7E-15D7-4583-AB6D-34DA3E3F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8857" cy="372267"/>
        </a:xfrm>
        <a:prstGeom prst="rect">
          <a:avLst/>
        </a:prstGeom>
      </xdr:spPr>
    </xdr:pic>
    <xdr:clientData/>
  </xdr:twoCellAnchor>
  <xdr:twoCellAnchor editAs="absolute">
    <xdr:from>
      <xdr:col>38</xdr:col>
      <xdr:colOff>227079</xdr:colOff>
      <xdr:row>0</xdr:row>
      <xdr:rowOff>190500</xdr:rowOff>
    </xdr:from>
    <xdr:to>
      <xdr:col>39</xdr:col>
      <xdr:colOff>389295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DFF0AB5A-93CF-4D9A-8120-34D83DBB3007}"/>
            </a:ext>
          </a:extLst>
        </xdr:cNvPr>
        <xdr:cNvSpPr/>
      </xdr:nvSpPr>
      <xdr:spPr bwMode="auto">
        <a:xfrm>
          <a:off x="29700673" y="190500"/>
          <a:ext cx="108770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37</xdr:col>
      <xdr:colOff>722757</xdr:colOff>
      <xdr:row>0</xdr:row>
      <xdr:rowOff>179391</xdr:rowOff>
    </xdr:from>
    <xdr:to>
      <xdr:col>38</xdr:col>
      <xdr:colOff>160250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DEA164A4-14BB-428C-9CA0-AFF8F286B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3970" y="179391"/>
          <a:ext cx="380500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20172</xdr:colOff>
      <xdr:row>0</xdr:row>
      <xdr:rowOff>152400</xdr:rowOff>
    </xdr:from>
    <xdr:to>
      <xdr:col>5</xdr:col>
      <xdr:colOff>945552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00801650-FFF6-4760-B481-4372BD29F5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521" y="152400"/>
          <a:ext cx="88677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38</xdr:col>
      <xdr:colOff>227079</xdr:colOff>
      <xdr:row>0</xdr:row>
      <xdr:rowOff>190500</xdr:rowOff>
    </xdr:from>
    <xdr:to>
      <xdr:col>39</xdr:col>
      <xdr:colOff>389295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7B2CEDF9-F33D-4556-A61D-337D65894AC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00673" y="190500"/>
          <a:ext cx="108770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1232000</xdr:colOff>
      <xdr:row>45</xdr:row>
      <xdr:rowOff>520420</xdr:rowOff>
    </xdr:from>
    <xdr:to>
      <xdr:col>13</xdr:col>
      <xdr:colOff>1231640</xdr:colOff>
      <xdr:row>45</xdr:row>
      <xdr:rowOff>526410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Tinta 7">
              <a:extLst>
                <a:ext uri="{FF2B5EF4-FFF2-40B4-BE49-F238E27FC236}">
                  <a16:creationId xmlns:a16="http://schemas.microsoft.com/office/drawing/2014/main" id="{0001F323-F1BA-A3C1-579D-9ED2EA425383}"/>
                </a:ext>
              </a:extLst>
            </xdr14:cNvPr>
            <xdr14:cNvContentPartPr/>
          </xdr14:nvContentPartPr>
          <xdr14:nvPr macro=""/>
          <xdr14:xfrm>
            <a:off x="17361000" y="23558220"/>
            <a:ext cx="360" cy="360"/>
          </xdr14:xfrm>
        </xdr:contentPart>
      </mc:Choice>
      <mc:Fallback xmlns="">
        <xdr:pic>
          <xdr:nvPicPr>
            <xdr:cNvPr id="8" name="Tinta 7">
              <a:extLst>
                <a:ext uri="{FF2B5EF4-FFF2-40B4-BE49-F238E27FC236}">
                  <a16:creationId xmlns:a16="http://schemas.microsoft.com/office/drawing/2014/main" id="{0001F323-F1BA-A3C1-579D-9ED2EA42538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7354880" y="2355210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2895700</xdr:colOff>
      <xdr:row>48</xdr:row>
      <xdr:rowOff>279160</xdr:rowOff>
    </xdr:from>
    <xdr:to>
      <xdr:col>6</xdr:col>
      <xdr:colOff>2896060</xdr:colOff>
      <xdr:row>48</xdr:row>
      <xdr:rowOff>278800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9" name="Tinta 8">
              <a:extLst>
                <a:ext uri="{FF2B5EF4-FFF2-40B4-BE49-F238E27FC236}">
                  <a16:creationId xmlns:a16="http://schemas.microsoft.com/office/drawing/2014/main" id="{E8D508AA-2D55-DD23-0014-507DDD38FC3C}"/>
                </a:ext>
              </a:extLst>
            </xdr14:cNvPr>
            <xdr14:cNvContentPartPr/>
          </xdr14:nvContentPartPr>
          <xdr14:nvPr macro=""/>
          <xdr14:xfrm>
            <a:off x="6845400" y="24650460"/>
            <a:ext cx="360" cy="360"/>
          </xdr14:xfrm>
        </xdr:contentPart>
      </mc:Choice>
      <mc:Fallback xmlns="">
        <xdr:pic>
          <xdr:nvPicPr>
            <xdr:cNvPr id="9" name="Tinta 8">
              <a:extLst>
                <a:ext uri="{FF2B5EF4-FFF2-40B4-BE49-F238E27FC236}">
                  <a16:creationId xmlns:a16="http://schemas.microsoft.com/office/drawing/2014/main" id="{E8D508AA-2D55-DD23-0014-507DDD38FC3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839280" y="246443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705972</xdr:colOff>
      <xdr:row>0</xdr:row>
      <xdr:rowOff>152400</xdr:rowOff>
    </xdr:from>
    <xdr:to>
      <xdr:col>5</xdr:col>
      <xdr:colOff>847127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78B99714-E97C-47AB-8784-5CE28721A2AE}"/>
            </a:ext>
          </a:extLst>
        </xdr:cNvPr>
        <xdr:cNvSpPr/>
      </xdr:nvSpPr>
      <xdr:spPr bwMode="auto">
        <a:xfrm>
          <a:off x="680572" y="152400"/>
          <a:ext cx="906330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658503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C0843ED8-2870-4192-916C-0D1A8361A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9897" cy="372267"/>
        </a:xfrm>
        <a:prstGeom prst="rect">
          <a:avLst/>
        </a:prstGeom>
      </xdr:spPr>
    </xdr:pic>
    <xdr:clientData/>
  </xdr:twoCellAnchor>
  <xdr:twoCellAnchor editAs="absolute">
    <xdr:from>
      <xdr:col>36</xdr:col>
      <xdr:colOff>31287</xdr:colOff>
      <xdr:row>0</xdr:row>
      <xdr:rowOff>190500</xdr:rowOff>
    </xdr:from>
    <xdr:to>
      <xdr:col>37</xdr:col>
      <xdr:colOff>254887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EC3D01ED-4FAE-4F76-A9EF-78CD016B9AB5}"/>
            </a:ext>
          </a:extLst>
        </xdr:cNvPr>
        <xdr:cNvSpPr/>
      </xdr:nvSpPr>
      <xdr:spPr bwMode="auto">
        <a:xfrm>
          <a:off x="29682612" y="190500"/>
          <a:ext cx="112530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35</xdr:col>
      <xdr:colOff>20023</xdr:colOff>
      <xdr:row>0</xdr:row>
      <xdr:rowOff>182566</xdr:rowOff>
    </xdr:from>
    <xdr:to>
      <xdr:col>35</xdr:col>
      <xdr:colOff>387791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04CB87A7-0853-44F7-AAF2-3A9796B25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9073" y="179391"/>
          <a:ext cx="370943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705972</xdr:colOff>
      <xdr:row>0</xdr:row>
      <xdr:rowOff>152400</xdr:rowOff>
    </xdr:from>
    <xdr:to>
      <xdr:col>5</xdr:col>
      <xdr:colOff>847127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AD62421C-21FF-4EB4-85ED-DE56BB55F9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572" y="152400"/>
          <a:ext cx="906330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36</xdr:col>
      <xdr:colOff>31287</xdr:colOff>
      <xdr:row>0</xdr:row>
      <xdr:rowOff>190500</xdr:rowOff>
    </xdr:from>
    <xdr:to>
      <xdr:col>37</xdr:col>
      <xdr:colOff>254887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2EFCF842-0F81-4C6D-BA9A-8D2F331F3B2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82612" y="190500"/>
          <a:ext cx="112530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1232000</xdr:colOff>
      <xdr:row>51</xdr:row>
      <xdr:rowOff>520420</xdr:rowOff>
    </xdr:from>
    <xdr:to>
      <xdr:col>13</xdr:col>
      <xdr:colOff>1229185</xdr:colOff>
      <xdr:row>51</xdr:row>
      <xdr:rowOff>523955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Tinta 7">
              <a:extLst>
                <a:ext uri="{FF2B5EF4-FFF2-40B4-BE49-F238E27FC236}">
                  <a16:creationId xmlns:a16="http://schemas.microsoft.com/office/drawing/2014/main" id="{5EB077BD-CDD0-4522-8AAE-28F615E9169A}"/>
                </a:ext>
              </a:extLst>
            </xdr14:cNvPr>
            <xdr14:cNvContentPartPr/>
          </xdr14:nvContentPartPr>
          <xdr14:nvPr macro=""/>
          <xdr14:xfrm>
            <a:off x="17361000" y="23558220"/>
            <a:ext cx="360" cy="360"/>
          </xdr14:xfrm>
        </xdr:contentPart>
      </mc:Choice>
      <mc:Fallback xmlns="">
        <xdr:pic>
          <xdr:nvPicPr>
            <xdr:cNvPr id="8" name="Tinta 7">
              <a:extLst>
                <a:ext uri="{FF2B5EF4-FFF2-40B4-BE49-F238E27FC236}">
                  <a16:creationId xmlns:a16="http://schemas.microsoft.com/office/drawing/2014/main" id="{0001F323-F1BA-A3C1-579D-9ED2EA42538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7354880" y="2355210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2895700</xdr:colOff>
      <xdr:row>54</xdr:row>
      <xdr:rowOff>279160</xdr:rowOff>
    </xdr:from>
    <xdr:to>
      <xdr:col>6</xdr:col>
      <xdr:colOff>2896060</xdr:colOff>
      <xdr:row>54</xdr:row>
      <xdr:rowOff>276345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9" name="Tinta 8">
              <a:extLst>
                <a:ext uri="{FF2B5EF4-FFF2-40B4-BE49-F238E27FC236}">
                  <a16:creationId xmlns:a16="http://schemas.microsoft.com/office/drawing/2014/main" id="{EFBE9509-8723-4977-A73F-9B8A474B8793}"/>
                </a:ext>
              </a:extLst>
            </xdr14:cNvPr>
            <xdr14:cNvContentPartPr/>
          </xdr14:nvContentPartPr>
          <xdr14:nvPr macro=""/>
          <xdr14:xfrm>
            <a:off x="6845400" y="24650460"/>
            <a:ext cx="360" cy="360"/>
          </xdr14:xfrm>
        </xdr:contentPart>
      </mc:Choice>
      <mc:Fallback xmlns="">
        <xdr:pic>
          <xdr:nvPicPr>
            <xdr:cNvPr id="9" name="Tinta 8">
              <a:extLst>
                <a:ext uri="{FF2B5EF4-FFF2-40B4-BE49-F238E27FC236}">
                  <a16:creationId xmlns:a16="http://schemas.microsoft.com/office/drawing/2014/main" id="{E8D508AA-2D55-DD23-0014-507DDD38FC3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839280" y="246443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6-10T14:59:24.496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1 24575,'0'0'-8191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6-10T14:59:28.39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24575,'0'0'-8191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6-12T20:57:53.778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1 24575,'0'0'-8191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6-12T20:57:53.77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24575,'0'0'-8191</inkml:trace>
</inkml: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01CA7-3DEE-46BB-881B-DBF93FFF280C}">
  <dimension ref="A1:F35"/>
  <sheetViews>
    <sheetView showGridLines="0" tabSelected="1" topLeftCell="A23" zoomScale="115" zoomScaleNormal="115" workbookViewId="0">
      <selection activeCell="G30" sqref="G30"/>
    </sheetView>
  </sheetViews>
  <sheetFormatPr defaultColWidth="8.6640625" defaultRowHeight="16.2" x14ac:dyDescent="0.35"/>
  <cols>
    <col min="1" max="1" width="8.6640625" style="35"/>
    <col min="2" max="2" width="22.33203125" style="35" bestFit="1" customWidth="1"/>
    <col min="3" max="3" width="31.6640625" style="35" customWidth="1"/>
    <col min="4" max="4" width="20.44140625" style="35" customWidth="1"/>
    <col min="5" max="5" width="18.44140625" style="35" customWidth="1"/>
    <col min="6" max="6" width="11.88671875" style="36" bestFit="1" customWidth="1"/>
    <col min="7" max="7" width="12.88671875" style="35" bestFit="1" customWidth="1"/>
    <col min="8" max="8" width="12.5546875" style="35" bestFit="1" customWidth="1"/>
    <col min="9" max="16384" width="8.6640625" style="35"/>
  </cols>
  <sheetData>
    <row r="1" spans="1:5" s="36" customFormat="1" hidden="1" x14ac:dyDescent="0.35">
      <c r="A1" s="35"/>
      <c r="B1" s="35"/>
      <c r="C1" s="35"/>
      <c r="D1" s="35"/>
      <c r="E1" s="35"/>
    </row>
    <row r="2" spans="1:5" s="36" customFormat="1" hidden="1" x14ac:dyDescent="0.35">
      <c r="A2" s="35"/>
      <c r="B2" s="35"/>
      <c r="C2" s="35"/>
      <c r="D2" s="35"/>
      <c r="E2" s="35"/>
    </row>
    <row r="3" spans="1:5" s="36" customFormat="1" hidden="1" x14ac:dyDescent="0.35">
      <c r="A3" s="35"/>
      <c r="B3" s="35"/>
      <c r="C3" s="37">
        <v>45866</v>
      </c>
      <c r="D3" s="38"/>
      <c r="E3" s="439" t="e">
        <f>SUM(#REF!)</f>
        <v>#REF!</v>
      </c>
    </row>
    <row r="4" spans="1:5" s="36" customFormat="1" ht="15.6" hidden="1" customHeight="1" thickBot="1" x14ac:dyDescent="0.4">
      <c r="A4" s="35"/>
      <c r="B4" s="35"/>
      <c r="C4" s="39">
        <v>45867</v>
      </c>
      <c r="D4" s="40"/>
      <c r="E4" s="440"/>
    </row>
    <row r="5" spans="1:5" s="36" customFormat="1" hidden="1" x14ac:dyDescent="0.35">
      <c r="A5" s="35"/>
      <c r="B5" s="35"/>
      <c r="C5" s="41" t="s">
        <v>291</v>
      </c>
      <c r="D5" s="42"/>
      <c r="E5" s="35"/>
    </row>
    <row r="6" spans="1:5" s="36" customFormat="1" hidden="1" x14ac:dyDescent="0.35">
      <c r="A6" s="35"/>
      <c r="B6" s="35"/>
      <c r="C6" s="41" t="s">
        <v>292</v>
      </c>
      <c r="D6" s="42"/>
      <c r="E6" s="35"/>
    </row>
    <row r="7" spans="1:5" s="36" customFormat="1" ht="16.8" hidden="1" thickBot="1" x14ac:dyDescent="0.4">
      <c r="A7" s="35"/>
      <c r="B7" s="35"/>
      <c r="C7" s="43" t="s">
        <v>42</v>
      </c>
      <c r="D7" s="44"/>
      <c r="E7" s="35"/>
    </row>
    <row r="9" spans="1:5" s="36" customFormat="1" ht="24" customHeight="1" x14ac:dyDescent="0.35">
      <c r="A9" s="35"/>
      <c r="B9" s="35"/>
      <c r="C9" s="35"/>
      <c r="D9" s="35"/>
      <c r="E9" s="35"/>
    </row>
    <row r="11" spans="1:5" s="36" customFormat="1" ht="15" customHeight="1" x14ac:dyDescent="0.35">
      <c r="A11" s="35"/>
      <c r="B11" s="63" t="s">
        <v>189</v>
      </c>
      <c r="C11" s="64" t="s">
        <v>219</v>
      </c>
      <c r="D11" s="45"/>
      <c r="E11" s="35"/>
    </row>
    <row r="12" spans="1:5" s="36" customFormat="1" ht="15" customHeight="1" x14ac:dyDescent="0.35">
      <c r="A12" s="35"/>
      <c r="B12" s="65" t="s">
        <v>190</v>
      </c>
      <c r="C12" s="66" t="s">
        <v>173</v>
      </c>
      <c r="D12" s="45"/>
      <c r="E12" s="35"/>
    </row>
    <row r="13" spans="1:5" s="36" customFormat="1" ht="15" customHeight="1" x14ac:dyDescent="0.35">
      <c r="A13" s="35"/>
      <c r="B13" s="65" t="s">
        <v>191</v>
      </c>
      <c r="C13" s="67" t="s">
        <v>183</v>
      </c>
      <c r="D13" s="46"/>
      <c r="E13" s="35"/>
    </row>
    <row r="14" spans="1:5" s="36" customFormat="1" ht="15" customHeight="1" x14ac:dyDescent="0.35">
      <c r="A14" s="35"/>
      <c r="B14" s="65" t="s">
        <v>192</v>
      </c>
      <c r="C14" s="67" t="s">
        <v>184</v>
      </c>
      <c r="D14" s="46"/>
      <c r="E14" s="35"/>
    </row>
    <row r="15" spans="1:5" s="36" customFormat="1" ht="15" customHeight="1" x14ac:dyDescent="0.35">
      <c r="A15" s="35"/>
      <c r="B15" s="65" t="s">
        <v>193</v>
      </c>
      <c r="C15" s="68" t="s">
        <v>185</v>
      </c>
      <c r="D15" s="47"/>
      <c r="E15" s="35"/>
    </row>
    <row r="16" spans="1:5" ht="15" customHeight="1" x14ac:dyDescent="0.35">
      <c r="B16" s="65" t="s">
        <v>194</v>
      </c>
      <c r="C16" s="67" t="s">
        <v>186</v>
      </c>
      <c r="D16" s="46"/>
    </row>
    <row r="17" spans="2:6" ht="15" customHeight="1" x14ac:dyDescent="0.35">
      <c r="B17" s="65" t="s">
        <v>195</v>
      </c>
      <c r="C17" s="67" t="s">
        <v>248</v>
      </c>
      <c r="D17" s="46"/>
    </row>
    <row r="18" spans="2:6" ht="15" customHeight="1" x14ac:dyDescent="0.35">
      <c r="B18" s="69" t="s">
        <v>196</v>
      </c>
      <c r="C18" s="70" t="s">
        <v>218</v>
      </c>
      <c r="D18" s="46"/>
    </row>
    <row r="20" spans="2:6" ht="15.6" customHeight="1" x14ac:dyDescent="0.35">
      <c r="B20" s="48"/>
      <c r="C20" s="48" t="s">
        <v>293</v>
      </c>
      <c r="D20" s="48" t="s">
        <v>294</v>
      </c>
      <c r="E20" s="48" t="s">
        <v>295</v>
      </c>
      <c r="F20" s="49"/>
    </row>
    <row r="21" spans="2:6" x14ac:dyDescent="0.35">
      <c r="B21" s="50" t="s">
        <v>188</v>
      </c>
      <c r="C21" s="51">
        <f>PNEUSHOW!N61</f>
        <v>471248.40530864202</v>
      </c>
      <c r="D21" s="51">
        <f>PNEUSHOW!X61</f>
        <v>425184.88000000006</v>
      </c>
      <c r="E21" s="51">
        <f>C21-D21</f>
        <v>46063.525308641954</v>
      </c>
      <c r="F21" s="52">
        <f>E21*100%/C21</f>
        <v>9.7747864586348793E-2</v>
      </c>
    </row>
    <row r="22" spans="2:6" x14ac:dyDescent="0.35">
      <c r="B22" s="50" t="s">
        <v>226</v>
      </c>
      <c r="C22" s="51">
        <f>'EXTRAS PNEUSHOW'!N39</f>
        <v>35132.28</v>
      </c>
      <c r="D22" s="51">
        <f>'EXTRAS PNEUSHOW'!X39</f>
        <v>0</v>
      </c>
      <c r="E22" s="51">
        <f>C22-D22</f>
        <v>35132.28</v>
      </c>
      <c r="F22" s="52">
        <f>E22*100%/C22</f>
        <v>1</v>
      </c>
    </row>
    <row r="23" spans="2:6" x14ac:dyDescent="0.35">
      <c r="B23" s="48" t="s">
        <v>42</v>
      </c>
      <c r="C23" s="53">
        <f>SUM(C21:C22)</f>
        <v>506380.68530864199</v>
      </c>
      <c r="D23" s="53">
        <f>SUM(D21:D22)</f>
        <v>425184.88000000006</v>
      </c>
      <c r="E23" s="53">
        <f>C23-D23</f>
        <v>81195.805308641924</v>
      </c>
      <c r="F23" s="52">
        <f>E23*100%/C23</f>
        <v>0.16034538374849863</v>
      </c>
    </row>
    <row r="25" spans="2:6" ht="16.8" thickBot="1" x14ac:dyDescent="0.4">
      <c r="C25" s="605">
        <f>C27+C28+C29</f>
        <v>388884.95999999996</v>
      </c>
    </row>
    <row r="26" spans="2:6" ht="21.9" customHeight="1" thickBot="1" x14ac:dyDescent="0.4">
      <c r="B26" s="441" t="s">
        <v>296</v>
      </c>
      <c r="C26" s="442"/>
      <c r="D26" s="442"/>
      <c r="E26" s="442"/>
      <c r="F26" s="443"/>
    </row>
    <row r="27" spans="2:6" ht="29.4" customHeight="1" thickBot="1" x14ac:dyDescent="0.4">
      <c r="B27" s="50" t="s">
        <v>349</v>
      </c>
      <c r="C27" s="597">
        <v>171437.12</v>
      </c>
      <c r="D27" s="444">
        <f>D23</f>
        <v>425184.88000000006</v>
      </c>
      <c r="E27" s="599">
        <f>C25-D27</f>
        <v>-36299.9200000001</v>
      </c>
      <c r="F27" s="600">
        <f>E27*100%/C27</f>
        <v>-0.21173897461646637</v>
      </c>
    </row>
    <row r="28" spans="2:6" ht="29.4" customHeight="1" thickBot="1" x14ac:dyDescent="0.4">
      <c r="B28" s="50" t="s">
        <v>350</v>
      </c>
      <c r="C28" s="597">
        <v>171437.12</v>
      </c>
      <c r="D28" s="445"/>
      <c r="E28" s="601"/>
      <c r="F28" s="602"/>
    </row>
    <row r="29" spans="2:6" ht="29.4" customHeight="1" thickBot="1" x14ac:dyDescent="0.4">
      <c r="B29" s="50" t="s">
        <v>351</v>
      </c>
      <c r="C29" s="597">
        <v>46010.720000000001</v>
      </c>
      <c r="D29" s="598"/>
      <c r="E29" s="603"/>
      <c r="F29" s="604"/>
    </row>
    <row r="30" spans="2:6" ht="29.4" customHeight="1" thickBot="1" x14ac:dyDescent="0.4">
      <c r="B30" s="50" t="s">
        <v>352</v>
      </c>
      <c r="C30" s="54">
        <v>41181.730000000003</v>
      </c>
      <c r="D30" s="54">
        <f>C30*0.15</f>
        <v>6177.2595000000001</v>
      </c>
      <c r="E30" s="55">
        <f t="shared" ref="E30:E32" si="0">C30-D30</f>
        <v>35004.470500000003</v>
      </c>
      <c r="F30" s="56">
        <f>E30*100%/C30</f>
        <v>0.85</v>
      </c>
    </row>
    <row r="31" spans="2:6" ht="29.4" customHeight="1" thickBot="1" x14ac:dyDescent="0.4">
      <c r="B31" s="50" t="s">
        <v>353</v>
      </c>
      <c r="C31" s="54">
        <v>41181.730000000003</v>
      </c>
      <c r="D31" s="54">
        <f>C31*0.15</f>
        <v>6177.2595000000001</v>
      </c>
      <c r="E31" s="55">
        <f t="shared" si="0"/>
        <v>35004.470500000003</v>
      </c>
      <c r="F31" s="56">
        <f t="shared" ref="F29:F32" si="1">E31*100%/C31</f>
        <v>0.85</v>
      </c>
    </row>
    <row r="32" spans="2:6" ht="29.4" customHeight="1" thickBot="1" x14ac:dyDescent="0.4">
      <c r="B32" s="50" t="s">
        <v>354</v>
      </c>
      <c r="C32" s="54">
        <v>35132.28</v>
      </c>
      <c r="D32" s="54">
        <f>C32*0.15</f>
        <v>5269.8419999999996</v>
      </c>
      <c r="E32" s="55">
        <f t="shared" si="0"/>
        <v>29862.437999999998</v>
      </c>
      <c r="F32" s="56">
        <f t="shared" si="1"/>
        <v>0.85</v>
      </c>
    </row>
    <row r="33" spans="2:6" ht="20.25" customHeight="1" thickBot="1" x14ac:dyDescent="0.4">
      <c r="B33" s="57"/>
      <c r="C33" s="58">
        <f>SUM(C27:C32)</f>
        <v>506380.69999999995</v>
      </c>
      <c r="D33" s="59">
        <f>SUM(D27:D32)</f>
        <v>442809.24100000004</v>
      </c>
      <c r="E33" s="60">
        <f>C33-D33</f>
        <v>63571.458999999915</v>
      </c>
      <c r="F33" s="56">
        <f>E33*100%/C33</f>
        <v>0.12554084111025543</v>
      </c>
    </row>
    <row r="34" spans="2:6" x14ac:dyDescent="0.35">
      <c r="C34" s="61"/>
    </row>
    <row r="35" spans="2:6" x14ac:dyDescent="0.35">
      <c r="C35" s="62"/>
    </row>
  </sheetData>
  <mergeCells count="5">
    <mergeCell ref="E3:E4"/>
    <mergeCell ref="B26:F26"/>
    <mergeCell ref="D27:D29"/>
    <mergeCell ref="E27:E29"/>
    <mergeCell ref="F27:F29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58511-B8E7-4B8B-AE43-6F9716610996}">
  <sheetPr codeName="Planilha13">
    <tabColor rgb="FF7030A0"/>
    <pageSetUpPr autoPageBreaks="0"/>
  </sheetPr>
  <dimension ref="A1:AM65"/>
  <sheetViews>
    <sheetView showGridLines="0" topLeftCell="F1" zoomScale="50" zoomScaleNormal="50" workbookViewId="0">
      <pane ySplit="1" topLeftCell="A54" activePane="bottomLeft" state="frozen"/>
      <selection pane="bottomLeft" activeCell="N61" sqref="N61"/>
    </sheetView>
  </sheetViews>
  <sheetFormatPr defaultColWidth="8.88671875" defaultRowHeight="22.2" x14ac:dyDescent="0.3"/>
  <cols>
    <col min="1" max="1" width="4.44140625" style="244" hidden="1" customWidth="1"/>
    <col min="2" max="2" width="9.5546875" style="244" customWidth="1"/>
    <col min="3" max="3" width="6.88671875" style="244" hidden="1" customWidth="1"/>
    <col min="4" max="5" width="4.44140625" style="244" hidden="1" customWidth="1"/>
    <col min="6" max="6" width="35.44140625" style="260" customWidth="1"/>
    <col min="7" max="7" width="52.88671875" style="244" customWidth="1"/>
    <col min="8" max="9" width="10.5546875" style="247" hidden="1" customWidth="1"/>
    <col min="10" max="10" width="23.109375" style="244" hidden="1" customWidth="1"/>
    <col min="11" max="11" width="28.5546875" style="244" bestFit="1" customWidth="1"/>
    <col min="12" max="12" width="25" style="244" bestFit="1" customWidth="1"/>
    <col min="13" max="13" width="27" style="244" bestFit="1" customWidth="1"/>
    <col min="14" max="14" width="28.5546875" style="244" bestFit="1" customWidth="1"/>
    <col min="15" max="15" width="3.109375" style="244" hidden="1" customWidth="1"/>
    <col min="16" max="16" width="20.88671875" style="244" hidden="1" customWidth="1"/>
    <col min="17" max="17" width="10.5546875" style="247" customWidth="1"/>
    <col min="18" max="18" width="10.5546875" style="247" hidden="1" customWidth="1"/>
    <col min="19" max="19" width="17.5546875" style="244" hidden="1" customWidth="1"/>
    <col min="20" max="20" width="25.33203125" style="244" bestFit="1" customWidth="1"/>
    <col min="21" max="21" width="23.44140625" style="244" hidden="1" customWidth="1"/>
    <col min="22" max="22" width="11.88671875" style="247" hidden="1" customWidth="1"/>
    <col min="23" max="23" width="15.5546875" style="244" hidden="1" customWidth="1"/>
    <col min="24" max="24" width="26.109375" style="244" bestFit="1" customWidth="1"/>
    <col min="25" max="25" width="29" style="244" hidden="1" customWidth="1"/>
    <col min="26" max="26" width="16.88671875" style="244" hidden="1" customWidth="1"/>
    <col min="27" max="27" width="23.33203125" style="244" hidden="1" customWidth="1"/>
    <col min="28" max="28" width="29.44140625" style="244" customWidth="1"/>
    <col min="29" max="29" width="28.109375" style="244" customWidth="1"/>
    <col min="30" max="30" width="14.109375" style="432" bestFit="1" customWidth="1"/>
    <col min="31" max="31" width="7.88671875" style="244" hidden="1" customWidth="1"/>
    <col min="32" max="32" width="6.88671875" style="244" hidden="1" customWidth="1"/>
    <col min="33" max="33" width="1.109375" style="244" hidden="1" customWidth="1"/>
    <col min="34" max="35" width="29.44140625" style="247" customWidth="1"/>
    <col min="36" max="36" width="6.109375" style="244" bestFit="1" customWidth="1"/>
    <col min="37" max="37" width="17.33203125" style="244" bestFit="1" customWidth="1"/>
    <col min="38" max="38" width="13.109375" style="244" bestFit="1" customWidth="1"/>
    <col min="39" max="39" width="13.5546875" style="244" bestFit="1" customWidth="1"/>
    <col min="40" max="40" width="8.88671875" style="244"/>
    <col min="41" max="41" width="21.109375" style="244" customWidth="1"/>
    <col min="42" max="16384" width="8.88671875" style="244"/>
  </cols>
  <sheetData>
    <row r="1" spans="1:39" ht="49.5" customHeight="1" x14ac:dyDescent="0.3">
      <c r="B1" s="245"/>
      <c r="C1" s="246"/>
      <c r="D1" s="246"/>
      <c r="F1" s="498" t="s">
        <v>110</v>
      </c>
      <c r="G1" s="498"/>
    </row>
    <row r="2" spans="1:39" ht="24.75" customHeight="1" x14ac:dyDescent="0.3">
      <c r="B2" s="247"/>
      <c r="D2" s="246"/>
      <c r="F2" s="499" t="s">
        <v>0</v>
      </c>
      <c r="G2" s="499"/>
    </row>
    <row r="3" spans="1:39" x14ac:dyDescent="0.3">
      <c r="B3" s="248"/>
      <c r="F3" s="249"/>
      <c r="G3" s="250"/>
    </row>
    <row r="4" spans="1:39" x14ac:dyDescent="0.3">
      <c r="F4" s="251" t="s">
        <v>189</v>
      </c>
      <c r="G4" s="252" t="s">
        <v>219</v>
      </c>
    </row>
    <row r="5" spans="1:39" x14ac:dyDescent="0.3">
      <c r="F5" s="253" t="s">
        <v>190</v>
      </c>
      <c r="G5" s="254" t="s">
        <v>173</v>
      </c>
    </row>
    <row r="6" spans="1:39" x14ac:dyDescent="0.3">
      <c r="D6" s="244" t="s">
        <v>97</v>
      </c>
      <c r="F6" s="253" t="s">
        <v>191</v>
      </c>
      <c r="G6" s="255" t="s">
        <v>183</v>
      </c>
    </row>
    <row r="7" spans="1:39" ht="21.75" customHeight="1" x14ac:dyDescent="0.3">
      <c r="F7" s="253" t="s">
        <v>192</v>
      </c>
      <c r="G7" s="255" t="s">
        <v>184</v>
      </c>
      <c r="J7" s="244" t="s">
        <v>109</v>
      </c>
    </row>
    <row r="8" spans="1:39" x14ac:dyDescent="0.3">
      <c r="F8" s="253" t="s">
        <v>193</v>
      </c>
      <c r="G8" s="256" t="s">
        <v>185</v>
      </c>
    </row>
    <row r="9" spans="1:39" x14ac:dyDescent="0.3">
      <c r="F9" s="253" t="s">
        <v>194</v>
      </c>
      <c r="G9" s="255" t="s">
        <v>186</v>
      </c>
      <c r="J9" s="244" t="s">
        <v>97</v>
      </c>
    </row>
    <row r="10" spans="1:39" ht="27" customHeight="1" x14ac:dyDescent="0.3">
      <c r="F10" s="253" t="s">
        <v>195</v>
      </c>
      <c r="G10" s="255" t="s">
        <v>248</v>
      </c>
    </row>
    <row r="11" spans="1:39" x14ac:dyDescent="0.3">
      <c r="F11" s="257" t="s">
        <v>196</v>
      </c>
      <c r="G11" s="258" t="s">
        <v>218</v>
      </c>
    </row>
    <row r="12" spans="1:39" ht="22.8" hidden="1" thickBot="1" x14ac:dyDescent="0.35">
      <c r="B12" s="259"/>
      <c r="M12" s="261"/>
      <c r="Q12" s="500" t="s">
        <v>1</v>
      </c>
      <c r="R12" s="501"/>
      <c r="S12" s="501"/>
      <c r="T12" s="502"/>
      <c r="U12" s="488" t="s">
        <v>2</v>
      </c>
      <c r="V12" s="489"/>
      <c r="W12" s="489"/>
      <c r="X12" s="490"/>
      <c r="Y12" s="262" t="s">
        <v>48</v>
      </c>
      <c r="Z12" s="263">
        <f>(1/(1-M14))-1</f>
        <v>0.23456790123456783</v>
      </c>
      <c r="AD12" s="491"/>
      <c r="AE12" s="491"/>
      <c r="AF12" s="491"/>
      <c r="AH12" s="492" t="s">
        <v>50</v>
      </c>
      <c r="AI12" s="493"/>
      <c r="AK12" s="264" t="s">
        <v>52</v>
      </c>
      <c r="AL12" s="486" t="s">
        <v>51</v>
      </c>
      <c r="AM12" s="487"/>
    </row>
    <row r="13" spans="1:39" ht="22.8" thickBot="1" x14ac:dyDescent="0.35">
      <c r="A13" s="265" t="s">
        <v>4</v>
      </c>
      <c r="B13" s="266" t="s">
        <v>5</v>
      </c>
      <c r="C13" s="265" t="s">
        <v>6</v>
      </c>
      <c r="D13" s="265" t="s">
        <v>7</v>
      </c>
      <c r="E13" s="265" t="s">
        <v>8</v>
      </c>
      <c r="M13" s="267">
        <v>0.81</v>
      </c>
    </row>
    <row r="14" spans="1:39" ht="35.1" customHeight="1" thickBot="1" x14ac:dyDescent="0.35">
      <c r="A14" s="268">
        <v>0</v>
      </c>
      <c r="B14" s="269"/>
      <c r="C14" s="270"/>
      <c r="D14" s="271"/>
      <c r="E14" s="271"/>
      <c r="F14" s="272" t="s">
        <v>76</v>
      </c>
      <c r="G14" s="273" t="s">
        <v>77</v>
      </c>
      <c r="H14" s="274" t="s">
        <v>78</v>
      </c>
      <c r="I14" s="274" t="s">
        <v>79</v>
      </c>
      <c r="J14" s="275" t="s">
        <v>80</v>
      </c>
      <c r="K14" s="276" t="s">
        <v>9</v>
      </c>
      <c r="L14" s="277">
        <v>0.08</v>
      </c>
      <c r="M14" s="278">
        <v>0.19</v>
      </c>
      <c r="N14" s="279" t="s">
        <v>74</v>
      </c>
      <c r="Q14" s="280" t="s">
        <v>81</v>
      </c>
      <c r="R14" s="281" t="s">
        <v>82</v>
      </c>
      <c r="S14" s="282" t="s">
        <v>83</v>
      </c>
      <c r="T14" s="283" t="s">
        <v>84</v>
      </c>
      <c r="U14" s="284" t="s">
        <v>85</v>
      </c>
      <c r="V14" s="285" t="s">
        <v>86</v>
      </c>
      <c r="W14" s="286" t="s">
        <v>87</v>
      </c>
      <c r="X14" s="286" t="s">
        <v>88</v>
      </c>
      <c r="Y14" s="287" t="s">
        <v>89</v>
      </c>
      <c r="Z14" s="288" t="s">
        <v>90</v>
      </c>
      <c r="AA14" s="289" t="s">
        <v>75</v>
      </c>
      <c r="AB14" s="290" t="s">
        <v>93</v>
      </c>
      <c r="AC14" s="291" t="s">
        <v>94</v>
      </c>
      <c r="AD14" s="433"/>
      <c r="AE14" s="292"/>
      <c r="AF14" s="292"/>
      <c r="AH14" s="293" t="s">
        <v>91</v>
      </c>
      <c r="AI14" s="294" t="s">
        <v>92</v>
      </c>
      <c r="AL14" s="290" t="s">
        <v>93</v>
      </c>
      <c r="AM14" s="295" t="s">
        <v>94</v>
      </c>
    </row>
    <row r="15" spans="1:39" ht="35.1" customHeight="1" thickBot="1" x14ac:dyDescent="0.5">
      <c r="A15" s="271">
        <v>1</v>
      </c>
      <c r="B15" s="296">
        <v>1</v>
      </c>
      <c r="C15" s="297" t="s">
        <v>111</v>
      </c>
      <c r="D15" s="271"/>
      <c r="E15" s="271"/>
      <c r="F15" s="450" t="s">
        <v>112</v>
      </c>
      <c r="G15" s="451"/>
      <c r="H15" s="451"/>
      <c r="I15" s="451"/>
      <c r="J15" s="451"/>
      <c r="K15" s="451"/>
      <c r="L15" s="451"/>
      <c r="M15" s="451"/>
      <c r="N15" s="452"/>
      <c r="Q15" s="453" t="str">
        <f>IF(F15&lt;&gt;"",F15,"")</f>
        <v>INTERNO</v>
      </c>
      <c r="R15" s="454"/>
      <c r="S15" s="454"/>
      <c r="T15" s="454"/>
      <c r="U15" s="454"/>
      <c r="V15" s="454"/>
      <c r="W15" s="454"/>
      <c r="X15" s="454"/>
      <c r="Y15" s="455"/>
      <c r="AB15" s="494"/>
      <c r="AC15" s="495"/>
    </row>
    <row r="16" spans="1:39" ht="35.1" customHeight="1" x14ac:dyDescent="0.45">
      <c r="A16" s="271">
        <v>2</v>
      </c>
      <c r="B16" s="296" t="s">
        <v>114</v>
      </c>
      <c r="C16" s="297" t="s">
        <v>113</v>
      </c>
      <c r="D16" s="271"/>
      <c r="E16" s="271"/>
      <c r="F16" s="456" t="s">
        <v>118</v>
      </c>
      <c r="G16" s="457"/>
      <c r="H16" s="457"/>
      <c r="I16" s="457"/>
      <c r="J16" s="457"/>
      <c r="K16" s="458"/>
      <c r="L16" s="298" t="s">
        <v>115</v>
      </c>
      <c r="M16" s="299" t="s">
        <v>116</v>
      </c>
      <c r="N16" s="300" t="s">
        <v>74</v>
      </c>
      <c r="Q16" s="459" t="str">
        <f>IF(F16&lt;&gt;"",F16,"")</f>
        <v>EQUIPE INTERNA</v>
      </c>
      <c r="R16" s="460"/>
      <c r="S16" s="460"/>
      <c r="T16" s="460"/>
      <c r="U16" s="460"/>
      <c r="V16" s="460"/>
      <c r="W16" s="460"/>
      <c r="X16" s="460"/>
      <c r="Y16" s="461"/>
      <c r="Z16" s="301" t="s">
        <v>117</v>
      </c>
      <c r="AA16" s="302" t="s">
        <v>75</v>
      </c>
      <c r="AB16" s="496"/>
      <c r="AC16" s="497"/>
    </row>
    <row r="17" spans="1:39" ht="60" customHeight="1" x14ac:dyDescent="0.4">
      <c r="A17" s="271">
        <v>3</v>
      </c>
      <c r="B17" s="296" t="s">
        <v>120</v>
      </c>
      <c r="C17" s="297" t="s">
        <v>119</v>
      </c>
      <c r="D17" s="271" t="s">
        <v>112</v>
      </c>
      <c r="E17" s="271" t="s">
        <v>162</v>
      </c>
      <c r="F17" s="303" t="s">
        <v>152</v>
      </c>
      <c r="G17" s="304" t="s">
        <v>297</v>
      </c>
      <c r="H17" s="305">
        <v>1</v>
      </c>
      <c r="I17" s="306">
        <v>1</v>
      </c>
      <c r="J17" s="307">
        <v>3000</v>
      </c>
      <c r="K17" s="308">
        <f>IF(F17&lt;&gt;"",H17*I17*J17,"")</f>
        <v>3000</v>
      </c>
      <c r="L17" s="308">
        <f>IF(K17&lt;&gt;"",IF(D17="INTERNO",0,K17*$L$14),"")</f>
        <v>0</v>
      </c>
      <c r="M17" s="308">
        <f>IF(K17&lt;&gt;"",IF(E17="FAT.OGGI",SUM(K17:L17)*(1/(1-$M$14)-1),L17*(1/(1-$M$14)-1)),0)</f>
        <v>703.70370370370347</v>
      </c>
      <c r="N17" s="309">
        <f>SUM(K17:M17)</f>
        <v>3703.7037037037035</v>
      </c>
      <c r="Q17" s="310">
        <f t="shared" ref="Q17:R20" si="0">IF(H17&lt;&gt;"",H17,"")</f>
        <v>1</v>
      </c>
      <c r="R17" s="311">
        <f t="shared" si="0"/>
        <v>1</v>
      </c>
      <c r="S17" s="312">
        <v>1000</v>
      </c>
      <c r="T17" s="312">
        <v>0</v>
      </c>
      <c r="U17" s="313">
        <f>IF(Q17&lt;&gt;"",K17-T17,"")</f>
        <v>3000</v>
      </c>
      <c r="V17" s="314">
        <f>IF(Q17&lt;&gt;"",0%,"")</f>
        <v>0</v>
      </c>
      <c r="W17" s="315">
        <f>IF(Q17&lt;&gt;"",V17*U17,"")</f>
        <v>0</v>
      </c>
      <c r="X17" s="315">
        <f>IF(Q17&lt;&gt;"",W17+T17,"")</f>
        <v>0</v>
      </c>
      <c r="Y17" s="316">
        <f t="shared" ref="Y17:Y21" si="1">IF(Q17&lt;&gt;"",X17+M17,"")</f>
        <v>703.70370370370347</v>
      </c>
      <c r="Z17" s="317">
        <f>IF(Q17&lt;&gt;"", IFERROR(U17/K17, 0), 0)</f>
        <v>1</v>
      </c>
      <c r="AA17" s="318">
        <f>IFERROR(T17/$T$21, "")</f>
        <v>0</v>
      </c>
      <c r="AB17" s="319">
        <f>X17-AC17</f>
        <v>0</v>
      </c>
      <c r="AC17" s="320">
        <v>0</v>
      </c>
      <c r="AH17" s="321" t="s">
        <v>168</v>
      </c>
      <c r="AI17" s="321"/>
      <c r="AL17" s="321"/>
      <c r="AM17" s="321" t="s">
        <v>172</v>
      </c>
    </row>
    <row r="18" spans="1:39" ht="60" customHeight="1" x14ac:dyDescent="0.4">
      <c r="A18" s="271">
        <v>4</v>
      </c>
      <c r="B18" s="296" t="s">
        <v>95</v>
      </c>
      <c r="C18" s="297" t="s">
        <v>119</v>
      </c>
      <c r="D18" s="271" t="s">
        <v>112</v>
      </c>
      <c r="E18" s="271" t="s">
        <v>162</v>
      </c>
      <c r="F18" s="303" t="s">
        <v>153</v>
      </c>
      <c r="G18" s="304" t="s">
        <v>298</v>
      </c>
      <c r="H18" s="305">
        <v>1</v>
      </c>
      <c r="I18" s="306">
        <v>1</v>
      </c>
      <c r="J18" s="307">
        <v>4000</v>
      </c>
      <c r="K18" s="308">
        <f>IF(F18&lt;&gt;"",H18*I18*J18,"")</f>
        <v>4000</v>
      </c>
      <c r="L18" s="308">
        <f>IF(K18&lt;&gt;"",IF(D18="INTERNO",0,K18*$L$14),"")</f>
        <v>0</v>
      </c>
      <c r="M18" s="308">
        <f>IF(K18&lt;&gt;"",IF(E18="FAT.OGGI",SUM(K18:L18)*(1/(1-$M$14)-1),L18*(1/(1-$M$14)-1)),0)</f>
        <v>938.27160493827137</v>
      </c>
      <c r="N18" s="309">
        <f>SUM(K18:M18)</f>
        <v>4938.2716049382716</v>
      </c>
      <c r="Q18" s="310">
        <f t="shared" si="0"/>
        <v>1</v>
      </c>
      <c r="R18" s="311">
        <f t="shared" si="0"/>
        <v>1</v>
      </c>
      <c r="S18" s="312">
        <v>1000</v>
      </c>
      <c r="T18" s="312">
        <v>6000</v>
      </c>
      <c r="U18" s="313">
        <f>IF(Q18&lt;&gt;"",K18-T18,"")</f>
        <v>-2000</v>
      </c>
      <c r="V18" s="314">
        <f>IF(Q18&lt;&gt;"",0%,"")</f>
        <v>0</v>
      </c>
      <c r="W18" s="315">
        <f>IF(Q18&lt;&gt;"",V18*U18,"")</f>
        <v>0</v>
      </c>
      <c r="X18" s="315">
        <f>IF(Q18&lt;&gt;"",W18+T18,"")</f>
        <v>6000</v>
      </c>
      <c r="Y18" s="316">
        <f t="shared" si="1"/>
        <v>6938.2716049382716</v>
      </c>
      <c r="Z18" s="317">
        <f>IF(Q18&lt;&gt;"", IFERROR(U18/K18, 0), 0)</f>
        <v>-0.5</v>
      </c>
      <c r="AA18" s="318">
        <f>IFERROR(T18/$T$21, "")</f>
        <v>0.23076923076923078</v>
      </c>
      <c r="AB18" s="319">
        <f t="shared" ref="AB18:AB59" si="2">X18-AC18</f>
        <v>0</v>
      </c>
      <c r="AC18" s="320">
        <v>6000</v>
      </c>
      <c r="AD18" s="432" t="s">
        <v>328</v>
      </c>
      <c r="AH18" s="321" t="s">
        <v>171</v>
      </c>
      <c r="AI18" s="321"/>
      <c r="AL18" s="321"/>
      <c r="AM18" s="321" t="s">
        <v>172</v>
      </c>
    </row>
    <row r="19" spans="1:39" ht="60" customHeight="1" x14ac:dyDescent="0.4">
      <c r="A19" s="271">
        <v>5</v>
      </c>
      <c r="B19" s="296" t="s">
        <v>121</v>
      </c>
      <c r="C19" s="297" t="s">
        <v>119</v>
      </c>
      <c r="D19" s="271" t="s">
        <v>112</v>
      </c>
      <c r="E19" s="271" t="s">
        <v>162</v>
      </c>
      <c r="F19" s="303" t="s">
        <v>154</v>
      </c>
      <c r="G19" s="304" t="s">
        <v>299</v>
      </c>
      <c r="H19" s="305">
        <v>1</v>
      </c>
      <c r="I19" s="305">
        <v>1</v>
      </c>
      <c r="J19" s="307">
        <v>6000</v>
      </c>
      <c r="K19" s="308">
        <f>IF(F19&lt;&gt;"",H19*I19*J19,"")</f>
        <v>6000</v>
      </c>
      <c r="L19" s="308" t="s">
        <v>187</v>
      </c>
      <c r="M19" s="308">
        <f>IF(K19&lt;&gt;"",IF(E19="FAT.OGGI",SUM(K19:L19)*(1/(1-$M$14)-1),L19*(1/(1-$M$14)-1)),0)</f>
        <v>1407.4074074074069</v>
      </c>
      <c r="N19" s="309">
        <f>SUM(K19:M19)</f>
        <v>7407.4074074074069</v>
      </c>
      <c r="Q19" s="310">
        <f t="shared" si="0"/>
        <v>1</v>
      </c>
      <c r="R19" s="311">
        <f t="shared" si="0"/>
        <v>1</v>
      </c>
      <c r="S19" s="312">
        <v>1000</v>
      </c>
      <c r="T19" s="312">
        <v>0</v>
      </c>
      <c r="U19" s="313">
        <f>IF(Q19&lt;&gt;"",K19-T19,"")</f>
        <v>6000</v>
      </c>
      <c r="V19" s="314">
        <f>IF(Q19&lt;&gt;"",0%,"")</f>
        <v>0</v>
      </c>
      <c r="W19" s="315">
        <f>IF(Q19&lt;&gt;"",V19*U19,"")</f>
        <v>0</v>
      </c>
      <c r="X19" s="315">
        <f>IF(Q19&lt;&gt;"",W19+T19,"")</f>
        <v>0</v>
      </c>
      <c r="Y19" s="316">
        <f t="shared" si="1"/>
        <v>1407.4074074074069</v>
      </c>
      <c r="Z19" s="317">
        <f>IF(Q19&lt;&gt;"", IFERROR(U19/K19, 0), 0)</f>
        <v>1</v>
      </c>
      <c r="AA19" s="318">
        <f>IFERROR(T19/$T$21, "")</f>
        <v>0</v>
      </c>
      <c r="AB19" s="319">
        <f t="shared" si="2"/>
        <v>0</v>
      </c>
      <c r="AC19" s="320">
        <v>0</v>
      </c>
      <c r="AH19" s="321"/>
      <c r="AI19" s="321"/>
      <c r="AL19" s="321"/>
      <c r="AM19" s="321"/>
    </row>
    <row r="20" spans="1:39" ht="60" customHeight="1" x14ac:dyDescent="0.4">
      <c r="A20" s="271">
        <v>6</v>
      </c>
      <c r="B20" s="296" t="s">
        <v>122</v>
      </c>
      <c r="C20" s="297" t="s">
        <v>119</v>
      </c>
      <c r="D20" s="271" t="s">
        <v>112</v>
      </c>
      <c r="E20" s="271" t="s">
        <v>162</v>
      </c>
      <c r="F20" s="303" t="s">
        <v>155</v>
      </c>
      <c r="G20" s="322" t="s">
        <v>300</v>
      </c>
      <c r="H20" s="305">
        <v>1</v>
      </c>
      <c r="I20" s="305">
        <v>1</v>
      </c>
      <c r="J20" s="307">
        <v>6000</v>
      </c>
      <c r="K20" s="308">
        <f>IF(F20&lt;&gt;"",H20*I20*J20,"")</f>
        <v>6000</v>
      </c>
      <c r="L20" s="308">
        <f>IF(K20&lt;&gt;"",IF(D20="INTERNO",0,K20*$L$14),"")</f>
        <v>0</v>
      </c>
      <c r="M20" s="308">
        <f>IF(K20&lt;&gt;"",IF(E20="FAT.OGGI",SUM(K20:L20)*(1/(1-$M$14)-1),L20*(1/(1-$M$14)-1)),0)</f>
        <v>1407.4074074074069</v>
      </c>
      <c r="N20" s="309">
        <f>SUM(K20:M20)</f>
        <v>7407.4074074074069</v>
      </c>
      <c r="Q20" s="310">
        <f t="shared" si="0"/>
        <v>1</v>
      </c>
      <c r="R20" s="311">
        <f t="shared" si="0"/>
        <v>1</v>
      </c>
      <c r="S20" s="312">
        <v>5000</v>
      </c>
      <c r="T20" s="312">
        <v>20000</v>
      </c>
      <c r="U20" s="313">
        <f>IF(Q20&lt;&gt;"",K20-T20,"")</f>
        <v>-14000</v>
      </c>
      <c r="V20" s="314">
        <f>IF(Q20&lt;&gt;"",0%,"")</f>
        <v>0</v>
      </c>
      <c r="W20" s="315">
        <f>IF(Q20&lt;&gt;"",V20*U20,"")</f>
        <v>0</v>
      </c>
      <c r="X20" s="315">
        <f>IF(Q20&lt;&gt;"",W20+T20,"")</f>
        <v>20000</v>
      </c>
      <c r="Y20" s="316">
        <f t="shared" si="1"/>
        <v>21407.407407407409</v>
      </c>
      <c r="Z20" s="317">
        <f>IF(Q20&lt;&gt;"", IFERROR(U20/K20, 0), 0)</f>
        <v>-2.3333333333333335</v>
      </c>
      <c r="AA20" s="318">
        <f>IFERROR(T20/$T$21, "")</f>
        <v>0.76923076923076927</v>
      </c>
      <c r="AB20" s="319">
        <f t="shared" si="2"/>
        <v>0</v>
      </c>
      <c r="AC20" s="320">
        <f>10000+10000</f>
        <v>20000</v>
      </c>
      <c r="AD20" s="432" t="s">
        <v>333</v>
      </c>
      <c r="AH20" s="321"/>
      <c r="AI20" s="321"/>
      <c r="AL20" s="321"/>
      <c r="AM20" s="321"/>
    </row>
    <row r="21" spans="1:39" ht="35.1" customHeight="1" thickBot="1" x14ac:dyDescent="0.45">
      <c r="A21" s="271">
        <v>7</v>
      </c>
      <c r="B21" s="296"/>
      <c r="C21" s="297" t="s">
        <v>131</v>
      </c>
      <c r="D21" s="271"/>
      <c r="E21" s="271"/>
      <c r="F21" s="466" t="s">
        <v>132</v>
      </c>
      <c r="G21" s="467"/>
      <c r="H21" s="467"/>
      <c r="I21" s="467"/>
      <c r="J21" s="467"/>
      <c r="K21" s="323">
        <f>SUM(K17:K20)</f>
        <v>19000</v>
      </c>
      <c r="L21" s="323">
        <f>SUM(L17:L20)</f>
        <v>0</v>
      </c>
      <c r="M21" s="323">
        <f>SUM(M17:M20)</f>
        <v>4456.7901234567889</v>
      </c>
      <c r="N21" s="324">
        <f>SUM(N17:N20)</f>
        <v>23456.790123456791</v>
      </c>
      <c r="Q21" s="459" t="s">
        <v>132</v>
      </c>
      <c r="R21" s="460"/>
      <c r="S21" s="460"/>
      <c r="T21" s="325">
        <f>SUM(T17:T20)</f>
        <v>26000</v>
      </c>
      <c r="U21" s="326">
        <f>SUM(U17:U20)</f>
        <v>-7000</v>
      </c>
      <c r="V21" s="327"/>
      <c r="W21" s="328"/>
      <c r="X21" s="329">
        <f>SUM(X17:X20)</f>
        <v>26000</v>
      </c>
      <c r="Y21" s="330">
        <f t="shared" si="1"/>
        <v>30456.790123456791</v>
      </c>
      <c r="AB21" s="319"/>
      <c r="AC21" s="320"/>
    </row>
    <row r="22" spans="1:39" ht="35.1" customHeight="1" x14ac:dyDescent="0.4">
      <c r="A22" s="271">
        <v>8</v>
      </c>
      <c r="B22" s="296" t="s">
        <v>123</v>
      </c>
      <c r="C22" s="297" t="s">
        <v>113</v>
      </c>
      <c r="D22" s="271"/>
      <c r="E22" s="271"/>
      <c r="F22" s="456" t="s">
        <v>124</v>
      </c>
      <c r="G22" s="457"/>
      <c r="H22" s="457"/>
      <c r="I22" s="457"/>
      <c r="J22" s="457"/>
      <c r="K22" s="458"/>
      <c r="L22" s="298" t="s">
        <v>115</v>
      </c>
      <c r="M22" s="299" t="s">
        <v>116</v>
      </c>
      <c r="N22" s="300" t="s">
        <v>74</v>
      </c>
      <c r="Q22" s="459" t="str">
        <f>IF(F22&lt;&gt;"",F22,"")</f>
        <v>STAFF</v>
      </c>
      <c r="R22" s="460"/>
      <c r="S22" s="460"/>
      <c r="T22" s="460"/>
      <c r="U22" s="460"/>
      <c r="V22" s="460"/>
      <c r="W22" s="460"/>
      <c r="X22" s="460"/>
      <c r="Y22" s="461"/>
      <c r="Z22" s="301" t="s">
        <v>117</v>
      </c>
      <c r="AA22" s="302" t="s">
        <v>75</v>
      </c>
      <c r="AB22" s="319"/>
      <c r="AC22" s="320"/>
    </row>
    <row r="23" spans="1:39" ht="60" customHeight="1" x14ac:dyDescent="0.4">
      <c r="A23" s="271">
        <v>9</v>
      </c>
      <c r="B23" s="296" t="s">
        <v>125</v>
      </c>
      <c r="C23" s="297" t="s">
        <v>119</v>
      </c>
      <c r="D23" s="271" t="s">
        <v>163</v>
      </c>
      <c r="E23" s="271" t="s">
        <v>162</v>
      </c>
      <c r="F23" s="331" t="s">
        <v>177</v>
      </c>
      <c r="G23" s="332" t="s">
        <v>301</v>
      </c>
      <c r="H23" s="333">
        <v>1</v>
      </c>
      <c r="I23" s="333">
        <v>4</v>
      </c>
      <c r="J23" s="308">
        <v>850</v>
      </c>
      <c r="K23" s="308">
        <f t="shared" ref="K23:K29" si="3">IF(F23&lt;&gt;"",H23*I23*J23,"")</f>
        <v>3400</v>
      </c>
      <c r="L23" s="308">
        <f t="shared" ref="L23:L29" si="4">IF(K23&lt;&gt;"",IF(D23="INTERNO",0,K23*$L$14),"")</f>
        <v>272</v>
      </c>
      <c r="M23" s="308">
        <f t="shared" ref="M23:M29" si="5">IF(K23&lt;&gt;"",IF(E23="FAT.OGGI",SUM(K23:L23)*(1/(1-$M$14)-1),L23*(1/(1-$M$14)-1)),0)</f>
        <v>861.33333333333303</v>
      </c>
      <c r="N23" s="309">
        <f t="shared" ref="N23:N29" si="6">SUM(K23:M23)</f>
        <v>4533.333333333333</v>
      </c>
      <c r="Q23" s="310">
        <f t="shared" ref="Q23:R29" si="7">IF(H23&lt;&gt;"",H23,"")</f>
        <v>1</v>
      </c>
      <c r="R23" s="311">
        <v>1</v>
      </c>
      <c r="S23" s="312">
        <v>7000</v>
      </c>
      <c r="T23" s="312">
        <v>11726.96</v>
      </c>
      <c r="U23" s="313">
        <f t="shared" ref="U23:U29" si="8">IF(Q23&lt;&gt;"",K23-T23,"")</f>
        <v>-8326.9599999999991</v>
      </c>
      <c r="V23" s="314">
        <f t="shared" ref="V23:V29" si="9">IF(Q23&lt;&gt;"",0%,"")</f>
        <v>0</v>
      </c>
      <c r="W23" s="315">
        <f t="shared" ref="W23:W29" si="10">IF(Q23&lt;&gt;"",V23*U23,"")</f>
        <v>0</v>
      </c>
      <c r="X23" s="315">
        <f t="shared" ref="X23:X29" si="11">IF(Q23&lt;&gt;"",W23+T23,"")</f>
        <v>11726.96</v>
      </c>
      <c r="Y23" s="316">
        <f t="shared" ref="Y23:Y32" si="12">IF(Q23&lt;&gt;"",X23+M23,"")</f>
        <v>12588.293333333331</v>
      </c>
      <c r="Z23" s="317">
        <f t="shared" ref="Z23:Z29" si="13">IF(Q23&lt;&gt;"", IFERROR(U23/K23, 0), 0)</f>
        <v>-2.4491058823529408</v>
      </c>
      <c r="AA23" s="318">
        <f t="shared" ref="AA23:AA29" si="14">IFERROR(T23/$T$31, "")</f>
        <v>0.49982865881622845</v>
      </c>
      <c r="AB23" s="319">
        <f t="shared" si="2"/>
        <v>0</v>
      </c>
      <c r="AC23" s="320">
        <f>3326.96+8400</f>
        <v>11726.96</v>
      </c>
      <c r="AD23" s="432" t="s">
        <v>348</v>
      </c>
      <c r="AH23" s="321" t="s">
        <v>221</v>
      </c>
      <c r="AI23" s="321"/>
      <c r="AL23" s="321"/>
      <c r="AM23" s="321"/>
    </row>
    <row r="24" spans="1:39" ht="60" customHeight="1" x14ac:dyDescent="0.4">
      <c r="A24" s="271">
        <v>10</v>
      </c>
      <c r="B24" s="296" t="s">
        <v>126</v>
      </c>
      <c r="C24" s="297" t="s">
        <v>119</v>
      </c>
      <c r="D24" s="271" t="s">
        <v>163</v>
      </c>
      <c r="E24" s="271" t="s">
        <v>162</v>
      </c>
      <c r="F24" s="331" t="s">
        <v>156</v>
      </c>
      <c r="G24" s="334" t="s">
        <v>302</v>
      </c>
      <c r="H24" s="333">
        <v>1</v>
      </c>
      <c r="I24" s="333">
        <v>4</v>
      </c>
      <c r="J24" s="308">
        <v>800</v>
      </c>
      <c r="K24" s="308">
        <f t="shared" si="3"/>
        <v>3200</v>
      </c>
      <c r="L24" s="308">
        <f t="shared" si="4"/>
        <v>256</v>
      </c>
      <c r="M24" s="308">
        <f t="shared" si="5"/>
        <v>810.6666666666664</v>
      </c>
      <c r="N24" s="309">
        <f t="shared" si="6"/>
        <v>4266.6666666666661</v>
      </c>
      <c r="Q24" s="310">
        <f t="shared" si="7"/>
        <v>1</v>
      </c>
      <c r="R24" s="311">
        <f t="shared" si="7"/>
        <v>4</v>
      </c>
      <c r="S24" s="312">
        <v>600</v>
      </c>
      <c r="T24" s="312">
        <f t="shared" ref="T24:T29" si="15">IF(Q24&lt;&gt;"",Q24*R24*S24,"")</f>
        <v>2400</v>
      </c>
      <c r="U24" s="313">
        <f t="shared" si="8"/>
        <v>800</v>
      </c>
      <c r="V24" s="314">
        <f t="shared" si="9"/>
        <v>0</v>
      </c>
      <c r="W24" s="315">
        <f t="shared" si="10"/>
        <v>0</v>
      </c>
      <c r="X24" s="315">
        <f t="shared" si="11"/>
        <v>2400</v>
      </c>
      <c r="Y24" s="316">
        <f t="shared" si="12"/>
        <v>3210.6666666666665</v>
      </c>
      <c r="Z24" s="317">
        <f t="shared" si="13"/>
        <v>0.25</v>
      </c>
      <c r="AA24" s="318">
        <f t="shared" si="14"/>
        <v>0.1022932440426972</v>
      </c>
      <c r="AB24" s="319">
        <f t="shared" si="2"/>
        <v>0</v>
      </c>
      <c r="AC24" s="320">
        <v>2400</v>
      </c>
      <c r="AD24" s="432" t="s">
        <v>220</v>
      </c>
      <c r="AH24" s="321" t="s">
        <v>220</v>
      </c>
      <c r="AI24" s="321"/>
      <c r="AL24" s="321"/>
      <c r="AM24" s="321"/>
    </row>
    <row r="25" spans="1:39" ht="60" customHeight="1" x14ac:dyDescent="0.4">
      <c r="A25" s="271">
        <v>11</v>
      </c>
      <c r="B25" s="296" t="s">
        <v>127</v>
      </c>
      <c r="C25" s="297" t="s">
        <v>119</v>
      </c>
      <c r="D25" s="271" t="s">
        <v>163</v>
      </c>
      <c r="E25" s="271" t="s">
        <v>162</v>
      </c>
      <c r="F25" s="303" t="s">
        <v>197</v>
      </c>
      <c r="G25" s="304" t="s">
        <v>303</v>
      </c>
      <c r="H25" s="305">
        <v>1</v>
      </c>
      <c r="I25" s="305">
        <v>6</v>
      </c>
      <c r="J25" s="307">
        <v>900</v>
      </c>
      <c r="K25" s="308">
        <f t="shared" si="3"/>
        <v>5400</v>
      </c>
      <c r="L25" s="308">
        <f t="shared" si="4"/>
        <v>432</v>
      </c>
      <c r="M25" s="308">
        <f t="shared" si="5"/>
        <v>1367.9999999999995</v>
      </c>
      <c r="N25" s="309">
        <f t="shared" si="6"/>
        <v>7200</v>
      </c>
      <c r="Q25" s="310">
        <f t="shared" si="7"/>
        <v>1</v>
      </c>
      <c r="R25" s="311">
        <v>1</v>
      </c>
      <c r="S25" s="312">
        <v>700</v>
      </c>
      <c r="T25" s="312">
        <v>0</v>
      </c>
      <c r="U25" s="313">
        <f t="shared" si="8"/>
        <v>5400</v>
      </c>
      <c r="V25" s="314">
        <f t="shared" si="9"/>
        <v>0</v>
      </c>
      <c r="W25" s="315">
        <f t="shared" si="10"/>
        <v>0</v>
      </c>
      <c r="X25" s="315">
        <f t="shared" si="11"/>
        <v>0</v>
      </c>
      <c r="Y25" s="316">
        <f t="shared" si="12"/>
        <v>1367.9999999999995</v>
      </c>
      <c r="Z25" s="317">
        <f t="shared" si="13"/>
        <v>1</v>
      </c>
      <c r="AA25" s="318">
        <f t="shared" si="14"/>
        <v>0</v>
      </c>
      <c r="AB25" s="319">
        <f t="shared" si="2"/>
        <v>0</v>
      </c>
      <c r="AC25" s="320">
        <v>0</v>
      </c>
      <c r="AH25" s="321" t="s">
        <v>221</v>
      </c>
      <c r="AI25" s="321"/>
      <c r="AL25" s="321"/>
      <c r="AM25" s="321"/>
    </row>
    <row r="26" spans="1:39" ht="60" customHeight="1" x14ac:dyDescent="0.4">
      <c r="A26" s="271">
        <v>12</v>
      </c>
      <c r="B26" s="296" t="s">
        <v>128</v>
      </c>
      <c r="C26" s="297" t="s">
        <v>119</v>
      </c>
      <c r="D26" s="271" t="s">
        <v>163</v>
      </c>
      <c r="E26" s="271" t="s">
        <v>162</v>
      </c>
      <c r="F26" s="331" t="s">
        <v>174</v>
      </c>
      <c r="G26" s="332" t="s">
        <v>304</v>
      </c>
      <c r="H26" s="333">
        <v>2</v>
      </c>
      <c r="I26" s="333">
        <v>4</v>
      </c>
      <c r="J26" s="335">
        <v>800</v>
      </c>
      <c r="K26" s="308">
        <f t="shared" si="3"/>
        <v>6400</v>
      </c>
      <c r="L26" s="308">
        <f t="shared" si="4"/>
        <v>512</v>
      </c>
      <c r="M26" s="308">
        <f t="shared" si="5"/>
        <v>1621.3333333333328</v>
      </c>
      <c r="N26" s="309">
        <f t="shared" si="6"/>
        <v>8533.3333333333321</v>
      </c>
      <c r="Q26" s="310">
        <f t="shared" si="7"/>
        <v>2</v>
      </c>
      <c r="R26" s="311">
        <f t="shared" si="7"/>
        <v>4</v>
      </c>
      <c r="S26" s="312">
        <v>600</v>
      </c>
      <c r="T26" s="312">
        <f t="shared" si="15"/>
        <v>4800</v>
      </c>
      <c r="U26" s="313">
        <f t="shared" si="8"/>
        <v>1600</v>
      </c>
      <c r="V26" s="314">
        <f t="shared" si="9"/>
        <v>0</v>
      </c>
      <c r="W26" s="315">
        <f t="shared" si="10"/>
        <v>0</v>
      </c>
      <c r="X26" s="315">
        <f t="shared" si="11"/>
        <v>4800</v>
      </c>
      <c r="Y26" s="316">
        <f t="shared" si="12"/>
        <v>6421.333333333333</v>
      </c>
      <c r="Z26" s="317">
        <f t="shared" si="13"/>
        <v>0.25</v>
      </c>
      <c r="AA26" s="318">
        <f t="shared" si="14"/>
        <v>0.2045864880853944</v>
      </c>
      <c r="AB26" s="319">
        <f t="shared" si="2"/>
        <v>0</v>
      </c>
      <c r="AC26" s="320">
        <f>2400+2400</f>
        <v>4800</v>
      </c>
      <c r="AD26" s="432" t="s">
        <v>329</v>
      </c>
      <c r="AH26" s="321" t="s">
        <v>251</v>
      </c>
      <c r="AI26" s="321"/>
      <c r="AL26" s="321"/>
      <c r="AM26" s="321"/>
    </row>
    <row r="27" spans="1:39" ht="60" customHeight="1" x14ac:dyDescent="0.4">
      <c r="A27" s="271">
        <v>13</v>
      </c>
      <c r="B27" s="296" t="s">
        <v>129</v>
      </c>
      <c r="C27" s="297" t="s">
        <v>119</v>
      </c>
      <c r="D27" s="271" t="s">
        <v>163</v>
      </c>
      <c r="E27" s="336" t="s">
        <v>164</v>
      </c>
      <c r="F27" s="337" t="s">
        <v>305</v>
      </c>
      <c r="G27" s="338" t="s">
        <v>306</v>
      </c>
      <c r="H27" s="321">
        <v>0</v>
      </c>
      <c r="I27" s="321">
        <v>5</v>
      </c>
      <c r="J27" s="339">
        <v>400</v>
      </c>
      <c r="K27" s="340">
        <f t="shared" si="3"/>
        <v>0</v>
      </c>
      <c r="L27" s="340">
        <f t="shared" si="4"/>
        <v>0</v>
      </c>
      <c r="M27" s="340">
        <f t="shared" si="5"/>
        <v>0</v>
      </c>
      <c r="N27" s="341">
        <f t="shared" si="6"/>
        <v>0</v>
      </c>
      <c r="Q27" s="310">
        <f t="shared" si="7"/>
        <v>0</v>
      </c>
      <c r="R27" s="311">
        <f t="shared" si="7"/>
        <v>5</v>
      </c>
      <c r="S27" s="312">
        <v>400</v>
      </c>
      <c r="T27" s="312">
        <f t="shared" si="15"/>
        <v>0</v>
      </c>
      <c r="U27" s="313">
        <f t="shared" si="8"/>
        <v>0</v>
      </c>
      <c r="V27" s="314">
        <f t="shared" si="9"/>
        <v>0</v>
      </c>
      <c r="W27" s="315">
        <f t="shared" si="10"/>
        <v>0</v>
      </c>
      <c r="X27" s="315">
        <f t="shared" si="11"/>
        <v>0</v>
      </c>
      <c r="Y27" s="316">
        <f t="shared" si="12"/>
        <v>0</v>
      </c>
      <c r="Z27" s="317">
        <f t="shared" si="13"/>
        <v>0</v>
      </c>
      <c r="AA27" s="318">
        <f t="shared" si="14"/>
        <v>0</v>
      </c>
      <c r="AB27" s="319">
        <f t="shared" si="2"/>
        <v>0</v>
      </c>
      <c r="AC27" s="320">
        <v>0</v>
      </c>
      <c r="AH27" s="321" t="s">
        <v>167</v>
      </c>
      <c r="AI27" s="321"/>
      <c r="AL27" s="321"/>
      <c r="AM27" s="321"/>
    </row>
    <row r="28" spans="1:39" ht="60" customHeight="1" x14ac:dyDescent="0.4">
      <c r="A28" s="271">
        <v>14</v>
      </c>
      <c r="B28" s="296" t="s">
        <v>130</v>
      </c>
      <c r="C28" s="297" t="s">
        <v>119</v>
      </c>
      <c r="D28" s="271" t="s">
        <v>163</v>
      </c>
      <c r="E28" s="271" t="s">
        <v>162</v>
      </c>
      <c r="F28" s="331" t="s">
        <v>157</v>
      </c>
      <c r="G28" s="334" t="s">
        <v>307</v>
      </c>
      <c r="H28" s="342">
        <v>3</v>
      </c>
      <c r="I28" s="342">
        <v>4</v>
      </c>
      <c r="J28" s="308">
        <v>380</v>
      </c>
      <c r="K28" s="308">
        <f t="shared" si="3"/>
        <v>4560</v>
      </c>
      <c r="L28" s="308">
        <f t="shared" si="4"/>
        <v>364.8</v>
      </c>
      <c r="M28" s="308">
        <f t="shared" si="5"/>
        <v>1155.1999999999998</v>
      </c>
      <c r="N28" s="309">
        <f t="shared" si="6"/>
        <v>6080</v>
      </c>
      <c r="Q28" s="310">
        <f t="shared" si="7"/>
        <v>3</v>
      </c>
      <c r="R28" s="311">
        <f t="shared" si="7"/>
        <v>4</v>
      </c>
      <c r="S28" s="312">
        <v>285</v>
      </c>
      <c r="T28" s="312">
        <v>4535</v>
      </c>
      <c r="U28" s="313">
        <f t="shared" si="8"/>
        <v>25</v>
      </c>
      <c r="V28" s="314">
        <f t="shared" si="9"/>
        <v>0</v>
      </c>
      <c r="W28" s="315">
        <f t="shared" si="10"/>
        <v>0</v>
      </c>
      <c r="X28" s="315">
        <f t="shared" si="11"/>
        <v>4535</v>
      </c>
      <c r="Y28" s="316">
        <f t="shared" si="12"/>
        <v>5690.2</v>
      </c>
      <c r="Z28" s="317">
        <f t="shared" si="13"/>
        <v>5.4824561403508769E-3</v>
      </c>
      <c r="AA28" s="318">
        <f t="shared" si="14"/>
        <v>0.19329160905567994</v>
      </c>
      <c r="AB28" s="319">
        <f t="shared" si="2"/>
        <v>0</v>
      </c>
      <c r="AC28" s="320">
        <v>4535</v>
      </c>
      <c r="AD28" s="432" t="s">
        <v>343</v>
      </c>
      <c r="AH28" s="321" t="s">
        <v>222</v>
      </c>
      <c r="AI28" s="321"/>
      <c r="AL28" s="321"/>
      <c r="AM28" s="321"/>
    </row>
    <row r="29" spans="1:39" ht="60" customHeight="1" x14ac:dyDescent="0.4">
      <c r="A29" s="271">
        <v>15</v>
      </c>
      <c r="B29" s="296" t="s">
        <v>169</v>
      </c>
      <c r="C29" s="297" t="s">
        <v>119</v>
      </c>
      <c r="D29" s="271" t="s">
        <v>163</v>
      </c>
      <c r="E29" s="336" t="s">
        <v>164</v>
      </c>
      <c r="F29" s="331" t="s">
        <v>308</v>
      </c>
      <c r="G29" s="332" t="s">
        <v>309</v>
      </c>
      <c r="H29" s="333">
        <v>0</v>
      </c>
      <c r="I29" s="333">
        <v>4</v>
      </c>
      <c r="J29" s="340">
        <v>864</v>
      </c>
      <c r="K29" s="340">
        <f t="shared" si="3"/>
        <v>0</v>
      </c>
      <c r="L29" s="340">
        <f t="shared" si="4"/>
        <v>0</v>
      </c>
      <c r="M29" s="340">
        <f t="shared" si="5"/>
        <v>0</v>
      </c>
      <c r="N29" s="309">
        <f t="shared" si="6"/>
        <v>0</v>
      </c>
      <c r="Q29" s="343">
        <f t="shared" si="7"/>
        <v>0</v>
      </c>
      <c r="R29" s="344">
        <f t="shared" si="7"/>
        <v>4</v>
      </c>
      <c r="S29" s="345">
        <v>864</v>
      </c>
      <c r="T29" s="345">
        <f t="shared" si="15"/>
        <v>0</v>
      </c>
      <c r="U29" s="346">
        <f t="shared" si="8"/>
        <v>0</v>
      </c>
      <c r="V29" s="347">
        <f t="shared" si="9"/>
        <v>0</v>
      </c>
      <c r="W29" s="348">
        <f t="shared" si="10"/>
        <v>0</v>
      </c>
      <c r="X29" s="348">
        <f t="shared" si="11"/>
        <v>0</v>
      </c>
      <c r="Y29" s="349">
        <f t="shared" si="12"/>
        <v>0</v>
      </c>
      <c r="Z29" s="317">
        <f t="shared" si="13"/>
        <v>0</v>
      </c>
      <c r="AA29" s="318">
        <f t="shared" si="14"/>
        <v>0</v>
      </c>
      <c r="AB29" s="319">
        <f t="shared" si="2"/>
        <v>0</v>
      </c>
      <c r="AC29" s="320">
        <v>0</v>
      </c>
      <c r="AH29" s="321" t="s">
        <v>167</v>
      </c>
      <c r="AI29" s="321"/>
      <c r="AL29" s="321"/>
      <c r="AM29" s="321"/>
    </row>
    <row r="30" spans="1:39" ht="60" customHeight="1" x14ac:dyDescent="0.4">
      <c r="A30" s="350">
        <v>16</v>
      </c>
      <c r="B30" s="296" t="s">
        <v>176</v>
      </c>
      <c r="C30" s="351" t="s">
        <v>119</v>
      </c>
      <c r="D30" s="271" t="s">
        <v>163</v>
      </c>
      <c r="E30" s="336" t="s">
        <v>164</v>
      </c>
      <c r="F30" s="331" t="s">
        <v>310</v>
      </c>
      <c r="G30" s="332" t="s">
        <v>311</v>
      </c>
      <c r="H30" s="333">
        <v>0</v>
      </c>
      <c r="I30" s="333">
        <v>4</v>
      </c>
      <c r="J30" s="340">
        <v>864</v>
      </c>
      <c r="K30" s="340">
        <f t="shared" ref="K30" si="16">IF(F30&lt;&gt;"",H30*I30*J30,"")</f>
        <v>0</v>
      </c>
      <c r="L30" s="340">
        <f t="shared" ref="L30" si="17">IF(K30&lt;&gt;"",IF(D30="INTERNO",0,K30*$L$14),"")</f>
        <v>0</v>
      </c>
      <c r="M30" s="340">
        <f t="shared" ref="M30" si="18">IF(K30&lt;&gt;"",IF(E30="FAT.OGGI",SUM(K30:L30)*(1/(1-$M$14)-1),L30*(1/(1-$M$14)-1)),0)</f>
        <v>0</v>
      </c>
      <c r="N30" s="309">
        <f t="shared" ref="N30" si="19">SUM(K30:M30)</f>
        <v>0</v>
      </c>
      <c r="Q30" s="352">
        <f>IF(H30&lt;&gt;"",H30,"")</f>
        <v>0</v>
      </c>
      <c r="R30" s="352">
        <f>IF(I30&lt;&gt;"",I30,"")</f>
        <v>4</v>
      </c>
      <c r="S30" s="353">
        <v>864</v>
      </c>
      <c r="T30" s="353">
        <v>4320</v>
      </c>
      <c r="U30" s="354">
        <f>IF(Q30&lt;&gt;"",K30-T30,"")</f>
        <v>-4320</v>
      </c>
      <c r="V30" s="355">
        <f>IF(Q30&lt;&gt;"",0%,"")</f>
        <v>0</v>
      </c>
      <c r="W30" s="356">
        <f>IF(Q30&lt;&gt;"",V30*U30,"")</f>
        <v>0</v>
      </c>
      <c r="X30" s="356">
        <f>IF(Q30&lt;&gt;"",W30+T30,"")</f>
        <v>4320</v>
      </c>
      <c r="Y30" s="315">
        <f>IF(Q30&lt;&gt;"",X30+M30,"")</f>
        <v>4320</v>
      </c>
      <c r="Z30" s="318">
        <f>IF(Q30&lt;&gt;"", IFERROR(U30/K30, 0), 0)</f>
        <v>0</v>
      </c>
      <c r="AA30" s="357"/>
      <c r="AB30" s="319">
        <f t="shared" si="2"/>
        <v>0</v>
      </c>
      <c r="AC30" s="320">
        <v>4320</v>
      </c>
      <c r="AD30" s="432" t="s">
        <v>331</v>
      </c>
      <c r="AL30" s="247"/>
      <c r="AM30" s="247"/>
    </row>
    <row r="31" spans="1:39" ht="35.1" customHeight="1" thickBot="1" x14ac:dyDescent="0.45">
      <c r="A31" s="358">
        <v>17</v>
      </c>
      <c r="B31" s="296"/>
      <c r="C31" s="359" t="s">
        <v>131</v>
      </c>
      <c r="D31" s="358"/>
      <c r="E31" s="358"/>
      <c r="F31" s="503" t="s">
        <v>133</v>
      </c>
      <c r="G31" s="504"/>
      <c r="H31" s="504"/>
      <c r="I31" s="504"/>
      <c r="J31" s="504"/>
      <c r="K31" s="360">
        <f>SUM(K23:K29)</f>
        <v>22960</v>
      </c>
      <c r="L31" s="360">
        <f>SUM(L23:L29)</f>
        <v>1836.8</v>
      </c>
      <c r="M31" s="360">
        <f>SUM(M23:M29)</f>
        <v>5816.5333333333319</v>
      </c>
      <c r="N31" s="361">
        <f>SUM(N23:N29)</f>
        <v>30613.333333333332</v>
      </c>
      <c r="Q31" s="505" t="s">
        <v>133</v>
      </c>
      <c r="R31" s="506"/>
      <c r="S31" s="506"/>
      <c r="T31" s="362">
        <f>SUM(T23:T29)</f>
        <v>23461.96</v>
      </c>
      <c r="U31" s="363">
        <f>SUM(U23:U29)</f>
        <v>-501.95999999999913</v>
      </c>
      <c r="V31" s="364"/>
      <c r="W31" s="365"/>
      <c r="X31" s="366">
        <f>SUM(X23:X29)</f>
        <v>23461.96</v>
      </c>
      <c r="Y31" s="367">
        <f t="shared" si="12"/>
        <v>29278.493333333332</v>
      </c>
      <c r="AB31" s="319"/>
      <c r="AC31" s="320"/>
    </row>
    <row r="32" spans="1:39" ht="35.1" customHeight="1" thickBot="1" x14ac:dyDescent="0.45">
      <c r="A32" s="271">
        <v>18</v>
      </c>
      <c r="B32" s="296"/>
      <c r="C32" s="297" t="s">
        <v>134</v>
      </c>
      <c r="D32" s="271"/>
      <c r="E32" s="271"/>
      <c r="F32" s="474" t="s">
        <v>135</v>
      </c>
      <c r="G32" s="475"/>
      <c r="H32" s="475"/>
      <c r="I32" s="475"/>
      <c r="J32" s="475"/>
      <c r="K32" s="368">
        <f>SUM(K17:K20)+SUM(K23:K29)</f>
        <v>41960</v>
      </c>
      <c r="L32" s="368">
        <f>SUM(L17:L20)+SUM(L23:L29)</f>
        <v>1836.8</v>
      </c>
      <c r="M32" s="368">
        <f>SUM(M17:M20)+SUM(M23:M29)</f>
        <v>10273.32345679012</v>
      </c>
      <c r="N32" s="369">
        <f>SUM(N17:N20)+SUM(N23:N30)</f>
        <v>54070.123456790127</v>
      </c>
      <c r="Q32" s="476" t="s">
        <v>135</v>
      </c>
      <c r="R32" s="477"/>
      <c r="S32" s="477"/>
      <c r="T32" s="370">
        <f>SUM(T17:T20)+SUM(T23:T29)</f>
        <v>49461.96</v>
      </c>
      <c r="U32" s="371">
        <f>SUM(U17:U20)+SUM(U23:U29)</f>
        <v>-7501.9599999999991</v>
      </c>
      <c r="V32" s="372"/>
      <c r="W32" s="373"/>
      <c r="X32" s="374">
        <f>SUM(X17:X20)+SUM(X23:X29)</f>
        <v>49461.96</v>
      </c>
      <c r="Y32" s="375">
        <f t="shared" si="12"/>
        <v>59735.283456790115</v>
      </c>
      <c r="AB32" s="319"/>
      <c r="AC32" s="320"/>
    </row>
    <row r="33" spans="1:39" ht="35.1" customHeight="1" thickBot="1" x14ac:dyDescent="0.45">
      <c r="A33" s="271">
        <v>19</v>
      </c>
      <c r="B33" s="296">
        <v>2</v>
      </c>
      <c r="C33" s="297" t="s">
        <v>111</v>
      </c>
      <c r="D33" s="271"/>
      <c r="E33" s="271"/>
      <c r="F33" s="450" t="s">
        <v>179</v>
      </c>
      <c r="G33" s="451"/>
      <c r="H33" s="451"/>
      <c r="I33" s="451"/>
      <c r="J33" s="451"/>
      <c r="K33" s="451"/>
      <c r="L33" s="451"/>
      <c r="M33" s="451"/>
      <c r="N33" s="452"/>
      <c r="Q33" s="453" t="str">
        <f>IF(F33&lt;&gt;"",F33,"")</f>
        <v>CENOGRAFIA</v>
      </c>
      <c r="R33" s="454"/>
      <c r="S33" s="454"/>
      <c r="T33" s="454"/>
      <c r="U33" s="454"/>
      <c r="V33" s="454"/>
      <c r="W33" s="454"/>
      <c r="X33" s="454"/>
      <c r="Y33" s="455"/>
      <c r="AB33" s="319"/>
      <c r="AC33" s="320"/>
    </row>
    <row r="34" spans="1:39" ht="35.1" customHeight="1" x14ac:dyDescent="0.4">
      <c r="A34" s="271">
        <v>20</v>
      </c>
      <c r="B34" s="296" t="s">
        <v>136</v>
      </c>
      <c r="C34" s="297" t="s">
        <v>113</v>
      </c>
      <c r="D34" s="271"/>
      <c r="E34" s="271"/>
      <c r="F34" s="456" t="s">
        <v>179</v>
      </c>
      <c r="G34" s="457"/>
      <c r="H34" s="457"/>
      <c r="I34" s="457"/>
      <c r="J34" s="457"/>
      <c r="K34" s="458"/>
      <c r="L34" s="298" t="s">
        <v>115</v>
      </c>
      <c r="M34" s="299" t="s">
        <v>116</v>
      </c>
      <c r="N34" s="300" t="s">
        <v>74</v>
      </c>
      <c r="P34" s="376">
        <f>S35-13111.11</f>
        <v>285308.41000000003</v>
      </c>
      <c r="Q34" s="459" t="str">
        <f>IF(F34&lt;&gt;"",F34,"")</f>
        <v>CENOGRAFIA</v>
      </c>
      <c r="R34" s="460"/>
      <c r="S34" s="460"/>
      <c r="T34" s="460"/>
      <c r="U34" s="460"/>
      <c r="V34" s="460"/>
      <c r="W34" s="460"/>
      <c r="X34" s="460"/>
      <c r="Y34" s="461"/>
      <c r="Z34" s="301" t="s">
        <v>117</v>
      </c>
      <c r="AA34" s="302" t="s">
        <v>75</v>
      </c>
      <c r="AB34" s="319"/>
      <c r="AC34" s="320"/>
    </row>
    <row r="35" spans="1:39" ht="60" customHeight="1" x14ac:dyDescent="0.4">
      <c r="A35" s="271">
        <v>21</v>
      </c>
      <c r="B35" s="296" t="s">
        <v>137</v>
      </c>
      <c r="C35" s="297" t="s">
        <v>119</v>
      </c>
      <c r="D35" s="271" t="s">
        <v>163</v>
      </c>
      <c r="E35" s="336" t="s">
        <v>164</v>
      </c>
      <c r="F35" s="377" t="s">
        <v>212</v>
      </c>
      <c r="G35" s="322" t="s">
        <v>312</v>
      </c>
      <c r="H35" s="306">
        <v>1</v>
      </c>
      <c r="I35" s="306">
        <v>1</v>
      </c>
      <c r="J35" s="378">
        <v>302960.57</v>
      </c>
      <c r="K35" s="308">
        <f t="shared" ref="K35:K37" si="20">IF(F35&lt;&gt;"",H35*I35*J35,"")</f>
        <v>302960.57</v>
      </c>
      <c r="L35" s="308">
        <f t="shared" ref="L35:L37" si="21">IF(K35&lt;&gt;"",IF(D35="INTERNO",0,K35*$L$14),"")</f>
        <v>24236.845600000001</v>
      </c>
      <c r="M35" s="308">
        <f t="shared" ref="M35:M37" si="22">IF(K35&lt;&gt;"",IF(E35="FAT.OGGI",SUM(K35:L35)*(1/(1-$M$14)-1),L35*(1/(1-$M$14)-1)),0)</f>
        <v>5685.1860049382703</v>
      </c>
      <c r="N35" s="309">
        <f>SUM(K35:M35)</f>
        <v>332882.60160493827</v>
      </c>
      <c r="P35" s="376">
        <f>S35+10%*S35</f>
        <v>328261.47200000001</v>
      </c>
      <c r="Q35" s="343">
        <v>1</v>
      </c>
      <c r="R35" s="344">
        <v>1</v>
      </c>
      <c r="S35" s="345">
        <v>298419.52</v>
      </c>
      <c r="T35" s="345">
        <v>333573.65000000002</v>
      </c>
      <c r="U35" s="346">
        <f t="shared" ref="U35" si="23">IF(Q35&lt;&gt;"",K35-T35,"")</f>
        <v>-30613.080000000016</v>
      </c>
      <c r="V35" s="347">
        <f t="shared" ref="V35" si="24">IF(Q35&lt;&gt;"",0%,"")</f>
        <v>0</v>
      </c>
      <c r="W35" s="348">
        <f t="shared" ref="W35" si="25">IF(Q35&lt;&gt;"",V35*U35,"")</f>
        <v>0</v>
      </c>
      <c r="X35" s="348">
        <f t="shared" ref="X35" si="26">IF(Q35&lt;&gt;"",W35+T35,"")</f>
        <v>333573.65000000002</v>
      </c>
      <c r="Y35" s="349">
        <f t="shared" ref="Y35" si="27">IF(Q35&lt;&gt;"",X35+M35,"")</f>
        <v>339258.83600493829</v>
      </c>
      <c r="Z35" s="317">
        <f t="shared" ref="Z35" si="28">IF(Q35&lt;&gt;"", IFERROR(U35/K35, 0), 0)</f>
        <v>-0.10104641670036472</v>
      </c>
      <c r="AA35" s="318">
        <f>IFERROR(T35/$T$38, "")</f>
        <v>1</v>
      </c>
      <c r="AB35" s="319">
        <f t="shared" si="2"/>
        <v>0</v>
      </c>
      <c r="AC35" s="320">
        <f>155765.31+161587.18+10043+6178.16</f>
        <v>333573.64999999997</v>
      </c>
      <c r="AD35" s="432" t="s">
        <v>267</v>
      </c>
      <c r="AH35" s="321" t="s">
        <v>225</v>
      </c>
      <c r="AI35" s="321"/>
      <c r="AK35" s="379">
        <v>155765.31</v>
      </c>
      <c r="AL35" s="321"/>
      <c r="AM35" s="321" t="s">
        <v>172</v>
      </c>
    </row>
    <row r="36" spans="1:39" ht="60" customHeight="1" x14ac:dyDescent="0.4">
      <c r="A36" s="350">
        <v>22</v>
      </c>
      <c r="B36" s="296" t="s">
        <v>165</v>
      </c>
      <c r="C36" s="351" t="s">
        <v>119</v>
      </c>
      <c r="D36" s="271" t="s">
        <v>163</v>
      </c>
      <c r="E36" s="336" t="s">
        <v>164</v>
      </c>
      <c r="F36" s="380" t="s">
        <v>214</v>
      </c>
      <c r="G36" s="381" t="s">
        <v>313</v>
      </c>
      <c r="H36" s="382">
        <v>1</v>
      </c>
      <c r="I36" s="382">
        <v>1</v>
      </c>
      <c r="J36" s="339">
        <v>25300.9</v>
      </c>
      <c r="K36" s="383">
        <f>IF(F36&lt;&gt;"",H36*I36*J36,"")</f>
        <v>25300.9</v>
      </c>
      <c r="L36" s="383">
        <f>IF(K36&lt;&gt;"",IF(D36="INTERNO",0,K36*$L$14),"")</f>
        <v>2024.0720000000001</v>
      </c>
      <c r="M36" s="383">
        <f>IF(K36&lt;&gt;"",IF(E36="FAT.OGGI",SUM(K36:L36)*(1/(1-$M$14)-1),L36*(1/(1-$M$14)-1)),0)</f>
        <v>474.7823209876542</v>
      </c>
      <c r="N36" s="383">
        <f>SUM(K36:M36)</f>
        <v>27799.754320987657</v>
      </c>
      <c r="P36" s="376">
        <f>P35-25300.9</f>
        <v>302960.57199999999</v>
      </c>
      <c r="Q36" s="352">
        <f>IF(H36&lt;&gt;"",H36,"")</f>
        <v>1</v>
      </c>
      <c r="R36" s="352">
        <f>IF(I36&lt;&gt;"",I36,"")</f>
        <v>1</v>
      </c>
      <c r="S36" s="353">
        <v>18259.11</v>
      </c>
      <c r="T36" s="353">
        <v>0</v>
      </c>
      <c r="U36" s="354">
        <f>IF(Q36&lt;&gt;"",K36-T36,"")</f>
        <v>25300.9</v>
      </c>
      <c r="V36" s="355">
        <f>IF(Q36&lt;&gt;"",0%,"")</f>
        <v>0</v>
      </c>
      <c r="W36" s="356">
        <f>IF(Q36&lt;&gt;"",V36*U36,"")</f>
        <v>0</v>
      </c>
      <c r="X36" s="356">
        <f>IF(Q36&lt;&gt;"",W36+T36,"")</f>
        <v>0</v>
      </c>
      <c r="Y36" s="315">
        <f>IF(Q36&lt;&gt;"",X36+M36,"")</f>
        <v>474.7823209876542</v>
      </c>
      <c r="Z36" s="318">
        <f>IF(Q36&lt;&gt;"", IFERROR(U36/K36, 0), 0)</f>
        <v>1</v>
      </c>
      <c r="AA36" s="318"/>
      <c r="AB36" s="319">
        <f t="shared" si="2"/>
        <v>0</v>
      </c>
      <c r="AC36" s="320">
        <v>0</v>
      </c>
      <c r="AH36" s="321" t="s">
        <v>225</v>
      </c>
      <c r="AI36" s="321"/>
      <c r="AL36" s="321"/>
      <c r="AM36" s="321"/>
    </row>
    <row r="37" spans="1:39" ht="60" customHeight="1" x14ac:dyDescent="0.4">
      <c r="A37" s="358">
        <v>23</v>
      </c>
      <c r="B37" s="296" t="s">
        <v>182</v>
      </c>
      <c r="C37" s="359" t="s">
        <v>119</v>
      </c>
      <c r="D37" s="358" t="s">
        <v>163</v>
      </c>
      <c r="E37" s="384" t="s">
        <v>164</v>
      </c>
      <c r="F37" s="385" t="s">
        <v>213</v>
      </c>
      <c r="G37" s="386" t="s">
        <v>314</v>
      </c>
      <c r="H37" s="387">
        <v>1</v>
      </c>
      <c r="I37" s="387">
        <v>1</v>
      </c>
      <c r="J37" s="388">
        <v>13510</v>
      </c>
      <c r="K37" s="389">
        <f t="shared" si="20"/>
        <v>13510</v>
      </c>
      <c r="L37" s="389">
        <f t="shared" si="21"/>
        <v>1080.8</v>
      </c>
      <c r="M37" s="389">
        <f t="shared" si="22"/>
        <v>253.52098765432089</v>
      </c>
      <c r="N37" s="390">
        <f t="shared" ref="N37" si="29">SUM(K37:M37)</f>
        <v>14844.320987654321</v>
      </c>
      <c r="P37" s="376">
        <f>279424.17-J35</f>
        <v>-23536.400000000023</v>
      </c>
      <c r="Q37" s="391">
        <v>1</v>
      </c>
      <c r="R37" s="392">
        <v>1</v>
      </c>
      <c r="S37" s="393">
        <v>13080</v>
      </c>
      <c r="T37" s="393">
        <v>0</v>
      </c>
      <c r="U37" s="394">
        <f t="shared" ref="U37" si="30">IF(Q37&lt;&gt;"",K37-T37,"")</f>
        <v>13510</v>
      </c>
      <c r="V37" s="395">
        <f t="shared" ref="V37" si="31">IF(Q37&lt;&gt;"",0%,"")</f>
        <v>0</v>
      </c>
      <c r="W37" s="396">
        <f t="shared" ref="W37" si="32">IF(Q37&lt;&gt;"",V37*U37,"")</f>
        <v>0</v>
      </c>
      <c r="X37" s="396">
        <f t="shared" ref="X37" si="33">IF(Q37&lt;&gt;"",W37+T37,"")</f>
        <v>0</v>
      </c>
      <c r="Y37" s="397">
        <f t="shared" ref="Y37:Y39" si="34">IF(Q37&lt;&gt;"",X37+M37,"")</f>
        <v>253.52098765432089</v>
      </c>
      <c r="Z37" s="317">
        <f t="shared" ref="Z37" si="35">IF(Q37&lt;&gt;"", IFERROR(U37/K37, 0), 0)</f>
        <v>1</v>
      </c>
      <c r="AA37" s="318">
        <f>IFERROR(T37/$T$38, "")</f>
        <v>0</v>
      </c>
      <c r="AB37" s="319">
        <f t="shared" si="2"/>
        <v>0</v>
      </c>
      <c r="AC37" s="320">
        <v>0</v>
      </c>
      <c r="AH37" s="321" t="s">
        <v>225</v>
      </c>
      <c r="AI37" s="321"/>
      <c r="AL37" s="321"/>
      <c r="AM37" s="321"/>
    </row>
    <row r="38" spans="1:39" ht="35.1" customHeight="1" thickBot="1" x14ac:dyDescent="0.45">
      <c r="A38" s="271">
        <v>24</v>
      </c>
      <c r="B38" s="296"/>
      <c r="C38" s="297" t="s">
        <v>131</v>
      </c>
      <c r="D38" s="271"/>
      <c r="E38" s="271"/>
      <c r="F38" s="478" t="s">
        <v>138</v>
      </c>
      <c r="G38" s="479"/>
      <c r="H38" s="479"/>
      <c r="I38" s="479"/>
      <c r="J38" s="479"/>
      <c r="K38" s="360">
        <f>SUM(K35:K37)</f>
        <v>341771.47000000003</v>
      </c>
      <c r="L38" s="360">
        <f>SUM(L35:L37)</f>
        <v>27341.7176</v>
      </c>
      <c r="M38" s="360">
        <f>SUM(M35:M37)</f>
        <v>6413.4893135802458</v>
      </c>
      <c r="N38" s="361">
        <f>SUM(N35:N37)</f>
        <v>375526.67691358028</v>
      </c>
      <c r="Q38" s="459" t="s">
        <v>139</v>
      </c>
      <c r="R38" s="460"/>
      <c r="S38" s="460"/>
      <c r="T38" s="325">
        <f>SUM(T35:T37)</f>
        <v>333573.65000000002</v>
      </c>
      <c r="U38" s="326">
        <f>SUM(U35:U37)</f>
        <v>8197.8199999999852</v>
      </c>
      <c r="V38" s="327"/>
      <c r="W38" s="328"/>
      <c r="X38" s="329">
        <f>SUM(X35:X37)</f>
        <v>333573.65000000002</v>
      </c>
      <c r="Y38" s="330">
        <f t="shared" si="34"/>
        <v>339987.13931358029</v>
      </c>
      <c r="AB38" s="319"/>
      <c r="AC38" s="320"/>
    </row>
    <row r="39" spans="1:39" ht="35.1" customHeight="1" thickBot="1" x14ac:dyDescent="0.45">
      <c r="A39" s="271">
        <v>25</v>
      </c>
      <c r="B39" s="296"/>
      <c r="C39" s="297" t="s">
        <v>134</v>
      </c>
      <c r="D39" s="271"/>
      <c r="E39" s="271"/>
      <c r="F39" s="474" t="s">
        <v>138</v>
      </c>
      <c r="G39" s="475"/>
      <c r="H39" s="475"/>
      <c r="I39" s="475"/>
      <c r="J39" s="475"/>
      <c r="K39" s="368">
        <f>SUM(K35:K37)</f>
        <v>341771.47000000003</v>
      </c>
      <c r="L39" s="368">
        <f>SUM(L35:L37)</f>
        <v>27341.7176</v>
      </c>
      <c r="M39" s="368">
        <f>SUM(M35:M37)</f>
        <v>6413.4893135802458</v>
      </c>
      <c r="N39" s="369">
        <f>SUM(N35:N37)</f>
        <v>375526.67691358028</v>
      </c>
      <c r="Q39" s="476" t="s">
        <v>139</v>
      </c>
      <c r="R39" s="477"/>
      <c r="S39" s="477"/>
      <c r="T39" s="370">
        <f>SUM(T35:T37)</f>
        <v>333573.65000000002</v>
      </c>
      <c r="U39" s="371">
        <f>SUM(U35:U37)</f>
        <v>8197.8199999999852</v>
      </c>
      <c r="V39" s="372"/>
      <c r="W39" s="373"/>
      <c r="X39" s="374">
        <f>SUM(X35:X37)</f>
        <v>333573.65000000002</v>
      </c>
      <c r="Y39" s="375">
        <f t="shared" si="34"/>
        <v>339987.13931358029</v>
      </c>
      <c r="AB39" s="319"/>
      <c r="AC39" s="320"/>
    </row>
    <row r="40" spans="1:39" ht="35.1" customHeight="1" thickBot="1" x14ac:dyDescent="0.45">
      <c r="A40" s="271">
        <v>26</v>
      </c>
      <c r="B40" s="296">
        <v>3</v>
      </c>
      <c r="C40" s="297" t="s">
        <v>111</v>
      </c>
      <c r="D40" s="271"/>
      <c r="E40" s="271"/>
      <c r="F40" s="450" t="s">
        <v>143</v>
      </c>
      <c r="G40" s="451"/>
      <c r="H40" s="451"/>
      <c r="I40" s="451"/>
      <c r="J40" s="451"/>
      <c r="K40" s="451"/>
      <c r="L40" s="451"/>
      <c r="M40" s="451"/>
      <c r="N40" s="452"/>
      <c r="Q40" s="453" t="str">
        <f>IF(F40&lt;&gt;"",F40,"")</f>
        <v>CUSTOS OPERACIONAIS</v>
      </c>
      <c r="R40" s="454"/>
      <c r="S40" s="454"/>
      <c r="T40" s="454"/>
      <c r="U40" s="454"/>
      <c r="V40" s="454"/>
      <c r="W40" s="454"/>
      <c r="X40" s="454"/>
      <c r="Y40" s="455"/>
      <c r="AB40" s="319"/>
      <c r="AC40" s="320"/>
      <c r="AH40" s="244"/>
      <c r="AI40" s="244"/>
    </row>
    <row r="41" spans="1:39" ht="35.1" customHeight="1" x14ac:dyDescent="0.4">
      <c r="A41" s="271">
        <v>27</v>
      </c>
      <c r="B41" s="296" t="s">
        <v>140</v>
      </c>
      <c r="C41" s="297" t="s">
        <v>113</v>
      </c>
      <c r="D41" s="271"/>
      <c r="E41" s="271"/>
      <c r="F41" s="456" t="s">
        <v>146</v>
      </c>
      <c r="G41" s="457"/>
      <c r="H41" s="457"/>
      <c r="I41" s="457"/>
      <c r="J41" s="457"/>
      <c r="K41" s="458"/>
      <c r="L41" s="298" t="s">
        <v>115</v>
      </c>
      <c r="M41" s="299" t="s">
        <v>116</v>
      </c>
      <c r="N41" s="300" t="s">
        <v>74</v>
      </c>
      <c r="Q41" s="459" t="str">
        <f>IF(F41&lt;&gt;"",F41,"")</f>
        <v>TAXAS E DECUMENTAÇÕES</v>
      </c>
      <c r="R41" s="460"/>
      <c r="S41" s="460"/>
      <c r="T41" s="460"/>
      <c r="U41" s="460"/>
      <c r="V41" s="460"/>
      <c r="W41" s="460"/>
      <c r="X41" s="460"/>
      <c r="Y41" s="461"/>
      <c r="Z41" s="301" t="s">
        <v>117</v>
      </c>
      <c r="AA41" s="302" t="s">
        <v>75</v>
      </c>
      <c r="AB41" s="319"/>
      <c r="AC41" s="320"/>
      <c r="AH41" s="244"/>
      <c r="AI41" s="244"/>
    </row>
    <row r="42" spans="1:39" ht="60" customHeight="1" x14ac:dyDescent="0.4">
      <c r="A42" s="271">
        <v>28</v>
      </c>
      <c r="B42" s="296" t="s">
        <v>141</v>
      </c>
      <c r="C42" s="297" t="s">
        <v>119</v>
      </c>
      <c r="D42" s="271" t="s">
        <v>163</v>
      </c>
      <c r="E42" s="336" t="s">
        <v>164</v>
      </c>
      <c r="F42" s="331" t="s">
        <v>198</v>
      </c>
      <c r="G42" s="332" t="s">
        <v>315</v>
      </c>
      <c r="H42" s="333">
        <v>30</v>
      </c>
      <c r="I42" s="333">
        <v>1</v>
      </c>
      <c r="J42" s="308">
        <v>35</v>
      </c>
      <c r="K42" s="308">
        <f>IF(F42&lt;&gt;"",H42*I42*J42,"")</f>
        <v>1050</v>
      </c>
      <c r="L42" s="308">
        <f>IF(K42&lt;&gt;"",IF(D42="INTERNO",0,K42*$L$14),"")</f>
        <v>84</v>
      </c>
      <c r="M42" s="308">
        <f>IF(K42&lt;&gt;"",IF(E42="FAT.OGGI",SUM(K42:L42)*(1/(1-$M$14)-1),L42*(1/(1-$M$14)-1)),0)</f>
        <v>19.703703703703699</v>
      </c>
      <c r="N42" s="309">
        <f>SUM(K42:M42)</f>
        <v>1153.7037037037037</v>
      </c>
      <c r="Q42" s="310">
        <f t="shared" ref="Q42:R46" si="36">IF(H42&lt;&gt;"",H42,"")</f>
        <v>30</v>
      </c>
      <c r="R42" s="311">
        <f t="shared" si="36"/>
        <v>1</v>
      </c>
      <c r="S42" s="312">
        <v>35</v>
      </c>
      <c r="T42" s="312">
        <v>0</v>
      </c>
      <c r="U42" s="313">
        <f>IF(Q42&lt;&gt;"",K42-T42,"")</f>
        <v>1050</v>
      </c>
      <c r="V42" s="314">
        <f>IF(Q42&lt;&gt;"",0%,"")</f>
        <v>0</v>
      </c>
      <c r="W42" s="315">
        <f>IF(Q42&lt;&gt;"",V42*U42,"")</f>
        <v>0</v>
      </c>
      <c r="X42" s="315">
        <f>IF(Q42&lt;&gt;"",W42+T42,"")</f>
        <v>0</v>
      </c>
      <c r="Y42" s="316">
        <f t="shared" ref="Y42:Y47" si="37">IF(Q42&lt;&gt;"",X42+M42,"")</f>
        <v>19.703703703703699</v>
      </c>
      <c r="Z42" s="317">
        <f>IF(Q42&lt;&gt;"", IFERROR(U42/K42, 0), 0)</f>
        <v>1</v>
      </c>
      <c r="AA42" s="318">
        <f>IFERROR(T42/$T$47, "")</f>
        <v>0</v>
      </c>
      <c r="AB42" s="319">
        <f t="shared" si="2"/>
        <v>0</v>
      </c>
      <c r="AC42" s="320">
        <v>0</v>
      </c>
      <c r="AH42" s="321"/>
      <c r="AI42" s="321"/>
      <c r="AL42" s="321"/>
      <c r="AM42" s="321"/>
    </row>
    <row r="43" spans="1:39" ht="60" customHeight="1" x14ac:dyDescent="0.4">
      <c r="A43" s="271">
        <v>29</v>
      </c>
      <c r="B43" s="296" t="s">
        <v>201</v>
      </c>
      <c r="C43" s="297" t="s">
        <v>119</v>
      </c>
      <c r="D43" s="271" t="s">
        <v>163</v>
      </c>
      <c r="E43" s="336" t="s">
        <v>164</v>
      </c>
      <c r="F43" s="331" t="s">
        <v>199</v>
      </c>
      <c r="G43" s="332" t="s">
        <v>316</v>
      </c>
      <c r="H43" s="333">
        <v>15</v>
      </c>
      <c r="I43" s="333">
        <v>1</v>
      </c>
      <c r="J43" s="308">
        <v>400</v>
      </c>
      <c r="K43" s="308">
        <f>IF(F43&lt;&gt;"",H43*I43*J43,"")</f>
        <v>6000</v>
      </c>
      <c r="L43" s="308">
        <f>IF(K43&lt;&gt;"",IF(D43="INTERNO",0,K43*$L$14),"")</f>
        <v>480</v>
      </c>
      <c r="M43" s="308">
        <f>IF(K43&lt;&gt;"",IF(E43="FAT.OGGI",SUM(K43:L43)*(1/(1-$M$14)-1),L43*(1/(1-$M$14)-1)),0)</f>
        <v>112.59259259259255</v>
      </c>
      <c r="N43" s="309">
        <f>SUM(K43:M43)</f>
        <v>6592.5925925925922</v>
      </c>
      <c r="Q43" s="310">
        <v>1</v>
      </c>
      <c r="R43" s="311">
        <v>14</v>
      </c>
      <c r="S43" s="312">
        <v>508</v>
      </c>
      <c r="T43" s="312">
        <v>8162</v>
      </c>
      <c r="U43" s="313">
        <f>IF(Q43&lt;&gt;"",K43-T43,"")</f>
        <v>-2162</v>
      </c>
      <c r="V43" s="314">
        <f>IF(Q43&lt;&gt;"",0%,"")</f>
        <v>0</v>
      </c>
      <c r="W43" s="315">
        <f>IF(Q43&lt;&gt;"",V43*U43,"")</f>
        <v>0</v>
      </c>
      <c r="X43" s="315">
        <f>IF(Q43&lt;&gt;"",W43+T43,"")</f>
        <v>8162</v>
      </c>
      <c r="Y43" s="316">
        <f t="shared" si="37"/>
        <v>8274.5925925925931</v>
      </c>
      <c r="Z43" s="317">
        <f>IF(Q43&lt;&gt;"", IFERROR(U43/K43, 0), 0)</f>
        <v>-0.36033333333333334</v>
      </c>
      <c r="AA43" s="318">
        <f>IFERROR(T43/$T$47, "")</f>
        <v>0.80397951142631996</v>
      </c>
      <c r="AB43" s="319">
        <f t="shared" si="2"/>
        <v>0</v>
      </c>
      <c r="AC43" s="320">
        <v>8162</v>
      </c>
      <c r="AH43" s="321" t="s">
        <v>267</v>
      </c>
      <c r="AI43" s="321" t="s">
        <v>268</v>
      </c>
      <c r="AK43" s="244">
        <v>7112</v>
      </c>
      <c r="AL43" s="321"/>
      <c r="AM43" s="321" t="s">
        <v>172</v>
      </c>
    </row>
    <row r="44" spans="1:39" ht="60" customHeight="1" x14ac:dyDescent="0.4">
      <c r="A44" s="271">
        <v>30</v>
      </c>
      <c r="B44" s="296" t="s">
        <v>202</v>
      </c>
      <c r="C44" s="297" t="s">
        <v>119</v>
      </c>
      <c r="D44" s="271" t="s">
        <v>163</v>
      </c>
      <c r="E44" s="336" t="s">
        <v>164</v>
      </c>
      <c r="F44" s="331" t="s">
        <v>211</v>
      </c>
      <c r="G44" s="332" t="s">
        <v>317</v>
      </c>
      <c r="H44" s="342">
        <v>1</v>
      </c>
      <c r="I44" s="342">
        <v>1</v>
      </c>
      <c r="J44" s="340">
        <v>1370</v>
      </c>
      <c r="K44" s="308">
        <f>IF(F44&lt;&gt;"",H44*I44*J44,"")</f>
        <v>1370</v>
      </c>
      <c r="L44" s="308">
        <f>IF(K44&lt;&gt;"",IF(D44="INTERNO",0,K44*$L$14),"")</f>
        <v>109.60000000000001</v>
      </c>
      <c r="M44" s="308">
        <f>IF(K44&lt;&gt;"",IF(E44="FAT.OGGI",SUM(K44:L44)*(1/(1-$M$14)-1),L44*(1/(1-$M$14)-1)),0)</f>
        <v>25.708641975308637</v>
      </c>
      <c r="N44" s="309">
        <f>SUM(K44:M44)</f>
        <v>1505.3086419753085</v>
      </c>
      <c r="Q44" s="310">
        <f t="shared" si="36"/>
        <v>1</v>
      </c>
      <c r="R44" s="311">
        <f t="shared" si="36"/>
        <v>1</v>
      </c>
      <c r="S44" s="312">
        <v>1470</v>
      </c>
      <c r="T44" s="312">
        <f>IF(Q44&lt;&gt;"",Q44*R44*S44,"")</f>
        <v>1470</v>
      </c>
      <c r="U44" s="313">
        <f>IF(Q44&lt;&gt;"",K44-T44,"")</f>
        <v>-100</v>
      </c>
      <c r="V44" s="314">
        <f>IF(Q44&lt;&gt;"",0%,"")</f>
        <v>0</v>
      </c>
      <c r="W44" s="315">
        <f>IF(Q44&lt;&gt;"",V44*U44,"")</f>
        <v>0</v>
      </c>
      <c r="X44" s="315">
        <f>IF(Q44&lt;&gt;"",W44+T44,"")</f>
        <v>1470</v>
      </c>
      <c r="Y44" s="316">
        <f t="shared" si="37"/>
        <v>1495.7086419753086</v>
      </c>
      <c r="Z44" s="317">
        <f>IF(Q44&lt;&gt;"", IFERROR(U44/K44, 0), 0)</f>
        <v>-7.2992700729927001E-2</v>
      </c>
      <c r="AA44" s="318">
        <f>IFERROR(T44/$T$47, "")</f>
        <v>0.14479905437352245</v>
      </c>
      <c r="AB44" s="319">
        <f t="shared" si="2"/>
        <v>0</v>
      </c>
      <c r="AC44" s="320">
        <v>1470</v>
      </c>
      <c r="AD44" s="432" t="s">
        <v>331</v>
      </c>
      <c r="AH44" s="321" t="s">
        <v>267</v>
      </c>
      <c r="AI44" s="321" t="s">
        <v>268</v>
      </c>
      <c r="AL44" s="321"/>
      <c r="AM44" s="321"/>
    </row>
    <row r="45" spans="1:39" ht="60" customHeight="1" x14ac:dyDescent="0.4">
      <c r="A45" s="271">
        <v>31</v>
      </c>
      <c r="B45" s="296" t="s">
        <v>203</v>
      </c>
      <c r="C45" s="297" t="s">
        <v>119</v>
      </c>
      <c r="D45" s="271" t="s">
        <v>163</v>
      </c>
      <c r="E45" s="336" t="s">
        <v>164</v>
      </c>
      <c r="F45" s="331" t="s">
        <v>260</v>
      </c>
      <c r="G45" s="332" t="s">
        <v>318</v>
      </c>
      <c r="H45" s="342">
        <v>0</v>
      </c>
      <c r="I45" s="342">
        <v>1</v>
      </c>
      <c r="J45" s="340">
        <v>130</v>
      </c>
      <c r="K45" s="308">
        <f>IF(F45&lt;&gt;"",H45*I45*J45,"")</f>
        <v>0</v>
      </c>
      <c r="L45" s="308">
        <f>IF(K45&lt;&gt;"",IF(D45="INTERNO",0,K45*$L$14),"")</f>
        <v>0</v>
      </c>
      <c r="M45" s="308">
        <f>IF(K45&lt;&gt;"",IF(E45="FAT.OGGI",SUM(K45:L45)*(1/(1-$M$14)-1),L45*(1/(1-$M$14)-1)),0)</f>
        <v>0</v>
      </c>
      <c r="N45" s="309">
        <f>SUM(K45:M45)</f>
        <v>0</v>
      </c>
      <c r="Q45" s="310">
        <f t="shared" si="36"/>
        <v>0</v>
      </c>
      <c r="R45" s="311">
        <f t="shared" si="36"/>
        <v>1</v>
      </c>
      <c r="S45" s="312">
        <v>130</v>
      </c>
      <c r="T45" s="312">
        <v>520</v>
      </c>
      <c r="U45" s="313">
        <f>IF(Q45&lt;&gt;"",K45-T45,"")</f>
        <v>-520</v>
      </c>
      <c r="V45" s="314">
        <f>IF(Q45&lt;&gt;"",0%,"")</f>
        <v>0</v>
      </c>
      <c r="W45" s="315">
        <f>IF(Q45&lt;&gt;"",V45*U45,"")</f>
        <v>0</v>
      </c>
      <c r="X45" s="315">
        <f>IF(Q45&lt;&gt;"",W45+T45,"")</f>
        <v>520</v>
      </c>
      <c r="Y45" s="316">
        <f t="shared" si="37"/>
        <v>520</v>
      </c>
      <c r="Z45" s="317">
        <f>IF(Q45&lt;&gt;"", IFERROR(U45/K45, 0), 0)</f>
        <v>0</v>
      </c>
      <c r="AA45" s="318">
        <f>IFERROR(T45/$T$47, "")</f>
        <v>5.1221434200157602E-2</v>
      </c>
      <c r="AB45" s="319">
        <f t="shared" si="2"/>
        <v>0</v>
      </c>
      <c r="AC45" s="320">
        <v>520</v>
      </c>
      <c r="AD45" s="432" t="s">
        <v>332</v>
      </c>
      <c r="AH45" s="321"/>
      <c r="AI45" s="321"/>
      <c r="AL45" s="321"/>
      <c r="AM45" s="321"/>
    </row>
    <row r="46" spans="1:39" ht="60" customHeight="1" x14ac:dyDescent="0.4">
      <c r="A46" s="271">
        <v>32</v>
      </c>
      <c r="B46" s="296" t="s">
        <v>204</v>
      </c>
      <c r="C46" s="297" t="s">
        <v>119</v>
      </c>
      <c r="D46" s="271" t="s">
        <v>163</v>
      </c>
      <c r="E46" s="336" t="s">
        <v>164</v>
      </c>
      <c r="F46" s="331" t="s">
        <v>261</v>
      </c>
      <c r="G46" s="332" t="s">
        <v>319</v>
      </c>
      <c r="H46" s="342">
        <v>0</v>
      </c>
      <c r="I46" s="342">
        <v>15</v>
      </c>
      <c r="J46" s="340">
        <v>525</v>
      </c>
      <c r="K46" s="308">
        <f>IF(F46&lt;&gt;"",H46*I46*J46,"")</f>
        <v>0</v>
      </c>
      <c r="L46" s="308">
        <f>IF(K46&lt;&gt;"",IF(D46="INTERNO",0,K46*$L$14),"")</f>
        <v>0</v>
      </c>
      <c r="M46" s="308">
        <f>IF(K46&lt;&gt;"",IF(E46="FAT.OGGI",SUM(K46:L46)*(1/(1-$M$14)-1),L46*(1/(1-$M$14)-1)),0)</f>
        <v>0</v>
      </c>
      <c r="N46" s="309">
        <f>SUM(K46:M46)</f>
        <v>0</v>
      </c>
      <c r="Q46" s="310">
        <f t="shared" si="36"/>
        <v>0</v>
      </c>
      <c r="R46" s="311">
        <f t="shared" si="36"/>
        <v>15</v>
      </c>
      <c r="S46" s="312">
        <v>525</v>
      </c>
      <c r="T46" s="312">
        <f>IF(Q46&lt;&gt;"",Q46*R46*S46,"")</f>
        <v>0</v>
      </c>
      <c r="U46" s="313">
        <f>IF(Q46&lt;&gt;"",K46-T46,"")</f>
        <v>0</v>
      </c>
      <c r="V46" s="314">
        <f>IF(Q46&lt;&gt;"",0%,"")</f>
        <v>0</v>
      </c>
      <c r="W46" s="315">
        <f>IF(Q46&lt;&gt;"",V46*U46,"")</f>
        <v>0</v>
      </c>
      <c r="X46" s="315">
        <f>IF(Q46&lt;&gt;"",W46+T46,"")</f>
        <v>0</v>
      </c>
      <c r="Y46" s="316">
        <f t="shared" si="37"/>
        <v>0</v>
      </c>
      <c r="Z46" s="317">
        <f>IF(Q46&lt;&gt;"", IFERROR(U46/K46, 0), 0)</f>
        <v>0</v>
      </c>
      <c r="AA46" s="318">
        <f>IFERROR(T46/$T$47, "")</f>
        <v>0</v>
      </c>
      <c r="AB46" s="319">
        <f t="shared" si="2"/>
        <v>0</v>
      </c>
      <c r="AC46" s="320">
        <v>0</v>
      </c>
      <c r="AH46" s="321"/>
      <c r="AI46" s="321"/>
      <c r="AL46" s="321"/>
      <c r="AM46" s="321"/>
    </row>
    <row r="47" spans="1:39" ht="35.1" customHeight="1" thickBot="1" x14ac:dyDescent="0.45">
      <c r="A47" s="271">
        <v>33</v>
      </c>
      <c r="B47" s="296"/>
      <c r="C47" s="297" t="s">
        <v>131</v>
      </c>
      <c r="D47" s="271"/>
      <c r="E47" s="271"/>
      <c r="F47" s="466" t="s">
        <v>147</v>
      </c>
      <c r="G47" s="467"/>
      <c r="H47" s="467"/>
      <c r="I47" s="467"/>
      <c r="J47" s="467"/>
      <c r="K47" s="323">
        <f>SUM(K42:K46)</f>
        <v>8420</v>
      </c>
      <c r="L47" s="323">
        <f>SUM(L42:L46)</f>
        <v>673.6</v>
      </c>
      <c r="M47" s="323">
        <f>SUM(M42:M46)</f>
        <v>158.00493827160489</v>
      </c>
      <c r="N47" s="324">
        <f>SUM(N42:N46)</f>
        <v>9251.6049382716046</v>
      </c>
      <c r="Q47" s="459" t="s">
        <v>144</v>
      </c>
      <c r="R47" s="460"/>
      <c r="S47" s="460"/>
      <c r="T47" s="325">
        <f>SUM(T42:T46)</f>
        <v>10152</v>
      </c>
      <c r="U47" s="326">
        <f>SUM(U42:U46)</f>
        <v>-1732</v>
      </c>
      <c r="V47" s="327"/>
      <c r="W47" s="328"/>
      <c r="X47" s="329">
        <f>SUM(X42:X46)</f>
        <v>10152</v>
      </c>
      <c r="Y47" s="330">
        <f t="shared" si="37"/>
        <v>10310.004938271604</v>
      </c>
      <c r="AB47" s="319"/>
      <c r="AC47" s="320"/>
      <c r="AL47" s="247"/>
      <c r="AM47" s="247"/>
    </row>
    <row r="48" spans="1:39" ht="35.1" customHeight="1" x14ac:dyDescent="0.4">
      <c r="A48" s="271">
        <v>34</v>
      </c>
      <c r="B48" s="296" t="s">
        <v>180</v>
      </c>
      <c r="C48" s="297" t="s">
        <v>113</v>
      </c>
      <c r="D48" s="271"/>
      <c r="E48" s="271"/>
      <c r="F48" s="456" t="s">
        <v>145</v>
      </c>
      <c r="G48" s="457"/>
      <c r="H48" s="457"/>
      <c r="I48" s="457"/>
      <c r="J48" s="457"/>
      <c r="K48" s="458"/>
      <c r="L48" s="298" t="s">
        <v>115</v>
      </c>
      <c r="M48" s="299" t="s">
        <v>116</v>
      </c>
      <c r="N48" s="300" t="s">
        <v>74</v>
      </c>
      <c r="Q48" s="459" t="str">
        <f>IF(F48&lt;&gt;"",F48,"")</f>
        <v>OPERAÇÃO</v>
      </c>
      <c r="R48" s="460"/>
      <c r="S48" s="460"/>
      <c r="T48" s="460"/>
      <c r="U48" s="460"/>
      <c r="V48" s="460"/>
      <c r="W48" s="460"/>
      <c r="X48" s="460"/>
      <c r="Y48" s="461"/>
      <c r="Z48" s="301" t="s">
        <v>117</v>
      </c>
      <c r="AA48" s="302" t="s">
        <v>75</v>
      </c>
      <c r="AB48" s="319"/>
      <c r="AC48" s="320"/>
      <c r="AL48" s="247"/>
      <c r="AM48" s="247"/>
    </row>
    <row r="49" spans="1:39" ht="60" customHeight="1" x14ac:dyDescent="0.4">
      <c r="A49" s="271">
        <v>35</v>
      </c>
      <c r="B49" s="296" t="s">
        <v>181</v>
      </c>
      <c r="C49" s="297" t="s">
        <v>119</v>
      </c>
      <c r="D49" s="271" t="s">
        <v>163</v>
      </c>
      <c r="E49" s="271" t="s">
        <v>162</v>
      </c>
      <c r="F49" s="331" t="s">
        <v>158</v>
      </c>
      <c r="G49" s="332" t="s">
        <v>320</v>
      </c>
      <c r="H49" s="333">
        <v>8</v>
      </c>
      <c r="I49" s="333">
        <v>5</v>
      </c>
      <c r="J49" s="308">
        <v>50</v>
      </c>
      <c r="K49" s="308">
        <f t="shared" ref="K49:K54" si="38">IF(F49&lt;&gt;"",H49*I49*J49,"")</f>
        <v>2000</v>
      </c>
      <c r="L49" s="308">
        <f t="shared" ref="L49:L54" si="39">IF(K49&lt;&gt;"",IF(D49="INTERNO",0,K49*$L$14),"")</f>
        <v>160</v>
      </c>
      <c r="M49" s="308">
        <f t="shared" ref="M49:M54" si="40">IF(K49&lt;&gt;"",IF(E49="FAT.OGGI",SUM(K49:L49)*(1/(1-$M$14)-1),L49*(1/(1-$M$14)-1)),0)</f>
        <v>506.66666666666652</v>
      </c>
      <c r="N49" s="309">
        <f t="shared" ref="N49:N54" si="41">SUM(K49:M49)</f>
        <v>2666.6666666666665</v>
      </c>
      <c r="Q49" s="310">
        <v>3</v>
      </c>
      <c r="R49" s="311">
        <f t="shared" ref="Q49:R54" si="42">IF(I49&lt;&gt;"",I49,"")</f>
        <v>5</v>
      </c>
      <c r="S49" s="312">
        <v>45</v>
      </c>
      <c r="T49" s="312">
        <v>0</v>
      </c>
      <c r="U49" s="313">
        <f t="shared" ref="U49:U54" si="43">IF(Q49&lt;&gt;"",K49-T49,"")</f>
        <v>2000</v>
      </c>
      <c r="V49" s="314">
        <f t="shared" ref="V49:V54" si="44">IF(Q49&lt;&gt;"",0%,"")</f>
        <v>0</v>
      </c>
      <c r="W49" s="315">
        <f t="shared" ref="W49:W54" si="45">IF(Q49&lt;&gt;"",V49*U49,"")</f>
        <v>0</v>
      </c>
      <c r="X49" s="315">
        <f t="shared" ref="X49:X54" si="46">IF(Q49&lt;&gt;"",W49+T49,"")</f>
        <v>0</v>
      </c>
      <c r="Y49" s="316">
        <f t="shared" ref="Y49:Y56" si="47">IF(Q49&lt;&gt;"",X49+M49,"")</f>
        <v>506.66666666666652</v>
      </c>
      <c r="Z49" s="317">
        <f t="shared" ref="Z49:Z54" si="48">IF(Q49&lt;&gt;"", IFERROR(U49/K49, 0), 0)</f>
        <v>1</v>
      </c>
      <c r="AA49" s="318">
        <f>IFERROR(T49/$T$56, "")</f>
        <v>0</v>
      </c>
      <c r="AB49" s="319">
        <f t="shared" si="2"/>
        <v>0</v>
      </c>
      <c r="AC49" s="320">
        <v>0</v>
      </c>
      <c r="AH49" s="321" t="s">
        <v>223</v>
      </c>
      <c r="AI49" s="321"/>
      <c r="AL49" s="321"/>
      <c r="AM49" s="321"/>
    </row>
    <row r="50" spans="1:39" ht="60" customHeight="1" x14ac:dyDescent="0.4">
      <c r="A50" s="271">
        <v>36</v>
      </c>
      <c r="B50" s="296" t="s">
        <v>205</v>
      </c>
      <c r="C50" s="297" t="s">
        <v>119</v>
      </c>
      <c r="D50" s="271" t="s">
        <v>163</v>
      </c>
      <c r="E50" s="271" t="s">
        <v>162</v>
      </c>
      <c r="F50" s="331" t="s">
        <v>159</v>
      </c>
      <c r="G50" s="334" t="s">
        <v>321</v>
      </c>
      <c r="H50" s="333">
        <v>1</v>
      </c>
      <c r="I50" s="333">
        <v>1</v>
      </c>
      <c r="J50" s="308">
        <v>2100</v>
      </c>
      <c r="K50" s="308">
        <f t="shared" si="38"/>
        <v>2100</v>
      </c>
      <c r="L50" s="308">
        <f t="shared" si="39"/>
        <v>168</v>
      </c>
      <c r="M50" s="308">
        <f t="shared" si="40"/>
        <v>531.99999999999989</v>
      </c>
      <c r="N50" s="309">
        <f t="shared" si="41"/>
        <v>2800</v>
      </c>
      <c r="Q50" s="310">
        <f t="shared" si="42"/>
        <v>1</v>
      </c>
      <c r="R50" s="311">
        <f t="shared" si="42"/>
        <v>1</v>
      </c>
      <c r="S50" s="312">
        <v>2100</v>
      </c>
      <c r="T50" s="312">
        <v>3239.6</v>
      </c>
      <c r="U50" s="313">
        <f t="shared" si="43"/>
        <v>-1139.5999999999999</v>
      </c>
      <c r="V50" s="314">
        <f t="shared" si="44"/>
        <v>0</v>
      </c>
      <c r="W50" s="315">
        <f t="shared" si="45"/>
        <v>0</v>
      </c>
      <c r="X50" s="315">
        <f t="shared" si="46"/>
        <v>3239.6</v>
      </c>
      <c r="Y50" s="316">
        <f t="shared" si="47"/>
        <v>3771.6</v>
      </c>
      <c r="Z50" s="317">
        <f t="shared" si="48"/>
        <v>-0.54266666666666663</v>
      </c>
      <c r="AA50" s="318">
        <f>IFERROR(T50/$T$56, "")</f>
        <v>0.1626936557208194</v>
      </c>
      <c r="AB50" s="319">
        <f t="shared" si="2"/>
        <v>0</v>
      </c>
      <c r="AC50" s="320">
        <f>2100+1139.6</f>
        <v>3239.6</v>
      </c>
      <c r="AD50" s="432" t="s">
        <v>330</v>
      </c>
      <c r="AH50" s="321" t="s">
        <v>170</v>
      </c>
      <c r="AI50" s="321"/>
      <c r="AL50" s="321"/>
      <c r="AM50" s="321" t="s">
        <v>172</v>
      </c>
    </row>
    <row r="51" spans="1:39" ht="60" customHeight="1" x14ac:dyDescent="0.4">
      <c r="A51" s="271">
        <v>37</v>
      </c>
      <c r="B51" s="296" t="s">
        <v>206</v>
      </c>
      <c r="C51" s="297" t="s">
        <v>119</v>
      </c>
      <c r="D51" s="271" t="s">
        <v>163</v>
      </c>
      <c r="E51" s="271" t="s">
        <v>162</v>
      </c>
      <c r="F51" s="331" t="s">
        <v>200</v>
      </c>
      <c r="G51" s="332" t="s">
        <v>322</v>
      </c>
      <c r="H51" s="333">
        <v>1</v>
      </c>
      <c r="I51" s="333">
        <v>1</v>
      </c>
      <c r="J51" s="308">
        <v>4000</v>
      </c>
      <c r="K51" s="308">
        <f t="shared" si="38"/>
        <v>4000</v>
      </c>
      <c r="L51" s="308">
        <f t="shared" si="39"/>
        <v>320</v>
      </c>
      <c r="M51" s="308">
        <f t="shared" si="40"/>
        <v>1013.333333333333</v>
      </c>
      <c r="N51" s="309">
        <f t="shared" si="41"/>
        <v>5333.333333333333</v>
      </c>
      <c r="Q51" s="310">
        <f t="shared" si="42"/>
        <v>1</v>
      </c>
      <c r="R51" s="311">
        <f t="shared" si="42"/>
        <v>1</v>
      </c>
      <c r="S51" s="312">
        <v>2000</v>
      </c>
      <c r="T51" s="312">
        <v>0</v>
      </c>
      <c r="U51" s="313">
        <f t="shared" si="43"/>
        <v>4000</v>
      </c>
      <c r="V51" s="314">
        <f t="shared" si="44"/>
        <v>0</v>
      </c>
      <c r="W51" s="315">
        <f t="shared" si="45"/>
        <v>0</v>
      </c>
      <c r="X51" s="315">
        <f t="shared" si="46"/>
        <v>0</v>
      </c>
      <c r="Y51" s="316">
        <f t="shared" si="47"/>
        <v>1013.333333333333</v>
      </c>
      <c r="Z51" s="317">
        <f t="shared" si="48"/>
        <v>1</v>
      </c>
      <c r="AA51" s="318">
        <f>IFERROR(T51/$T$56, "")</f>
        <v>0</v>
      </c>
      <c r="AB51" s="319">
        <f t="shared" si="2"/>
        <v>0</v>
      </c>
      <c r="AC51" s="320">
        <v>0</v>
      </c>
      <c r="AH51" s="321"/>
      <c r="AI51" s="321"/>
      <c r="AL51" s="321"/>
      <c r="AM51" s="321"/>
    </row>
    <row r="52" spans="1:39" ht="60" customHeight="1" x14ac:dyDescent="0.4">
      <c r="A52" s="271">
        <v>38</v>
      </c>
      <c r="B52" s="296" t="s">
        <v>207</v>
      </c>
      <c r="C52" s="297" t="s">
        <v>119</v>
      </c>
      <c r="D52" s="271" t="s">
        <v>163</v>
      </c>
      <c r="E52" s="271" t="s">
        <v>162</v>
      </c>
      <c r="F52" s="331" t="s">
        <v>161</v>
      </c>
      <c r="G52" s="334" t="s">
        <v>323</v>
      </c>
      <c r="H52" s="342">
        <v>1</v>
      </c>
      <c r="I52" s="342">
        <v>1</v>
      </c>
      <c r="J52" s="340">
        <v>2500</v>
      </c>
      <c r="K52" s="308">
        <f t="shared" si="38"/>
        <v>2500</v>
      </c>
      <c r="L52" s="308">
        <f t="shared" si="39"/>
        <v>200</v>
      </c>
      <c r="M52" s="308">
        <f t="shared" si="40"/>
        <v>633.33333333333314</v>
      </c>
      <c r="N52" s="309">
        <f t="shared" si="41"/>
        <v>3333.333333333333</v>
      </c>
      <c r="Q52" s="310">
        <f t="shared" si="42"/>
        <v>1</v>
      </c>
      <c r="R52" s="311">
        <f t="shared" si="42"/>
        <v>1</v>
      </c>
      <c r="S52" s="312">
        <v>1300</v>
      </c>
      <c r="T52" s="312">
        <v>0</v>
      </c>
      <c r="U52" s="313">
        <f t="shared" si="43"/>
        <v>2500</v>
      </c>
      <c r="V52" s="314">
        <f t="shared" si="44"/>
        <v>0</v>
      </c>
      <c r="W52" s="315">
        <f t="shared" si="45"/>
        <v>0</v>
      </c>
      <c r="X52" s="315">
        <f t="shared" si="46"/>
        <v>0</v>
      </c>
      <c r="Y52" s="316">
        <f t="shared" si="47"/>
        <v>633.33333333333314</v>
      </c>
      <c r="Z52" s="317">
        <f t="shared" si="48"/>
        <v>1</v>
      </c>
      <c r="AA52" s="318">
        <f>IFERROR(T52/$T$56, "")</f>
        <v>0</v>
      </c>
      <c r="AB52" s="319">
        <f t="shared" si="2"/>
        <v>0</v>
      </c>
      <c r="AC52" s="320">
        <v>0</v>
      </c>
      <c r="AH52" s="321"/>
      <c r="AI52" s="321"/>
      <c r="AL52" s="321"/>
      <c r="AM52" s="321"/>
    </row>
    <row r="53" spans="1:39" ht="60" customHeight="1" x14ac:dyDescent="0.4">
      <c r="A53" s="271">
        <v>39</v>
      </c>
      <c r="B53" s="296" t="s">
        <v>208</v>
      </c>
      <c r="C53" s="297" t="s">
        <v>119</v>
      </c>
      <c r="D53" s="271" t="s">
        <v>163</v>
      </c>
      <c r="E53" s="271" t="s">
        <v>162</v>
      </c>
      <c r="F53" s="331" t="s">
        <v>166</v>
      </c>
      <c r="G53" s="332" t="s">
        <v>324</v>
      </c>
      <c r="H53" s="333">
        <v>1</v>
      </c>
      <c r="I53" s="333">
        <v>1</v>
      </c>
      <c r="J53" s="308">
        <v>600</v>
      </c>
      <c r="K53" s="308">
        <f t="shared" si="38"/>
        <v>600</v>
      </c>
      <c r="L53" s="308">
        <f t="shared" si="39"/>
        <v>48</v>
      </c>
      <c r="M53" s="308">
        <f t="shared" si="40"/>
        <v>151.99999999999994</v>
      </c>
      <c r="N53" s="309">
        <f t="shared" si="41"/>
        <v>800</v>
      </c>
      <c r="Q53" s="310">
        <f t="shared" si="42"/>
        <v>1</v>
      </c>
      <c r="R53" s="311">
        <f t="shared" si="42"/>
        <v>1</v>
      </c>
      <c r="S53" s="312">
        <v>200</v>
      </c>
      <c r="T53" s="312">
        <v>0</v>
      </c>
      <c r="U53" s="313">
        <f t="shared" si="43"/>
        <v>600</v>
      </c>
      <c r="V53" s="314">
        <f t="shared" si="44"/>
        <v>0</v>
      </c>
      <c r="W53" s="315">
        <f t="shared" si="45"/>
        <v>0</v>
      </c>
      <c r="X53" s="315">
        <f t="shared" si="46"/>
        <v>0</v>
      </c>
      <c r="Y53" s="316">
        <f t="shared" si="47"/>
        <v>151.99999999999994</v>
      </c>
      <c r="Z53" s="317">
        <f t="shared" si="48"/>
        <v>1</v>
      </c>
      <c r="AA53" s="318">
        <f t="shared" ref="AA53" si="49">IFERROR(T53/$T$56, "")</f>
        <v>0</v>
      </c>
      <c r="AB53" s="319">
        <f t="shared" si="2"/>
        <v>0</v>
      </c>
      <c r="AC53" s="320">
        <v>0</v>
      </c>
      <c r="AH53" s="321"/>
      <c r="AI53" s="321"/>
      <c r="AL53" s="321"/>
      <c r="AM53" s="321"/>
    </row>
    <row r="54" spans="1:39" ht="60" customHeight="1" x14ac:dyDescent="0.4">
      <c r="A54" s="271">
        <v>40</v>
      </c>
      <c r="B54" s="296" t="s">
        <v>209</v>
      </c>
      <c r="C54" s="297" t="s">
        <v>119</v>
      </c>
      <c r="D54" s="271" t="s">
        <v>163</v>
      </c>
      <c r="E54" s="271" t="s">
        <v>162</v>
      </c>
      <c r="F54" s="331" t="s">
        <v>160</v>
      </c>
      <c r="G54" s="332" t="s">
        <v>325</v>
      </c>
      <c r="H54" s="333">
        <v>1</v>
      </c>
      <c r="I54" s="333">
        <v>1</v>
      </c>
      <c r="J54" s="308">
        <v>2500</v>
      </c>
      <c r="K54" s="308">
        <f t="shared" si="38"/>
        <v>2500</v>
      </c>
      <c r="L54" s="308">
        <f t="shared" si="39"/>
        <v>200</v>
      </c>
      <c r="M54" s="308">
        <f t="shared" si="40"/>
        <v>633.33333333333314</v>
      </c>
      <c r="N54" s="309">
        <f t="shared" si="41"/>
        <v>3333.333333333333</v>
      </c>
      <c r="Q54" s="343">
        <f t="shared" si="42"/>
        <v>1</v>
      </c>
      <c r="R54" s="344">
        <f t="shared" si="42"/>
        <v>1</v>
      </c>
      <c r="S54" s="345">
        <v>1500</v>
      </c>
      <c r="T54" s="345">
        <v>16672.669999999998</v>
      </c>
      <c r="U54" s="346">
        <f t="shared" si="43"/>
        <v>-14172.669999999998</v>
      </c>
      <c r="V54" s="347">
        <f t="shared" si="44"/>
        <v>0</v>
      </c>
      <c r="W54" s="348">
        <f t="shared" si="45"/>
        <v>0</v>
      </c>
      <c r="X54" s="348">
        <f t="shared" si="46"/>
        <v>16672.669999999998</v>
      </c>
      <c r="Y54" s="349">
        <f t="shared" si="47"/>
        <v>17306.00333333333</v>
      </c>
      <c r="Z54" s="317">
        <f t="shared" si="48"/>
        <v>-5.6690679999999993</v>
      </c>
      <c r="AA54" s="318">
        <f>IFERROR(T54/$T$56, "")</f>
        <v>0.83730634427918071</v>
      </c>
      <c r="AB54" s="319">
        <f t="shared" si="2"/>
        <v>0</v>
      </c>
      <c r="AC54" s="320">
        <f>'CUSTOS OP.'!E17</f>
        <v>16672.669999999998</v>
      </c>
      <c r="AH54" s="321"/>
      <c r="AI54" s="321"/>
      <c r="AL54" s="321"/>
      <c r="AM54" s="321"/>
    </row>
    <row r="55" spans="1:39" ht="60" customHeight="1" x14ac:dyDescent="0.4">
      <c r="A55" s="350">
        <v>41</v>
      </c>
      <c r="B55" s="296" t="s">
        <v>210</v>
      </c>
      <c r="C55" s="351" t="s">
        <v>119</v>
      </c>
      <c r="D55" s="271" t="s">
        <v>163</v>
      </c>
      <c r="E55" s="271" t="s">
        <v>162</v>
      </c>
      <c r="F55" s="337" t="s">
        <v>269</v>
      </c>
      <c r="G55" s="398" t="s">
        <v>270</v>
      </c>
      <c r="H55" s="321">
        <v>1</v>
      </c>
      <c r="I55" s="321">
        <v>1</v>
      </c>
      <c r="J55" s="383">
        <v>2000</v>
      </c>
      <c r="K55" s="383">
        <f>IF(F55&lt;&gt;"",H55*I55*J55,"")</f>
        <v>2000</v>
      </c>
      <c r="L55" s="383">
        <f>IF(K55&lt;&gt;"",IF(D55="INTERNO",0,K55*$L$14),"")</f>
        <v>160</v>
      </c>
      <c r="M55" s="383">
        <f>IF(K55&lt;&gt;"",IF(E55="FAT.OGGI",SUM(K55:L55)*(1/(1-$M$14)-1),L55*(1/(1-$M$14)-1)),0)</f>
        <v>506.66666666666652</v>
      </c>
      <c r="N55" s="383">
        <f>SUM(K55:M55)</f>
        <v>2666.6666666666665</v>
      </c>
      <c r="Q55" s="352">
        <f>IF(H55&lt;&gt;"",H55,"")</f>
        <v>1</v>
      </c>
      <c r="R55" s="352">
        <f>IF(I55&lt;&gt;"",I55,"")</f>
        <v>1</v>
      </c>
      <c r="S55" s="353">
        <v>1670</v>
      </c>
      <c r="T55" s="353">
        <f>IF(Q55&lt;&gt;"",Q55*R55*S55,"")</f>
        <v>1670</v>
      </c>
      <c r="U55" s="354">
        <f>IF(Q55&lt;&gt;"",K55-T55,"")</f>
        <v>330</v>
      </c>
      <c r="V55" s="355">
        <f>IF(Q55&lt;&gt;"",0%,"")</f>
        <v>0</v>
      </c>
      <c r="W55" s="356">
        <f>IF(Q55&lt;&gt;"",V55*U55,"")</f>
        <v>0</v>
      </c>
      <c r="X55" s="356">
        <f>IF(Q55&lt;&gt;"",W55+T55,"")</f>
        <v>1670</v>
      </c>
      <c r="Y55" s="315">
        <f>IF(Q55&lt;&gt;"",X55+M55,"")</f>
        <v>2176.6666666666665</v>
      </c>
      <c r="Z55" s="318">
        <f>IF(Q55&lt;&gt;"", IFERROR(U55/K55, 0), 0)</f>
        <v>0.16500000000000001</v>
      </c>
      <c r="AA55" s="318">
        <f>IFERROR(T55/$T$56, "")</f>
        <v>8.3867886484062348E-2</v>
      </c>
      <c r="AB55" s="319">
        <f t="shared" si="2"/>
        <v>0</v>
      </c>
      <c r="AC55" s="320">
        <v>1670</v>
      </c>
      <c r="AD55" s="432" t="s">
        <v>344</v>
      </c>
      <c r="AL55" s="247"/>
      <c r="AM55" s="247"/>
    </row>
    <row r="56" spans="1:39" ht="35.1" customHeight="1" thickBot="1" x14ac:dyDescent="0.45">
      <c r="A56" s="358">
        <v>42</v>
      </c>
      <c r="B56" s="296"/>
      <c r="C56" s="359" t="s">
        <v>131</v>
      </c>
      <c r="D56" s="358"/>
      <c r="E56" s="358"/>
      <c r="F56" s="462" t="s">
        <v>148</v>
      </c>
      <c r="G56" s="463"/>
      <c r="H56" s="463"/>
      <c r="I56" s="463"/>
      <c r="J56" s="463"/>
      <c r="K56" s="323">
        <f>SUM(K49:K54)</f>
        <v>13700</v>
      </c>
      <c r="L56" s="323">
        <f>SUM(L49:L54)</f>
        <v>1096</v>
      </c>
      <c r="M56" s="323">
        <f>SUM(M49:M54)</f>
        <v>3470.6666666666656</v>
      </c>
      <c r="N56" s="324">
        <f>SUM(N49:N55)</f>
        <v>20933.333333333332</v>
      </c>
      <c r="Q56" s="464" t="s">
        <v>148</v>
      </c>
      <c r="R56" s="465"/>
      <c r="S56" s="465"/>
      <c r="T56" s="399">
        <f>SUM(T49:T54)</f>
        <v>19912.269999999997</v>
      </c>
      <c r="U56" s="400">
        <f>SUM(U49:U54)</f>
        <v>-6212.2699999999986</v>
      </c>
      <c r="V56" s="401"/>
      <c r="W56" s="402"/>
      <c r="X56" s="403">
        <f>SUM(X49:X54)</f>
        <v>19912.269999999997</v>
      </c>
      <c r="Y56" s="404">
        <f t="shared" si="47"/>
        <v>23382.936666666661</v>
      </c>
      <c r="AB56" s="319"/>
      <c r="AC56" s="320"/>
    </row>
    <row r="57" spans="1:39" s="405" customFormat="1" ht="35.1" customHeight="1" thickBot="1" x14ac:dyDescent="0.5">
      <c r="A57" s="271">
        <v>43</v>
      </c>
      <c r="B57" s="296">
        <v>4</v>
      </c>
      <c r="C57" s="297" t="s">
        <v>111</v>
      </c>
      <c r="D57" s="271"/>
      <c r="E57" s="271"/>
      <c r="F57" s="480" t="s">
        <v>215</v>
      </c>
      <c r="G57" s="481"/>
      <c r="H57" s="481"/>
      <c r="I57" s="481"/>
      <c r="J57" s="481"/>
      <c r="K57" s="481"/>
      <c r="L57" s="481"/>
      <c r="M57" s="481"/>
      <c r="N57" s="482"/>
      <c r="Q57" s="483" t="str">
        <f>IF(F57&lt;&gt;"",F57,"")</f>
        <v>Painel de Led</v>
      </c>
      <c r="R57" s="484"/>
      <c r="S57" s="484"/>
      <c r="T57" s="484"/>
      <c r="U57" s="484"/>
      <c r="V57" s="484"/>
      <c r="W57" s="484"/>
      <c r="X57" s="484"/>
      <c r="Y57" s="485"/>
      <c r="AB57" s="319"/>
      <c r="AC57" s="320"/>
      <c r="AD57" s="434"/>
    </row>
    <row r="58" spans="1:39" s="405" customFormat="1" ht="33.6" customHeight="1" x14ac:dyDescent="0.45">
      <c r="A58" s="271">
        <v>44</v>
      </c>
      <c r="B58" s="296" t="s">
        <v>142</v>
      </c>
      <c r="C58" s="297" t="s">
        <v>113</v>
      </c>
      <c r="D58" s="271"/>
      <c r="E58" s="271"/>
      <c r="F58" s="468" t="s">
        <v>215</v>
      </c>
      <c r="G58" s="469"/>
      <c r="H58" s="469"/>
      <c r="I58" s="469"/>
      <c r="J58" s="469"/>
      <c r="K58" s="470"/>
      <c r="L58" s="298" t="s">
        <v>115</v>
      </c>
      <c r="M58" s="299" t="s">
        <v>116</v>
      </c>
      <c r="N58" s="300" t="s">
        <v>74</v>
      </c>
      <c r="Q58" s="471" t="str">
        <f>IF(F58&lt;&gt;"",F58,"")</f>
        <v>Painel de Led</v>
      </c>
      <c r="R58" s="472"/>
      <c r="S58" s="472"/>
      <c r="T58" s="472"/>
      <c r="U58" s="472"/>
      <c r="V58" s="472"/>
      <c r="W58" s="472"/>
      <c r="X58" s="472"/>
      <c r="Y58" s="473"/>
      <c r="Z58" s="406" t="s">
        <v>117</v>
      </c>
      <c r="AA58" s="407" t="s">
        <v>75</v>
      </c>
      <c r="AB58" s="319"/>
      <c r="AC58" s="320"/>
      <c r="AD58" s="434"/>
    </row>
    <row r="59" spans="1:39" ht="60" customHeight="1" thickBot="1" x14ac:dyDescent="0.45">
      <c r="A59" s="271">
        <v>45</v>
      </c>
      <c r="B59" s="296" t="s">
        <v>175</v>
      </c>
      <c r="C59" s="297" t="s">
        <v>119</v>
      </c>
      <c r="D59" s="271" t="s">
        <v>163</v>
      </c>
      <c r="E59" s="271" t="s">
        <v>162</v>
      </c>
      <c r="F59" s="408" t="s">
        <v>215</v>
      </c>
      <c r="G59" s="381" t="s">
        <v>216</v>
      </c>
      <c r="H59" s="409">
        <v>1</v>
      </c>
      <c r="I59" s="409">
        <v>1</v>
      </c>
      <c r="J59" s="383">
        <v>8600</v>
      </c>
      <c r="K59" s="383">
        <f>IF(F59&lt;&gt;"",H59*I59*J59,"")</f>
        <v>8600</v>
      </c>
      <c r="L59" s="383">
        <f>IF(K59&lt;&gt;"",IF(D59="INTERNO",0,K59*$L$14),"")</f>
        <v>688</v>
      </c>
      <c r="M59" s="383">
        <f>IF(K59&lt;&gt;"",IF(E59="FAT.OGGI",SUM(K59:L59)*(1/(1-$M$14)-1),L59*(1/(1-$M$14)-1)),0)</f>
        <v>2178.6666666666661</v>
      </c>
      <c r="N59" s="341">
        <f>SUM(K59:M59)</f>
        <v>11466.666666666666</v>
      </c>
      <c r="Q59" s="410">
        <f>IF(H59&lt;&gt;"",H59,"")</f>
        <v>1</v>
      </c>
      <c r="R59" s="411">
        <f>IF(I59&lt;&gt;"",I59,"")</f>
        <v>1</v>
      </c>
      <c r="S59" s="312">
        <v>5500</v>
      </c>
      <c r="T59" s="312">
        <v>6095</v>
      </c>
      <c r="U59" s="313">
        <f>IF(Q59&lt;&gt;"",K59-T59,"")</f>
        <v>2505</v>
      </c>
      <c r="V59" s="412">
        <f>IF(Q59&lt;&gt;"",0%,"")</f>
        <v>0</v>
      </c>
      <c r="W59" s="315">
        <f>IF(Q59&lt;&gt;"",V59*U59,"")</f>
        <v>0</v>
      </c>
      <c r="X59" s="315">
        <f>IF(Q59&lt;&gt;"",W59+T59,"")</f>
        <v>6095</v>
      </c>
      <c r="Y59" s="316">
        <f>IF(Q59&lt;&gt;"",X59+M59,"")</f>
        <v>8273.6666666666661</v>
      </c>
      <c r="Z59" s="413">
        <f>IF(Q59&lt;&gt;"", IFERROR(U59/K59, 0), 0)</f>
        <v>0.29127906976744183</v>
      </c>
      <c r="AA59" s="414">
        <f>IFERROR(T59/$T$61, "")</f>
        <v>1.4334940602779664E-2</v>
      </c>
      <c r="AB59" s="319">
        <f t="shared" si="2"/>
        <v>0</v>
      </c>
      <c r="AC59" s="320">
        <f>5500+595</f>
        <v>6095</v>
      </c>
      <c r="AD59" s="432" t="s">
        <v>347</v>
      </c>
      <c r="AH59" s="321" t="s">
        <v>224</v>
      </c>
      <c r="AI59" s="415" t="s">
        <v>250</v>
      </c>
      <c r="AL59" s="409"/>
      <c r="AM59" s="321" t="s">
        <v>172</v>
      </c>
    </row>
    <row r="60" spans="1:39" ht="35.1" customHeight="1" thickBot="1" x14ac:dyDescent="0.5">
      <c r="A60" s="271">
        <v>46</v>
      </c>
      <c r="B60" s="296"/>
      <c r="C60" s="297" t="s">
        <v>134</v>
      </c>
      <c r="D60" s="271"/>
      <c r="E60" s="271"/>
      <c r="F60" s="446" t="s">
        <v>217</v>
      </c>
      <c r="G60" s="447"/>
      <c r="H60" s="447"/>
      <c r="I60" s="447"/>
      <c r="J60" s="447"/>
      <c r="K60" s="416">
        <f>SUM(K59:K59)</f>
        <v>8600</v>
      </c>
      <c r="L60" s="416">
        <f>SUM(L59:L59)</f>
        <v>688</v>
      </c>
      <c r="M60" s="416">
        <f>SUM(M59:M59)</f>
        <v>2178.6666666666661</v>
      </c>
      <c r="N60" s="417">
        <f>SUM(N59:N59)</f>
        <v>11466.666666666666</v>
      </c>
      <c r="Q60" s="448" t="s">
        <v>217</v>
      </c>
      <c r="R60" s="449"/>
      <c r="S60" s="449"/>
      <c r="T60" s="418"/>
      <c r="U60" s="371">
        <f>SUM(U59:U59)</f>
        <v>2505</v>
      </c>
      <c r="V60" s="372"/>
      <c r="W60" s="373"/>
      <c r="X60" s="374">
        <f>SUM(X59:X59)</f>
        <v>6095</v>
      </c>
      <c r="Y60" s="419">
        <f>IF(Q60&lt;&gt;"",X60+M60,"")</f>
        <v>8273.6666666666661</v>
      </c>
      <c r="Z60" s="420" t="s">
        <v>150</v>
      </c>
      <c r="AA60" s="421" t="s">
        <v>151</v>
      </c>
      <c r="AB60" s="319"/>
      <c r="AC60" s="320"/>
    </row>
    <row r="61" spans="1:39" s="405" customFormat="1" ht="35.1" customHeight="1" thickBot="1" x14ac:dyDescent="0.5">
      <c r="A61" s="271">
        <v>47</v>
      </c>
      <c r="B61" s="296"/>
      <c r="C61" s="297" t="s">
        <v>149</v>
      </c>
      <c r="D61" s="271"/>
      <c r="E61" s="271"/>
      <c r="F61" s="30" t="s">
        <v>178</v>
      </c>
      <c r="G61" s="30"/>
      <c r="H61" s="30"/>
      <c r="I61" s="30"/>
      <c r="J61" s="30"/>
      <c r="K61" s="31">
        <f>SUM(K17:K20)+SUM(K23:K30)+SUM(K35:K37)+SUM(K42:K46)+SUM(K49:K55)+SUM(K59:K59)</f>
        <v>416451.47000000003</v>
      </c>
      <c r="L61" s="31">
        <f>SUM(L17:L20)+SUM(L23:L30)+SUM(L35:L37)+SUM(L42:L46)+SUM(L49:L55)+SUM(L59:L59)</f>
        <v>31796.117599999998</v>
      </c>
      <c r="M61" s="31">
        <f>SUM(M17:M20)+SUM(M23:M30)+SUM(M35:M37)+SUM(M42:M46)+SUM(M49:M55)+SUM(M59:M59)</f>
        <v>23000.817708641967</v>
      </c>
      <c r="N61" s="32">
        <f>SUM(N17:N20)+SUM(N23:N30)+SUM(N35:N37)+SUM(N42:N46)+SUM(N49:N55)+SUM(N59:N59)</f>
        <v>471248.40530864202</v>
      </c>
      <c r="Q61" s="33" t="s">
        <v>42</v>
      </c>
      <c r="R61" s="30"/>
      <c r="S61" s="30"/>
      <c r="T61" s="31">
        <f>SUM(T17:T20)+SUM(T23:T30)+SUM(T35:T37)+SUM(T42:T46)+SUM(T49:T55)+SUM(T59:T59)</f>
        <v>425184.88000000006</v>
      </c>
      <c r="U61" s="31">
        <f>SUM(U17:U20)+SUM(U23:U30)+SUM(U35:U37)+SUM(U42:U46)+SUM(U49:U55)+SUM(U59:U59)</f>
        <v>-8733.4100000000126</v>
      </c>
      <c r="V61" s="30"/>
      <c r="W61" s="30"/>
      <c r="X61" s="31">
        <f>SUM(X17:X20)+SUM(X23:X30)+SUM(X35:X37)+SUM(X42:X46)+SUM(X49:X55)+SUM(X59:X59)</f>
        <v>425184.88000000006</v>
      </c>
      <c r="Y61" s="32">
        <f>SUM(Y17:Y20)+SUM(Y23:Y30)+SUM(Y35:Y37)+SUM(Y42:Y46)+SUM(Y49:Y55)+SUM(Y59:Y59)</f>
        <v>448185.69770864205</v>
      </c>
      <c r="Z61" s="34">
        <f>IF(Q61&lt;&gt;"",(N61-Y61)/N61,"")</f>
        <v>4.8939598182608492E-2</v>
      </c>
      <c r="AA61" s="29">
        <f>IF(Z61&lt;&gt;"",(N61-Y61),"")</f>
        <v>23062.707599999965</v>
      </c>
      <c r="AB61" s="319">
        <f>SUM(AB17:AB60)</f>
        <v>0</v>
      </c>
      <c r="AC61" s="320">
        <f>SUM(AC17:AC60)</f>
        <v>425184.87999999995</v>
      </c>
      <c r="AD61" s="434"/>
    </row>
    <row r="62" spans="1:39" s="405" customFormat="1" ht="29.1" customHeight="1" x14ac:dyDescent="0.4">
      <c r="AD62" s="434"/>
    </row>
    <row r="63" spans="1:39" x14ac:dyDescent="0.3">
      <c r="L63" s="376"/>
      <c r="N63" s="376"/>
    </row>
    <row r="64" spans="1:39" x14ac:dyDescent="0.3">
      <c r="L64" s="376"/>
    </row>
    <row r="65" spans="12:27" x14ac:dyDescent="0.3">
      <c r="L65" s="376"/>
      <c r="Z65" s="422">
        <v>0.16</v>
      </c>
      <c r="AA65" s="423">
        <v>78663.56</v>
      </c>
    </row>
  </sheetData>
  <autoFilter ref="A1:AM14" xr:uid="{107B9E09-8154-459A-AE62-6A4242823A27}">
    <filterColumn colId="5" showButton="0"/>
  </autoFilter>
  <mergeCells count="45">
    <mergeCell ref="F33:N33"/>
    <mergeCell ref="Q33:Y33"/>
    <mergeCell ref="F34:K34"/>
    <mergeCell ref="F22:K22"/>
    <mergeCell ref="Q22:Y22"/>
    <mergeCell ref="F31:J31"/>
    <mergeCell ref="Q31:S31"/>
    <mergeCell ref="F32:J32"/>
    <mergeCell ref="Q32:S32"/>
    <mergeCell ref="Q34:Y34"/>
    <mergeCell ref="F21:J21"/>
    <mergeCell ref="Q21:S21"/>
    <mergeCell ref="F1:G1"/>
    <mergeCell ref="F2:G2"/>
    <mergeCell ref="Q12:T12"/>
    <mergeCell ref="AL12:AM12"/>
    <mergeCell ref="F15:N15"/>
    <mergeCell ref="Q15:Y15"/>
    <mergeCell ref="F16:K16"/>
    <mergeCell ref="Q16:Y16"/>
    <mergeCell ref="U12:X12"/>
    <mergeCell ref="AD12:AF12"/>
    <mergeCell ref="AH12:AI12"/>
    <mergeCell ref="AB15:AC15"/>
    <mergeCell ref="AB16:AC16"/>
    <mergeCell ref="F39:J39"/>
    <mergeCell ref="Q39:S39"/>
    <mergeCell ref="F38:J38"/>
    <mergeCell ref="Q38:S38"/>
    <mergeCell ref="F57:N57"/>
    <mergeCell ref="Q57:Y57"/>
    <mergeCell ref="F60:J60"/>
    <mergeCell ref="Q60:S60"/>
    <mergeCell ref="F40:N40"/>
    <mergeCell ref="Q40:Y40"/>
    <mergeCell ref="F41:K41"/>
    <mergeCell ref="Q41:Y41"/>
    <mergeCell ref="F56:J56"/>
    <mergeCell ref="Q56:S56"/>
    <mergeCell ref="F47:J47"/>
    <mergeCell ref="Q47:S47"/>
    <mergeCell ref="F48:K48"/>
    <mergeCell ref="Q48:Y48"/>
    <mergeCell ref="F58:K58"/>
    <mergeCell ref="Q58:Y58"/>
  </mergeCells>
  <dataValidations count="3">
    <dataValidation type="list" allowBlank="1" showInputMessage="1" showErrorMessage="1" sqref="E35:E37 E17:E20 E49:E55 E42:E46 E23:E30 E59" xr:uid="{BCD18F76-A4C6-4972-80F1-C1DC18644A57}">
      <formula1>"FAT.OGGI,FAT.CLIENTE"</formula1>
    </dataValidation>
    <dataValidation type="list" allowBlank="1" showInputMessage="1" showErrorMessage="1" sqref="D35:D37 D42:D46 D17:D20 D49:D55 D23:D30 D59 D61" xr:uid="{CAA1CC9A-B8F0-4A2E-B6DD-71AD06274849}">
      <formula1>"INTERNO,OPERACIONAL"</formula1>
    </dataValidation>
    <dataValidation type="list" allowBlank="1" showInputMessage="1" showErrorMessage="1" sqref="E61" xr:uid="{CA6FB282-B65D-40DE-895E-305FAF7108F0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91F6-3AE4-411D-947A-BC8A9363654F}">
  <sheetPr codeName="Planilha14">
    <tabColor rgb="FF7030A0"/>
    <pageSetUpPr autoPageBreaks="0"/>
  </sheetPr>
  <dimension ref="A1:AM71"/>
  <sheetViews>
    <sheetView showGridLines="0" topLeftCell="B1" zoomScale="50" zoomScaleNormal="50" workbookViewId="0">
      <pane ySplit="1" topLeftCell="A32" activePane="bottomLeft" state="frozen"/>
      <selection pane="bottomLeft" activeCell="N39" sqref="N39"/>
    </sheetView>
  </sheetViews>
  <sheetFormatPr defaultColWidth="8.88671875" defaultRowHeight="23.4" x14ac:dyDescent="0.3"/>
  <cols>
    <col min="1" max="1" width="4.44140625" style="71" hidden="1" customWidth="1"/>
    <col min="2" max="2" width="11.33203125" style="71" customWidth="1"/>
    <col min="3" max="5" width="4.44140625" style="71" hidden="1" customWidth="1"/>
    <col min="6" max="6" width="35.44140625" style="87" customWidth="1"/>
    <col min="7" max="7" width="52.88671875" style="71" customWidth="1"/>
    <col min="8" max="9" width="10.5546875" style="74" hidden="1" customWidth="1"/>
    <col min="10" max="10" width="23.109375" style="71" hidden="1" customWidth="1"/>
    <col min="11" max="11" width="28.44140625" style="71" bestFit="1" customWidth="1"/>
    <col min="12" max="12" width="24.88671875" style="71" bestFit="1" customWidth="1"/>
    <col min="13" max="13" width="26.88671875" style="71" bestFit="1" customWidth="1"/>
    <col min="14" max="14" width="28.44140625" style="71" bestFit="1" customWidth="1"/>
    <col min="15" max="15" width="3.109375" style="71" hidden="1" customWidth="1"/>
    <col min="16" max="16" width="17.109375" style="71" hidden="1" customWidth="1"/>
    <col min="17" max="17" width="10.5546875" style="74" customWidth="1"/>
    <col min="18" max="18" width="10.5546875" style="74" hidden="1" customWidth="1"/>
    <col min="19" max="19" width="17.5546875" style="71" hidden="1" customWidth="1"/>
    <col min="20" max="20" width="25.109375" style="71" bestFit="1" customWidth="1"/>
    <col min="21" max="21" width="23.44140625" style="71" hidden="1" customWidth="1"/>
    <col min="22" max="22" width="11.88671875" style="74" hidden="1" customWidth="1"/>
    <col min="23" max="23" width="15.5546875" style="71" hidden="1" customWidth="1"/>
    <col min="24" max="24" width="26" style="71" bestFit="1" customWidth="1"/>
    <col min="25" max="25" width="29" style="71" hidden="1" customWidth="1"/>
    <col min="26" max="26" width="16.88671875" style="71" hidden="1" customWidth="1"/>
    <col min="27" max="27" width="23" style="71" hidden="1" customWidth="1"/>
    <col min="28" max="29" width="38.109375" style="71" customWidth="1"/>
    <col min="30" max="30" width="14.109375" style="425" bestFit="1" customWidth="1"/>
    <col min="31" max="31" width="7.88671875" style="71" hidden="1" customWidth="1"/>
    <col min="32" max="32" width="6.88671875" style="71" hidden="1" customWidth="1"/>
    <col min="33" max="33" width="1.109375" style="71" hidden="1" customWidth="1"/>
    <col min="34" max="35" width="29.44140625" style="74" customWidth="1"/>
    <col min="36" max="36" width="6.109375" style="71" bestFit="1" customWidth="1"/>
    <col min="37" max="37" width="12.88671875" style="71" bestFit="1" customWidth="1"/>
    <col min="38" max="38" width="13.109375" style="71" bestFit="1" customWidth="1"/>
    <col min="39" max="39" width="13.5546875" style="71" bestFit="1" customWidth="1"/>
    <col min="40" max="40" width="8.88671875" style="71"/>
    <col min="41" max="41" width="21.109375" style="71" customWidth="1"/>
    <col min="42" max="16384" width="8.88671875" style="71"/>
  </cols>
  <sheetData>
    <row r="1" spans="1:39" ht="49.5" customHeight="1" x14ac:dyDescent="0.3">
      <c r="B1" s="72"/>
      <c r="C1" s="73"/>
      <c r="D1" s="73"/>
      <c r="F1" s="518" t="s">
        <v>110</v>
      </c>
      <c r="G1" s="518"/>
    </row>
    <row r="2" spans="1:39" ht="24.75" customHeight="1" x14ac:dyDescent="0.3">
      <c r="B2" s="74"/>
      <c r="D2" s="73"/>
      <c r="F2" s="519" t="s">
        <v>0</v>
      </c>
      <c r="G2" s="519"/>
    </row>
    <row r="3" spans="1:39" x14ac:dyDescent="0.3">
      <c r="B3" s="75"/>
      <c r="F3" s="76"/>
      <c r="G3" s="77"/>
    </row>
    <row r="4" spans="1:39" x14ac:dyDescent="0.3">
      <c r="F4" s="78" t="s">
        <v>189</v>
      </c>
      <c r="G4" s="79" t="s">
        <v>219</v>
      </c>
    </row>
    <row r="5" spans="1:39" x14ac:dyDescent="0.3">
      <c r="F5" s="80" t="s">
        <v>190</v>
      </c>
      <c r="G5" s="81" t="s">
        <v>173</v>
      </c>
    </row>
    <row r="6" spans="1:39" x14ac:dyDescent="0.3">
      <c r="D6" s="71" t="s">
        <v>97</v>
      </c>
      <c r="F6" s="80" t="s">
        <v>191</v>
      </c>
      <c r="G6" s="82" t="s">
        <v>183</v>
      </c>
    </row>
    <row r="7" spans="1:39" ht="21.75" customHeight="1" x14ac:dyDescent="0.3">
      <c r="F7" s="80" t="s">
        <v>192</v>
      </c>
      <c r="G7" s="82" t="s">
        <v>184</v>
      </c>
      <c r="J7" s="71" t="s">
        <v>109</v>
      </c>
    </row>
    <row r="8" spans="1:39" x14ac:dyDescent="0.3">
      <c r="F8" s="80" t="s">
        <v>193</v>
      </c>
      <c r="G8" s="83" t="s">
        <v>185</v>
      </c>
    </row>
    <row r="9" spans="1:39" x14ac:dyDescent="0.3">
      <c r="F9" s="80" t="s">
        <v>194</v>
      </c>
      <c r="G9" s="82" t="s">
        <v>186</v>
      </c>
      <c r="J9" s="71" t="s">
        <v>97</v>
      </c>
    </row>
    <row r="10" spans="1:39" ht="27" customHeight="1" x14ac:dyDescent="0.3">
      <c r="F10" s="80" t="s">
        <v>195</v>
      </c>
      <c r="G10" s="82" t="s">
        <v>248</v>
      </c>
    </row>
    <row r="11" spans="1:39" x14ac:dyDescent="0.3">
      <c r="F11" s="84" t="s">
        <v>196</v>
      </c>
      <c r="G11" s="85" t="s">
        <v>218</v>
      </c>
    </row>
    <row r="12" spans="1:39" ht="70.8" hidden="1" thickBot="1" x14ac:dyDescent="0.35">
      <c r="B12" s="86"/>
      <c r="M12" s="88"/>
      <c r="Q12" s="520" t="s">
        <v>1</v>
      </c>
      <c r="R12" s="521"/>
      <c r="S12" s="521"/>
      <c r="T12" s="522"/>
      <c r="U12" s="523" t="s">
        <v>2</v>
      </c>
      <c r="V12" s="524"/>
      <c r="W12" s="524"/>
      <c r="X12" s="525"/>
      <c r="Y12" s="89" t="s">
        <v>48</v>
      </c>
      <c r="Z12" s="90">
        <f>(1/(1-M14))-1</f>
        <v>0.23456790123456783</v>
      </c>
      <c r="AD12" s="526"/>
      <c r="AE12" s="526"/>
      <c r="AF12" s="526"/>
      <c r="AH12" s="545" t="s">
        <v>50</v>
      </c>
      <c r="AI12" s="546"/>
      <c r="AK12" s="91" t="s">
        <v>52</v>
      </c>
      <c r="AL12" s="531" t="s">
        <v>51</v>
      </c>
      <c r="AM12" s="532"/>
    </row>
    <row r="13" spans="1:39" ht="24" thickBot="1" x14ac:dyDescent="0.35">
      <c r="A13" s="92" t="s">
        <v>4</v>
      </c>
      <c r="B13" s="93" t="s">
        <v>5</v>
      </c>
      <c r="C13" s="92" t="s">
        <v>6</v>
      </c>
      <c r="D13" s="92" t="s">
        <v>7</v>
      </c>
      <c r="E13" s="92" t="s">
        <v>8</v>
      </c>
      <c r="M13" s="94">
        <v>0.81</v>
      </c>
    </row>
    <row r="14" spans="1:39" ht="35.1" customHeight="1" thickBot="1" x14ac:dyDescent="0.35">
      <c r="A14" s="95">
        <v>0</v>
      </c>
      <c r="B14" s="96"/>
      <c r="C14" s="97"/>
      <c r="D14" s="98"/>
      <c r="E14" s="98"/>
      <c r="F14" s="99" t="s">
        <v>76</v>
      </c>
      <c r="G14" s="100" t="s">
        <v>77</v>
      </c>
      <c r="H14" s="101" t="s">
        <v>78</v>
      </c>
      <c r="I14" s="101" t="s">
        <v>79</v>
      </c>
      <c r="J14" s="102" t="s">
        <v>80</v>
      </c>
      <c r="K14" s="103" t="s">
        <v>9</v>
      </c>
      <c r="L14" s="104">
        <v>0.08</v>
      </c>
      <c r="M14" s="105">
        <v>0.19</v>
      </c>
      <c r="N14" s="106" t="s">
        <v>74</v>
      </c>
      <c r="Q14" s="107" t="s">
        <v>81</v>
      </c>
      <c r="R14" s="108" t="s">
        <v>82</v>
      </c>
      <c r="S14" s="109" t="s">
        <v>83</v>
      </c>
      <c r="T14" s="110" t="s">
        <v>84</v>
      </c>
      <c r="U14" s="111" t="s">
        <v>85</v>
      </c>
      <c r="V14" s="112" t="s">
        <v>86</v>
      </c>
      <c r="W14" s="113" t="s">
        <v>87</v>
      </c>
      <c r="X14" s="113" t="s">
        <v>88</v>
      </c>
      <c r="Y14" s="114" t="s">
        <v>89</v>
      </c>
      <c r="Z14" s="115" t="s">
        <v>90</v>
      </c>
      <c r="AA14" s="116" t="s">
        <v>75</v>
      </c>
      <c r="AB14" s="117" t="s">
        <v>93</v>
      </c>
      <c r="AC14" s="118" t="s">
        <v>94</v>
      </c>
      <c r="AD14" s="424"/>
      <c r="AE14" s="119"/>
      <c r="AF14" s="119"/>
      <c r="AH14" s="120" t="s">
        <v>91</v>
      </c>
      <c r="AI14" s="121" t="s">
        <v>92</v>
      </c>
      <c r="AL14" s="117" t="s">
        <v>93</v>
      </c>
      <c r="AM14" s="122" t="s">
        <v>94</v>
      </c>
    </row>
    <row r="15" spans="1:39" ht="35.1" customHeight="1" thickBot="1" x14ac:dyDescent="0.5">
      <c r="A15" s="98">
        <v>1</v>
      </c>
      <c r="B15" s="123">
        <v>1</v>
      </c>
      <c r="C15" s="124" t="s">
        <v>111</v>
      </c>
      <c r="D15" s="98"/>
      <c r="E15" s="98"/>
      <c r="F15" s="533" t="s">
        <v>226</v>
      </c>
      <c r="G15" s="534"/>
      <c r="H15" s="534"/>
      <c r="I15" s="534"/>
      <c r="J15" s="534"/>
      <c r="K15" s="534"/>
      <c r="L15" s="534"/>
      <c r="M15" s="534"/>
      <c r="N15" s="535"/>
      <c r="Q15" s="536" t="str">
        <f>IF(F15&lt;&gt;"",F15,"")</f>
        <v>EXTRAS</v>
      </c>
      <c r="R15" s="537"/>
      <c r="S15" s="537"/>
      <c r="T15" s="537"/>
      <c r="U15" s="537"/>
      <c r="V15" s="537"/>
      <c r="W15" s="537"/>
      <c r="X15" s="537"/>
      <c r="Y15" s="538"/>
      <c r="AB15" s="509"/>
      <c r="AC15" s="510"/>
    </row>
    <row r="16" spans="1:39" ht="35.1" customHeight="1" x14ac:dyDescent="0.45">
      <c r="A16" s="98">
        <v>2</v>
      </c>
      <c r="B16" s="123" t="s">
        <v>114</v>
      </c>
      <c r="C16" s="124" t="s">
        <v>113</v>
      </c>
      <c r="D16" s="98"/>
      <c r="E16" s="98"/>
      <c r="F16" s="539" t="s">
        <v>226</v>
      </c>
      <c r="G16" s="540"/>
      <c r="H16" s="540"/>
      <c r="I16" s="540"/>
      <c r="J16" s="540"/>
      <c r="K16" s="541"/>
      <c r="L16" s="125" t="s">
        <v>115</v>
      </c>
      <c r="M16" s="126" t="s">
        <v>116</v>
      </c>
      <c r="N16" s="127" t="s">
        <v>74</v>
      </c>
      <c r="Q16" s="542" t="str">
        <f>IF(F16&lt;&gt;"",F16,"")</f>
        <v>EXTRAS</v>
      </c>
      <c r="R16" s="543"/>
      <c r="S16" s="543"/>
      <c r="T16" s="543"/>
      <c r="U16" s="543"/>
      <c r="V16" s="543"/>
      <c r="W16" s="543"/>
      <c r="X16" s="543"/>
      <c r="Y16" s="544"/>
      <c r="Z16" s="128" t="s">
        <v>117</v>
      </c>
      <c r="AA16" s="129" t="s">
        <v>75</v>
      </c>
      <c r="AB16" s="547"/>
      <c r="AC16" s="548"/>
      <c r="AH16" s="130"/>
      <c r="AI16" s="130"/>
      <c r="AK16" s="131"/>
      <c r="AL16" s="131"/>
      <c r="AM16" s="131"/>
    </row>
    <row r="17" spans="1:39" s="137" customFormat="1" ht="60" customHeight="1" x14ac:dyDescent="0.45">
      <c r="A17" s="98">
        <v>3</v>
      </c>
      <c r="B17" s="123" t="s">
        <v>120</v>
      </c>
      <c r="C17" s="124" t="s">
        <v>119</v>
      </c>
      <c r="D17" s="98" t="s">
        <v>163</v>
      </c>
      <c r="E17" s="98" t="s">
        <v>162</v>
      </c>
      <c r="F17" s="132" t="s">
        <v>227</v>
      </c>
      <c r="G17" s="133" t="s">
        <v>228</v>
      </c>
      <c r="H17" s="134">
        <v>1</v>
      </c>
      <c r="I17" s="134">
        <v>1</v>
      </c>
      <c r="J17" s="135">
        <v>819.1</v>
      </c>
      <c r="K17" s="135">
        <f t="shared" ref="K17:K23" si="0">IF(F17&lt;&gt;"",H17*I17*J17,"")</f>
        <v>819.1</v>
      </c>
      <c r="L17" s="135">
        <f t="shared" ref="L17:L23" si="1">IF(K17&lt;&gt;"",IF(D17="INTERNO",0,K17*$L$14),"")</f>
        <v>65.528000000000006</v>
      </c>
      <c r="M17" s="135">
        <f t="shared" ref="M17:M23" si="2">IF(K17&lt;&gt;"",IF(E17="FAT.OGGI",SUM(K17:L17)*(1/(1-$M$14)-1),L17*(1/(1-$M$14)-1)),0)</f>
        <v>207.50533333333328</v>
      </c>
      <c r="N17" s="136">
        <f t="shared" ref="N17:N23" si="3">SUM(K17:M17)</f>
        <v>1092.1333333333332</v>
      </c>
      <c r="Q17" s="138">
        <f t="shared" ref="Q17:R21" si="4">IF(H17&lt;&gt;"",H17,"")</f>
        <v>1</v>
      </c>
      <c r="R17" s="139">
        <f t="shared" si="4"/>
        <v>1</v>
      </c>
      <c r="S17" s="140">
        <v>670</v>
      </c>
      <c r="T17" s="140">
        <v>0</v>
      </c>
      <c r="U17" s="141">
        <f t="shared" ref="U17:U23" si="5">IF(Q17&lt;&gt;"",K17-T17,"")</f>
        <v>819.1</v>
      </c>
      <c r="V17" s="142">
        <f t="shared" ref="V17:V23" si="6">IF(Q17&lt;&gt;"",0%,"")</f>
        <v>0</v>
      </c>
      <c r="W17" s="143">
        <f t="shared" ref="W17:W23" si="7">IF(Q17&lt;&gt;"",V17*U17,"")</f>
        <v>0</v>
      </c>
      <c r="X17" s="143">
        <f t="shared" ref="X17:X23" si="8">IF(Q17&lt;&gt;"",W17+T17,"")</f>
        <v>0</v>
      </c>
      <c r="Y17" s="144">
        <f t="shared" ref="Y17:Y23" si="9">IF(Q17&lt;&gt;"",X17+M17,"")</f>
        <v>207.50533333333328</v>
      </c>
      <c r="Z17" s="145">
        <f t="shared" ref="Z17:Z23" si="10">IF(Q17&lt;&gt;"", IFERROR(U17/K17, 0), 0)</f>
        <v>1</v>
      </c>
      <c r="AA17" s="146" t="str">
        <f t="shared" ref="AA17:AA23" si="11">IFERROR(T17/$T$30, "")</f>
        <v/>
      </c>
      <c r="AB17" s="147">
        <f>X17-AC17</f>
        <v>0</v>
      </c>
      <c r="AC17" s="148">
        <v>0</v>
      </c>
      <c r="AD17" s="426"/>
      <c r="AH17" s="149"/>
      <c r="AI17" s="149"/>
      <c r="AK17" s="149"/>
      <c r="AL17" s="149"/>
      <c r="AM17" s="149"/>
    </row>
    <row r="18" spans="1:39" s="137" customFormat="1" ht="60" customHeight="1" x14ac:dyDescent="0.45">
      <c r="A18" s="98">
        <v>4</v>
      </c>
      <c r="B18" s="123" t="s">
        <v>95</v>
      </c>
      <c r="C18" s="124" t="s">
        <v>119</v>
      </c>
      <c r="D18" s="98" t="s">
        <v>163</v>
      </c>
      <c r="E18" s="98" t="s">
        <v>162</v>
      </c>
      <c r="F18" s="132" t="s">
        <v>229</v>
      </c>
      <c r="G18" s="133" t="s">
        <v>247</v>
      </c>
      <c r="H18" s="134">
        <v>1</v>
      </c>
      <c r="I18" s="134">
        <v>1</v>
      </c>
      <c r="J18" s="135">
        <v>1380</v>
      </c>
      <c r="K18" s="135">
        <f t="shared" si="0"/>
        <v>1380</v>
      </c>
      <c r="L18" s="135">
        <f t="shared" si="1"/>
        <v>110.4</v>
      </c>
      <c r="M18" s="135">
        <f t="shared" si="2"/>
        <v>349.59999999999991</v>
      </c>
      <c r="N18" s="136">
        <f t="shared" si="3"/>
        <v>1840</v>
      </c>
      <c r="Q18" s="138">
        <f t="shared" si="4"/>
        <v>1</v>
      </c>
      <c r="R18" s="139">
        <f t="shared" si="4"/>
        <v>1</v>
      </c>
      <c r="S18" s="140">
        <v>1050</v>
      </c>
      <c r="T18" s="140">
        <v>0</v>
      </c>
      <c r="U18" s="141">
        <f t="shared" si="5"/>
        <v>1380</v>
      </c>
      <c r="V18" s="142">
        <f t="shared" si="6"/>
        <v>0</v>
      </c>
      <c r="W18" s="143">
        <f t="shared" si="7"/>
        <v>0</v>
      </c>
      <c r="X18" s="143">
        <f t="shared" si="8"/>
        <v>0</v>
      </c>
      <c r="Y18" s="144">
        <f t="shared" si="9"/>
        <v>349.59999999999991</v>
      </c>
      <c r="Z18" s="145">
        <f t="shared" si="10"/>
        <v>1</v>
      </c>
      <c r="AA18" s="146" t="str">
        <f t="shared" si="11"/>
        <v/>
      </c>
      <c r="AB18" s="147">
        <f t="shared" ref="AB18:AB37" si="12">X18-AC18</f>
        <v>0</v>
      </c>
      <c r="AC18" s="148">
        <v>0</v>
      </c>
      <c r="AD18" s="426"/>
      <c r="AE18" s="150"/>
      <c r="AF18" s="151"/>
      <c r="AH18" s="149" t="s">
        <v>267</v>
      </c>
      <c r="AI18" s="130" t="s">
        <v>268</v>
      </c>
      <c r="AK18" s="149"/>
      <c r="AL18" s="149"/>
      <c r="AM18" s="152" t="s">
        <v>172</v>
      </c>
    </row>
    <row r="19" spans="1:39" s="137" customFormat="1" ht="60" customHeight="1" x14ac:dyDescent="0.45">
      <c r="A19" s="98">
        <v>5</v>
      </c>
      <c r="B19" s="123" t="s">
        <v>121</v>
      </c>
      <c r="C19" s="124" t="s">
        <v>119</v>
      </c>
      <c r="D19" s="98" t="s">
        <v>163</v>
      </c>
      <c r="E19" s="98" t="s">
        <v>162</v>
      </c>
      <c r="F19" s="132" t="s">
        <v>230</v>
      </c>
      <c r="G19" s="133" t="s">
        <v>246</v>
      </c>
      <c r="H19" s="153">
        <v>21</v>
      </c>
      <c r="I19" s="134">
        <v>1</v>
      </c>
      <c r="J19" s="135">
        <v>279.5</v>
      </c>
      <c r="K19" s="135">
        <f t="shared" si="0"/>
        <v>5869.5</v>
      </c>
      <c r="L19" s="135">
        <f t="shared" si="1"/>
        <v>469.56</v>
      </c>
      <c r="M19" s="135">
        <f t="shared" si="2"/>
        <v>1486.9399999999996</v>
      </c>
      <c r="N19" s="136">
        <f t="shared" si="3"/>
        <v>7826</v>
      </c>
      <c r="Q19" s="138">
        <v>62</v>
      </c>
      <c r="R19" s="139">
        <f t="shared" si="4"/>
        <v>1</v>
      </c>
      <c r="S19" s="140">
        <v>120.21</v>
      </c>
      <c r="T19" s="140">
        <v>0</v>
      </c>
      <c r="U19" s="141">
        <f t="shared" si="5"/>
        <v>5869.5</v>
      </c>
      <c r="V19" s="142">
        <f t="shared" si="6"/>
        <v>0</v>
      </c>
      <c r="W19" s="143">
        <f t="shared" si="7"/>
        <v>0</v>
      </c>
      <c r="X19" s="143">
        <f t="shared" si="8"/>
        <v>0</v>
      </c>
      <c r="Y19" s="144">
        <f t="shared" si="9"/>
        <v>1486.9399999999996</v>
      </c>
      <c r="Z19" s="145">
        <f t="shared" si="10"/>
        <v>1</v>
      </c>
      <c r="AA19" s="146" t="str">
        <f t="shared" si="11"/>
        <v/>
      </c>
      <c r="AB19" s="147">
        <f t="shared" si="12"/>
        <v>0</v>
      </c>
      <c r="AC19" s="148">
        <v>0</v>
      </c>
      <c r="AD19" s="426"/>
      <c r="AH19" s="149"/>
      <c r="AI19" s="149"/>
      <c r="AK19" s="149"/>
      <c r="AL19" s="149"/>
      <c r="AM19" s="149"/>
    </row>
    <row r="20" spans="1:39" s="137" customFormat="1" ht="60" customHeight="1" x14ac:dyDescent="0.45">
      <c r="A20" s="154">
        <v>6</v>
      </c>
      <c r="B20" s="123" t="s">
        <v>122</v>
      </c>
      <c r="C20" s="155" t="s">
        <v>119</v>
      </c>
      <c r="D20" s="98" t="s">
        <v>163</v>
      </c>
      <c r="E20" s="98" t="s">
        <v>162</v>
      </c>
      <c r="F20" s="156" t="s">
        <v>289</v>
      </c>
      <c r="G20" s="157" t="s">
        <v>290</v>
      </c>
      <c r="H20" s="131">
        <v>9</v>
      </c>
      <c r="I20" s="131">
        <v>1</v>
      </c>
      <c r="J20" s="158">
        <v>279.5</v>
      </c>
      <c r="K20" s="158">
        <f>IF(F20&lt;&gt;"",H20*I20*J20,"")</f>
        <v>2515.5</v>
      </c>
      <c r="L20" s="158">
        <f>IF(K20&lt;&gt;"",IF(D20="INTERNO",0,K20*$L$14),"")</f>
        <v>201.24</v>
      </c>
      <c r="M20" s="158">
        <f>IF(K20&lt;&gt;"",IF(E20="FAT.OGGI",SUM(K20:L20)*(1/(1-$M$14)-1),L20*(1/(1-$M$14)-1)),0)</f>
        <v>637.25999999999976</v>
      </c>
      <c r="N20" s="158">
        <f>SUM(K20:M20)</f>
        <v>3353.9999999999995</v>
      </c>
      <c r="Q20" s="159">
        <f>IF(H20&lt;&gt;"",H20,"")</f>
        <v>9</v>
      </c>
      <c r="R20" s="159">
        <f>IF(I20&lt;&gt;"",I20,"")</f>
        <v>1</v>
      </c>
      <c r="S20" s="160">
        <v>120</v>
      </c>
      <c r="T20" s="160">
        <v>0</v>
      </c>
      <c r="U20" s="161">
        <f>IF(Q20&lt;&gt;"",K20-T20,"")</f>
        <v>2515.5</v>
      </c>
      <c r="V20" s="162">
        <f>IF(Q20&lt;&gt;"",0%,"")</f>
        <v>0</v>
      </c>
      <c r="W20" s="163">
        <f>IF(Q20&lt;&gt;"",V20*U20,"")</f>
        <v>0</v>
      </c>
      <c r="X20" s="163">
        <f>IF(Q20&lt;&gt;"",W20+T20,"")</f>
        <v>0</v>
      </c>
      <c r="Y20" s="164">
        <f>IF(Q20&lt;&gt;"",X20+M20,"")</f>
        <v>637.25999999999976</v>
      </c>
      <c r="Z20" s="146">
        <f>IF(Q20&lt;&gt;"", IFERROR(U20/K20, 0), 0)</f>
        <v>1</v>
      </c>
      <c r="AA20" s="146"/>
      <c r="AB20" s="147">
        <f t="shared" si="12"/>
        <v>0</v>
      </c>
      <c r="AC20" s="148">
        <v>0</v>
      </c>
      <c r="AD20" s="426"/>
      <c r="AH20" s="149"/>
      <c r="AI20" s="149"/>
      <c r="AK20" s="149"/>
      <c r="AL20" s="149"/>
      <c r="AM20" s="149"/>
    </row>
    <row r="21" spans="1:39" s="137" customFormat="1" ht="60" customHeight="1" x14ac:dyDescent="0.45">
      <c r="A21" s="165">
        <v>7</v>
      </c>
      <c r="B21" s="123" t="s">
        <v>232</v>
      </c>
      <c r="C21" s="166" t="s">
        <v>119</v>
      </c>
      <c r="D21" s="165" t="s">
        <v>163</v>
      </c>
      <c r="E21" s="165" t="s">
        <v>162</v>
      </c>
      <c r="F21" s="167" t="s">
        <v>231</v>
      </c>
      <c r="G21" s="168" t="s">
        <v>240</v>
      </c>
      <c r="H21" s="169">
        <v>1</v>
      </c>
      <c r="I21" s="169">
        <v>1</v>
      </c>
      <c r="J21" s="170">
        <v>1008</v>
      </c>
      <c r="K21" s="170">
        <f t="shared" si="0"/>
        <v>1008</v>
      </c>
      <c r="L21" s="170">
        <f t="shared" si="1"/>
        <v>80.64</v>
      </c>
      <c r="M21" s="170">
        <f t="shared" si="2"/>
        <v>255.35999999999996</v>
      </c>
      <c r="N21" s="171">
        <f t="shared" si="3"/>
        <v>1344</v>
      </c>
      <c r="Q21" s="172">
        <f t="shared" si="4"/>
        <v>1</v>
      </c>
      <c r="R21" s="173">
        <f t="shared" si="4"/>
        <v>1</v>
      </c>
      <c r="S21" s="174">
        <v>840</v>
      </c>
      <c r="T21" s="174">
        <v>0</v>
      </c>
      <c r="U21" s="175">
        <f t="shared" si="5"/>
        <v>1008</v>
      </c>
      <c r="V21" s="176">
        <f t="shared" si="6"/>
        <v>0</v>
      </c>
      <c r="W21" s="177">
        <f t="shared" si="7"/>
        <v>0</v>
      </c>
      <c r="X21" s="177">
        <f t="shared" si="8"/>
        <v>0</v>
      </c>
      <c r="Y21" s="178">
        <f t="shared" si="9"/>
        <v>255.35999999999996</v>
      </c>
      <c r="Z21" s="145">
        <f t="shared" si="10"/>
        <v>1</v>
      </c>
      <c r="AA21" s="146" t="str">
        <f t="shared" si="11"/>
        <v/>
      </c>
      <c r="AB21" s="147">
        <f t="shared" si="12"/>
        <v>0</v>
      </c>
      <c r="AC21" s="148">
        <v>0</v>
      </c>
      <c r="AD21" s="426"/>
      <c r="AH21" s="149"/>
      <c r="AI21" s="149"/>
      <c r="AK21" s="149"/>
      <c r="AL21" s="149"/>
      <c r="AM21" s="149"/>
    </row>
    <row r="22" spans="1:39" s="137" customFormat="1" ht="60" customHeight="1" x14ac:dyDescent="0.45">
      <c r="A22" s="154">
        <v>8</v>
      </c>
      <c r="B22" s="123" t="s">
        <v>256</v>
      </c>
      <c r="C22" s="155" t="s">
        <v>119</v>
      </c>
      <c r="D22" s="98" t="s">
        <v>163</v>
      </c>
      <c r="E22" s="98" t="s">
        <v>162</v>
      </c>
      <c r="F22" s="179" t="s">
        <v>244</v>
      </c>
      <c r="G22" s="157" t="s">
        <v>245</v>
      </c>
      <c r="H22" s="131">
        <v>4</v>
      </c>
      <c r="I22" s="131">
        <v>1</v>
      </c>
      <c r="J22" s="158">
        <v>108</v>
      </c>
      <c r="K22" s="158">
        <f t="shared" si="0"/>
        <v>432</v>
      </c>
      <c r="L22" s="158">
        <f t="shared" si="1"/>
        <v>34.56</v>
      </c>
      <c r="M22" s="158">
        <f t="shared" si="2"/>
        <v>109.43999999999997</v>
      </c>
      <c r="N22" s="180">
        <f t="shared" si="3"/>
        <v>576</v>
      </c>
      <c r="Q22" s="181">
        <f t="shared" ref="Q22:R23" si="13">IF(H22&lt;&gt;"",H22,"")</f>
        <v>4</v>
      </c>
      <c r="R22" s="159">
        <f t="shared" si="13"/>
        <v>1</v>
      </c>
      <c r="S22" s="160">
        <v>90</v>
      </c>
      <c r="T22" s="160">
        <v>0</v>
      </c>
      <c r="U22" s="161">
        <f t="shared" si="5"/>
        <v>432</v>
      </c>
      <c r="V22" s="162">
        <f t="shared" si="6"/>
        <v>0</v>
      </c>
      <c r="W22" s="163">
        <f t="shared" si="7"/>
        <v>0</v>
      </c>
      <c r="X22" s="163">
        <f t="shared" si="8"/>
        <v>0</v>
      </c>
      <c r="Y22" s="182">
        <f t="shared" si="9"/>
        <v>109.43999999999997</v>
      </c>
      <c r="Z22" s="145">
        <f t="shared" si="10"/>
        <v>1</v>
      </c>
      <c r="AA22" s="146" t="str">
        <f t="shared" si="11"/>
        <v/>
      </c>
      <c r="AB22" s="147">
        <f t="shared" si="12"/>
        <v>0</v>
      </c>
      <c r="AC22" s="148">
        <v>0</v>
      </c>
      <c r="AD22" s="426"/>
      <c r="AH22" s="149"/>
      <c r="AI22" s="149"/>
      <c r="AK22" s="149"/>
      <c r="AL22" s="149"/>
      <c r="AM22" s="149"/>
    </row>
    <row r="23" spans="1:39" s="137" customFormat="1" ht="60" customHeight="1" x14ac:dyDescent="0.45">
      <c r="A23" s="165">
        <v>9</v>
      </c>
      <c r="B23" s="123" t="s">
        <v>243</v>
      </c>
      <c r="C23" s="166" t="s">
        <v>119</v>
      </c>
      <c r="D23" s="165" t="s">
        <v>163</v>
      </c>
      <c r="E23" s="165" t="s">
        <v>162</v>
      </c>
      <c r="F23" s="167" t="s">
        <v>241</v>
      </c>
      <c r="G23" s="168" t="s">
        <v>242</v>
      </c>
      <c r="H23" s="169">
        <v>1</v>
      </c>
      <c r="I23" s="169">
        <v>1</v>
      </c>
      <c r="J23" s="170">
        <v>357.52</v>
      </c>
      <c r="K23" s="170">
        <f t="shared" si="0"/>
        <v>357.52</v>
      </c>
      <c r="L23" s="170">
        <f t="shared" si="1"/>
        <v>28.601599999999998</v>
      </c>
      <c r="M23" s="170">
        <f t="shared" si="2"/>
        <v>90.571733333333313</v>
      </c>
      <c r="N23" s="171">
        <f t="shared" si="3"/>
        <v>476.69333333333333</v>
      </c>
      <c r="Q23" s="172">
        <f t="shared" si="13"/>
        <v>1</v>
      </c>
      <c r="R23" s="173">
        <v>1</v>
      </c>
      <c r="S23" s="174">
        <v>62.84</v>
      </c>
      <c r="T23" s="174">
        <v>0</v>
      </c>
      <c r="U23" s="175">
        <f t="shared" si="5"/>
        <v>357.52</v>
      </c>
      <c r="V23" s="176">
        <f t="shared" si="6"/>
        <v>0</v>
      </c>
      <c r="W23" s="177">
        <f t="shared" si="7"/>
        <v>0</v>
      </c>
      <c r="X23" s="177">
        <f t="shared" si="8"/>
        <v>0</v>
      </c>
      <c r="Y23" s="178">
        <f t="shared" si="9"/>
        <v>90.571733333333313</v>
      </c>
      <c r="Z23" s="145">
        <f t="shared" si="10"/>
        <v>1</v>
      </c>
      <c r="AA23" s="146" t="str">
        <f t="shared" si="11"/>
        <v/>
      </c>
      <c r="AB23" s="147">
        <f t="shared" si="12"/>
        <v>0</v>
      </c>
      <c r="AC23" s="148">
        <v>0</v>
      </c>
      <c r="AD23" s="426"/>
      <c r="AH23" s="149"/>
      <c r="AI23" s="149"/>
      <c r="AK23" s="149"/>
      <c r="AL23" s="149"/>
      <c r="AM23" s="149"/>
    </row>
    <row r="24" spans="1:39" s="137" customFormat="1" ht="60" customHeight="1" x14ac:dyDescent="0.45">
      <c r="A24" s="98">
        <v>10</v>
      </c>
      <c r="B24" s="123" t="s">
        <v>271</v>
      </c>
      <c r="C24" s="124" t="s">
        <v>119</v>
      </c>
      <c r="D24" s="165" t="s">
        <v>163</v>
      </c>
      <c r="E24" s="165" t="s">
        <v>162</v>
      </c>
      <c r="F24" s="183" t="s">
        <v>281</v>
      </c>
      <c r="G24" s="133" t="s">
        <v>282</v>
      </c>
      <c r="H24" s="134">
        <v>1</v>
      </c>
      <c r="I24" s="134">
        <v>1</v>
      </c>
      <c r="J24" s="135">
        <v>720</v>
      </c>
      <c r="K24" s="135">
        <f t="shared" ref="K24:K29" si="14">IF(F24&lt;&gt;"",H24*I24*J24,"")</f>
        <v>720</v>
      </c>
      <c r="L24" s="135">
        <f t="shared" ref="L24:L29" si="15">IF(K24&lt;&gt;"",IF(D24="INTERNO",0,K24*$L$14),"")</f>
        <v>57.6</v>
      </c>
      <c r="M24" s="135">
        <f t="shared" ref="M24:M29" si="16">IF(K24&lt;&gt;"",IF(E24="FAT.OGGI",SUM(K24:L24)*(1/(1-$M$14)-1),L24*(1/(1-$M$14)-1)),0)</f>
        <v>182.39999999999995</v>
      </c>
      <c r="N24" s="135">
        <f t="shared" ref="N24:N29" si="17">SUM(K24:M24)</f>
        <v>960</v>
      </c>
      <c r="Q24" s="139">
        <f t="shared" ref="Q24:R27" si="18">IF(H24&lt;&gt;"",H24,"")</f>
        <v>1</v>
      </c>
      <c r="R24" s="139">
        <f t="shared" si="18"/>
        <v>1</v>
      </c>
      <c r="S24" s="140">
        <v>600</v>
      </c>
      <c r="T24" s="140">
        <v>0</v>
      </c>
      <c r="U24" s="141">
        <f t="shared" ref="U24:U29" si="19">IF(Q24&lt;&gt;"",K24-T24,"")</f>
        <v>720</v>
      </c>
      <c r="V24" s="142">
        <f t="shared" ref="V24:V29" si="20">IF(Q24&lt;&gt;"",0%,"")</f>
        <v>0</v>
      </c>
      <c r="W24" s="143">
        <f t="shared" ref="W24:W29" si="21">IF(Q24&lt;&gt;"",V24*U24,"")</f>
        <v>0</v>
      </c>
      <c r="X24" s="143">
        <f t="shared" ref="X24:X29" si="22">IF(Q24&lt;&gt;"",W24+T24,"")</f>
        <v>0</v>
      </c>
      <c r="Y24" s="184">
        <f t="shared" ref="Y24:Y30" si="23">IF(Q24&lt;&gt;"",X24+M24,"")</f>
        <v>182.39999999999995</v>
      </c>
      <c r="Z24" s="146">
        <f t="shared" ref="Z24:Z29" si="24">IF(Q24&lt;&gt;"", IFERROR(U24/K24, 0), 0)</f>
        <v>1</v>
      </c>
      <c r="AA24" s="185"/>
      <c r="AB24" s="147">
        <f t="shared" si="12"/>
        <v>0</v>
      </c>
      <c r="AC24" s="148">
        <v>0</v>
      </c>
      <c r="AD24" s="426"/>
    </row>
    <row r="25" spans="1:39" s="137" customFormat="1" ht="60" customHeight="1" x14ac:dyDescent="0.45">
      <c r="A25" s="98">
        <v>11</v>
      </c>
      <c r="B25" s="123" t="s">
        <v>274</v>
      </c>
      <c r="C25" s="124" t="s">
        <v>119</v>
      </c>
      <c r="D25" s="165" t="s">
        <v>163</v>
      </c>
      <c r="E25" s="165" t="s">
        <v>162</v>
      </c>
      <c r="F25" s="183" t="s">
        <v>272</v>
      </c>
      <c r="G25" s="133" t="s">
        <v>273</v>
      </c>
      <c r="H25" s="134">
        <v>1</v>
      </c>
      <c r="I25" s="134">
        <v>1</v>
      </c>
      <c r="J25" s="135">
        <v>850</v>
      </c>
      <c r="K25" s="135">
        <f t="shared" si="14"/>
        <v>850</v>
      </c>
      <c r="L25" s="135">
        <f t="shared" si="15"/>
        <v>68</v>
      </c>
      <c r="M25" s="135">
        <f t="shared" si="16"/>
        <v>215.33333333333326</v>
      </c>
      <c r="N25" s="135">
        <f t="shared" si="17"/>
        <v>1133.3333333333333</v>
      </c>
      <c r="Q25" s="139">
        <f t="shared" si="18"/>
        <v>1</v>
      </c>
      <c r="R25" s="139">
        <f t="shared" si="18"/>
        <v>1</v>
      </c>
      <c r="S25" s="140">
        <v>700</v>
      </c>
      <c r="T25" s="140">
        <v>0</v>
      </c>
      <c r="U25" s="141">
        <f t="shared" si="19"/>
        <v>850</v>
      </c>
      <c r="V25" s="142">
        <f t="shared" si="20"/>
        <v>0</v>
      </c>
      <c r="W25" s="143">
        <f t="shared" si="21"/>
        <v>0</v>
      </c>
      <c r="X25" s="143">
        <f t="shared" si="22"/>
        <v>0</v>
      </c>
      <c r="Y25" s="184">
        <f t="shared" si="23"/>
        <v>215.33333333333326</v>
      </c>
      <c r="Z25" s="146">
        <f t="shared" si="24"/>
        <v>1</v>
      </c>
      <c r="AA25" s="185"/>
      <c r="AB25" s="147">
        <f t="shared" si="12"/>
        <v>0</v>
      </c>
      <c r="AC25" s="148">
        <v>0</v>
      </c>
      <c r="AD25" s="426"/>
    </row>
    <row r="26" spans="1:39" s="137" customFormat="1" ht="60" customHeight="1" x14ac:dyDescent="0.45">
      <c r="A26" s="154">
        <v>12</v>
      </c>
      <c r="B26" s="123" t="s">
        <v>276</v>
      </c>
      <c r="C26" s="155" t="s">
        <v>119</v>
      </c>
      <c r="D26" s="165" t="s">
        <v>163</v>
      </c>
      <c r="E26" s="165" t="s">
        <v>162</v>
      </c>
      <c r="F26" s="156" t="s">
        <v>285</v>
      </c>
      <c r="G26" s="157" t="s">
        <v>286</v>
      </c>
      <c r="H26" s="131">
        <v>2</v>
      </c>
      <c r="I26" s="131">
        <v>3</v>
      </c>
      <c r="J26" s="158">
        <v>200</v>
      </c>
      <c r="K26" s="158">
        <f t="shared" si="14"/>
        <v>1200</v>
      </c>
      <c r="L26" s="158">
        <f t="shared" si="15"/>
        <v>96</v>
      </c>
      <c r="M26" s="158">
        <f t="shared" si="16"/>
        <v>303.99999999999989</v>
      </c>
      <c r="N26" s="158">
        <f t="shared" si="17"/>
        <v>1600</v>
      </c>
      <c r="Q26" s="159">
        <v>1</v>
      </c>
      <c r="R26" s="159">
        <v>1</v>
      </c>
      <c r="S26" s="160">
        <v>260</v>
      </c>
      <c r="T26" s="160">
        <v>0</v>
      </c>
      <c r="U26" s="161">
        <f t="shared" si="19"/>
        <v>1200</v>
      </c>
      <c r="V26" s="162">
        <f t="shared" si="20"/>
        <v>0</v>
      </c>
      <c r="W26" s="163">
        <f t="shared" si="21"/>
        <v>0</v>
      </c>
      <c r="X26" s="163">
        <f t="shared" si="22"/>
        <v>0</v>
      </c>
      <c r="Y26" s="164">
        <f>IF(Q26&lt;&gt;"",X26+M26,"")</f>
        <v>303.99999999999989</v>
      </c>
      <c r="Z26" s="146">
        <f t="shared" si="24"/>
        <v>1</v>
      </c>
      <c r="AA26" s="185"/>
      <c r="AB26" s="147">
        <f t="shared" si="12"/>
        <v>0</v>
      </c>
      <c r="AC26" s="148">
        <v>0</v>
      </c>
      <c r="AD26" s="426"/>
    </row>
    <row r="27" spans="1:39" s="137" customFormat="1" ht="60" customHeight="1" x14ac:dyDescent="0.45">
      <c r="A27" s="165">
        <v>13</v>
      </c>
      <c r="B27" s="123" t="s">
        <v>278</v>
      </c>
      <c r="C27" s="166" t="s">
        <v>119</v>
      </c>
      <c r="D27" s="165" t="s">
        <v>163</v>
      </c>
      <c r="E27" s="165" t="s">
        <v>162</v>
      </c>
      <c r="F27" s="186" t="s">
        <v>275</v>
      </c>
      <c r="G27" s="168" t="s">
        <v>283</v>
      </c>
      <c r="H27" s="169">
        <v>3</v>
      </c>
      <c r="I27" s="169">
        <v>1</v>
      </c>
      <c r="J27" s="170">
        <v>380</v>
      </c>
      <c r="K27" s="170">
        <f t="shared" si="14"/>
        <v>1140</v>
      </c>
      <c r="L27" s="170">
        <f t="shared" si="15"/>
        <v>91.2</v>
      </c>
      <c r="M27" s="170">
        <f t="shared" si="16"/>
        <v>288.79999999999995</v>
      </c>
      <c r="N27" s="170">
        <f t="shared" si="17"/>
        <v>1520</v>
      </c>
      <c r="Q27" s="173">
        <f t="shared" si="18"/>
        <v>3</v>
      </c>
      <c r="R27" s="173">
        <f t="shared" si="18"/>
        <v>1</v>
      </c>
      <c r="S27" s="174">
        <v>285</v>
      </c>
      <c r="T27" s="174">
        <v>0</v>
      </c>
      <c r="U27" s="175">
        <f t="shared" si="19"/>
        <v>1140</v>
      </c>
      <c r="V27" s="176">
        <f t="shared" si="20"/>
        <v>0</v>
      </c>
      <c r="W27" s="177">
        <f t="shared" si="21"/>
        <v>0</v>
      </c>
      <c r="X27" s="177">
        <f t="shared" si="22"/>
        <v>0</v>
      </c>
      <c r="Y27" s="187">
        <f t="shared" si="23"/>
        <v>288.79999999999995</v>
      </c>
      <c r="Z27" s="146">
        <f t="shared" si="24"/>
        <v>1</v>
      </c>
      <c r="AA27" s="185"/>
      <c r="AB27" s="147">
        <f t="shared" si="12"/>
        <v>0</v>
      </c>
      <c r="AC27" s="148">
        <v>0</v>
      </c>
      <c r="AD27" s="426"/>
    </row>
    <row r="28" spans="1:39" s="137" customFormat="1" ht="60" customHeight="1" x14ac:dyDescent="0.45">
      <c r="A28" s="154">
        <v>14</v>
      </c>
      <c r="B28" s="123" t="s">
        <v>284</v>
      </c>
      <c r="C28" s="155" t="s">
        <v>119</v>
      </c>
      <c r="D28" s="165" t="s">
        <v>163</v>
      </c>
      <c r="E28" s="165" t="s">
        <v>162</v>
      </c>
      <c r="F28" s="156" t="s">
        <v>279</v>
      </c>
      <c r="G28" s="157" t="s">
        <v>280</v>
      </c>
      <c r="H28" s="131">
        <v>1</v>
      </c>
      <c r="I28" s="131">
        <v>1</v>
      </c>
      <c r="J28" s="158">
        <v>43.34</v>
      </c>
      <c r="K28" s="158">
        <f t="shared" si="14"/>
        <v>43.34</v>
      </c>
      <c r="L28" s="158">
        <f t="shared" si="15"/>
        <v>3.4672000000000005</v>
      </c>
      <c r="M28" s="158">
        <f t="shared" si="16"/>
        <v>10.979466666666664</v>
      </c>
      <c r="N28" s="158">
        <f t="shared" si="17"/>
        <v>57.786666666666662</v>
      </c>
      <c r="Q28" s="159">
        <f>IF(H28&lt;&gt;"",H28,"")</f>
        <v>1</v>
      </c>
      <c r="R28" s="159">
        <f>IF(I28&lt;&gt;"",I28,"")</f>
        <v>1</v>
      </c>
      <c r="S28" s="160">
        <v>36.119999999999997</v>
      </c>
      <c r="T28" s="160">
        <v>0</v>
      </c>
      <c r="U28" s="161">
        <f t="shared" si="19"/>
        <v>43.34</v>
      </c>
      <c r="V28" s="162">
        <f t="shared" si="20"/>
        <v>0</v>
      </c>
      <c r="W28" s="163">
        <f t="shared" si="21"/>
        <v>0</v>
      </c>
      <c r="X28" s="163">
        <f t="shared" si="22"/>
        <v>0</v>
      </c>
      <c r="Y28" s="164">
        <f t="shared" si="23"/>
        <v>10.979466666666664</v>
      </c>
      <c r="Z28" s="146">
        <f t="shared" si="24"/>
        <v>1</v>
      </c>
      <c r="AA28" s="185"/>
      <c r="AB28" s="147">
        <f t="shared" si="12"/>
        <v>0</v>
      </c>
      <c r="AC28" s="148">
        <v>0</v>
      </c>
      <c r="AD28" s="426"/>
    </row>
    <row r="29" spans="1:39" s="137" customFormat="1" ht="60" customHeight="1" x14ac:dyDescent="0.45">
      <c r="A29" s="188">
        <v>15</v>
      </c>
      <c r="B29" s="123" t="s">
        <v>288</v>
      </c>
      <c r="C29" s="189" t="s">
        <v>119</v>
      </c>
      <c r="D29" s="165" t="s">
        <v>163</v>
      </c>
      <c r="E29" s="165" t="s">
        <v>162</v>
      </c>
      <c r="F29" s="190" t="s">
        <v>277</v>
      </c>
      <c r="G29" s="191" t="s">
        <v>287</v>
      </c>
      <c r="H29" s="192">
        <v>1</v>
      </c>
      <c r="I29" s="192">
        <v>1</v>
      </c>
      <c r="J29" s="193">
        <v>35</v>
      </c>
      <c r="K29" s="193">
        <f t="shared" si="14"/>
        <v>35</v>
      </c>
      <c r="L29" s="193">
        <f t="shared" si="15"/>
        <v>2.8000000000000003</v>
      </c>
      <c r="M29" s="193">
        <f t="shared" si="16"/>
        <v>8.8666666666666636</v>
      </c>
      <c r="N29" s="193">
        <f t="shared" si="17"/>
        <v>46.666666666666657</v>
      </c>
      <c r="Q29" s="194">
        <f>IF(H29&lt;&gt;"",H29,"")</f>
        <v>1</v>
      </c>
      <c r="R29" s="194">
        <f>IF(I29&lt;&gt;"",I29,"")</f>
        <v>1</v>
      </c>
      <c r="S29" s="195">
        <v>35</v>
      </c>
      <c r="T29" s="195">
        <v>0</v>
      </c>
      <c r="U29" s="196">
        <f t="shared" si="19"/>
        <v>35</v>
      </c>
      <c r="V29" s="197">
        <f t="shared" si="20"/>
        <v>0</v>
      </c>
      <c r="W29" s="198">
        <f t="shared" si="21"/>
        <v>0</v>
      </c>
      <c r="X29" s="198">
        <f t="shared" si="22"/>
        <v>0</v>
      </c>
      <c r="Y29" s="199">
        <f t="shared" si="23"/>
        <v>8.8666666666666636</v>
      </c>
      <c r="Z29" s="146">
        <f t="shared" si="24"/>
        <v>1</v>
      </c>
      <c r="AA29" s="185"/>
      <c r="AB29" s="147">
        <f t="shared" si="12"/>
        <v>0</v>
      </c>
      <c r="AC29" s="148">
        <v>0</v>
      </c>
      <c r="AD29" s="426"/>
    </row>
    <row r="30" spans="1:39" s="137" customFormat="1" ht="35.1" customHeight="1" thickBot="1" x14ac:dyDescent="0.5">
      <c r="A30" s="188">
        <v>16</v>
      </c>
      <c r="B30" s="123"/>
      <c r="C30" s="189" t="s">
        <v>131</v>
      </c>
      <c r="D30" s="188"/>
      <c r="E30" s="188"/>
      <c r="F30" s="527" t="s">
        <v>249</v>
      </c>
      <c r="G30" s="528"/>
      <c r="H30" s="528"/>
      <c r="I30" s="528"/>
      <c r="J30" s="528"/>
      <c r="K30" s="200">
        <f>SUM(K17:K29)</f>
        <v>16369.960000000001</v>
      </c>
      <c r="L30" s="200">
        <f>SUM(L17:L29)</f>
        <v>1309.5968</v>
      </c>
      <c r="M30" s="200">
        <f>SUM(M17:M29)</f>
        <v>4147.0565333333334</v>
      </c>
      <c r="N30" s="201">
        <f>SUM(N17:N29)</f>
        <v>21826.613333333335</v>
      </c>
      <c r="Q30" s="529" t="s">
        <v>249</v>
      </c>
      <c r="R30" s="530"/>
      <c r="S30" s="530"/>
      <c r="T30" s="202">
        <f>SUM(T17:T29)</f>
        <v>0</v>
      </c>
      <c r="U30" s="203">
        <f>SUM(U17:U29)</f>
        <v>16369.960000000001</v>
      </c>
      <c r="V30" s="204"/>
      <c r="W30" s="205"/>
      <c r="X30" s="206">
        <f>SUM(X17:X29)</f>
        <v>0</v>
      </c>
      <c r="Y30" s="207">
        <f t="shared" si="23"/>
        <v>4147.0565333333334</v>
      </c>
      <c r="Z30" s="185"/>
      <c r="AB30" s="147"/>
      <c r="AC30" s="148"/>
      <c r="AD30" s="426"/>
    </row>
    <row r="31" spans="1:39" s="137" customFormat="1" ht="35.1" customHeight="1" thickBot="1" x14ac:dyDescent="0.5">
      <c r="A31" s="165">
        <v>17</v>
      </c>
      <c r="B31" s="123">
        <v>2</v>
      </c>
      <c r="C31" s="166" t="s">
        <v>111</v>
      </c>
      <c r="D31" s="165"/>
      <c r="E31" s="165"/>
      <c r="F31" s="509" t="s">
        <v>233</v>
      </c>
      <c r="G31" s="510"/>
      <c r="H31" s="510"/>
      <c r="I31" s="510"/>
      <c r="J31" s="510"/>
      <c r="K31" s="510"/>
      <c r="L31" s="510"/>
      <c r="M31" s="510"/>
      <c r="N31" s="511"/>
      <c r="Q31" s="509" t="str">
        <f>IF(F31&lt;&gt;"",F31,"")</f>
        <v>EXTRAS TAXAS</v>
      </c>
      <c r="R31" s="510"/>
      <c r="S31" s="510"/>
      <c r="T31" s="510"/>
      <c r="U31" s="510"/>
      <c r="V31" s="510"/>
      <c r="W31" s="510"/>
      <c r="X31" s="510"/>
      <c r="Y31" s="511"/>
      <c r="AB31" s="147"/>
      <c r="AC31" s="148"/>
      <c r="AD31" s="426"/>
    </row>
    <row r="32" spans="1:39" s="137" customFormat="1" ht="35.1" customHeight="1" x14ac:dyDescent="0.45">
      <c r="A32" s="98">
        <v>18</v>
      </c>
      <c r="B32" s="123" t="s">
        <v>136</v>
      </c>
      <c r="C32" s="124" t="s">
        <v>113</v>
      </c>
      <c r="D32" s="98"/>
      <c r="E32" s="98"/>
      <c r="F32" s="512" t="s">
        <v>233</v>
      </c>
      <c r="G32" s="513"/>
      <c r="H32" s="513"/>
      <c r="I32" s="513"/>
      <c r="J32" s="513"/>
      <c r="K32" s="514"/>
      <c r="L32" s="125" t="s">
        <v>115</v>
      </c>
      <c r="M32" s="126" t="s">
        <v>116</v>
      </c>
      <c r="N32" s="127" t="s">
        <v>74</v>
      </c>
      <c r="Q32" s="515" t="str">
        <f>IF(F32&lt;&gt;"",F32,"")</f>
        <v>EXTRAS TAXAS</v>
      </c>
      <c r="R32" s="516"/>
      <c r="S32" s="516"/>
      <c r="T32" s="516"/>
      <c r="U32" s="516"/>
      <c r="V32" s="516"/>
      <c r="W32" s="516"/>
      <c r="X32" s="516"/>
      <c r="Y32" s="517"/>
      <c r="Z32" s="208" t="s">
        <v>117</v>
      </c>
      <c r="AA32" s="209" t="s">
        <v>75</v>
      </c>
      <c r="AB32" s="147"/>
      <c r="AC32" s="148"/>
      <c r="AD32" s="426"/>
    </row>
    <row r="33" spans="1:39" s="137" customFormat="1" ht="60" customHeight="1" x14ac:dyDescent="0.45">
      <c r="A33" s="98">
        <v>19</v>
      </c>
      <c r="B33" s="123" t="s">
        <v>137</v>
      </c>
      <c r="C33" s="124" t="s">
        <v>119</v>
      </c>
      <c r="D33" s="98" t="s">
        <v>163</v>
      </c>
      <c r="E33" s="98" t="s">
        <v>162</v>
      </c>
      <c r="F33" s="210" t="s">
        <v>234</v>
      </c>
      <c r="G33" s="133" t="s">
        <v>235</v>
      </c>
      <c r="H33" s="134">
        <v>1</v>
      </c>
      <c r="I33" s="134">
        <v>1</v>
      </c>
      <c r="J33" s="135">
        <v>4320</v>
      </c>
      <c r="K33" s="135">
        <f>IF(F33&lt;&gt;"",H33*I33*J33,"")</f>
        <v>4320</v>
      </c>
      <c r="L33" s="135">
        <f>IF(K33&lt;&gt;"",IF(D33="INTERNO",0,K33*$L$14),"")</f>
        <v>345.6</v>
      </c>
      <c r="M33" s="135">
        <f>IF(K33&lt;&gt;"",IF(E33="FAT.OGGI",SUM(K33:L33)*(1/(1-$M$14)-1),L33*(1/(1-$M$14)-1)),0)</f>
        <v>1094.3999999999999</v>
      </c>
      <c r="N33" s="136">
        <f>SUM(K33:M33)</f>
        <v>5760</v>
      </c>
      <c r="Q33" s="211">
        <f t="shared" ref="Q33:R37" si="25">IF(H33&lt;&gt;"",H33,"")</f>
        <v>1</v>
      </c>
      <c r="R33" s="212">
        <f t="shared" si="25"/>
        <v>1</v>
      </c>
      <c r="S33" s="213">
        <v>4320</v>
      </c>
      <c r="T33" s="213">
        <v>0</v>
      </c>
      <c r="U33" s="214">
        <f>IF(Q33&lt;&gt;"",K33-T33,"")</f>
        <v>4320</v>
      </c>
      <c r="V33" s="215">
        <f>IF(Q33&lt;&gt;"",0%,"")</f>
        <v>0</v>
      </c>
      <c r="W33" s="164">
        <f>IF(Q33&lt;&gt;"",V33*U33,"")</f>
        <v>0</v>
      </c>
      <c r="X33" s="164">
        <f>IF(Q33&lt;&gt;"",W33+T33,"")</f>
        <v>0</v>
      </c>
      <c r="Y33" s="182">
        <f t="shared" ref="Y33:Y38" si="26">IF(Q33&lt;&gt;"",X33+M33,"")</f>
        <v>1094.3999999999999</v>
      </c>
      <c r="Z33" s="145">
        <f>IF(Q33&lt;&gt;"", IFERROR(U33/K33, 0), 0)</f>
        <v>1</v>
      </c>
      <c r="AA33" s="146" t="str">
        <f>IFERROR(T33/$T$38, "")</f>
        <v/>
      </c>
      <c r="AB33" s="147">
        <f t="shared" si="12"/>
        <v>0</v>
      </c>
      <c r="AC33" s="148">
        <v>0</v>
      </c>
      <c r="AD33" s="426"/>
      <c r="AE33" s="150"/>
      <c r="AF33" s="151"/>
      <c r="AH33" s="149" t="s">
        <v>252</v>
      </c>
      <c r="AI33" s="149" t="s">
        <v>253</v>
      </c>
      <c r="AL33" s="149"/>
      <c r="AM33" s="152" t="s">
        <v>172</v>
      </c>
    </row>
    <row r="34" spans="1:39" s="137" customFormat="1" ht="60" customHeight="1" x14ac:dyDescent="0.45">
      <c r="A34" s="98">
        <v>20</v>
      </c>
      <c r="B34" s="123" t="s">
        <v>165</v>
      </c>
      <c r="C34" s="124" t="s">
        <v>119</v>
      </c>
      <c r="D34" s="98" t="s">
        <v>163</v>
      </c>
      <c r="E34" s="98" t="s">
        <v>162</v>
      </c>
      <c r="F34" s="210" t="s">
        <v>236</v>
      </c>
      <c r="G34" s="133" t="s">
        <v>237</v>
      </c>
      <c r="H34" s="134">
        <v>1</v>
      </c>
      <c r="I34" s="134">
        <v>1</v>
      </c>
      <c r="J34" s="135">
        <v>520</v>
      </c>
      <c r="K34" s="135">
        <f>IF(F34&lt;&gt;"",H34*I34*J34,"")</f>
        <v>520</v>
      </c>
      <c r="L34" s="135">
        <f>IF(K34&lt;&gt;"",IF(D34="INTERNO",0,K34*$L$14),"")</f>
        <v>41.6</v>
      </c>
      <c r="M34" s="135">
        <f>IF(K34&lt;&gt;"",IF(E34="FAT.OGGI",SUM(K34:L34)*(1/(1-$M$14)-1),L34*(1/(1-$M$14)-1)),0)</f>
        <v>131.73333333333329</v>
      </c>
      <c r="N34" s="136">
        <f>SUM(K34:M34)</f>
        <v>693.33333333333326</v>
      </c>
      <c r="Q34" s="216">
        <f t="shared" si="25"/>
        <v>1</v>
      </c>
      <c r="R34" s="217">
        <f t="shared" si="25"/>
        <v>1</v>
      </c>
      <c r="S34" s="218">
        <v>520</v>
      </c>
      <c r="T34" s="218">
        <v>0</v>
      </c>
      <c r="U34" s="219">
        <f>IF(Q34&lt;&gt;"",K34-T34,"")</f>
        <v>520</v>
      </c>
      <c r="V34" s="220">
        <f>IF(Q34&lt;&gt;"",0%,"")</f>
        <v>0</v>
      </c>
      <c r="W34" s="184">
        <f>IF(Q34&lt;&gt;"",V34*U34,"")</f>
        <v>0</v>
      </c>
      <c r="X34" s="184">
        <f>IF(Q34&lt;&gt;"",W34+T34,"")</f>
        <v>0</v>
      </c>
      <c r="Y34" s="144">
        <f t="shared" si="26"/>
        <v>131.73333333333329</v>
      </c>
      <c r="Z34" s="221">
        <f>IF(Q34&lt;&gt;"", IFERROR(U34/K34, 0), 0)</f>
        <v>1</v>
      </c>
      <c r="AA34" s="146" t="str">
        <f>IFERROR(T34/$T$38, "")</f>
        <v/>
      </c>
      <c r="AB34" s="147">
        <f t="shared" si="12"/>
        <v>0</v>
      </c>
      <c r="AC34" s="148">
        <v>0</v>
      </c>
      <c r="AD34" s="426"/>
      <c r="AE34" s="150"/>
      <c r="AF34" s="151"/>
      <c r="AH34" s="149" t="s">
        <v>254</v>
      </c>
      <c r="AI34" s="149" t="s">
        <v>255</v>
      </c>
      <c r="AL34" s="149"/>
      <c r="AM34" s="152" t="s">
        <v>172</v>
      </c>
    </row>
    <row r="35" spans="1:39" s="137" customFormat="1" ht="60" customHeight="1" x14ac:dyDescent="0.45">
      <c r="A35" s="98">
        <v>21</v>
      </c>
      <c r="B35" s="123" t="s">
        <v>182</v>
      </c>
      <c r="C35" s="124" t="s">
        <v>119</v>
      </c>
      <c r="D35" s="98" t="s">
        <v>163</v>
      </c>
      <c r="E35" s="98" t="s">
        <v>162</v>
      </c>
      <c r="F35" s="210" t="s">
        <v>259</v>
      </c>
      <c r="G35" s="157" t="s">
        <v>265</v>
      </c>
      <c r="H35" s="134">
        <v>1</v>
      </c>
      <c r="I35" s="134">
        <v>1</v>
      </c>
      <c r="J35" s="135">
        <v>2000</v>
      </c>
      <c r="K35" s="135">
        <f>IF(F35&lt;&gt;"",H35*I35*J35,"")</f>
        <v>2000</v>
      </c>
      <c r="L35" s="135">
        <f>IF(K35&lt;&gt;"",IF(D35="INTERNO",0,K35*$L$14),"")</f>
        <v>160</v>
      </c>
      <c r="M35" s="135">
        <f>IF(K35&lt;&gt;"",IF(E35="FAT.OGGI",SUM(K35:L35)*(1/(1-$M$14)-1),L35*(1/(1-$M$14)-1)),0)</f>
        <v>506.66666666666652</v>
      </c>
      <c r="N35" s="136">
        <f>SUM(K35:M35)</f>
        <v>2666.6666666666665</v>
      </c>
      <c r="Q35" s="138">
        <f t="shared" si="25"/>
        <v>1</v>
      </c>
      <c r="R35" s="139">
        <f t="shared" si="25"/>
        <v>1</v>
      </c>
      <c r="S35" s="140">
        <v>2000</v>
      </c>
      <c r="T35" s="140">
        <v>0</v>
      </c>
      <c r="U35" s="141">
        <f>IF(Q35&lt;&gt;"",K35-T35,"")</f>
        <v>2000</v>
      </c>
      <c r="V35" s="142">
        <f>IF(Q35&lt;&gt;"",0%,"")</f>
        <v>0</v>
      </c>
      <c r="W35" s="143">
        <f>IF(Q35&lt;&gt;"",V35*U35,"")</f>
        <v>0</v>
      </c>
      <c r="X35" s="143">
        <f>IF(Q35&lt;&gt;"",W35+T35,"")</f>
        <v>0</v>
      </c>
      <c r="Y35" s="144">
        <f t="shared" si="26"/>
        <v>506.66666666666652</v>
      </c>
      <c r="Z35" s="145">
        <f>IF(Q35&lt;&gt;"", IFERROR(U35/K35, 0), 0)</f>
        <v>1</v>
      </c>
      <c r="AA35" s="146" t="str">
        <f>IFERROR(T35/$T$38, "")</f>
        <v/>
      </c>
      <c r="AB35" s="147">
        <f t="shared" si="12"/>
        <v>0</v>
      </c>
      <c r="AC35" s="148">
        <v>0</v>
      </c>
      <c r="AD35" s="426"/>
    </row>
    <row r="36" spans="1:39" s="137" customFormat="1" ht="60" customHeight="1" x14ac:dyDescent="0.45">
      <c r="A36" s="98">
        <v>22</v>
      </c>
      <c r="B36" s="123" t="s">
        <v>257</v>
      </c>
      <c r="C36" s="124" t="s">
        <v>119</v>
      </c>
      <c r="D36" s="98" t="s">
        <v>163</v>
      </c>
      <c r="E36" s="98" t="s">
        <v>162</v>
      </c>
      <c r="F36" s="210" t="s">
        <v>263</v>
      </c>
      <c r="G36" s="133" t="s">
        <v>266</v>
      </c>
      <c r="H36" s="134">
        <v>1</v>
      </c>
      <c r="I36" s="134">
        <v>1</v>
      </c>
      <c r="J36" s="135">
        <v>2189.25</v>
      </c>
      <c r="K36" s="135">
        <f>IF(F36&lt;&gt;"",H36*I36*J36,"")</f>
        <v>2189.25</v>
      </c>
      <c r="L36" s="135">
        <f>IF(K36&lt;&gt;"",IF(D36="INTERNO",0,K36*$L$14),"")</f>
        <v>175.14000000000001</v>
      </c>
      <c r="M36" s="135">
        <f>IF(K36&lt;&gt;"",IF(E36="FAT.OGGI",SUM(K36:L36)*(1/(1-$M$14)-1),L36*(1/(1-$M$14)-1)),0)</f>
        <v>554.60999999999979</v>
      </c>
      <c r="N36" s="136">
        <f>SUM(K36:M36)</f>
        <v>2918.9999999999995</v>
      </c>
      <c r="Q36" s="138">
        <f t="shared" si="25"/>
        <v>1</v>
      </c>
      <c r="R36" s="139">
        <f t="shared" si="25"/>
        <v>1</v>
      </c>
      <c r="S36" s="140">
        <v>2189.25</v>
      </c>
      <c r="T36" s="140">
        <v>0</v>
      </c>
      <c r="U36" s="141">
        <f>IF(Q36&lt;&gt;"",K36-T36,"")</f>
        <v>2189.25</v>
      </c>
      <c r="V36" s="142">
        <f>IF(Q36&lt;&gt;"",0%,"")</f>
        <v>0</v>
      </c>
      <c r="W36" s="143">
        <f>IF(Q36&lt;&gt;"",V36*U36,"")</f>
        <v>0</v>
      </c>
      <c r="X36" s="143">
        <f>IF(Q36&lt;&gt;"",W36+T36,"")</f>
        <v>0</v>
      </c>
      <c r="Y36" s="144">
        <f t="shared" si="26"/>
        <v>554.60999999999979</v>
      </c>
      <c r="Z36" s="145">
        <f>IF(Q36&lt;&gt;"", IFERROR(U36/K36, 0), 0)</f>
        <v>1</v>
      </c>
      <c r="AA36" s="146" t="str">
        <f>IFERROR(T36/$T$38, "")</f>
        <v/>
      </c>
      <c r="AB36" s="147">
        <f t="shared" si="12"/>
        <v>0</v>
      </c>
      <c r="AC36" s="148">
        <v>0</v>
      </c>
      <c r="AD36" s="426"/>
    </row>
    <row r="37" spans="1:39" s="137" customFormat="1" ht="60" customHeight="1" thickBot="1" x14ac:dyDescent="0.5">
      <c r="A37" s="98">
        <v>23</v>
      </c>
      <c r="B37" s="123" t="s">
        <v>258</v>
      </c>
      <c r="C37" s="124" t="s">
        <v>119</v>
      </c>
      <c r="D37" s="98" t="s">
        <v>163</v>
      </c>
      <c r="E37" s="98" t="s">
        <v>162</v>
      </c>
      <c r="F37" s="210" t="s">
        <v>262</v>
      </c>
      <c r="G37" s="133" t="s">
        <v>264</v>
      </c>
      <c r="H37" s="134">
        <v>1</v>
      </c>
      <c r="I37" s="134">
        <v>1</v>
      </c>
      <c r="J37" s="135">
        <v>950</v>
      </c>
      <c r="K37" s="135">
        <f>IF(F37&lt;&gt;"",H37*I37*J37,"")</f>
        <v>950</v>
      </c>
      <c r="L37" s="135">
        <f>IF(K37&lt;&gt;"",IF(D37="INTERNO",0,K37*$L$14),"")</f>
        <v>76</v>
      </c>
      <c r="M37" s="135">
        <f>IF(K37&lt;&gt;"",IF(E37="FAT.OGGI",SUM(K37:L37)*(1/(1-$M$14)-1),L37*(1/(1-$M$14)-1)),0)</f>
        <v>240.6666666666666</v>
      </c>
      <c r="N37" s="136">
        <f>SUM(K37:M37)</f>
        <v>1266.6666666666665</v>
      </c>
      <c r="Q37" s="138">
        <f t="shared" si="25"/>
        <v>1</v>
      </c>
      <c r="R37" s="139">
        <f t="shared" si="25"/>
        <v>1</v>
      </c>
      <c r="S37" s="140">
        <v>950</v>
      </c>
      <c r="T37" s="140">
        <v>0</v>
      </c>
      <c r="U37" s="141">
        <f>IF(Q37&lt;&gt;"",K37-T37,"")</f>
        <v>950</v>
      </c>
      <c r="V37" s="142">
        <f>IF(Q37&lt;&gt;"",0%,"")</f>
        <v>0</v>
      </c>
      <c r="W37" s="143">
        <f>IF(Q37&lt;&gt;"",V37*U37,"")</f>
        <v>0</v>
      </c>
      <c r="X37" s="143">
        <f>IF(Q37&lt;&gt;"",W37+T37,"")</f>
        <v>0</v>
      </c>
      <c r="Y37" s="144">
        <f t="shared" si="26"/>
        <v>240.6666666666666</v>
      </c>
      <c r="Z37" s="221">
        <f>IF(Q37&lt;&gt;"", IFERROR(U37/K37, 0), 0)</f>
        <v>1</v>
      </c>
      <c r="AA37" s="222" t="str">
        <f>IFERROR(T37/$T$38, "")</f>
        <v/>
      </c>
      <c r="AB37" s="147">
        <f t="shared" si="12"/>
        <v>0</v>
      </c>
      <c r="AC37" s="148">
        <v>0</v>
      </c>
      <c r="AD37" s="426"/>
    </row>
    <row r="38" spans="1:39" s="137" customFormat="1" ht="35.1" customHeight="1" thickBot="1" x14ac:dyDescent="0.5">
      <c r="A38" s="98">
        <v>24</v>
      </c>
      <c r="B38" s="123"/>
      <c r="C38" s="124" t="s">
        <v>131</v>
      </c>
      <c r="D38" s="98"/>
      <c r="E38" s="98"/>
      <c r="F38" s="507" t="s">
        <v>238</v>
      </c>
      <c r="G38" s="508"/>
      <c r="H38" s="508"/>
      <c r="I38" s="508"/>
      <c r="J38" s="508"/>
      <c r="K38" s="223">
        <f>SUM(K33:K37)</f>
        <v>9979.25</v>
      </c>
      <c r="L38" s="223">
        <f>SUM(L33:L37)</f>
        <v>798.34</v>
      </c>
      <c r="M38" s="223">
        <f>SUM(M33:M37)</f>
        <v>2528.0766666666659</v>
      </c>
      <c r="N38" s="224">
        <f>SUM(N33:N37)</f>
        <v>13305.666666666666</v>
      </c>
      <c r="Q38" s="507" t="s">
        <v>238</v>
      </c>
      <c r="R38" s="508"/>
      <c r="S38" s="508"/>
      <c r="T38" s="225">
        <f>SUM(T33:T37)</f>
        <v>0</v>
      </c>
      <c r="U38" s="226">
        <f>SUM(U33:U37)</f>
        <v>9979.25</v>
      </c>
      <c r="V38" s="227"/>
      <c r="W38" s="227"/>
      <c r="X38" s="228">
        <f>SUM(X33:X37)</f>
        <v>0</v>
      </c>
      <c r="Y38" s="229">
        <f t="shared" si="26"/>
        <v>2528.0766666666659</v>
      </c>
      <c r="Z38" s="230" t="s">
        <v>150</v>
      </c>
      <c r="AA38" s="231" t="s">
        <v>151</v>
      </c>
      <c r="AB38" s="147"/>
      <c r="AC38" s="148"/>
      <c r="AD38" s="426"/>
    </row>
    <row r="39" spans="1:39" s="137" customFormat="1" ht="35.1" customHeight="1" thickBot="1" x14ac:dyDescent="0.5">
      <c r="A39" s="154">
        <v>25</v>
      </c>
      <c r="B39" s="232"/>
      <c r="C39" s="155" t="s">
        <v>149</v>
      </c>
      <c r="D39" s="154"/>
      <c r="E39" s="154"/>
      <c r="F39" s="233" t="s">
        <v>239</v>
      </c>
      <c r="G39" s="234"/>
      <c r="H39" s="234"/>
      <c r="I39" s="234"/>
      <c r="J39" s="234"/>
      <c r="K39" s="235">
        <f>SUM(K17:K29)+SUM(K33:K37)</f>
        <v>26349.21</v>
      </c>
      <c r="L39" s="235">
        <f>SUM(L17:L29)+SUM(L33:L37)</f>
        <v>2107.9367999999999</v>
      </c>
      <c r="M39" s="235">
        <f>SUM(M17:M29)+SUM(M33:M37)</f>
        <v>6675.1331999999993</v>
      </c>
      <c r="N39" s="236">
        <f>SUM(N17:N29)+SUM(N33:N37)</f>
        <v>35132.28</v>
      </c>
      <c r="Q39" s="237" t="s">
        <v>42</v>
      </c>
      <c r="R39" s="234"/>
      <c r="S39" s="234"/>
      <c r="T39" s="235">
        <f>SUM(T17:T29)+SUM(T33:T37)</f>
        <v>0</v>
      </c>
      <c r="U39" s="235">
        <f>SUM(U17:U29)+SUM(U33:U37)</f>
        <v>26349.21</v>
      </c>
      <c r="V39" s="234"/>
      <c r="W39" s="234"/>
      <c r="X39" s="235">
        <f>SUM(X17:X29)+SUM(X33:X37)</f>
        <v>0</v>
      </c>
      <c r="Y39" s="236">
        <f>SUM(Y17:Y29)+SUM(Y33:Y37)</f>
        <v>6675.1331999999993</v>
      </c>
      <c r="Z39" s="238">
        <f>IF(Q39&lt;&gt;"",(N39-Y39)/N39,"")</f>
        <v>0.80999999999999994</v>
      </c>
      <c r="AA39" s="239">
        <f>IF(Z39&lt;&gt;"",(N39-Y39),"")</f>
        <v>28457.146799999999</v>
      </c>
      <c r="AB39" s="147">
        <f>SUM(AB17:AB38)</f>
        <v>0</v>
      </c>
      <c r="AC39" s="148">
        <f>SUM(AC17:AC38)</f>
        <v>0</v>
      </c>
      <c r="AD39" s="426"/>
    </row>
    <row r="40" spans="1:39" s="137" customFormat="1" ht="30" customHeight="1" x14ac:dyDescent="0.45">
      <c r="F40" s="240"/>
      <c r="AD40" s="426"/>
    </row>
    <row r="41" spans="1:39" s="137" customFormat="1" x14ac:dyDescent="0.45">
      <c r="F41" s="240"/>
      <c r="AC41" s="427"/>
      <c r="AD41" s="428" t="s">
        <v>326</v>
      </c>
    </row>
    <row r="42" spans="1:39" s="137" customFormat="1" x14ac:dyDescent="0.45">
      <c r="F42" s="240"/>
      <c r="AC42" s="429">
        <f>X38</f>
        <v>0</v>
      </c>
      <c r="AD42" s="428" t="s">
        <v>327</v>
      </c>
    </row>
    <row r="43" spans="1:39" s="137" customFormat="1" x14ac:dyDescent="0.45">
      <c r="F43" s="240"/>
      <c r="AC43" s="429" t="e">
        <f>#REF!-X38</f>
        <v>#REF!</v>
      </c>
      <c r="AD43" s="428" t="s">
        <v>295</v>
      </c>
    </row>
    <row r="44" spans="1:39" s="137" customFormat="1" ht="30" customHeight="1" x14ac:dyDescent="0.45">
      <c r="F44" s="240"/>
      <c r="AC44" s="430" t="e">
        <f>AC43*100%/#REF!</f>
        <v>#REF!</v>
      </c>
      <c r="AD44" s="431"/>
    </row>
    <row r="45" spans="1:39" s="137" customFormat="1" ht="30" customHeight="1" x14ac:dyDescent="0.45">
      <c r="F45" s="240"/>
      <c r="AD45" s="426"/>
    </row>
    <row r="46" spans="1:39" s="137" customFormat="1" ht="30" customHeight="1" x14ac:dyDescent="0.45">
      <c r="F46" s="240"/>
      <c r="AD46" s="426"/>
    </row>
    <row r="47" spans="1:39" s="137" customFormat="1" ht="30" customHeight="1" x14ac:dyDescent="0.45">
      <c r="F47" s="240"/>
      <c r="AD47" s="426"/>
    </row>
    <row r="48" spans="1:39" s="137" customFormat="1" ht="45" customHeight="1" x14ac:dyDescent="0.45">
      <c r="F48" s="240"/>
      <c r="AD48" s="426"/>
    </row>
    <row r="49" spans="6:30" s="137" customFormat="1" ht="45" customHeight="1" x14ac:dyDescent="0.45">
      <c r="F49" s="240"/>
      <c r="AD49" s="426"/>
    </row>
    <row r="50" spans="6:30" s="137" customFormat="1" ht="45" customHeight="1" x14ac:dyDescent="0.45">
      <c r="F50" s="240"/>
      <c r="AD50" s="426"/>
    </row>
    <row r="51" spans="6:30" s="137" customFormat="1" ht="45" customHeight="1" x14ac:dyDescent="0.45">
      <c r="F51" s="240"/>
      <c r="AD51" s="426"/>
    </row>
    <row r="52" spans="6:30" s="137" customFormat="1" ht="45" customHeight="1" x14ac:dyDescent="0.45">
      <c r="F52" s="240"/>
      <c r="AD52" s="426"/>
    </row>
    <row r="53" spans="6:30" s="137" customFormat="1" ht="30" customHeight="1" x14ac:dyDescent="0.45">
      <c r="F53" s="240"/>
      <c r="AD53" s="426"/>
    </row>
    <row r="54" spans="6:30" s="137" customFormat="1" ht="30" customHeight="1" x14ac:dyDescent="0.45">
      <c r="F54" s="240"/>
      <c r="AD54" s="426"/>
    </row>
    <row r="55" spans="6:30" s="137" customFormat="1" ht="50.1" customHeight="1" x14ac:dyDescent="0.45">
      <c r="F55" s="240"/>
      <c r="AD55" s="426"/>
    </row>
    <row r="56" spans="6:30" s="137" customFormat="1" ht="50.1" customHeight="1" x14ac:dyDescent="0.45">
      <c r="F56" s="240"/>
      <c r="AD56" s="426"/>
    </row>
    <row r="57" spans="6:30" s="137" customFormat="1" x14ac:dyDescent="0.45">
      <c r="F57" s="240"/>
      <c r="AD57" s="426"/>
    </row>
    <row r="58" spans="6:30" s="137" customFormat="1" ht="50.1" customHeight="1" x14ac:dyDescent="0.45">
      <c r="F58" s="240"/>
      <c r="AD58" s="426"/>
    </row>
    <row r="59" spans="6:30" s="137" customFormat="1" ht="50.1" customHeight="1" x14ac:dyDescent="0.45">
      <c r="F59" s="240"/>
      <c r="AD59" s="426"/>
    </row>
    <row r="60" spans="6:30" s="137" customFormat="1" ht="50.1" customHeight="1" x14ac:dyDescent="0.45">
      <c r="F60" s="240"/>
      <c r="AD60" s="426"/>
    </row>
    <row r="61" spans="6:30" s="137" customFormat="1" ht="50.1" customHeight="1" x14ac:dyDescent="0.45">
      <c r="F61" s="240"/>
      <c r="AD61" s="426"/>
    </row>
    <row r="62" spans="6:30" s="137" customFormat="1" ht="30" customHeight="1" x14ac:dyDescent="0.45">
      <c r="F62" s="240"/>
      <c r="AD62" s="426"/>
    </row>
    <row r="63" spans="6:30" s="137" customFormat="1" ht="30" customHeight="1" x14ac:dyDescent="0.45">
      <c r="F63" s="240"/>
      <c r="AD63" s="426"/>
    </row>
    <row r="64" spans="6:30" s="137" customFormat="1" ht="30" customHeight="1" x14ac:dyDescent="0.45">
      <c r="F64" s="240"/>
      <c r="AD64" s="426"/>
    </row>
    <row r="65" spans="6:30" s="137" customFormat="1" x14ac:dyDescent="0.45">
      <c r="F65" s="240"/>
      <c r="AD65" s="426"/>
    </row>
    <row r="66" spans="6:30" s="137" customFormat="1" ht="20.399999999999999" customHeight="1" x14ac:dyDescent="0.45">
      <c r="F66" s="240"/>
      <c r="AD66" s="426"/>
    </row>
    <row r="67" spans="6:30" s="137" customFormat="1" ht="27.6" customHeight="1" x14ac:dyDescent="0.45">
      <c r="F67" s="240"/>
      <c r="AD67" s="426"/>
    </row>
    <row r="68" spans="6:30" s="137" customFormat="1" ht="29.1" customHeight="1" x14ac:dyDescent="0.45">
      <c r="F68" s="240"/>
      <c r="AD68" s="426"/>
    </row>
    <row r="69" spans="6:30" x14ac:dyDescent="0.3">
      <c r="L69" s="241"/>
      <c r="N69" s="241"/>
    </row>
    <row r="70" spans="6:30" x14ac:dyDescent="0.3">
      <c r="L70" s="241"/>
    </row>
    <row r="71" spans="6:30" x14ac:dyDescent="0.3">
      <c r="L71" s="241"/>
      <c r="Z71" s="242">
        <v>0.16</v>
      </c>
      <c r="AA71" s="243">
        <v>78663.56</v>
      </c>
    </row>
  </sheetData>
  <autoFilter ref="A1:AM14" xr:uid="{107B9E09-8154-459A-AE62-6A4242823A27}">
    <filterColumn colId="5" showButton="0"/>
  </autoFilter>
  <mergeCells count="21">
    <mergeCell ref="F30:J30"/>
    <mergeCell ref="Q30:S30"/>
    <mergeCell ref="AL12:AM12"/>
    <mergeCell ref="F15:N15"/>
    <mergeCell ref="Q15:Y15"/>
    <mergeCell ref="F16:K16"/>
    <mergeCell ref="Q16:Y16"/>
    <mergeCell ref="AH12:AI12"/>
    <mergeCell ref="AB15:AC15"/>
    <mergeCell ref="AB16:AC16"/>
    <mergeCell ref="F1:G1"/>
    <mergeCell ref="F2:G2"/>
    <mergeCell ref="Q12:T12"/>
    <mergeCell ref="U12:X12"/>
    <mergeCell ref="AD12:AF12"/>
    <mergeCell ref="F38:J38"/>
    <mergeCell ref="Q38:S38"/>
    <mergeCell ref="F31:N31"/>
    <mergeCell ref="Q31:Y31"/>
    <mergeCell ref="F32:K32"/>
    <mergeCell ref="Q32:Y32"/>
  </mergeCells>
  <dataValidations count="3">
    <dataValidation type="list" allowBlank="1" showInputMessage="1" showErrorMessage="1" sqref="D39 D33:D37 D17:D30" xr:uid="{34AD5602-E035-43CA-924F-D0A15DD71235}">
      <formula1>"INTERNO,OPERACIONAL"</formula1>
    </dataValidation>
    <dataValidation type="list" allowBlank="1" showInputMessage="1" showErrorMessage="1" sqref="E33:E37 E17:E30" xr:uid="{C254A327-E279-42C4-97D6-49ADEE826516}">
      <formula1>"FAT.OGGI,FAT.CLIENTE"</formula1>
    </dataValidation>
    <dataValidation type="list" allowBlank="1" showInputMessage="1" showErrorMessage="1" sqref="E39" xr:uid="{0AFA0ABA-542E-40D4-904A-C0DB710DFB4C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DE4EC-2C57-41A7-A6D1-8C873D3039A5}">
  <dimension ref="D4:E17"/>
  <sheetViews>
    <sheetView workbookViewId="0">
      <selection activeCell="F1" sqref="F1:F1048576"/>
    </sheetView>
  </sheetViews>
  <sheetFormatPr defaultRowHeight="14.4" x14ac:dyDescent="0.3"/>
  <cols>
    <col min="4" max="4" width="29.88671875" bestFit="1" customWidth="1"/>
    <col min="5" max="5" width="13.109375" style="435" bestFit="1" customWidth="1"/>
  </cols>
  <sheetData>
    <row r="4" spans="4:5" x14ac:dyDescent="0.3">
      <c r="D4" s="436" t="s">
        <v>340</v>
      </c>
      <c r="E4" s="437" t="s">
        <v>9</v>
      </c>
    </row>
    <row r="5" spans="4:5" x14ac:dyDescent="0.3">
      <c r="D5" t="s">
        <v>334</v>
      </c>
      <c r="E5" s="435">
        <v>1086.2</v>
      </c>
    </row>
    <row r="6" spans="4:5" x14ac:dyDescent="0.3">
      <c r="D6" t="s">
        <v>335</v>
      </c>
      <c r="E6" s="435">
        <v>353.2</v>
      </c>
    </row>
    <row r="7" spans="4:5" x14ac:dyDescent="0.3">
      <c r="D7" t="s">
        <v>220</v>
      </c>
      <c r="E7" s="435">
        <v>170.17</v>
      </c>
    </row>
    <row r="8" spans="4:5" x14ac:dyDescent="0.3">
      <c r="D8" t="s">
        <v>336</v>
      </c>
      <c r="E8" s="435">
        <v>729.11</v>
      </c>
    </row>
    <row r="9" spans="4:5" x14ac:dyDescent="0.3">
      <c r="D9" t="s">
        <v>345</v>
      </c>
      <c r="E9" s="435">
        <v>360</v>
      </c>
    </row>
    <row r="10" spans="4:5" x14ac:dyDescent="0.3">
      <c r="D10" t="s">
        <v>346</v>
      </c>
      <c r="E10" s="435">
        <v>300</v>
      </c>
    </row>
    <row r="11" spans="4:5" x14ac:dyDescent="0.3">
      <c r="D11" t="s">
        <v>337</v>
      </c>
      <c r="E11" s="435">
        <v>725.64</v>
      </c>
    </row>
    <row r="12" spans="4:5" x14ac:dyDescent="0.3">
      <c r="D12" t="s">
        <v>338</v>
      </c>
      <c r="E12" s="435">
        <v>12132.25</v>
      </c>
    </row>
    <row r="13" spans="4:5" x14ac:dyDescent="0.3">
      <c r="D13" t="s">
        <v>339</v>
      </c>
      <c r="E13" s="435">
        <v>436.1</v>
      </c>
    </row>
    <row r="14" spans="4:5" x14ac:dyDescent="0.3">
      <c r="D14" t="s">
        <v>341</v>
      </c>
      <c r="E14" s="435">
        <v>300</v>
      </c>
    </row>
    <row r="15" spans="4:5" x14ac:dyDescent="0.3">
      <c r="D15" t="s">
        <v>342</v>
      </c>
      <c r="E15" s="435">
        <v>80</v>
      </c>
    </row>
    <row r="17" spans="5:5" x14ac:dyDescent="0.3">
      <c r="E17" s="438">
        <f>SUM(E5:E16)</f>
        <v>16672.669999999998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109375" customWidth="1"/>
    <col min="2" max="3" width="20.109375" customWidth="1"/>
    <col min="4" max="4" width="40.44140625" customWidth="1"/>
    <col min="5" max="5" width="17.88671875" customWidth="1"/>
    <col min="6" max="7" width="15.109375" customWidth="1"/>
    <col min="8" max="8" width="25.109375" customWidth="1"/>
    <col min="9" max="10" width="15.109375" customWidth="1"/>
    <col min="11" max="11" width="10.109375" customWidth="1"/>
    <col min="12" max="12" width="15.109375" customWidth="1"/>
    <col min="13" max="13" width="12.88671875" customWidth="1"/>
    <col min="14" max="14" width="15.109375" customWidth="1"/>
    <col min="15" max="15" width="40.44140625" customWidth="1"/>
  </cols>
  <sheetData>
    <row r="1" spans="1:15" ht="15" x14ac:dyDescent="0.3">
      <c r="A1" s="550" t="s">
        <v>10</v>
      </c>
      <c r="B1" s="550"/>
      <c r="C1" s="550"/>
      <c r="D1" s="552" t="s">
        <v>53</v>
      </c>
      <c r="E1" s="552"/>
      <c r="F1" s="552"/>
      <c r="G1" s="552"/>
      <c r="H1" s="552"/>
      <c r="I1" s="552"/>
      <c r="J1" s="24" t="s">
        <v>10</v>
      </c>
      <c r="K1" s="24" t="s">
        <v>10</v>
      </c>
      <c r="L1" s="24" t="s">
        <v>10</v>
      </c>
      <c r="M1" s="24" t="s">
        <v>10</v>
      </c>
      <c r="N1" s="24" t="s">
        <v>10</v>
      </c>
      <c r="O1" s="25" t="s">
        <v>10</v>
      </c>
    </row>
    <row r="2" spans="1:15" x14ac:dyDescent="0.3">
      <c r="A2" s="551"/>
      <c r="B2" s="551"/>
      <c r="C2" s="551"/>
      <c r="D2" s="550" t="s">
        <v>54</v>
      </c>
      <c r="E2" s="550"/>
      <c r="F2" s="550"/>
      <c r="G2" s="550"/>
      <c r="H2" s="550"/>
      <c r="I2" s="550"/>
      <c r="J2" s="24"/>
      <c r="K2" s="24"/>
      <c r="L2" s="24"/>
      <c r="M2" s="24"/>
      <c r="N2" s="24"/>
      <c r="O2" s="553" t="s">
        <v>55</v>
      </c>
    </row>
    <row r="3" spans="1:15" x14ac:dyDescent="0.3">
      <c r="A3" s="551"/>
      <c r="B3" s="551"/>
      <c r="C3" s="551"/>
      <c r="D3" s="550" t="s">
        <v>56</v>
      </c>
      <c r="E3" s="550"/>
      <c r="F3" s="550"/>
      <c r="G3" s="550"/>
      <c r="H3" s="550"/>
      <c r="I3" s="550"/>
      <c r="J3" s="24"/>
      <c r="K3" s="24"/>
      <c r="L3" s="24"/>
      <c r="M3" s="24"/>
      <c r="N3" s="24"/>
      <c r="O3" s="554"/>
    </row>
    <row r="4" spans="1:15" x14ac:dyDescent="0.3">
      <c r="A4" s="551"/>
      <c r="B4" s="551"/>
      <c r="C4" s="551"/>
      <c r="D4" s="550" t="s">
        <v>57</v>
      </c>
      <c r="E4" s="550"/>
      <c r="F4" s="550"/>
      <c r="G4" s="550"/>
      <c r="H4" s="550"/>
      <c r="I4" s="550"/>
      <c r="J4" s="24"/>
      <c r="K4" s="24"/>
      <c r="L4" s="24"/>
      <c r="M4" s="24"/>
      <c r="N4" s="24"/>
      <c r="O4" s="554"/>
    </row>
    <row r="5" spans="1:15" x14ac:dyDescent="0.3">
      <c r="A5" s="551"/>
      <c r="B5" s="551"/>
      <c r="C5" s="551"/>
      <c r="D5" s="550" t="s">
        <v>58</v>
      </c>
      <c r="E5" s="550"/>
      <c r="F5" s="550"/>
      <c r="G5" s="550"/>
      <c r="H5" s="550"/>
      <c r="I5" s="550"/>
      <c r="J5" s="24"/>
      <c r="K5" s="24"/>
      <c r="L5" s="24"/>
      <c r="M5" s="24"/>
      <c r="N5" s="24"/>
      <c r="O5" s="554"/>
    </row>
    <row r="6" spans="1:15" x14ac:dyDescent="0.3">
      <c r="A6" s="551"/>
      <c r="B6" s="551"/>
      <c r="C6" s="551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554"/>
    </row>
    <row r="7" spans="1:15" x14ac:dyDescent="0.3">
      <c r="A7" s="551"/>
      <c r="B7" s="551"/>
      <c r="C7" s="551"/>
      <c r="D7" s="550" t="s">
        <v>59</v>
      </c>
      <c r="E7" s="550"/>
      <c r="F7" s="550"/>
      <c r="G7" s="550"/>
      <c r="H7" s="550"/>
      <c r="I7" s="550"/>
      <c r="J7" s="24"/>
      <c r="K7" s="24"/>
      <c r="L7" s="24"/>
      <c r="M7" s="24"/>
      <c r="N7" s="24"/>
      <c r="O7" s="26">
        <v>45264.482613275461</v>
      </c>
    </row>
    <row r="8" spans="1:15" x14ac:dyDescent="0.3">
      <c r="A8" s="549" t="s">
        <v>60</v>
      </c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</row>
    <row r="9" spans="1:15" ht="27.6" x14ac:dyDescent="0.3">
      <c r="A9" s="27" t="s">
        <v>61</v>
      </c>
      <c r="B9" s="27" t="s">
        <v>62</v>
      </c>
      <c r="C9" s="27" t="s">
        <v>63</v>
      </c>
      <c r="D9" s="27" t="s">
        <v>47</v>
      </c>
      <c r="E9" s="27" t="s">
        <v>64</v>
      </c>
      <c r="F9" s="27" t="s">
        <v>65</v>
      </c>
      <c r="G9" s="27" t="s">
        <v>33</v>
      </c>
      <c r="H9" s="27" t="s">
        <v>66</v>
      </c>
      <c r="I9" s="27" t="s">
        <v>67</v>
      </c>
      <c r="J9" s="27" t="s">
        <v>65</v>
      </c>
      <c r="K9" s="27" t="s">
        <v>68</v>
      </c>
      <c r="L9" s="27" t="s">
        <v>69</v>
      </c>
      <c r="M9" s="27" t="s">
        <v>70</v>
      </c>
      <c r="N9" s="27" t="s">
        <v>71</v>
      </c>
      <c r="O9" s="28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88671875" customWidth="1"/>
    <col min="3" max="3" width="12.44140625" customWidth="1"/>
    <col min="4" max="4" width="4.88671875" customWidth="1"/>
    <col min="5" max="5" width="10.88671875" customWidth="1"/>
    <col min="6" max="6" width="7.88671875" bestFit="1" customWidth="1"/>
    <col min="7" max="7" width="11" customWidth="1"/>
    <col min="8" max="8" width="11.109375" customWidth="1"/>
    <col min="9" max="9" width="11.88671875" customWidth="1"/>
    <col min="10" max="10" width="4.88671875" customWidth="1"/>
    <col min="11" max="11" width="14.44140625" customWidth="1"/>
    <col min="12" max="12" width="1.88671875" customWidth="1"/>
  </cols>
  <sheetData>
    <row r="1" spans="2:12" ht="8.4" customHeight="1" thickBot="1" x14ac:dyDescent="0.35"/>
    <row r="2" spans="2:12" ht="38.4" customHeight="1" x14ac:dyDescent="0.4">
      <c r="B2" s="558" t="s">
        <v>3</v>
      </c>
      <c r="C2" s="559"/>
      <c r="D2" s="559"/>
      <c r="E2" s="559"/>
      <c r="F2" s="559"/>
      <c r="G2" s="559"/>
      <c r="H2" s="559"/>
      <c r="I2" s="559"/>
      <c r="J2" s="559"/>
      <c r="K2" s="559"/>
      <c r="L2" s="560"/>
    </row>
    <row r="3" spans="2:12" ht="47.4" customHeight="1" thickBot="1" x14ac:dyDescent="0.35">
      <c r="B3" s="561" t="s">
        <v>11</v>
      </c>
      <c r="C3" s="562"/>
      <c r="D3" s="562"/>
      <c r="E3" s="562"/>
      <c r="F3" s="562"/>
      <c r="G3" s="562"/>
      <c r="H3" s="562"/>
      <c r="I3" s="562"/>
      <c r="J3" s="562"/>
      <c r="K3" s="562"/>
      <c r="L3" s="563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564" t="s">
        <v>12</v>
      </c>
      <c r="D6" s="564"/>
      <c r="E6" s="564"/>
      <c r="F6" s="564"/>
      <c r="G6" s="564"/>
      <c r="H6" s="564"/>
      <c r="I6" s="564"/>
      <c r="J6" s="564"/>
      <c r="K6" s="564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565" t="s">
        <v>96</v>
      </c>
      <c r="E8" s="566"/>
      <c r="F8" s="566"/>
      <c r="G8" s="566"/>
      <c r="H8" s="566"/>
      <c r="I8" s="566"/>
      <c r="J8" s="566"/>
      <c r="K8" s="567"/>
      <c r="L8" s="5"/>
    </row>
    <row r="9" spans="2:12" x14ac:dyDescent="0.3">
      <c r="B9" s="4"/>
      <c r="C9" s="7" t="s">
        <v>14</v>
      </c>
      <c r="D9" s="555" t="s">
        <v>15</v>
      </c>
      <c r="E9" s="556"/>
      <c r="F9" s="556"/>
      <c r="G9" s="556"/>
      <c r="H9" s="556"/>
      <c r="I9" s="556"/>
      <c r="J9" s="556"/>
      <c r="K9" s="557"/>
      <c r="L9" s="5"/>
    </row>
    <row r="10" spans="2:12" x14ac:dyDescent="0.3">
      <c r="B10" s="4"/>
      <c r="C10" s="7" t="s">
        <v>16</v>
      </c>
      <c r="D10" s="555" t="s">
        <v>10</v>
      </c>
      <c r="E10" s="556"/>
      <c r="F10" s="556"/>
      <c r="G10" s="556"/>
      <c r="H10" s="556"/>
      <c r="I10" s="556"/>
      <c r="J10" s="556"/>
      <c r="K10" s="557"/>
      <c r="L10" s="5"/>
    </row>
    <row r="11" spans="2:12" x14ac:dyDescent="0.3">
      <c r="B11" s="4"/>
      <c r="C11" s="7" t="s">
        <v>17</v>
      </c>
      <c r="D11" s="555" t="s">
        <v>97</v>
      </c>
      <c r="E11" s="556"/>
      <c r="F11" s="556"/>
      <c r="G11" s="556"/>
      <c r="H11" s="556"/>
      <c r="I11" s="556"/>
      <c r="J11" s="556"/>
      <c r="K11" s="557"/>
      <c r="L11" s="5"/>
    </row>
    <row r="12" spans="2:12" x14ac:dyDescent="0.3">
      <c r="B12" s="4"/>
      <c r="C12" s="10" t="s">
        <v>18</v>
      </c>
      <c r="D12" s="568" t="s">
        <v>98</v>
      </c>
      <c r="E12" s="569"/>
      <c r="F12" s="569"/>
      <c r="G12" s="569"/>
      <c r="H12" s="570"/>
      <c r="I12" s="11" t="s">
        <v>19</v>
      </c>
      <c r="J12" s="568" t="s">
        <v>95</v>
      </c>
      <c r="K12" s="570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564" t="s">
        <v>20</v>
      </c>
      <c r="D16" s="564"/>
      <c r="E16" s="564"/>
      <c r="F16" s="564"/>
      <c r="G16" s="564"/>
      <c r="H16" s="564"/>
      <c r="I16" s="564"/>
      <c r="J16" s="564"/>
      <c r="K16" s="564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571" t="s">
        <v>73</v>
      </c>
      <c r="E18" s="571"/>
      <c r="F18" s="571"/>
      <c r="G18" s="572"/>
      <c r="H18" s="571" t="s">
        <v>21</v>
      </c>
      <c r="I18" s="571"/>
      <c r="J18" s="571"/>
      <c r="K18" s="572"/>
      <c r="L18" s="5"/>
    </row>
    <row r="19" spans="2:12" x14ac:dyDescent="0.3">
      <c r="B19" s="4"/>
      <c r="C19" s="15" t="s">
        <v>22</v>
      </c>
      <c r="D19" s="573" t="s">
        <v>100</v>
      </c>
      <c r="E19" s="574"/>
      <c r="F19" s="574"/>
      <c r="G19" s="574"/>
      <c r="H19" s="574"/>
      <c r="I19" s="574"/>
      <c r="J19" s="574"/>
      <c r="K19" s="575"/>
      <c r="L19" s="5"/>
    </row>
    <row r="20" spans="2:12" x14ac:dyDescent="0.3">
      <c r="B20" s="4"/>
      <c r="C20" s="7" t="s">
        <v>23</v>
      </c>
      <c r="D20" s="555"/>
      <c r="E20" s="556"/>
      <c r="F20" s="556"/>
      <c r="G20" s="556"/>
      <c r="H20" s="556"/>
      <c r="I20" s="556"/>
      <c r="J20" s="556"/>
      <c r="K20" s="557"/>
      <c r="L20" s="5"/>
    </row>
    <row r="21" spans="2:12" x14ac:dyDescent="0.3">
      <c r="B21" s="4"/>
      <c r="C21" s="7" t="s">
        <v>24</v>
      </c>
      <c r="D21" s="555" t="s">
        <v>104</v>
      </c>
      <c r="E21" s="557"/>
      <c r="F21" s="7" t="s">
        <v>49</v>
      </c>
      <c r="G21" s="16" t="s">
        <v>105</v>
      </c>
      <c r="H21" s="7" t="s">
        <v>25</v>
      </c>
      <c r="I21" s="8" t="s">
        <v>106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555" t="s">
        <v>99</v>
      </c>
      <c r="E22" s="556"/>
      <c r="F22" s="556"/>
      <c r="G22" s="557"/>
      <c r="H22" s="7" t="s">
        <v>28</v>
      </c>
      <c r="I22" s="555"/>
      <c r="J22" s="556"/>
      <c r="K22" s="557"/>
      <c r="L22" s="5"/>
    </row>
    <row r="23" spans="2:12" x14ac:dyDescent="0.3">
      <c r="B23" s="4"/>
      <c r="C23" s="10" t="s">
        <v>29</v>
      </c>
      <c r="D23" s="568" t="s">
        <v>101</v>
      </c>
      <c r="E23" s="569"/>
      <c r="F23" s="569"/>
      <c r="G23" s="570"/>
      <c r="H23" s="10" t="s">
        <v>30</v>
      </c>
      <c r="I23" s="568" t="s">
        <v>10</v>
      </c>
      <c r="J23" s="569"/>
      <c r="K23" s="570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564" t="s">
        <v>20</v>
      </c>
      <c r="D27" s="564"/>
      <c r="E27" s="564"/>
      <c r="F27" s="564"/>
      <c r="G27" s="564"/>
      <c r="H27" s="564"/>
      <c r="I27" s="564"/>
      <c r="J27" s="564"/>
      <c r="K27" s="564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576" t="s">
        <v>32</v>
      </c>
      <c r="E29" s="572"/>
      <c r="F29" s="576" t="s">
        <v>33</v>
      </c>
      <c r="G29" s="572"/>
      <c r="H29" s="577" t="s">
        <v>34</v>
      </c>
      <c r="I29" s="577"/>
      <c r="J29" s="577"/>
      <c r="K29" s="578"/>
      <c r="L29" s="5"/>
    </row>
    <row r="30" spans="2:12" x14ac:dyDescent="0.3">
      <c r="B30" s="4"/>
      <c r="C30" s="17" t="s">
        <v>35</v>
      </c>
      <c r="D30" s="579" t="s">
        <v>102</v>
      </c>
      <c r="E30" s="580"/>
      <c r="F30" s="581" t="s">
        <v>107</v>
      </c>
      <c r="G30" s="582"/>
      <c r="H30" s="18" t="s">
        <v>103</v>
      </c>
      <c r="I30" s="576" t="s">
        <v>39</v>
      </c>
      <c r="J30" s="572"/>
      <c r="K30" s="6" t="s">
        <v>37</v>
      </c>
      <c r="L30" s="5"/>
    </row>
    <row r="31" spans="2:12" x14ac:dyDescent="0.3">
      <c r="B31" s="4"/>
      <c r="C31" s="17" t="s">
        <v>38</v>
      </c>
      <c r="D31" s="579" t="s">
        <v>10</v>
      </c>
      <c r="E31" s="580"/>
      <c r="F31" s="581" t="s">
        <v>10</v>
      </c>
      <c r="G31" s="582"/>
      <c r="H31" s="17" t="s">
        <v>36</v>
      </c>
      <c r="I31" s="585" t="s">
        <v>39</v>
      </c>
      <c r="J31" s="586"/>
      <c r="K31" s="7" t="s">
        <v>37</v>
      </c>
      <c r="L31" s="5"/>
    </row>
    <row r="32" spans="2:12" x14ac:dyDescent="0.3">
      <c r="B32" s="4"/>
      <c r="C32" s="17" t="s">
        <v>40</v>
      </c>
      <c r="D32" s="579" t="s">
        <v>10</v>
      </c>
      <c r="E32" s="580"/>
      <c r="F32" s="581" t="s">
        <v>10</v>
      </c>
      <c r="G32" s="582"/>
      <c r="H32" s="17" t="s">
        <v>36</v>
      </c>
      <c r="I32" s="585" t="s">
        <v>39</v>
      </c>
      <c r="J32" s="586"/>
      <c r="K32" s="7" t="s">
        <v>37</v>
      </c>
      <c r="L32" s="5"/>
    </row>
    <row r="33" spans="2:12" x14ac:dyDescent="0.3">
      <c r="B33" s="4"/>
      <c r="C33" s="19" t="s">
        <v>41</v>
      </c>
      <c r="D33" s="579" t="s">
        <v>10</v>
      </c>
      <c r="E33" s="580"/>
      <c r="F33" s="583" t="s">
        <v>10</v>
      </c>
      <c r="G33" s="584"/>
      <c r="H33" s="17" t="s">
        <v>36</v>
      </c>
      <c r="I33" s="585" t="s">
        <v>39</v>
      </c>
      <c r="J33" s="586"/>
      <c r="K33" s="7" t="s">
        <v>37</v>
      </c>
      <c r="L33" s="5"/>
    </row>
    <row r="34" spans="2:12" x14ac:dyDescent="0.3">
      <c r="B34" s="4"/>
      <c r="C34" s="587" t="s">
        <v>42</v>
      </c>
      <c r="D34" s="588"/>
      <c r="E34" s="589"/>
      <c r="F34" s="590" t="s">
        <v>107</v>
      </c>
      <c r="G34" s="591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564" t="s">
        <v>43</v>
      </c>
      <c r="D38" s="564"/>
      <c r="E38" s="564"/>
      <c r="F38" s="564"/>
      <c r="G38" s="564"/>
      <c r="H38" s="564"/>
      <c r="I38" s="564"/>
      <c r="J38" s="564"/>
      <c r="K38" s="564"/>
      <c r="L38" s="5"/>
    </row>
    <row r="39" spans="2:12" x14ac:dyDescent="0.3">
      <c r="B39" s="4"/>
      <c r="C39" s="595" t="s">
        <v>108</v>
      </c>
      <c r="D39" s="595"/>
      <c r="E39" s="595"/>
      <c r="F39" s="595"/>
      <c r="G39" s="595"/>
      <c r="H39" s="595"/>
      <c r="I39" s="595"/>
      <c r="J39" s="595"/>
      <c r="K39" s="595"/>
      <c r="L39" s="5"/>
    </row>
    <row r="40" spans="2:12" x14ac:dyDescent="0.3">
      <c r="B40" s="4"/>
      <c r="C40" s="595"/>
      <c r="D40" s="595"/>
      <c r="E40" s="595"/>
      <c r="F40" s="595"/>
      <c r="G40" s="595"/>
      <c r="H40" s="595"/>
      <c r="I40" s="595"/>
      <c r="J40" s="595"/>
      <c r="K40" s="595"/>
      <c r="L40" s="5"/>
    </row>
    <row r="41" spans="2:12" x14ac:dyDescent="0.3">
      <c r="B41" s="4"/>
      <c r="C41" s="595"/>
      <c r="D41" s="595"/>
      <c r="E41" s="595"/>
      <c r="F41" s="595"/>
      <c r="G41" s="595"/>
      <c r="H41" s="595"/>
      <c r="I41" s="595"/>
      <c r="J41" s="595"/>
      <c r="K41" s="595"/>
      <c r="L41" s="5"/>
    </row>
    <row r="42" spans="2:12" x14ac:dyDescent="0.3">
      <c r="B42" s="4"/>
      <c r="C42" s="595"/>
      <c r="D42" s="595"/>
      <c r="E42" s="595"/>
      <c r="F42" s="595"/>
      <c r="G42" s="595"/>
      <c r="H42" s="595"/>
      <c r="I42" s="595"/>
      <c r="J42" s="595"/>
      <c r="K42" s="595"/>
      <c r="L42" s="5"/>
    </row>
    <row r="43" spans="2:12" x14ac:dyDescent="0.3">
      <c r="B43" s="4"/>
      <c r="C43" s="595"/>
      <c r="D43" s="595"/>
      <c r="E43" s="595"/>
      <c r="F43" s="595"/>
      <c r="G43" s="595"/>
      <c r="H43" s="595"/>
      <c r="I43" s="595"/>
      <c r="J43" s="595"/>
      <c r="K43" s="595"/>
      <c r="L43" s="5"/>
    </row>
    <row r="44" spans="2:12" x14ac:dyDescent="0.3">
      <c r="B44" s="4"/>
      <c r="C44" s="595"/>
      <c r="D44" s="595"/>
      <c r="E44" s="595"/>
      <c r="F44" s="595"/>
      <c r="G44" s="595"/>
      <c r="H44" s="595"/>
      <c r="I44" s="595"/>
      <c r="J44" s="595"/>
      <c r="K44" s="595"/>
      <c r="L44" s="5"/>
    </row>
    <row r="45" spans="2:12" x14ac:dyDescent="0.3">
      <c r="B45" s="4"/>
      <c r="C45" s="596"/>
      <c r="D45" s="596"/>
      <c r="E45" s="596"/>
      <c r="F45" s="596"/>
      <c r="G45" s="596"/>
      <c r="H45" s="596"/>
      <c r="I45" s="596"/>
      <c r="J45" s="596"/>
      <c r="K45" s="596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592" t="s">
        <v>44</v>
      </c>
      <c r="C48" s="593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594" t="s">
        <v>45</v>
      </c>
      <c r="D51" s="594"/>
      <c r="E51" s="594"/>
      <c r="F51" s="594"/>
      <c r="H51" s="594" t="s">
        <v>46</v>
      </c>
      <c r="I51" s="594"/>
      <c r="J51" s="594"/>
      <c r="K51" s="594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8ACD4F-02B1-4370-BFE2-EC36B7D19892}">
  <ds:schemaRefs>
    <ds:schemaRef ds:uri="http://purl.org/dc/dcmitype/"/>
    <ds:schemaRef ds:uri="http://purl.org/dc/terms/"/>
    <ds:schemaRef ds:uri="http://schemas.microsoft.com/office/2006/documentManagement/types"/>
    <ds:schemaRef ds:uri="http://www.w3.org/XML/1998/namespace"/>
    <ds:schemaRef ds:uri="8f4bf414-7d56-47ef-876f-a064b6139123"/>
    <ds:schemaRef ds:uri="29a79990-ee87-4241-abc6-9e01ab9b246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32ACD2A-C8B3-421D-B8E7-5B79E5C484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PNEUSHOW</vt:lpstr>
      <vt:lpstr>EXTRAS PNEUSHOW</vt:lpstr>
      <vt:lpstr>CUSTOS OP.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2026-08-13T20:55:15Z</cp:lastPrinted>
  <dcterms:created xsi:type="dcterms:W3CDTF">2023-09-21T21:02:20Z</dcterms:created>
  <dcterms:modified xsi:type="dcterms:W3CDTF">2026-08-31T17:07:02Z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