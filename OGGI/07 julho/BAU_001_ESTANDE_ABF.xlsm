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7 julho\"/>
    </mc:Choice>
  </mc:AlternateContent>
  <xr:revisionPtr revIDLastSave="0" documentId="13_ncr:1_{EAC11FF8-4F3F-42E8-B094-C9DFF7110F96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102" r:id="rId1"/>
    <sheet name="PRINCIPAL" sheetId="91" r:id="rId2"/>
    <sheet name="PEDIDOS EM BRIEFING" sheetId="95" r:id="rId3"/>
    <sheet name="TAXAS" sheetId="92" r:id="rId4"/>
    <sheet name="CUSTOS OP." sheetId="103" r:id="rId5"/>
    <sheet name="TOTAL" sheetId="100" r:id="rId6"/>
    <sheet name="FINAL " sheetId="101" r:id="rId7"/>
    <sheet name="ItensOrc" sheetId="76" state="hidden" r:id="rId8"/>
  </sheets>
  <externalReferences>
    <externalReference r:id="rId9"/>
  </externalReferences>
  <definedNames>
    <definedName name="_xlnm._FilterDatabase" localSheetId="4" hidden="1">'CUSTOS OP.'!$G$4:$H$4</definedName>
    <definedName name="_xlnm._FilterDatabase" localSheetId="6" hidden="1">'FINAL '!$A$1:$AL$14</definedName>
    <definedName name="_xlnm._FilterDatabase" localSheetId="2" hidden="1">'PEDIDOS EM BRIEFING'!$A$1:$AL$14</definedName>
    <definedName name="_xlnm._FilterDatabase" localSheetId="1" hidden="1">PRINCIPAL!$A$1:$AL$14</definedName>
    <definedName name="_xlnm._FilterDatabase" localSheetId="3" hidden="1">TAXAS!$A$1:$AL$14</definedName>
    <definedName name="itensorc_desconto" localSheetId="7">ItensOrc!$M:$M</definedName>
    <definedName name="itensorc_desconto">#REF!</definedName>
    <definedName name="itensorc_descricao" localSheetId="7">ItensOrc!$D:$D</definedName>
    <definedName name="itensorc_descricao">#REF!</definedName>
    <definedName name="itensorc_encargos" localSheetId="7">ItensOrc!$N:$N</definedName>
    <definedName name="itensorc_encargos">#REF!</definedName>
    <definedName name="itensorc_especifica" localSheetId="7">ItensOrc!$O:$O</definedName>
    <definedName name="itensorc_especifica">#REF!</definedName>
    <definedName name="itensorc_item" localSheetId="7">ItensOrc!$C:$C</definedName>
    <definedName name="itensorc_item">#REF!</definedName>
    <definedName name="itensorc_lancamento" localSheetId="7">ItensOrc!$B:$B</definedName>
    <definedName name="itensorc_lancamento">#REF!</definedName>
    <definedName name="itensorc_percentualhonorarios" localSheetId="7">ItensOrc!$L:$L</definedName>
    <definedName name="itensorc_percentualhonorarios">#REF!</definedName>
    <definedName name="itensorc_quantidade" localSheetId="7">ItensOrc!$E:$E</definedName>
    <definedName name="itensorc_quantidade">#REF!</definedName>
    <definedName name="itensorc_situacao" localSheetId="7">ItensOrc!$H:$H</definedName>
    <definedName name="itensorc_situacao">#REF!</definedName>
    <definedName name="itensorc_subtipo" localSheetId="7">ItensOrc!$K:$K</definedName>
    <definedName name="itensorc_subtipo">#REF!</definedName>
    <definedName name="itensorc_tiporeceita" localSheetId="7">ItensOrc!$A:$A</definedName>
    <definedName name="itensorc_tiporeceita">#REF!</definedName>
    <definedName name="itensorc_valor" localSheetId="7">ItensOrc!$G:$G</definedName>
    <definedName name="itensorc_valor">#REF!</definedName>
    <definedName name="itensorc_valorfornecedor" localSheetId="7">ItensOrc!$I:$I</definedName>
    <definedName name="itensorc_valorfornecedor">#REF!</definedName>
    <definedName name="itensorc_valorfornecedorunitario" localSheetId="7">ItensOrc!$J:$J</definedName>
    <definedName name="itensorc_valorfornecedorunitario">#REF!</definedName>
    <definedName name="itensorc_valorunitario" localSheetId="7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02" l="1"/>
  <c r="D30" i="102"/>
  <c r="D31" i="102"/>
  <c r="D32" i="102"/>
  <c r="E32" i="102" s="1"/>
  <c r="D28" i="102"/>
  <c r="C32" i="102"/>
  <c r="F29" i="102"/>
  <c r="F30" i="102"/>
  <c r="E30" i="102"/>
  <c r="E31" i="102"/>
  <c r="E29" i="102"/>
  <c r="AN23" i="92"/>
  <c r="AM23" i="92" s="1"/>
  <c r="AN32" i="95"/>
  <c r="H21" i="103"/>
  <c r="AL41" i="91" s="1"/>
  <c r="AN22" i="95"/>
  <c r="AN43" i="95" s="1"/>
  <c r="AL40" i="91"/>
  <c r="AL39" i="91"/>
  <c r="AL28" i="91"/>
  <c r="AL24" i="91"/>
  <c r="AK24" i="91" s="1"/>
  <c r="C24" i="102"/>
  <c r="D23" i="102"/>
  <c r="C23" i="102"/>
  <c r="E23" i="102" s="1"/>
  <c r="F23" i="102" s="1"/>
  <c r="C22" i="102"/>
  <c r="C21" i="102"/>
  <c r="AM18" i="92"/>
  <c r="AM19" i="92"/>
  <c r="AM20" i="92"/>
  <c r="AM21" i="92"/>
  <c r="AM17" i="92"/>
  <c r="AM18" i="95"/>
  <c r="AM22" i="95"/>
  <c r="AM26" i="95"/>
  <c r="AM27" i="95"/>
  <c r="AM28" i="95"/>
  <c r="AM32" i="95"/>
  <c r="AM34" i="95"/>
  <c r="AM35" i="95"/>
  <c r="AM36" i="95"/>
  <c r="AM37" i="95"/>
  <c r="AM38" i="95"/>
  <c r="AM39" i="95"/>
  <c r="AM40" i="95"/>
  <c r="AM41" i="95"/>
  <c r="AK18" i="91"/>
  <c r="AK19" i="91"/>
  <c r="AK20" i="91"/>
  <c r="AK36" i="91"/>
  <c r="AK37" i="91"/>
  <c r="AK38" i="91"/>
  <c r="AK40" i="91"/>
  <c r="AK17" i="91"/>
  <c r="E3" i="102"/>
  <c r="F31" i="102" l="1"/>
  <c r="AL43" i="91"/>
  <c r="AK39" i="91"/>
  <c r="AA67" i="101" l="1"/>
  <c r="Z67" i="101"/>
  <c r="Y67" i="101"/>
  <c r="X67" i="101"/>
  <c r="U67" i="101"/>
  <c r="T67" i="101"/>
  <c r="N67" i="101"/>
  <c r="M67" i="101"/>
  <c r="L67" i="101"/>
  <c r="K67" i="101"/>
  <c r="AA65" i="101"/>
  <c r="AA64" i="101"/>
  <c r="AA63" i="101"/>
  <c r="AA62" i="101"/>
  <c r="AA61" i="101"/>
  <c r="AA60" i="101"/>
  <c r="AA59" i="101"/>
  <c r="AA58" i="101"/>
  <c r="AA57" i="101"/>
  <c r="AA56" i="101"/>
  <c r="AA55" i="101"/>
  <c r="AA54" i="101"/>
  <c r="AA53" i="101"/>
  <c r="AA52" i="101"/>
  <c r="AA51" i="101"/>
  <c r="AA50" i="101"/>
  <c r="AA49" i="101"/>
  <c r="AA48" i="101"/>
  <c r="AA47" i="101"/>
  <c r="AA46" i="101"/>
  <c r="AA45" i="101"/>
  <c r="Y66" i="101"/>
  <c r="X66" i="101"/>
  <c r="U66" i="101"/>
  <c r="T66" i="101"/>
  <c r="N66" i="101"/>
  <c r="M66" i="101"/>
  <c r="L66" i="101"/>
  <c r="K66" i="101"/>
  <c r="R65" i="101"/>
  <c r="Q65" i="101"/>
  <c r="K65" i="101"/>
  <c r="V64" i="101"/>
  <c r="T64" i="101"/>
  <c r="U64" i="101" s="1"/>
  <c r="Z64" i="101" s="1"/>
  <c r="R64" i="101"/>
  <c r="K64" i="101"/>
  <c r="V63" i="101"/>
  <c r="R63" i="101"/>
  <c r="T63" i="101" s="1"/>
  <c r="K63" i="101"/>
  <c r="V62" i="101"/>
  <c r="T62" i="101"/>
  <c r="K62" i="101"/>
  <c r="V61" i="101"/>
  <c r="R61" i="101"/>
  <c r="T61" i="101" s="1"/>
  <c r="K61" i="101"/>
  <c r="R60" i="101"/>
  <c r="Q60" i="101"/>
  <c r="K60" i="101"/>
  <c r="R59" i="101"/>
  <c r="Q59" i="101"/>
  <c r="K59" i="101"/>
  <c r="R58" i="101"/>
  <c r="Q58" i="101"/>
  <c r="K58" i="101"/>
  <c r="V57" i="101"/>
  <c r="R57" i="101"/>
  <c r="T57" i="101" s="1"/>
  <c r="U57" i="101" s="1"/>
  <c r="Z57" i="101" s="1"/>
  <c r="Q57" i="101"/>
  <c r="K57" i="101"/>
  <c r="R56" i="101"/>
  <c r="Q56" i="101"/>
  <c r="K56" i="101"/>
  <c r="R55" i="101"/>
  <c r="Q55" i="101"/>
  <c r="K55" i="101"/>
  <c r="R54" i="101"/>
  <c r="Q54" i="101"/>
  <c r="K54" i="101"/>
  <c r="R53" i="101"/>
  <c r="Q53" i="101"/>
  <c r="K53" i="101"/>
  <c r="R52" i="101"/>
  <c r="Q52" i="101"/>
  <c r="K52" i="101"/>
  <c r="V51" i="101"/>
  <c r="R51" i="101"/>
  <c r="T51" i="101" s="1"/>
  <c r="K51" i="101"/>
  <c r="V50" i="101"/>
  <c r="T50" i="101"/>
  <c r="AD50" i="101" s="1"/>
  <c r="K50" i="101"/>
  <c r="R49" i="101"/>
  <c r="Q49" i="101"/>
  <c r="K49" i="101"/>
  <c r="L49" i="101" s="1"/>
  <c r="R48" i="101"/>
  <c r="Q48" i="101"/>
  <c r="K48" i="101"/>
  <c r="V47" i="101"/>
  <c r="R47" i="101"/>
  <c r="T47" i="101" s="1"/>
  <c r="K47" i="101"/>
  <c r="V46" i="101"/>
  <c r="T46" i="101"/>
  <c r="K46" i="101"/>
  <c r="V45" i="101"/>
  <c r="T45" i="101"/>
  <c r="K45" i="101"/>
  <c r="Q44" i="101"/>
  <c r="Q43" i="101"/>
  <c r="R41" i="101"/>
  <c r="Q41" i="101"/>
  <c r="K41" i="101"/>
  <c r="V40" i="101"/>
  <c r="T40" i="101"/>
  <c r="AD40" i="101" s="1"/>
  <c r="K40" i="101"/>
  <c r="R39" i="101"/>
  <c r="Q39" i="101"/>
  <c r="K39" i="101"/>
  <c r="R38" i="101"/>
  <c r="Q38" i="101"/>
  <c r="K38" i="101"/>
  <c r="L38" i="101" s="1"/>
  <c r="Q37" i="101"/>
  <c r="K37" i="101"/>
  <c r="Q36" i="101"/>
  <c r="K36" i="101"/>
  <c r="Q35" i="101"/>
  <c r="Q34" i="101"/>
  <c r="Q32" i="101"/>
  <c r="K32" i="101"/>
  <c r="K33" i="101" s="1"/>
  <c r="Q31" i="101"/>
  <c r="Q30" i="101"/>
  <c r="K29" i="101"/>
  <c r="R28" i="101"/>
  <c r="Q28" i="101"/>
  <c r="L28" i="101"/>
  <c r="Q27" i="101"/>
  <c r="Q26" i="101"/>
  <c r="R24" i="101"/>
  <c r="Q24" i="101"/>
  <c r="K24" i="101"/>
  <c r="K25" i="101" s="1"/>
  <c r="Q23" i="101"/>
  <c r="Q22" i="101"/>
  <c r="R20" i="101"/>
  <c r="Q20" i="101"/>
  <c r="K20" i="101"/>
  <c r="R19" i="101"/>
  <c r="Q19" i="101"/>
  <c r="K19" i="101"/>
  <c r="R18" i="101"/>
  <c r="Q18" i="101"/>
  <c r="K18" i="101"/>
  <c r="Q17" i="101"/>
  <c r="K17" i="101"/>
  <c r="Q16" i="101"/>
  <c r="Q15" i="101"/>
  <c r="M14" i="101"/>
  <c r="C16" i="100"/>
  <c r="C17" i="100" s="1"/>
  <c r="C12" i="100"/>
  <c r="C10" i="100"/>
  <c r="C9" i="100"/>
  <c r="C8" i="100"/>
  <c r="C7" i="100"/>
  <c r="R40" i="95"/>
  <c r="Q40" i="95"/>
  <c r="V40" i="95" s="1"/>
  <c r="K40" i="95"/>
  <c r="R36" i="95"/>
  <c r="Q36" i="95"/>
  <c r="K36" i="95"/>
  <c r="R41" i="95"/>
  <c r="T41" i="95" s="1"/>
  <c r="Q41" i="95"/>
  <c r="V41" i="95" s="1"/>
  <c r="K41" i="95"/>
  <c r="R39" i="95"/>
  <c r="Q39" i="95"/>
  <c r="K39" i="95"/>
  <c r="R38" i="95"/>
  <c r="Q38" i="95"/>
  <c r="K38" i="95"/>
  <c r="R35" i="95"/>
  <c r="Q35" i="95"/>
  <c r="K35" i="95"/>
  <c r="R37" i="95"/>
  <c r="Q37" i="95"/>
  <c r="K37" i="95"/>
  <c r="AD40" i="91"/>
  <c r="AD36" i="91"/>
  <c r="AD37" i="91"/>
  <c r="R34" i="95"/>
  <c r="Q34" i="95"/>
  <c r="K34" i="95"/>
  <c r="K29" i="91"/>
  <c r="K28" i="95"/>
  <c r="R33" i="95"/>
  <c r="Q33" i="95"/>
  <c r="K33" i="95"/>
  <c r="R32" i="95"/>
  <c r="K32" i="95"/>
  <c r="Q31" i="95"/>
  <c r="Q30" i="95"/>
  <c r="C18" i="100" l="1"/>
  <c r="V65" i="101"/>
  <c r="T65" i="101"/>
  <c r="U65" i="101" s="1"/>
  <c r="Z65" i="101" s="1"/>
  <c r="L65" i="101"/>
  <c r="L64" i="101"/>
  <c r="U63" i="101"/>
  <c r="L63" i="101"/>
  <c r="L62" i="101"/>
  <c r="M62" i="101" s="1"/>
  <c r="N62" i="101" s="1"/>
  <c r="U62" i="101"/>
  <c r="U61" i="101"/>
  <c r="L61" i="101"/>
  <c r="N61" i="101" s="1"/>
  <c r="M61" i="101"/>
  <c r="W64" i="101"/>
  <c r="X64" i="101" s="1"/>
  <c r="V60" i="101"/>
  <c r="T60" i="101"/>
  <c r="U60" i="101" s="1"/>
  <c r="Z60" i="101" s="1"/>
  <c r="L60" i="101"/>
  <c r="V59" i="101"/>
  <c r="T59" i="101"/>
  <c r="U59" i="101" s="1"/>
  <c r="Z59" i="101" s="1"/>
  <c r="L59" i="101"/>
  <c r="M59" i="101" s="1"/>
  <c r="N59" i="101" s="1"/>
  <c r="T58" i="101"/>
  <c r="U58" i="101" s="1"/>
  <c r="Z58" i="101" s="1"/>
  <c r="V58" i="101"/>
  <c r="L58" i="101"/>
  <c r="L57" i="101"/>
  <c r="V56" i="101"/>
  <c r="T56" i="101"/>
  <c r="U56" i="101" s="1"/>
  <c r="L56" i="101"/>
  <c r="M56" i="101"/>
  <c r="N56" i="101"/>
  <c r="T55" i="101"/>
  <c r="V55" i="101"/>
  <c r="U55" i="101"/>
  <c r="W55" i="101"/>
  <c r="X55" i="101" s="1"/>
  <c r="Y55" i="101" s="1"/>
  <c r="Z55" i="101"/>
  <c r="L55" i="101"/>
  <c r="N55" i="101" s="1"/>
  <c r="M55" i="101"/>
  <c r="V54" i="101"/>
  <c r="T54" i="101"/>
  <c r="U54" i="101" s="1"/>
  <c r="L54" i="101"/>
  <c r="M54" i="101"/>
  <c r="N54" i="101" s="1"/>
  <c r="V53" i="101"/>
  <c r="T53" i="101"/>
  <c r="L53" i="101"/>
  <c r="M53" i="101"/>
  <c r="N53" i="101" s="1"/>
  <c r="T52" i="101"/>
  <c r="V52" i="101"/>
  <c r="U52" i="101"/>
  <c r="L52" i="101"/>
  <c r="M52" i="101"/>
  <c r="N52" i="101" s="1"/>
  <c r="AD51" i="101"/>
  <c r="L51" i="101"/>
  <c r="U51" i="101"/>
  <c r="M51" i="101"/>
  <c r="N51" i="101" s="1"/>
  <c r="W57" i="101"/>
  <c r="X57" i="101" s="1"/>
  <c r="U50" i="101"/>
  <c r="L50" i="101"/>
  <c r="M50" i="101"/>
  <c r="V49" i="101"/>
  <c r="T49" i="101"/>
  <c r="U49" i="101" s="1"/>
  <c r="M49" i="101"/>
  <c r="N49" i="101" s="1"/>
  <c r="V48" i="101"/>
  <c r="T48" i="101"/>
  <c r="U48" i="101" s="1"/>
  <c r="L48" i="101"/>
  <c r="U47" i="101"/>
  <c r="L47" i="101"/>
  <c r="U46" i="101"/>
  <c r="M46" i="101"/>
  <c r="L46" i="101"/>
  <c r="U45" i="101"/>
  <c r="L45" i="101"/>
  <c r="T18" i="101"/>
  <c r="V18" i="101"/>
  <c r="V41" i="101"/>
  <c r="T41" i="101"/>
  <c r="L41" i="101"/>
  <c r="M41" i="101" s="1"/>
  <c r="N41" i="101" s="1"/>
  <c r="L40" i="101"/>
  <c r="U40" i="101"/>
  <c r="K42" i="101"/>
  <c r="V39" i="101"/>
  <c r="T39" i="101"/>
  <c r="L39" i="101"/>
  <c r="V38" i="101"/>
  <c r="T38" i="101"/>
  <c r="U38" i="101" s="1"/>
  <c r="Z38" i="101" s="1"/>
  <c r="M38" i="101"/>
  <c r="N38" i="101" s="1"/>
  <c r="V37" i="101"/>
  <c r="T37" i="101"/>
  <c r="L37" i="101"/>
  <c r="M37" i="101" s="1"/>
  <c r="V36" i="101"/>
  <c r="T36" i="101"/>
  <c r="U36" i="101" s="1"/>
  <c r="L36" i="101"/>
  <c r="M36" i="101" s="1"/>
  <c r="V32" i="101"/>
  <c r="T32" i="101"/>
  <c r="U32" i="101" s="1"/>
  <c r="L32" i="101"/>
  <c r="M32" i="101" s="1"/>
  <c r="M33" i="101" s="1"/>
  <c r="V28" i="101"/>
  <c r="T28" i="101"/>
  <c r="U28" i="101" s="1"/>
  <c r="L29" i="101"/>
  <c r="V24" i="101"/>
  <c r="T24" i="101"/>
  <c r="U24" i="101" s="1"/>
  <c r="L24" i="101"/>
  <c r="M24" i="101"/>
  <c r="M25" i="101" s="1"/>
  <c r="T20" i="101"/>
  <c r="U20" i="101"/>
  <c r="V20" i="101"/>
  <c r="W20" i="101"/>
  <c r="X20" i="101"/>
  <c r="Z20" i="101"/>
  <c r="L20" i="101"/>
  <c r="M20" i="101"/>
  <c r="Y20" i="101" s="1"/>
  <c r="V19" i="101"/>
  <c r="T19" i="101"/>
  <c r="U19" i="101" s="1"/>
  <c r="Z19" i="101" s="1"/>
  <c r="L19" i="101"/>
  <c r="M19" i="101"/>
  <c r="L18" i="101"/>
  <c r="M18" i="101" s="1"/>
  <c r="N18" i="101" s="1"/>
  <c r="U18" i="101"/>
  <c r="T17" i="101"/>
  <c r="U17" i="101" s="1"/>
  <c r="V17" i="101"/>
  <c r="K21" i="101"/>
  <c r="L17" i="101"/>
  <c r="M28" i="101"/>
  <c r="Z12" i="101"/>
  <c r="L40" i="95"/>
  <c r="M40" i="95" s="1"/>
  <c r="T40" i="95"/>
  <c r="U40" i="95" s="1"/>
  <c r="T36" i="95"/>
  <c r="U36" i="95" s="1"/>
  <c r="Z36" i="95" s="1"/>
  <c r="V36" i="95"/>
  <c r="W36" i="95" s="1"/>
  <c r="X36" i="95" s="1"/>
  <c r="K42" i="95"/>
  <c r="L36" i="95"/>
  <c r="T38" i="95"/>
  <c r="U41" i="95"/>
  <c r="V39" i="95"/>
  <c r="L41" i="95"/>
  <c r="L39" i="95"/>
  <c r="L38" i="95"/>
  <c r="T39" i="95"/>
  <c r="U39" i="95" s="1"/>
  <c r="Z39" i="95" s="1"/>
  <c r="V38" i="95"/>
  <c r="U38" i="95"/>
  <c r="Z38" i="95" s="1"/>
  <c r="T35" i="95"/>
  <c r="U35" i="95" s="1"/>
  <c r="Z35" i="95" s="1"/>
  <c r="L35" i="95"/>
  <c r="V35" i="95"/>
  <c r="V37" i="95"/>
  <c r="T37" i="95"/>
  <c r="U37" i="95" s="1"/>
  <c r="Z37" i="95" s="1"/>
  <c r="L37" i="95"/>
  <c r="L34" i="95"/>
  <c r="V34" i="95"/>
  <c r="T34" i="95"/>
  <c r="AD34" i="95" s="1"/>
  <c r="V28" i="95"/>
  <c r="V33" i="95"/>
  <c r="AD33" i="95"/>
  <c r="T28" i="95"/>
  <c r="AD28" i="95" s="1"/>
  <c r="L28" i="95"/>
  <c r="L32" i="95"/>
  <c r="L33" i="95"/>
  <c r="V32" i="95"/>
  <c r="T32" i="95"/>
  <c r="R28" i="91"/>
  <c r="Q28" i="91"/>
  <c r="V28" i="91" s="1"/>
  <c r="L28" i="91"/>
  <c r="L29" i="91" s="1"/>
  <c r="R27" i="95"/>
  <c r="Q27" i="95"/>
  <c r="K27" i="95"/>
  <c r="R26" i="95"/>
  <c r="Q26" i="95"/>
  <c r="K26" i="95"/>
  <c r="K29" i="95" s="1"/>
  <c r="Q25" i="95"/>
  <c r="Q24" i="95"/>
  <c r="R22" i="95"/>
  <c r="K22" i="95"/>
  <c r="K23" i="95" s="1"/>
  <c r="Q21" i="95"/>
  <c r="Q20" i="95"/>
  <c r="K18" i="95"/>
  <c r="K17" i="95"/>
  <c r="Q16" i="95"/>
  <c r="Q15" i="95"/>
  <c r="M14" i="95"/>
  <c r="Z12" i="95" s="1"/>
  <c r="Q26" i="91"/>
  <c r="Q27" i="91"/>
  <c r="R21" i="92"/>
  <c r="Q21" i="92"/>
  <c r="K21" i="92"/>
  <c r="R20" i="92"/>
  <c r="K20" i="92"/>
  <c r="R19" i="92"/>
  <c r="K19" i="92"/>
  <c r="V18" i="92"/>
  <c r="T18" i="92"/>
  <c r="K18" i="92"/>
  <c r="R17" i="92"/>
  <c r="K17" i="92"/>
  <c r="Q16" i="92"/>
  <c r="Q15" i="92"/>
  <c r="M14" i="92"/>
  <c r="R24" i="91"/>
  <c r="Q24" i="91"/>
  <c r="K24" i="91"/>
  <c r="K25" i="91" s="1"/>
  <c r="W63" i="101" l="1"/>
  <c r="X63" i="101" s="1"/>
  <c r="Z63" i="101"/>
  <c r="W62" i="101"/>
  <c r="X62" i="101" s="1"/>
  <c r="Y62" i="101" s="1"/>
  <c r="Z62" i="101"/>
  <c r="W61" i="101"/>
  <c r="X61" i="101" s="1"/>
  <c r="Y61" i="101" s="1"/>
  <c r="Z61" i="101"/>
  <c r="M65" i="101"/>
  <c r="N65" i="101" s="1"/>
  <c r="M64" i="101"/>
  <c r="M63" i="101"/>
  <c r="N63" i="101" s="1"/>
  <c r="W65" i="101"/>
  <c r="X65" i="101" s="1"/>
  <c r="Y65" i="101" s="1"/>
  <c r="AD52" i="101"/>
  <c r="W51" i="101"/>
  <c r="X51" i="101" s="1"/>
  <c r="Y51" i="101" s="1"/>
  <c r="Z51" i="101"/>
  <c r="M60" i="101"/>
  <c r="N60" i="101" s="1"/>
  <c r="M58" i="101"/>
  <c r="N58" i="101" s="1"/>
  <c r="M57" i="101"/>
  <c r="W56" i="101"/>
  <c r="X56" i="101" s="1"/>
  <c r="Y56" i="101" s="1"/>
  <c r="Z56" i="101"/>
  <c r="Z54" i="101"/>
  <c r="W54" i="101"/>
  <c r="X54" i="101" s="1"/>
  <c r="Y54" i="101" s="1"/>
  <c r="AD53" i="101"/>
  <c r="U53" i="101"/>
  <c r="Z52" i="101"/>
  <c r="W52" i="101"/>
  <c r="X52" i="101" s="1"/>
  <c r="Y52" i="101" s="1"/>
  <c r="W58" i="101"/>
  <c r="X58" i="101" s="1"/>
  <c r="W60" i="101"/>
  <c r="X60" i="101" s="1"/>
  <c r="W59" i="101"/>
  <c r="X59" i="101" s="1"/>
  <c r="Y59" i="101" s="1"/>
  <c r="W50" i="101"/>
  <c r="X50" i="101" s="1"/>
  <c r="Y50" i="101" s="1"/>
  <c r="Z50" i="101"/>
  <c r="N50" i="101"/>
  <c r="Z49" i="101"/>
  <c r="W49" i="101"/>
  <c r="X49" i="101" s="1"/>
  <c r="Y49" i="101" s="1"/>
  <c r="W48" i="101"/>
  <c r="X48" i="101" s="1"/>
  <c r="Z48" i="101"/>
  <c r="M48" i="101"/>
  <c r="N48" i="101" s="1"/>
  <c r="W47" i="101"/>
  <c r="X47" i="101" s="1"/>
  <c r="Z47" i="101"/>
  <c r="M47" i="101"/>
  <c r="N47" i="101" s="1"/>
  <c r="W46" i="101"/>
  <c r="X46" i="101" s="1"/>
  <c r="Y46" i="101" s="1"/>
  <c r="Z46" i="101"/>
  <c r="W45" i="101"/>
  <c r="X45" i="101" s="1"/>
  <c r="Z45" i="101"/>
  <c r="N46" i="101"/>
  <c r="M45" i="101"/>
  <c r="N45" i="101" s="1"/>
  <c r="W40" i="101"/>
  <c r="X40" i="101" s="1"/>
  <c r="Z40" i="101"/>
  <c r="AD36" i="101"/>
  <c r="T42" i="101"/>
  <c r="AA38" i="101" s="1"/>
  <c r="N36" i="101"/>
  <c r="L42" i="101"/>
  <c r="T33" i="101"/>
  <c r="AA32" i="101" s="1"/>
  <c r="N32" i="101"/>
  <c r="N33" i="101" s="1"/>
  <c r="L33" i="101"/>
  <c r="AD28" i="101"/>
  <c r="T29" i="101"/>
  <c r="T25" i="101"/>
  <c r="AA24" i="101" s="1"/>
  <c r="N24" i="101"/>
  <c r="N25" i="101" s="1"/>
  <c r="L25" i="101"/>
  <c r="W18" i="101"/>
  <c r="X18" i="101" s="1"/>
  <c r="Y18" i="101" s="1"/>
  <c r="Z18" i="101"/>
  <c r="U21" i="101"/>
  <c r="T21" i="101"/>
  <c r="AA17" i="101" s="1"/>
  <c r="L21" i="101"/>
  <c r="N20" i="101"/>
  <c r="N19" i="101"/>
  <c r="N37" i="101"/>
  <c r="AD41" i="101"/>
  <c r="U41" i="101"/>
  <c r="M40" i="101"/>
  <c r="N40" i="101" s="1"/>
  <c r="AD39" i="101"/>
  <c r="U39" i="101"/>
  <c r="M39" i="101"/>
  <c r="AD37" i="101"/>
  <c r="U37" i="101"/>
  <c r="Z36" i="101"/>
  <c r="Z32" i="101"/>
  <c r="U33" i="101"/>
  <c r="Z28" i="101"/>
  <c r="W28" i="101"/>
  <c r="X28" i="101" s="1"/>
  <c r="U29" i="101"/>
  <c r="Z24" i="101"/>
  <c r="U25" i="101"/>
  <c r="Z17" i="101"/>
  <c r="W17" i="101"/>
  <c r="X17" i="101" s="1"/>
  <c r="M17" i="101"/>
  <c r="N17" i="101" s="1"/>
  <c r="M29" i="101"/>
  <c r="N28" i="101"/>
  <c r="N29" i="101" s="1"/>
  <c r="W38" i="101"/>
  <c r="X38" i="101" s="1"/>
  <c r="Y38" i="101" s="1"/>
  <c r="W36" i="101"/>
  <c r="X36" i="101" s="1"/>
  <c r="W32" i="101"/>
  <c r="X32" i="101" s="1"/>
  <c r="W24" i="101"/>
  <c r="X24" i="101" s="1"/>
  <c r="W19" i="101"/>
  <c r="X19" i="101" s="1"/>
  <c r="Y19" i="101" s="1"/>
  <c r="Z41" i="95"/>
  <c r="W41" i="95"/>
  <c r="X41" i="95" s="1"/>
  <c r="W40" i="95"/>
  <c r="X40" i="95" s="1"/>
  <c r="Y40" i="95" s="1"/>
  <c r="Z40" i="95"/>
  <c r="N40" i="95"/>
  <c r="M36" i="95"/>
  <c r="N36" i="95" s="1"/>
  <c r="M39" i="95"/>
  <c r="M41" i="95"/>
  <c r="N41" i="95" s="1"/>
  <c r="M38" i="95"/>
  <c r="N38" i="95" s="1"/>
  <c r="Y36" i="95"/>
  <c r="L42" i="95"/>
  <c r="T42" i="95"/>
  <c r="K43" i="95"/>
  <c r="K19" i="95"/>
  <c r="Y41" i="95"/>
  <c r="W39" i="95"/>
  <c r="X39" i="95" s="1"/>
  <c r="Y39" i="95" s="1"/>
  <c r="W38" i="95"/>
  <c r="X38" i="95" s="1"/>
  <c r="Y38" i="95" s="1"/>
  <c r="N39" i="95"/>
  <c r="M37" i="95"/>
  <c r="N37" i="95" s="1"/>
  <c r="M35" i="95"/>
  <c r="N35" i="95" s="1"/>
  <c r="W35" i="95"/>
  <c r="X35" i="95" s="1"/>
  <c r="Y35" i="95" s="1"/>
  <c r="W37" i="95"/>
  <c r="X37" i="95" s="1"/>
  <c r="Y37" i="95" s="1"/>
  <c r="AD32" i="95"/>
  <c r="Z12" i="92"/>
  <c r="K22" i="92"/>
  <c r="K23" i="92"/>
  <c r="M34" i="95"/>
  <c r="N34" i="95" s="1"/>
  <c r="U34" i="95"/>
  <c r="Z34" i="95" s="1"/>
  <c r="U28" i="95"/>
  <c r="U33" i="95"/>
  <c r="M28" i="95"/>
  <c r="N28" i="95" s="1"/>
  <c r="U32" i="95"/>
  <c r="M33" i="95"/>
  <c r="M32" i="95"/>
  <c r="T27" i="95"/>
  <c r="V27" i="95"/>
  <c r="L27" i="95"/>
  <c r="V26" i="95"/>
  <c r="T26" i="95"/>
  <c r="T29" i="95" s="1"/>
  <c r="L26" i="95"/>
  <c r="L29" i="95" s="1"/>
  <c r="T22" i="95"/>
  <c r="T23" i="95" s="1"/>
  <c r="V22" i="95"/>
  <c r="L22" i="95"/>
  <c r="L23" i="95" s="1"/>
  <c r="V18" i="95"/>
  <c r="T18" i="95"/>
  <c r="U18" i="95" s="1"/>
  <c r="L18" i="95"/>
  <c r="V17" i="95"/>
  <c r="L17" i="95"/>
  <c r="V21" i="92"/>
  <c r="T21" i="92"/>
  <c r="L21" i="92"/>
  <c r="V20" i="92"/>
  <c r="T20" i="92"/>
  <c r="L20" i="92"/>
  <c r="T19" i="92"/>
  <c r="V19" i="92"/>
  <c r="L19" i="92"/>
  <c r="U18" i="92"/>
  <c r="L18" i="92"/>
  <c r="T17" i="92"/>
  <c r="V17" i="92"/>
  <c r="L17" i="92"/>
  <c r="T24" i="91"/>
  <c r="T25" i="91" s="1"/>
  <c r="V24" i="91"/>
  <c r="L24" i="91"/>
  <c r="L25" i="91" s="1"/>
  <c r="U42" i="95" l="1"/>
  <c r="Y63" i="101"/>
  <c r="Y64" i="101"/>
  <c r="N64" i="101"/>
  <c r="Z53" i="101"/>
  <c r="W53" i="101"/>
  <c r="X53" i="101" s="1"/>
  <c r="Y53" i="101" s="1"/>
  <c r="Y58" i="101"/>
  <c r="Y60" i="101"/>
  <c r="Y57" i="101"/>
  <c r="N57" i="101"/>
  <c r="Y48" i="101"/>
  <c r="Y47" i="101"/>
  <c r="Y45" i="101"/>
  <c r="U42" i="101"/>
  <c r="M42" i="101"/>
  <c r="N39" i="101"/>
  <c r="N42" i="101"/>
  <c r="AA19" i="101"/>
  <c r="AA20" i="101"/>
  <c r="AA18" i="101"/>
  <c r="W41" i="101"/>
  <c r="X41" i="101" s="1"/>
  <c r="Y41" i="101" s="1"/>
  <c r="Z41" i="101"/>
  <c r="W39" i="101"/>
  <c r="X39" i="101" s="1"/>
  <c r="Y39" i="101" s="1"/>
  <c r="Z39" i="101"/>
  <c r="W37" i="101"/>
  <c r="X37" i="101" s="1"/>
  <c r="Z37" i="101"/>
  <c r="Y28" i="101"/>
  <c r="X29" i="101"/>
  <c r="Y29" i="101" s="1"/>
  <c r="X21" i="101"/>
  <c r="Y17" i="101"/>
  <c r="N21" i="101"/>
  <c r="M21" i="101"/>
  <c r="Y36" i="101"/>
  <c r="X33" i="101"/>
  <c r="Y33" i="101" s="1"/>
  <c r="Y32" i="101"/>
  <c r="X25" i="101"/>
  <c r="Y25" i="101" s="1"/>
  <c r="Y24" i="101"/>
  <c r="Y40" i="101"/>
  <c r="M42" i="95"/>
  <c r="Z33" i="95"/>
  <c r="W33" i="95"/>
  <c r="X33" i="95" s="1"/>
  <c r="T19" i="95"/>
  <c r="T43" i="95"/>
  <c r="L43" i="95"/>
  <c r="L19" i="95"/>
  <c r="Z28" i="95"/>
  <c r="W28" i="95"/>
  <c r="X28" i="95" s="1"/>
  <c r="Y28" i="95" s="1"/>
  <c r="T29" i="91"/>
  <c r="AD28" i="91"/>
  <c r="AA33" i="95"/>
  <c r="AA32" i="95"/>
  <c r="U17" i="92"/>
  <c r="U19" i="92"/>
  <c r="T22" i="92"/>
  <c r="T23" i="92"/>
  <c r="L23" i="92"/>
  <c r="L22" i="92"/>
  <c r="W34" i="95"/>
  <c r="X34" i="95" s="1"/>
  <c r="Y34" i="95" s="1"/>
  <c r="N33" i="95"/>
  <c r="Z32" i="95"/>
  <c r="N32" i="95"/>
  <c r="N42" i="95" s="1"/>
  <c r="W32" i="95"/>
  <c r="X32" i="95" s="1"/>
  <c r="U27" i="95"/>
  <c r="Z27" i="95" s="1"/>
  <c r="M22" i="95"/>
  <c r="M23" i="95" s="1"/>
  <c r="U17" i="95"/>
  <c r="M17" i="95"/>
  <c r="M18" i="92"/>
  <c r="U22" i="95"/>
  <c r="U23" i="95" s="1"/>
  <c r="U28" i="91"/>
  <c r="U29" i="91" s="1"/>
  <c r="U20" i="92"/>
  <c r="M20" i="92"/>
  <c r="M26" i="95"/>
  <c r="M27" i="95"/>
  <c r="U26" i="95"/>
  <c r="W18" i="95"/>
  <c r="X18" i="95" s="1"/>
  <c r="Z18" i="95"/>
  <c r="M18" i="95"/>
  <c r="U21" i="92"/>
  <c r="M21" i="92"/>
  <c r="W18" i="92"/>
  <c r="X18" i="92" s="1"/>
  <c r="Z18" i="92"/>
  <c r="M19" i="92"/>
  <c r="M17" i="92"/>
  <c r="U24" i="91"/>
  <c r="U25" i="91" s="1"/>
  <c r="Y33" i="95" l="1"/>
  <c r="AM33" i="95"/>
  <c r="U29" i="95"/>
  <c r="Y37" i="101"/>
  <c r="X42" i="101"/>
  <c r="Y42" i="101" s="1"/>
  <c r="Y21" i="101"/>
  <c r="X42" i="95"/>
  <c r="Y42" i="95" s="1"/>
  <c r="M29" i="95"/>
  <c r="U43" i="95"/>
  <c r="U19" i="95"/>
  <c r="M19" i="95"/>
  <c r="M43" i="95"/>
  <c r="W17" i="92"/>
  <c r="X17" i="92" s="1"/>
  <c r="Z17" i="92"/>
  <c r="N18" i="92"/>
  <c r="W19" i="92"/>
  <c r="X19" i="92" s="1"/>
  <c r="Z19" i="92"/>
  <c r="W21" i="92"/>
  <c r="X21" i="92" s="1"/>
  <c r="W20" i="92"/>
  <c r="X20" i="92" s="1"/>
  <c r="U23" i="92"/>
  <c r="U22" i="92"/>
  <c r="M23" i="92"/>
  <c r="M22" i="92"/>
  <c r="W27" i="95"/>
  <c r="X27" i="95" s="1"/>
  <c r="Y27" i="95" s="1"/>
  <c r="N22" i="95"/>
  <c r="N23" i="95" s="1"/>
  <c r="Y32" i="95"/>
  <c r="W22" i="95"/>
  <c r="X22" i="95" s="1"/>
  <c r="X23" i="95" s="1"/>
  <c r="W17" i="95"/>
  <c r="X17" i="95" s="1"/>
  <c r="AM17" i="95" s="1"/>
  <c r="AM43" i="95" s="1"/>
  <c r="N17" i="95"/>
  <c r="Z17" i="95"/>
  <c r="Z22" i="95"/>
  <c r="Y18" i="92"/>
  <c r="N26" i="95"/>
  <c r="Z28" i="91"/>
  <c r="W28" i="91"/>
  <c r="X28" i="91" s="1"/>
  <c r="Z20" i="92"/>
  <c r="N20" i="92"/>
  <c r="W26" i="95"/>
  <c r="X26" i="95" s="1"/>
  <c r="Z26" i="95"/>
  <c r="Y18" i="95"/>
  <c r="AA22" i="95"/>
  <c r="N27" i="95"/>
  <c r="N18" i="95"/>
  <c r="Z21" i="92"/>
  <c r="N21" i="92"/>
  <c r="N17" i="92"/>
  <c r="N19" i="92"/>
  <c r="W24" i="91"/>
  <c r="X24" i="91" s="1"/>
  <c r="X25" i="91" s="1"/>
  <c r="Z24" i="91"/>
  <c r="X29" i="91" l="1"/>
  <c r="AK28" i="91"/>
  <c r="X29" i="95"/>
  <c r="N29" i="95"/>
  <c r="Y17" i="95"/>
  <c r="X19" i="95"/>
  <c r="X43" i="95"/>
  <c r="D22" i="102" s="1"/>
  <c r="E22" i="102" s="1"/>
  <c r="F22" i="102" s="1"/>
  <c r="N43" i="95"/>
  <c r="N19" i="95"/>
  <c r="Y29" i="95"/>
  <c r="Y22" i="95"/>
  <c r="Y23" i="95"/>
  <c r="Y17" i="92"/>
  <c r="X23" i="92"/>
  <c r="X22" i="92"/>
  <c r="Y19" i="92"/>
  <c r="Y20" i="92"/>
  <c r="Y21" i="92"/>
  <c r="N23" i="92"/>
  <c r="N22" i="92"/>
  <c r="Y26" i="95"/>
  <c r="Y43" i="95" l="1"/>
  <c r="Y22" i="92"/>
  <c r="Y23" i="92"/>
  <c r="Y19" i="95"/>
  <c r="Z23" i="92" l="1"/>
  <c r="AA23" i="92" s="1"/>
  <c r="Z43" i="95"/>
  <c r="AA43" i="95" s="1"/>
  <c r="Q32" i="91"/>
  <c r="V32" i="91" s="1"/>
  <c r="K32" i="91"/>
  <c r="Q31" i="91"/>
  <c r="Q30" i="91"/>
  <c r="K33" i="91" l="1"/>
  <c r="L32" i="91"/>
  <c r="T33" i="91" l="1"/>
  <c r="L33" i="91"/>
  <c r="U32" i="91"/>
  <c r="U33" i="91" l="1"/>
  <c r="AA32" i="91"/>
  <c r="W32" i="91"/>
  <c r="X32" i="91" s="1"/>
  <c r="AK32" i="91" s="1"/>
  <c r="Z32" i="91"/>
  <c r="X33" i="91" l="1"/>
  <c r="R41" i="91"/>
  <c r="Q41" i="91"/>
  <c r="V41" i="91" s="1"/>
  <c r="K41" i="91"/>
  <c r="Q36" i="91"/>
  <c r="K36" i="91"/>
  <c r="Q37" i="91"/>
  <c r="K37" i="91"/>
  <c r="K40" i="91"/>
  <c r="R39" i="91"/>
  <c r="Q39" i="91"/>
  <c r="K39" i="91"/>
  <c r="R20" i="91"/>
  <c r="Q20" i="91"/>
  <c r="K20" i="91"/>
  <c r="L20" i="91" s="1"/>
  <c r="L37" i="91" l="1"/>
  <c r="T36" i="91"/>
  <c r="V36" i="91"/>
  <c r="L39" i="91"/>
  <c r="T39" i="91"/>
  <c r="AD39" i="91" s="1"/>
  <c r="L41" i="91"/>
  <c r="V39" i="91"/>
  <c r="L40" i="91"/>
  <c r="L36" i="91"/>
  <c r="AD41" i="91"/>
  <c r="T37" i="91"/>
  <c r="V37" i="91"/>
  <c r="T40" i="91"/>
  <c r="U40" i="91" s="1"/>
  <c r="V40" i="91"/>
  <c r="T20" i="91"/>
  <c r="V20" i="91"/>
  <c r="U37" i="91" l="1"/>
  <c r="W37" i="91" s="1"/>
  <c r="X37" i="91" s="1"/>
  <c r="U41" i="91"/>
  <c r="Z41" i="91" s="1"/>
  <c r="U20" i="91"/>
  <c r="U36" i="91"/>
  <c r="U39" i="91"/>
  <c r="Z40" i="91"/>
  <c r="W40" i="91"/>
  <c r="X40" i="91" s="1"/>
  <c r="W41" i="91" l="1"/>
  <c r="X41" i="91" s="1"/>
  <c r="AK41" i="91" s="1"/>
  <c r="AK43" i="91" s="1"/>
  <c r="W39" i="91"/>
  <c r="X39" i="91" s="1"/>
  <c r="Z37" i="91"/>
  <c r="W36" i="91"/>
  <c r="X36" i="91" s="1"/>
  <c r="W20" i="91"/>
  <c r="X20" i="91" s="1"/>
  <c r="Z20" i="91"/>
  <c r="Z36" i="91"/>
  <c r="Z39" i="91"/>
  <c r="R19" i="91"/>
  <c r="Q19" i="91"/>
  <c r="K19" i="91"/>
  <c r="R18" i="91"/>
  <c r="Q18" i="91"/>
  <c r="K18" i="91"/>
  <c r="R38" i="91"/>
  <c r="Q38" i="91"/>
  <c r="K38" i="91"/>
  <c r="K42" i="91" s="1"/>
  <c r="Q35" i="91"/>
  <c r="Q34" i="91"/>
  <c r="L38" i="91" l="1"/>
  <c r="L42" i="91" s="1"/>
  <c r="L19" i="91"/>
  <c r="T19" i="91"/>
  <c r="V19" i="91"/>
  <c r="L18" i="91"/>
  <c r="T18" i="91"/>
  <c r="V18" i="91"/>
  <c r="T38" i="91"/>
  <c r="T42" i="91" s="1"/>
  <c r="V38" i="91"/>
  <c r="U19" i="91" l="1"/>
  <c r="U18" i="91"/>
  <c r="AA38" i="91"/>
  <c r="U38" i="91"/>
  <c r="U42" i="91" s="1"/>
  <c r="Z19" i="91" l="1"/>
  <c r="W19" i="91"/>
  <c r="X19" i="91" s="1"/>
  <c r="Z18" i="91"/>
  <c r="W18" i="91"/>
  <c r="X18" i="91" s="1"/>
  <c r="W38" i="91"/>
  <c r="X38" i="91" s="1"/>
  <c r="X42" i="91" s="1"/>
  <c r="Z38" i="91"/>
  <c r="Q23" i="91"/>
  <c r="Q22" i="91"/>
  <c r="Q17" i="91"/>
  <c r="K17" i="91"/>
  <c r="Q16" i="91"/>
  <c r="Q15" i="91"/>
  <c r="K21" i="91" l="1"/>
  <c r="K43" i="91"/>
  <c r="L17" i="91"/>
  <c r="T17" i="91"/>
  <c r="V17" i="91"/>
  <c r="L43" i="91" l="1"/>
  <c r="L21" i="91"/>
  <c r="T21" i="91"/>
  <c r="T43" i="91"/>
  <c r="AA24" i="91"/>
  <c r="U17" i="91"/>
  <c r="AA17" i="91" l="1"/>
  <c r="U21" i="91"/>
  <c r="U43" i="91"/>
  <c r="AA18" i="91"/>
  <c r="AA19" i="91"/>
  <c r="AA20" i="91"/>
  <c r="W17" i="91"/>
  <c r="X17" i="91" s="1"/>
  <c r="Z17" i="91"/>
  <c r="X43" i="91" l="1"/>
  <c r="D21" i="102" s="1"/>
  <c r="X21" i="91"/>
  <c r="M14" i="91"/>
  <c r="D24" i="102" l="1"/>
  <c r="E24" i="102" s="1"/>
  <c r="E21" i="102"/>
  <c r="M38" i="91"/>
  <c r="M28" i="91"/>
  <c r="M29" i="91" s="1"/>
  <c r="M24" i="91"/>
  <c r="M25" i="91" s="1"/>
  <c r="M41" i="91"/>
  <c r="M37" i="91"/>
  <c r="M36" i="91"/>
  <c r="M40" i="91"/>
  <c r="M32" i="91"/>
  <c r="M39" i="91"/>
  <c r="M20" i="91"/>
  <c r="M19" i="91"/>
  <c r="M18" i="91"/>
  <c r="M17" i="91"/>
  <c r="Z12" i="91"/>
  <c r="E28" i="102" l="1"/>
  <c r="F32" i="102"/>
  <c r="F28" i="102"/>
  <c r="F24" i="102"/>
  <c r="F21" i="102"/>
  <c r="M42" i="91"/>
  <c r="M33" i="91"/>
  <c r="M43" i="91"/>
  <c r="M21" i="91"/>
  <c r="Y29" i="91"/>
  <c r="Y28" i="91"/>
  <c r="N28" i="91"/>
  <c r="N29" i="91" s="1"/>
  <c r="Y24" i="91"/>
  <c r="N24" i="91"/>
  <c r="N25" i="91" s="1"/>
  <c r="N41" i="91"/>
  <c r="Y41" i="91"/>
  <c r="N40" i="91"/>
  <c r="Y40" i="91"/>
  <c r="Y36" i="91"/>
  <c r="N36" i="91"/>
  <c r="N37" i="91"/>
  <c r="Y37" i="91"/>
  <c r="N32" i="91"/>
  <c r="Y32" i="91"/>
  <c r="N39" i="91"/>
  <c r="Y39" i="91"/>
  <c r="N20" i="91"/>
  <c r="Y20" i="91"/>
  <c r="Y18" i="91"/>
  <c r="N18" i="91"/>
  <c r="N19" i="91"/>
  <c r="Y19" i="91"/>
  <c r="Y38" i="91"/>
  <c r="N38" i="91"/>
  <c r="N17" i="91"/>
  <c r="Y17" i="91"/>
  <c r="Y42" i="91" l="1"/>
  <c r="Y33" i="91"/>
  <c r="Y43" i="91"/>
  <c r="N33" i="91"/>
  <c r="N42" i="91"/>
  <c r="Y21" i="91"/>
  <c r="N43" i="91"/>
  <c r="N21" i="91"/>
  <c r="Y25" i="91" l="1"/>
  <c r="Z43" i="91" l="1"/>
  <c r="AA43" i="91" s="1"/>
</calcChain>
</file>

<file path=xl/sharedStrings.xml><?xml version="1.0" encoding="utf-8"?>
<sst xmlns="http://schemas.openxmlformats.org/spreadsheetml/2006/main" count="1024" uniqueCount="314">
  <si>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</si>
  <si>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</si>
  <si>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</si>
  <si>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</si>
  <si>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</si>
  <si>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</si>
  <si>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</si>
  <si>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</si>
  <si>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</si>
  <si>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</si>
  <si>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</si>
  <si>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Data</t>
  </si>
  <si>
    <t>Valor</t>
  </si>
  <si>
    <t>TOTAL</t>
  </si>
  <si>
    <t>Descrição</t>
  </si>
  <si>
    <t>ENCARGOS PUBLI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</si>
  <si>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</si>
  <si>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</si>
  <si>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</si>
  <si>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</si>
  <si>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</si>
  <si>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</si>
  <si>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</si>
  <si>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</si>
  <si>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</si>
  <si>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</si>
  <si>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</si>
  <si>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</si>
  <si>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</si>
  <si>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</si>
  <si>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</si>
  <si>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</si>
  <si>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</si>
  <si>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</si>
  <si>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</si>
  <si>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</si>
  <si>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</si>
  <si>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</si>
  <si>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</si>
  <si>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</si>
  <si>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</si>
  <si>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</si>
  <si>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</si>
  <si>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</si>
  <si>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</si>
  <si>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</si>
  <si>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</si>
  <si>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</si>
  <si>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</si>
  <si>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</si>
  <si>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</si>
  <si>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</si>
  <si>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</si>
  <si>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</si>
  <si>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</si>
  <si>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</si>
  <si>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</si>
  <si>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</si>
  <si>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</si>
  <si>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</si>
  <si>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</si>
  <si>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</si>
  <si>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</si>
  <si>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</si>
  <si>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</si>
  <si>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</si>
  <si>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</si>
  <si>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</si>
  <si>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</si>
  <si>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</si>
  <si>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</si>
  <si>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</si>
  <si>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</si>
  <si>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</si>
  <si>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</si>
  <si>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SUBGRUPO</t>
  </si>
  <si>
    <t>SUBTOTAL PLANILHA</t>
  </si>
  <si>
    <t>FAT.OGGI</t>
  </si>
  <si>
    <t>DATA:</t>
  </si>
  <si>
    <t>ATENDIMENTO:</t>
  </si>
  <si>
    <t>PRODUTOR:</t>
  </si>
  <si>
    <t>NOME PLANILHA:</t>
  </si>
  <si>
    <t>LOCAL:</t>
  </si>
  <si>
    <t>EVENTO:</t>
  </si>
  <si>
    <t>CLIENTE:</t>
  </si>
  <si>
    <t xml:space="preserve">CÓDIGO DO JOB: </t>
  </si>
  <si>
    <t>INTERNO</t>
  </si>
  <si>
    <t>2.1</t>
  </si>
  <si>
    <t>Produtor Executivo</t>
  </si>
  <si>
    <t xml:space="preserve">Subtotal </t>
  </si>
  <si>
    <t>Marg. Lucro</t>
  </si>
  <si>
    <t>Lucro</t>
  </si>
  <si>
    <t>3.1</t>
  </si>
  <si>
    <t>3.1.1</t>
  </si>
  <si>
    <t>3.1.2</t>
  </si>
  <si>
    <t>2.1.1</t>
  </si>
  <si>
    <t>INTERNOS</t>
  </si>
  <si>
    <t>Internos</t>
  </si>
  <si>
    <t>4.1</t>
  </si>
  <si>
    <t>4.1.1</t>
  </si>
  <si>
    <t>Casa Bauduco</t>
  </si>
  <si>
    <t>Atendimento</t>
  </si>
  <si>
    <t xml:space="preserve">Nilson Miguel </t>
  </si>
  <si>
    <t>Subtotal Parques</t>
  </si>
  <si>
    <t>SEGURO</t>
  </si>
  <si>
    <t xml:space="preserve">Subtotal Seguro viagem </t>
  </si>
  <si>
    <t>BAU_001</t>
  </si>
  <si>
    <t>Estande ABF</t>
  </si>
  <si>
    <t>Expo Center Norte</t>
  </si>
  <si>
    <t>24 a 27 de Junho</t>
  </si>
  <si>
    <t>Patrick</t>
  </si>
  <si>
    <t>Bau_001_Estande ABF</t>
  </si>
  <si>
    <t xml:space="preserve">Estande </t>
  </si>
  <si>
    <t>Montadora 03</t>
  </si>
  <si>
    <t>TAXAS</t>
  </si>
  <si>
    <t>Taxas</t>
  </si>
  <si>
    <t>Hidráulica</t>
  </si>
  <si>
    <t>Ponto de ponto de água e/ou deságue.</t>
  </si>
  <si>
    <t xml:space="preserve">ESTANDE | 88m² - PRAZO DE ENVIO DOS PROJETOS: 15/05/2026 </t>
  </si>
  <si>
    <t>Credencial de Serviço</t>
  </si>
  <si>
    <t>Extintor de incêndio</t>
  </si>
  <si>
    <t>02 extintores — sendo um de Pó Químico Seco (PQS) e outro de CO₂ (6 kg)</t>
  </si>
  <si>
    <t>1.1.3</t>
  </si>
  <si>
    <t>1.1.4</t>
  </si>
  <si>
    <t>1.1.5</t>
  </si>
  <si>
    <t>Responsável por ser a ponte principal entre o cliente e a equipe interna (produção, criação, planejamento). Atua desde o briefing inicial, passando pela venda da ideia, acompanhamento do planejamento, execução no dia do evento (in loco) e pós-evento, garantindo a satisfação do cliente e a qualidade da entrega;</t>
  </si>
  <si>
    <t xml:space="preserve">Criação </t>
  </si>
  <si>
    <t>Responsável pela concepção, orçamento, cronograma macro, viabilidade financeira e negociação com clientes e/ou stakeholders;</t>
  </si>
  <si>
    <t>Assistente de Produção</t>
  </si>
  <si>
    <t>Dá o suporte atuando desde a cotação com fornecedores e controle de cronogramas até o suporte logístico no local, incluindo montagem/desmontagem, comunicação com equipes, atendimento a clientes e controle de materiais, garantindo que todas as etapas ocorram dentro do prazo e dos objetivos do projeto;</t>
  </si>
  <si>
    <t>1.1.6</t>
  </si>
  <si>
    <t>Internet</t>
  </si>
  <si>
    <t>STAFF</t>
  </si>
  <si>
    <t>Staff</t>
  </si>
  <si>
    <t>Subtotal Taxas</t>
  </si>
  <si>
    <t>Tablets</t>
  </si>
  <si>
    <t>Segurança</t>
  </si>
  <si>
    <t>4.1.2</t>
  </si>
  <si>
    <t>4.1.3</t>
  </si>
  <si>
    <t>Seguro</t>
  </si>
  <si>
    <t>Subtotal Seguro</t>
  </si>
  <si>
    <t>Limpeza</t>
  </si>
  <si>
    <t>Subtotal Mobiliario</t>
  </si>
  <si>
    <t>5.1</t>
  </si>
  <si>
    <t>5.1.1</t>
  </si>
  <si>
    <t>ITENS (LOCAÇÃO)</t>
  </si>
  <si>
    <t>TV para exibição de vídeos no Estande.</t>
  </si>
  <si>
    <t>TV's</t>
  </si>
  <si>
    <t>Itens (Locação)</t>
  </si>
  <si>
    <t>Promotora</t>
  </si>
  <si>
    <t>Produtor de montagem e desmontagem</t>
  </si>
  <si>
    <t>Responsáveis pela execução e acompanhamento das operações no local do evento, apoiando logística, fornecedores, equipes e demandas emergenciais</t>
  </si>
  <si>
    <r>
      <t xml:space="preserve">Responsável pela coordenação das equipes, cronogramas e processos de montagem e desmontagem, garantindo cumprimento de prazos e segurança operacional (montagem, evento e desmontagem)
</t>
    </r>
    <r>
      <rPr>
        <b/>
        <sz val="12"/>
        <color theme="1"/>
        <rFont val="Trebuchet MS"/>
        <family val="2"/>
      </rPr>
      <t>(Considerando 19.06 a 23.06 - 27.06 Desmontagem)</t>
    </r>
  </si>
  <si>
    <t>UNIFORMES</t>
  </si>
  <si>
    <t>Uniformes</t>
  </si>
  <si>
    <t>Camisa Polo</t>
  </si>
  <si>
    <t>Logistica</t>
  </si>
  <si>
    <t>Custos Operacionais</t>
  </si>
  <si>
    <t>Inclui despesas com equipe, logística, suporte técnico e demais necessidades operacionais não previstas;</t>
  </si>
  <si>
    <t>Subtotal Staff</t>
  </si>
  <si>
    <t>TOTAL Bau_001_Estande ABF</t>
  </si>
  <si>
    <t>Locação de tablets para captação de Led (Samsung Galaxy Tab A7).</t>
  </si>
  <si>
    <t>Memorial descritivo na apresentação;</t>
  </si>
  <si>
    <t>Contratação do serviço de internet de 30MB</t>
  </si>
  <si>
    <r>
      <t xml:space="preserve">Serviço de limpeza durante a feira.
</t>
    </r>
    <r>
      <rPr>
        <b/>
        <sz val="12"/>
        <color theme="1"/>
        <rFont val="Trebuchet MS"/>
        <family val="2"/>
      </rPr>
      <t>(Considerando do dia 24.06 Decoração a 27.06 Ultimo dia de evento)</t>
    </r>
  </si>
  <si>
    <t>Produtor Operacional</t>
  </si>
  <si>
    <t>Envio e retirada dos materiais para o evento.</t>
  </si>
  <si>
    <r>
      <t xml:space="preserve">Focado em conectar o evento ao público-alvo, detalhando conceito, objetivos, público, linkando (temática, cenografia, tecnologia, sensorial) e experiência. Além de criação de KV e peças;
</t>
    </r>
    <r>
      <rPr>
        <b/>
        <sz val="12"/>
        <color rgb="FFFF0000"/>
        <rFont val="Trebuchet MS"/>
        <family val="2"/>
      </rPr>
      <t>Valor considerando somente desdobramento das peças vindas do cliente;</t>
    </r>
  </si>
  <si>
    <t>MV</t>
  </si>
  <si>
    <t>Subtotal Itens (Locação)</t>
  </si>
  <si>
    <t xml:space="preserve">Subtotal Estande </t>
  </si>
  <si>
    <t>Subtotal Internos</t>
  </si>
  <si>
    <t>Seguro do evento/estande. Considerando responsabildiade civl;</t>
  </si>
  <si>
    <t>Video Maker</t>
  </si>
  <si>
    <t>FAT.CLIENTE</t>
  </si>
  <si>
    <t>5.1.2</t>
  </si>
  <si>
    <t>5.1.3</t>
  </si>
  <si>
    <t>5.1.4</t>
  </si>
  <si>
    <t>5.1.6</t>
  </si>
  <si>
    <t>5.1.7</t>
  </si>
  <si>
    <t>1.1.10</t>
  </si>
  <si>
    <t>1.1.11</t>
  </si>
  <si>
    <t>1.1.12</t>
  </si>
  <si>
    <t>PEDIDOS</t>
  </si>
  <si>
    <t>ABAS</t>
  </si>
  <si>
    <t>VALORES</t>
  </si>
  <si>
    <t>PRINCIPAL</t>
  </si>
  <si>
    <t>VALOR ND</t>
  </si>
  <si>
    <t>VALOR NF</t>
  </si>
  <si>
    <t>JR</t>
  </si>
  <si>
    <r>
      <t xml:space="preserve">Promotora Uniformizada para recepção dos visitantes e captação de led.
</t>
    </r>
    <r>
      <rPr>
        <b/>
        <sz val="12"/>
        <color theme="1"/>
        <rFont val="Trebuchet MS"/>
        <family val="2"/>
      </rPr>
      <t>(Considerando do dia 24.06 a 27.06)</t>
    </r>
  </si>
  <si>
    <t>Credenciais referentes a Prestadores de serviços.
(Definição após o numero de prestadores)</t>
  </si>
  <si>
    <t>Consumo mínimo de energia (0,1 kVA por m²): obrigatório a todos os expositores para o funcionamento básico do estande.</t>
  </si>
  <si>
    <r>
      <t xml:space="preserve">Agentes de seguraça pelo periodo da feira. Considerando o Período de 12h.
</t>
    </r>
    <r>
      <rPr>
        <b/>
        <sz val="12"/>
        <color theme="1"/>
        <rFont val="Trebuchet MS"/>
        <family val="2"/>
      </rPr>
      <t>(Considerando do dia 23.06 Decoração a 27.06 Desmontagem)</t>
    </r>
    <r>
      <rPr>
        <sz val="12"/>
        <color theme="1"/>
        <rFont val="Trebuchet MS"/>
        <family val="2"/>
      </rPr>
      <t xml:space="preserve">
22.06 – 20h as 08h (23.06)
23.06 – 20h as 08h (24.06)
24.06 – 20h as 08h (25.06)
25.06 – 20h as 08h (26.06)
26.06 – 20h as 08h (27.06)
R$40,00 por hora;</t>
    </r>
  </si>
  <si>
    <t>Camisa Polo, Masculina, Manga Curta Em Piquet - Preta com 02 logos bordados.</t>
  </si>
  <si>
    <t>Captação de video e edição para redes sociais; (Video Hero)
01 diária;</t>
  </si>
  <si>
    <t>3.1.3</t>
  </si>
  <si>
    <t xml:space="preserve">Carregadores </t>
  </si>
  <si>
    <t xml:space="preserve">Carregadores 22 e 23 de junho das 08 as 20h e 27 das 17 as 23h </t>
  </si>
  <si>
    <t xml:space="preserve">Salva celular </t>
  </si>
  <si>
    <t xml:space="preserve">Salva celular personalizado 130cm </t>
  </si>
  <si>
    <t>Botton</t>
  </si>
  <si>
    <t xml:space="preserve">Botton personalizado 3,5cm </t>
  </si>
  <si>
    <t xml:space="preserve">Subtotal MATERIAIS </t>
  </si>
  <si>
    <t xml:space="preserve">Celular  </t>
  </si>
  <si>
    <t>Locação de tablets para captação de Led (Smartphone Samsung Galaxy A15).</t>
  </si>
  <si>
    <t xml:space="preserve">_x000D_
GIOVANNI FERREIRA _x000D_
josenilson miguel da silva </t>
  </si>
  <si>
    <t>_x000D_
362.257.668-55_x000D_
144.265.278-05</t>
  </si>
  <si>
    <t>_x000D_
SLC-SP COMERCIO ATACADISTA DE PRODUTOS DE HIGIENE E LIMPEZA E ASSESSORIA DE LIMPEZA E SERVICOS LTDA</t>
  </si>
  <si>
    <t>_x000D_
13.222.834/0001-93</t>
  </si>
  <si>
    <t xml:space="preserve">Água com e sem gás </t>
  </si>
  <si>
    <t>320 águas sem gás 80 águas com gás + logística</t>
  </si>
  <si>
    <t xml:space="preserve">_x000D_
GIOVANNI FERRERIA </t>
  </si>
  <si>
    <t>_x000D_
362.257.668-55</t>
  </si>
  <si>
    <t>_x000D_
CHUBB SEGUROS BRASIL S.A.</t>
  </si>
  <si>
    <t>_x000D_
03.502.099/0001-18</t>
  </si>
  <si>
    <t xml:space="preserve">_x000D_
RENATA MENDES BUZONI </t>
  </si>
  <si>
    <t>_x000D_
334.928.938-05</t>
  </si>
  <si>
    <t>_x000D_
ZORELLO STORE LTDA</t>
  </si>
  <si>
    <t>_x000D_
40.791.871/0001-95</t>
  </si>
  <si>
    <t>_x000D_
JVAL PRODUCOES E EVENTOS LTDA</t>
  </si>
  <si>
    <t>_x000D_
63.138.852/0001-60</t>
  </si>
  <si>
    <t>_x000D_
MC SERVICOS LOGISTICOS LTDA</t>
  </si>
  <si>
    <t>_x000D_
54.040.744/0001-69</t>
  </si>
  <si>
    <t>_x000D_
LIVIA MARIA OLIVEIRA DOMINGUES_x000D_
AS CASTING E EVENTOS LTDA_x000D_
MONYQUE PEREIRA_x000D_
KAMYLLE SANTOS CALDEIRA 13409993665</t>
  </si>
  <si>
    <t>_x000D_
46.718.218/0001-87_x000D_
31.861.514/0001-65_x000D_
433.764.348-67_x000D_
48.492.064/0001-83</t>
  </si>
  <si>
    <t>_x000D_
NICHOLAS THIERRY DE SOUZA BERNARDES</t>
  </si>
  <si>
    <t>_x000D_
58.109.337/0001-11</t>
  </si>
  <si>
    <t>EXTRAS</t>
  </si>
  <si>
    <t>4.1.4</t>
  </si>
  <si>
    <t>Consumo de energia</t>
  </si>
  <si>
    <t>4.1.5</t>
  </si>
  <si>
    <t xml:space="preserve">Refrigerante e água </t>
  </si>
  <si>
    <t xml:space="preserve">Compra de refrigerante e água extra </t>
  </si>
  <si>
    <t>Lona extra + aplicação</t>
  </si>
  <si>
    <t xml:space="preserve">Lonas extra tipos de franquias </t>
  </si>
  <si>
    <t>4.1.6</t>
  </si>
  <si>
    <t>4.1.7</t>
  </si>
  <si>
    <t>4.1.8</t>
  </si>
  <si>
    <t>Lona extra mapa</t>
  </si>
  <si>
    <t xml:space="preserve">Cortesia </t>
  </si>
  <si>
    <t xml:space="preserve">Led contorno stand </t>
  </si>
  <si>
    <t xml:space="preserve">TOTAL PAGO: </t>
  </si>
  <si>
    <t>VALOR PAGO 19/06:</t>
  </si>
  <si>
    <t>FATURADO:</t>
  </si>
  <si>
    <t xml:space="preserve">DIFERENÇA: </t>
  </si>
  <si>
    <t>4.1.9</t>
  </si>
  <si>
    <t xml:space="preserve">Carregadores extras para dia de chegada de produtos </t>
  </si>
  <si>
    <t>4.1.10</t>
  </si>
  <si>
    <t>Led vitrine</t>
  </si>
  <si>
    <t xml:space="preserve">Vitrine estufa vidro </t>
  </si>
  <si>
    <t>5.1.5</t>
  </si>
  <si>
    <t>6.1</t>
  </si>
  <si>
    <t>6.1.1</t>
  </si>
  <si>
    <t>6.1.2</t>
  </si>
  <si>
    <t>6.1.3</t>
  </si>
  <si>
    <t>6.1.4</t>
  </si>
  <si>
    <t>6.1.5</t>
  </si>
  <si>
    <t>6.1.6</t>
  </si>
  <si>
    <t>6.1.7</t>
  </si>
  <si>
    <t>6.1.8</t>
  </si>
  <si>
    <t>6.1.9</t>
  </si>
  <si>
    <t>6.1.10</t>
  </si>
  <si>
    <t>6.1.11</t>
  </si>
  <si>
    <t>6.1.12</t>
  </si>
  <si>
    <t>6.1.13</t>
  </si>
  <si>
    <t>6.1.14</t>
  </si>
  <si>
    <t>6.1.15</t>
  </si>
  <si>
    <t>6.1.16</t>
  </si>
  <si>
    <t>VÍDEO</t>
  </si>
  <si>
    <t>STUDIO ROCA</t>
  </si>
  <si>
    <t>VENDA</t>
  </si>
  <si>
    <t xml:space="preserve">CUSTO </t>
  </si>
  <si>
    <t>LUCRO</t>
  </si>
  <si>
    <t>NOTAS EMITIDAS</t>
  </si>
  <si>
    <t>NOTA DE DÉBITO 01</t>
  </si>
  <si>
    <t>NOTA FISCAL 2924</t>
  </si>
  <si>
    <t>PEDIDOS EM BRIEFING</t>
  </si>
  <si>
    <t xml:space="preserve">TAXAS </t>
  </si>
  <si>
    <r>
      <t xml:space="preserve">Focado em conectar o evento ao público-alvo, detalhando conceito, objetivos, público, linkando (temática, cenografia, tecnologia, sensorial) e experiência. Além de criação de KV e peças;
</t>
    </r>
    <r>
      <rPr>
        <b/>
        <sz val="16"/>
        <color rgb="FFFF0000"/>
        <rFont val="Trebuchet MS"/>
        <family val="2"/>
      </rPr>
      <t>Valor considerando somente desdobramento das peças vindas do cliente;</t>
    </r>
  </si>
  <si>
    <r>
      <t xml:space="preserve">Responsável pela coordenação das equipes, cronogramas e processos de montagem e desmontagem, garantindo cumprimento de prazos e segurança operacional (montagem, evento e desmontagem)
</t>
    </r>
    <r>
      <rPr>
        <b/>
        <sz val="16"/>
        <color theme="1"/>
        <rFont val="Trebuchet MS"/>
        <family val="2"/>
      </rPr>
      <t>(Considerando 19.06 a 23.06 - 27.06 Desmontagem)</t>
    </r>
  </si>
  <si>
    <r>
      <t xml:space="preserve">Agentes de seguraça pelo periodo da feira. Considerando o Período de 12h.
</t>
    </r>
    <r>
      <rPr>
        <b/>
        <sz val="16"/>
        <color theme="1"/>
        <rFont val="Trebuchet MS"/>
        <family val="2"/>
      </rPr>
      <t>(Considerando do dia 23.06 Decoração a 27.06 Desmontagem)</t>
    </r>
    <r>
      <rPr>
        <sz val="16"/>
        <color theme="1"/>
        <rFont val="Trebuchet MS"/>
        <family val="2"/>
      </rPr>
      <t xml:space="preserve">
22.06 – 20h as 08h (23.06)
23.06 – 20h as 08h (24.06)
24.06 – 20h as 08h (25.06)
25.06 – 20h as 08h (26.06)
26.06 – 20h as 08h (27.06)
R$40,00 por hora;</t>
    </r>
  </si>
  <si>
    <r>
      <t xml:space="preserve">Serviço de limpeza durante a feira.
</t>
    </r>
    <r>
      <rPr>
        <b/>
        <sz val="16"/>
        <color theme="1"/>
        <rFont val="Trebuchet MS"/>
        <family val="2"/>
      </rPr>
      <t>(Considerando do dia 24.06 Decoração a 27.06 Ultimo dia de evento)</t>
    </r>
  </si>
  <si>
    <r>
      <t xml:space="preserve">Promotora Uniformizada para recepção dos visitantes e captação de led.
</t>
    </r>
    <r>
      <rPr>
        <b/>
        <sz val="16"/>
        <color theme="1"/>
        <rFont val="Trebuchet MS"/>
        <family val="2"/>
      </rPr>
      <t>(Considerando do dia 24.06 a 27.06)</t>
    </r>
  </si>
  <si>
    <t xml:space="preserve">MILENA </t>
  </si>
  <si>
    <t xml:space="preserve">CHUBB - DIGITAL </t>
  </si>
  <si>
    <t>JVAL PRODUÇOES</t>
  </si>
  <si>
    <t>RENATA MENDES</t>
  </si>
  <si>
    <t>CAVA VIGILANCIA</t>
  </si>
  <si>
    <t>SLC-SP</t>
  </si>
  <si>
    <t>AS CASTING - KAMYLLE - LIVIA - MONYQUE</t>
  </si>
  <si>
    <t>LARISSA MARTINS</t>
  </si>
  <si>
    <t>DA ORIKASSA</t>
  </si>
  <si>
    <t xml:space="preserve">NOME </t>
  </si>
  <si>
    <t xml:space="preserve">VALOR </t>
  </si>
  <si>
    <t>MAPPTV</t>
  </si>
  <si>
    <t>GIOVANNI</t>
  </si>
  <si>
    <t>NICHOLAS</t>
  </si>
  <si>
    <t>ZORELLO</t>
  </si>
  <si>
    <t>MILENA</t>
  </si>
  <si>
    <t>INFORMA MARKETS</t>
  </si>
  <si>
    <t>MC SERVIÇOS</t>
  </si>
  <si>
    <t>CUSTOS OP.</t>
  </si>
  <si>
    <t>PATRICK BAYEUX DA SILVA</t>
  </si>
  <si>
    <t>GIOVANNI VERNIANO PERES FERREIRA</t>
  </si>
  <si>
    <t>GABRIEL VITOR DE ARAÚJO SILVA</t>
  </si>
  <si>
    <t>MARIA EMILIA CAVALIERI GONÇALVES</t>
  </si>
  <si>
    <t>JVAL PRODUCOES E EVENTOS LTDA</t>
  </si>
  <si>
    <t>ISABELA FERREIRA CARDOSO</t>
  </si>
  <si>
    <t>BRUNO HENRIQUE DE MELO MENDONCA</t>
  </si>
  <si>
    <t>JOZENILSON MIGUEL DA SILVA</t>
  </si>
  <si>
    <t>NOTA FISCAL 2974</t>
  </si>
  <si>
    <t>NOTA FISCAL 2989</t>
  </si>
  <si>
    <t xml:space="preserve">TABLET S HOUSE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</si>
</sst>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8"/>
      <name val="Calibri"/>
      <family val="2"/>
      <scheme val="minor"/>
    </font>
    <font>
      <b/>
      <sz val="12"/>
      <color theme="0"/>
      <name val="Trebuchet MS"/>
      <family val="2"/>
    </font>
    <font>
      <b/>
      <sz val="11"/>
      <color theme="0"/>
      <name val="Calibri"/>
      <family val="2"/>
      <scheme val="minor"/>
    </font>
    <font>
      <sz val="12"/>
      <color indexed="63"/>
      <name val="Trebuchet MS"/>
      <family val="2"/>
    </font>
    <font>
      <sz val="16"/>
      <color theme="0"/>
      <name val="Trebuchet MS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sz val="16"/>
      <color indexed="63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00B05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FF0000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393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76">
    <xf numFmtId="0" fontId="0" fillId="0" borderId="0" xfId="0"/>
    <xf numFmtId="49" fontId="0" fillId="0" borderId="0" xfId="0" applyNumberFormat="1"/>
    <xf numFmtId="0" fontId="0" fillId="0" borderId="0" xfId="1" applyNumberFormat="1" applyFont="1"/>
    <xf numFmtId="0" fontId="12" fillId="0" borderId="0" xfId="0" applyFont="1"/>
    <xf numFmtId="165" fontId="9" fillId="6" borderId="23" xfId="4" applyFont="1" applyFill="1" applyBorder="1" applyAlignment="1">
      <alignment horizontal="center" vertical="center" wrapText="1"/>
    </xf>
    <xf numFmtId="168" fontId="2" fillId="0" borderId="3" xfId="1" applyNumberFormat="1" applyFont="1" applyBorder="1"/>
    <xf numFmtId="0" fontId="13" fillId="5" borderId="0" xfId="0" applyFont="1" applyFill="1"/>
    <xf numFmtId="49" fontId="13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166" fontId="9" fillId="0" borderId="25" xfId="4" applyNumberFormat="1" applyFont="1" applyBorder="1" applyAlignment="1">
      <alignment horizontal="center" vertical="center" wrapText="1"/>
    </xf>
    <xf numFmtId="0" fontId="14" fillId="7" borderId="27" xfId="0" applyFont="1" applyFill="1" applyBorder="1" applyAlignment="1">
      <alignment vertical="center"/>
    </xf>
    <xf numFmtId="0" fontId="16" fillId="7" borderId="27" xfId="0" applyFont="1" applyFill="1" applyBorder="1" applyAlignment="1">
      <alignment horizontal="center" vertical="center"/>
    </xf>
    <xf numFmtId="22" fontId="14" fillId="7" borderId="27" xfId="0" applyNumberFormat="1" applyFont="1" applyFill="1" applyBorder="1" applyAlignment="1">
      <alignment horizontal="center" vertical="center"/>
    </xf>
    <xf numFmtId="0" fontId="18" fillId="7" borderId="28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19" fillId="0" borderId="0" xfId="0" applyFont="1" applyAlignment="1">
      <alignment horizontal="center"/>
    </xf>
    <xf numFmtId="0" fontId="21" fillId="0" borderId="30" xfId="0" applyFont="1" applyBorder="1" applyAlignment="1">
      <alignment horizontal="left" vertical="center" wrapText="1"/>
    </xf>
    <xf numFmtId="0" fontId="21" fillId="0" borderId="30" xfId="0" applyFont="1" applyBorder="1" applyAlignment="1">
      <alignment horizontal="left" vertical="center"/>
    </xf>
    <xf numFmtId="49" fontId="21" fillId="0" borderId="31" xfId="0" applyNumberFormat="1" applyFont="1" applyBorder="1" applyAlignment="1">
      <alignment horizontal="left" vertical="center"/>
    </xf>
    <xf numFmtId="0" fontId="21" fillId="0" borderId="32" xfId="0" applyFont="1" applyBorder="1" applyAlignment="1">
      <alignment horizontal="left" vertical="center"/>
    </xf>
    <xf numFmtId="10" fontId="9" fillId="6" borderId="33" xfId="5" applyNumberFormat="1" applyFont="1" applyFill="1" applyBorder="1" applyAlignment="1">
      <alignment horizontal="center" vertical="center" wrapText="1"/>
    </xf>
    <xf numFmtId="10" fontId="9" fillId="6" borderId="34" xfId="5" applyNumberFormat="1" applyFont="1" applyFill="1" applyBorder="1" applyAlignment="1">
      <alignment horizontal="center" vertical="center" wrapText="1"/>
    </xf>
    <xf numFmtId="165" fontId="9" fillId="6" borderId="35" xfId="4" applyFont="1" applyFill="1" applyBorder="1" applyAlignment="1">
      <alignment horizontal="center" vertical="center" wrapText="1"/>
    </xf>
    <xf numFmtId="165" fontId="9" fillId="6" borderId="34" xfId="4" applyFont="1" applyFill="1" applyBorder="1" applyAlignment="1">
      <alignment horizontal="center" vertical="center" wrapText="1"/>
    </xf>
    <xf numFmtId="37" fontId="9" fillId="6" borderId="1" xfId="3" applyNumberFormat="1" applyFont="1" applyFill="1" applyBorder="1" applyAlignment="1">
      <alignment horizontal="center" vertical="center"/>
    </xf>
    <xf numFmtId="40" fontId="9" fillId="6" borderId="36" xfId="4" applyNumberFormat="1" applyFont="1" applyFill="1" applyBorder="1" applyAlignment="1">
      <alignment horizontal="center" vertical="center"/>
    </xf>
    <xf numFmtId="166" fontId="23" fillId="6" borderId="37" xfId="4" applyNumberFormat="1" applyFont="1" applyFill="1" applyBorder="1" applyAlignment="1">
      <alignment horizontal="center" vertical="center" wrapText="1"/>
    </xf>
    <xf numFmtId="166" fontId="24" fillId="6" borderId="38" xfId="4" applyNumberFormat="1" applyFont="1" applyFill="1" applyBorder="1" applyAlignment="1">
      <alignment horizontal="center" vertical="center" wrapText="1"/>
    </xf>
    <xf numFmtId="0" fontId="21" fillId="0" borderId="4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49" fontId="21" fillId="0" borderId="31" xfId="0" applyNumberFormat="1" applyFont="1" applyBorder="1" applyAlignment="1">
      <alignment horizontal="left" vertical="center" wrapText="1"/>
    </xf>
    <xf numFmtId="44" fontId="21" fillId="11" borderId="43" xfId="8" applyFont="1" applyFill="1" applyBorder="1" applyAlignment="1">
      <alignment vertical="center"/>
    </xf>
    <xf numFmtId="44" fontId="21" fillId="13" borderId="43" xfId="8" applyFont="1" applyFill="1" applyBorder="1" applyAlignment="1">
      <alignment vertical="center"/>
    </xf>
    <xf numFmtId="9" fontId="21" fillId="12" borderId="43" xfId="1" applyFont="1" applyFill="1" applyBorder="1" applyAlignment="1">
      <alignment vertical="center"/>
    </xf>
    <xf numFmtId="44" fontId="21" fillId="12" borderId="43" xfId="8" applyFont="1" applyFill="1" applyBorder="1" applyAlignment="1">
      <alignment vertical="center"/>
    </xf>
    <xf numFmtId="44" fontId="21" fillId="12" borderId="38" xfId="8" applyFont="1" applyFill="1" applyBorder="1" applyAlignment="1">
      <alignment vertical="center"/>
    </xf>
    <xf numFmtId="0" fontId="21" fillId="0" borderId="40" xfId="0" applyFont="1" applyBorder="1" applyAlignment="1">
      <alignment horizontal="left" vertical="center" wrapText="1"/>
    </xf>
    <xf numFmtId="0" fontId="26" fillId="14" borderId="4" xfId="0" applyFont="1" applyFill="1" applyBorder="1"/>
    <xf numFmtId="0" fontId="26" fillId="14" borderId="22" xfId="0" applyFont="1" applyFill="1" applyBorder="1"/>
    <xf numFmtId="44" fontId="26" fillId="14" borderId="22" xfId="0" applyNumberFormat="1" applyFont="1" applyFill="1" applyBorder="1"/>
    <xf numFmtId="44" fontId="21" fillId="12" borderId="47" xfId="8" applyFont="1" applyFill="1" applyBorder="1" applyAlignment="1">
      <alignment vertical="center"/>
    </xf>
    <xf numFmtId="44" fontId="21" fillId="12" borderId="50" xfId="8" applyFont="1" applyFill="1" applyBorder="1" applyAlignment="1">
      <alignment vertical="center"/>
    </xf>
    <xf numFmtId="0" fontId="21" fillId="0" borderId="0" xfId="0" applyFont="1" applyAlignment="1">
      <alignment horizontal="left" vertical="center" wrapText="1"/>
    </xf>
    <xf numFmtId="0" fontId="4" fillId="6" borderId="48" xfId="3" applyFont="1" applyFill="1" applyBorder="1" applyAlignment="1">
      <alignment horizontal="left" vertical="center"/>
    </xf>
    <xf numFmtId="0" fontId="4" fillId="6" borderId="49" xfId="3" applyFont="1" applyFill="1" applyBorder="1" applyAlignment="1">
      <alignment horizontal="center" vertical="center"/>
    </xf>
    <xf numFmtId="0" fontId="22" fillId="6" borderId="49" xfId="3" applyFont="1" applyFill="1" applyBorder="1" applyAlignment="1">
      <alignment horizontal="center" vertical="center"/>
    </xf>
    <xf numFmtId="169" fontId="22" fillId="6" borderId="49" xfId="3" applyNumberFormat="1" applyFont="1" applyFill="1" applyBorder="1" applyAlignment="1">
      <alignment horizontal="center" vertical="center" wrapText="1"/>
    </xf>
    <xf numFmtId="0" fontId="22" fillId="6" borderId="49" xfId="3" applyFont="1" applyFill="1" applyBorder="1" applyAlignment="1">
      <alignment horizontal="center" vertical="center" wrapText="1"/>
    </xf>
    <xf numFmtId="171" fontId="22" fillId="6" borderId="49" xfId="1" applyNumberFormat="1" applyFont="1" applyFill="1" applyBorder="1" applyAlignment="1">
      <alignment horizontal="center" vertical="center" wrapText="1"/>
    </xf>
    <xf numFmtId="10" fontId="22" fillId="6" borderId="49" xfId="1" applyNumberFormat="1" applyFont="1" applyFill="1" applyBorder="1" applyAlignment="1">
      <alignment horizontal="center" vertical="center" wrapText="1"/>
    </xf>
    <xf numFmtId="0" fontId="22" fillId="10" borderId="49" xfId="0" applyFont="1" applyFill="1" applyBorder="1" applyAlignment="1">
      <alignment horizontal="center" vertical="center"/>
    </xf>
    <xf numFmtId="170" fontId="25" fillId="9" borderId="14" xfId="0" applyNumberFormat="1" applyFont="1" applyFill="1" applyBorder="1" applyAlignment="1">
      <alignment horizontal="right"/>
    </xf>
    <xf numFmtId="44" fontId="21" fillId="11" borderId="50" xfId="8" applyFont="1" applyFill="1" applyBorder="1" applyAlignment="1">
      <alignment vertical="center"/>
    </xf>
    <xf numFmtId="44" fontId="21" fillId="13" borderId="50" xfId="8" applyFont="1" applyFill="1" applyBorder="1" applyAlignment="1">
      <alignment vertical="center"/>
    </xf>
    <xf numFmtId="9" fontId="21" fillId="12" borderId="50" xfId="1" applyFont="1" applyFill="1" applyBorder="1" applyAlignment="1">
      <alignment vertical="center"/>
    </xf>
    <xf numFmtId="40" fontId="9" fillId="6" borderId="49" xfId="4" applyNumberFormat="1" applyFont="1" applyFill="1" applyBorder="1" applyAlignment="1">
      <alignment horizontal="center" vertical="center"/>
    </xf>
    <xf numFmtId="165" fontId="9" fillId="6" borderId="49" xfId="4" applyFont="1" applyFill="1" applyBorder="1" applyAlignment="1">
      <alignment horizontal="right" vertical="center"/>
    </xf>
    <xf numFmtId="40" fontId="9" fillId="6" borderId="49" xfId="4" applyNumberFormat="1" applyFont="1" applyFill="1" applyBorder="1" applyAlignment="1">
      <alignment horizontal="center" vertical="center" wrapText="1"/>
    </xf>
    <xf numFmtId="10" fontId="9" fillId="6" borderId="49" xfId="5" applyNumberFormat="1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" fontId="21" fillId="11" borderId="37" xfId="0" applyNumberFormat="1" applyFont="1" applyFill="1" applyBorder="1" applyAlignment="1">
      <alignment horizontal="center" vertical="center"/>
    </xf>
    <xf numFmtId="1" fontId="21" fillId="11" borderId="50" xfId="0" applyNumberFormat="1" applyFont="1" applyFill="1" applyBorder="1" applyAlignment="1">
      <alignment horizontal="center" vertical="center"/>
    </xf>
    <xf numFmtId="10" fontId="21" fillId="13" borderId="47" xfId="0" applyNumberFormat="1" applyFont="1" applyFill="1" applyBorder="1" applyAlignment="1">
      <alignment horizontal="center" vertical="center"/>
    </xf>
    <xf numFmtId="44" fontId="0" fillId="0" borderId="0" xfId="0" applyNumberFormat="1" applyAlignment="1">
      <alignment vertical="center"/>
    </xf>
    <xf numFmtId="44" fontId="21" fillId="11" borderId="5" xfId="8" applyFont="1" applyFill="1" applyBorder="1" applyAlignment="1">
      <alignment vertical="center"/>
    </xf>
    <xf numFmtId="9" fontId="21" fillId="12" borderId="5" xfId="1" applyFont="1" applyFill="1" applyBorder="1" applyAlignment="1">
      <alignment vertical="center"/>
    </xf>
    <xf numFmtId="44" fontId="21" fillId="12" borderId="5" xfId="8" applyFont="1" applyFill="1" applyBorder="1" applyAlignment="1">
      <alignment vertical="center"/>
    </xf>
    <xf numFmtId="44" fontId="21" fillId="13" borderId="5" xfId="8" applyFont="1" applyFill="1" applyBorder="1" applyAlignment="1">
      <alignment vertical="center"/>
    </xf>
    <xf numFmtId="0" fontId="22" fillId="10" borderId="58" xfId="0" applyFont="1" applyFill="1" applyBorder="1" applyAlignment="1">
      <alignment horizontal="center" vertical="center"/>
    </xf>
    <xf numFmtId="44" fontId="25" fillId="9" borderId="12" xfId="0" applyNumberFormat="1" applyFont="1" applyFill="1" applyBorder="1" applyAlignment="1">
      <alignment horizontal="right"/>
    </xf>
    <xf numFmtId="170" fontId="25" fillId="9" borderId="12" xfId="0" applyNumberFormat="1" applyFont="1" applyFill="1" applyBorder="1" applyAlignment="1">
      <alignment horizontal="right"/>
    </xf>
    <xf numFmtId="44" fontId="13" fillId="13" borderId="12" xfId="0" applyNumberFormat="1" applyFont="1" applyFill="1" applyBorder="1"/>
    <xf numFmtId="0" fontId="0" fillId="12" borderId="12" xfId="0" applyFill="1" applyBorder="1"/>
    <xf numFmtId="44" fontId="13" fillId="12" borderId="12" xfId="0" applyNumberFormat="1" applyFont="1" applyFill="1" applyBorder="1"/>
    <xf numFmtId="0" fontId="22" fillId="10" borderId="59" xfId="0" applyFont="1" applyFill="1" applyBorder="1" applyAlignment="1">
      <alignment horizontal="center" vertical="center"/>
    </xf>
    <xf numFmtId="0" fontId="22" fillId="10" borderId="39" xfId="0" applyFont="1" applyFill="1" applyBorder="1" applyAlignment="1">
      <alignment horizontal="center" vertical="center"/>
    </xf>
    <xf numFmtId="44" fontId="26" fillId="14" borderId="61" xfId="0" applyNumberFormat="1" applyFont="1" applyFill="1" applyBorder="1"/>
    <xf numFmtId="44" fontId="26" fillId="14" borderId="63" xfId="8" applyFont="1" applyFill="1" applyBorder="1"/>
    <xf numFmtId="0" fontId="22" fillId="6" borderId="58" xfId="3" applyFont="1" applyFill="1" applyBorder="1" applyAlignment="1">
      <alignment horizontal="center" vertical="center" wrapText="1"/>
    </xf>
    <xf numFmtId="170" fontId="25" fillId="9" borderId="63" xfId="0" applyNumberFormat="1" applyFont="1" applyFill="1" applyBorder="1" applyAlignment="1">
      <alignment horizontal="right"/>
    </xf>
    <xf numFmtId="0" fontId="22" fillId="10" borderId="62" xfId="0" applyFont="1" applyFill="1" applyBorder="1" applyAlignment="1">
      <alignment horizontal="center" vertical="center"/>
    </xf>
    <xf numFmtId="0" fontId="21" fillId="0" borderId="64" xfId="0" applyFont="1" applyBorder="1" applyAlignment="1">
      <alignment horizontal="left" vertical="center" wrapText="1"/>
    </xf>
    <xf numFmtId="44" fontId="21" fillId="0" borderId="44" xfId="8" applyFont="1" applyBorder="1" applyAlignment="1">
      <alignment vertical="center"/>
    </xf>
    <xf numFmtId="44" fontId="21" fillId="0" borderId="47" xfId="8" applyFont="1" applyBorder="1" applyAlignment="1">
      <alignment vertical="center"/>
    </xf>
    <xf numFmtId="0" fontId="21" fillId="0" borderId="4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14" borderId="4" xfId="0" applyFont="1" applyFill="1" applyBorder="1" applyAlignment="1">
      <alignment horizontal="center" vertical="center"/>
    </xf>
    <xf numFmtId="0" fontId="26" fillId="14" borderId="22" xfId="0" applyFont="1" applyFill="1" applyBorder="1" applyAlignment="1">
      <alignment horizontal="center" vertical="center"/>
    </xf>
    <xf numFmtId="1" fontId="21" fillId="11" borderId="46" xfId="0" applyNumberFormat="1" applyFont="1" applyFill="1" applyBorder="1" applyAlignment="1">
      <alignment horizontal="center" vertical="center"/>
    </xf>
    <xf numFmtId="1" fontId="21" fillId="11" borderId="43" xfId="0" applyNumberFormat="1" applyFont="1" applyFill="1" applyBorder="1" applyAlignment="1">
      <alignment horizontal="center" vertical="center"/>
    </xf>
    <xf numFmtId="1" fontId="21" fillId="11" borderId="5" xfId="0" applyNumberFormat="1" applyFont="1" applyFill="1" applyBorder="1" applyAlignment="1">
      <alignment horizontal="center" vertical="center"/>
    </xf>
    <xf numFmtId="1" fontId="21" fillId="11" borderId="53" xfId="0" applyNumberFormat="1" applyFont="1" applyFill="1" applyBorder="1" applyAlignment="1">
      <alignment horizontal="center" vertical="center"/>
    </xf>
    <xf numFmtId="165" fontId="9" fillId="6" borderId="58" xfId="4" applyFont="1" applyFill="1" applyBorder="1" applyAlignment="1">
      <alignment horizontal="center" vertical="center" wrapText="1"/>
    </xf>
    <xf numFmtId="44" fontId="13" fillId="12" borderId="63" xfId="8" applyFont="1" applyFill="1" applyBorder="1"/>
    <xf numFmtId="44" fontId="13" fillId="12" borderId="14" xfId="8" applyFont="1" applyFill="1" applyBorder="1"/>
    <xf numFmtId="0" fontId="21" fillId="15" borderId="44" xfId="2" applyFont="1" applyFill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50" xfId="0" applyFont="1" applyBorder="1" applyAlignment="1">
      <alignment horizontal="center" vertical="center"/>
    </xf>
    <xf numFmtId="44" fontId="21" fillId="0" borderId="50" xfId="8" applyFont="1" applyBorder="1" applyAlignment="1">
      <alignment vertical="center"/>
    </xf>
    <xf numFmtId="44" fontId="21" fillId="0" borderId="38" xfId="8" applyFont="1" applyBorder="1" applyAlignment="1">
      <alignment vertical="center"/>
    </xf>
    <xf numFmtId="1" fontId="21" fillId="11" borderId="13" xfId="0" applyNumberFormat="1" applyFont="1" applyFill="1" applyBorder="1" applyAlignment="1">
      <alignment horizontal="center" vertical="center"/>
    </xf>
    <xf numFmtId="1" fontId="21" fillId="11" borderId="69" xfId="0" applyNumberFormat="1" applyFont="1" applyFill="1" applyBorder="1" applyAlignment="1">
      <alignment horizontal="center" vertical="center"/>
    </xf>
    <xf numFmtId="44" fontId="21" fillId="11" borderId="69" xfId="8" applyFont="1" applyFill="1" applyBorder="1" applyAlignment="1">
      <alignment vertical="center"/>
    </xf>
    <xf numFmtId="44" fontId="21" fillId="13" borderId="69" xfId="8" applyFont="1" applyFill="1" applyBorder="1" applyAlignment="1">
      <alignment vertical="center"/>
    </xf>
    <xf numFmtId="9" fontId="21" fillId="12" borderId="69" xfId="1" applyFont="1" applyFill="1" applyBorder="1" applyAlignment="1">
      <alignment vertical="center"/>
    </xf>
    <xf numFmtId="44" fontId="21" fillId="12" borderId="69" xfId="8" applyFont="1" applyFill="1" applyBorder="1" applyAlignment="1">
      <alignment vertical="center"/>
    </xf>
    <xf numFmtId="44" fontId="21" fillId="12" borderId="70" xfId="8" applyFont="1" applyFill="1" applyBorder="1" applyAlignment="1">
      <alignment vertical="center"/>
    </xf>
    <xf numFmtId="0" fontId="21" fillId="0" borderId="68" xfId="0" applyFont="1" applyBorder="1" applyAlignment="1">
      <alignment horizontal="center" vertical="center"/>
    </xf>
    <xf numFmtId="44" fontId="21" fillId="0" borderId="68" xfId="8" applyFont="1" applyBorder="1" applyAlignment="1">
      <alignment vertical="center"/>
    </xf>
    <xf numFmtId="44" fontId="21" fillId="0" borderId="70" xfId="8" applyFont="1" applyBorder="1" applyAlignment="1">
      <alignment vertical="center"/>
    </xf>
    <xf numFmtId="0" fontId="21" fillId="15" borderId="44" xfId="0" applyFont="1" applyFill="1" applyBorder="1" applyAlignment="1">
      <alignment horizontal="left" vertical="center" wrapText="1"/>
    </xf>
    <xf numFmtId="0" fontId="21" fillId="15" borderId="44" xfId="0" applyFont="1" applyFill="1" applyBorder="1" applyAlignment="1">
      <alignment horizontal="center" vertical="center"/>
    </xf>
    <xf numFmtId="44" fontId="21" fillId="15" borderId="44" xfId="8" applyFont="1" applyFill="1" applyBorder="1" applyAlignment="1">
      <alignment vertical="center"/>
    </xf>
    <xf numFmtId="0" fontId="21" fillId="15" borderId="66" xfId="0" applyFont="1" applyFill="1" applyBorder="1" applyAlignment="1">
      <alignment horizontal="center" vertical="center"/>
    </xf>
    <xf numFmtId="44" fontId="21" fillId="15" borderId="66" xfId="8" applyFont="1" applyFill="1" applyBorder="1" applyAlignment="1">
      <alignment vertical="center"/>
    </xf>
    <xf numFmtId="0" fontId="21" fillId="15" borderId="50" xfId="0" applyFont="1" applyFill="1" applyBorder="1" applyAlignment="1">
      <alignment horizontal="center" vertical="center"/>
    </xf>
    <xf numFmtId="44" fontId="21" fillId="15" borderId="50" xfId="8" applyFont="1" applyFill="1" applyBorder="1" applyAlignment="1">
      <alignment vertical="center"/>
    </xf>
    <xf numFmtId="44" fontId="13" fillId="12" borderId="74" xfId="8" applyFont="1" applyFill="1" applyBorder="1" applyAlignment="1">
      <alignment vertical="center"/>
    </xf>
    <xf numFmtId="0" fontId="2" fillId="10" borderId="58" xfId="0" applyFont="1" applyFill="1" applyBorder="1" applyAlignment="1">
      <alignment horizontal="center" vertical="center"/>
    </xf>
    <xf numFmtId="44" fontId="22" fillId="13" borderId="5" xfId="8" applyFont="1" applyFill="1" applyBorder="1" applyAlignment="1">
      <alignment vertical="center"/>
    </xf>
    <xf numFmtId="44" fontId="22" fillId="12" borderId="5" xfId="8" applyFont="1" applyFill="1" applyBorder="1" applyAlignment="1">
      <alignment vertical="center"/>
    </xf>
    <xf numFmtId="170" fontId="22" fillId="10" borderId="59" xfId="0" applyNumberFormat="1" applyFont="1" applyFill="1" applyBorder="1" applyAlignment="1">
      <alignment horizontal="center" vertical="center"/>
    </xf>
    <xf numFmtId="170" fontId="22" fillId="10" borderId="39" xfId="0" applyNumberFormat="1" applyFont="1" applyFill="1" applyBorder="1" applyAlignment="1">
      <alignment horizontal="center" vertical="center"/>
    </xf>
    <xf numFmtId="170" fontId="29" fillId="10" borderId="62" xfId="0" applyNumberFormat="1" applyFont="1" applyFill="1" applyBorder="1" applyAlignment="1">
      <alignment horizontal="center" vertical="center"/>
    </xf>
    <xf numFmtId="0" fontId="21" fillId="15" borderId="76" xfId="0" applyFont="1" applyFill="1" applyBorder="1" applyAlignment="1">
      <alignment horizontal="center" vertical="center"/>
    </xf>
    <xf numFmtId="44" fontId="21" fillId="15" borderId="76" xfId="8" applyFont="1" applyFill="1" applyBorder="1" applyAlignment="1">
      <alignment vertical="center"/>
    </xf>
    <xf numFmtId="44" fontId="21" fillId="15" borderId="47" xfId="8" applyFont="1" applyFill="1" applyBorder="1" applyAlignment="1">
      <alignment vertical="center"/>
    </xf>
    <xf numFmtId="44" fontId="22" fillId="13" borderId="43" xfId="8" applyFont="1" applyFill="1" applyBorder="1" applyAlignment="1">
      <alignment vertical="center"/>
    </xf>
    <xf numFmtId="44" fontId="22" fillId="12" borderId="43" xfId="8" applyFont="1" applyFill="1" applyBorder="1" applyAlignment="1">
      <alignment vertical="center"/>
    </xf>
    <xf numFmtId="44" fontId="22" fillId="12" borderId="38" xfId="8" applyFont="1" applyFill="1" applyBorder="1" applyAlignment="1">
      <alignment vertical="center"/>
    </xf>
    <xf numFmtId="9" fontId="26" fillId="14" borderId="11" xfId="1" applyFont="1" applyFill="1" applyBorder="1"/>
    <xf numFmtId="10" fontId="21" fillId="13" borderId="82" xfId="0" applyNumberFormat="1" applyFont="1" applyFill="1" applyBorder="1" applyAlignment="1">
      <alignment horizontal="center" vertical="center"/>
    </xf>
    <xf numFmtId="44" fontId="27" fillId="14" borderId="14" xfId="8" applyFont="1" applyFill="1" applyBorder="1" applyAlignment="1">
      <alignment horizontal="center"/>
    </xf>
    <xf numFmtId="0" fontId="2" fillId="10" borderId="83" xfId="0" applyFont="1" applyFill="1" applyBorder="1" applyAlignment="1">
      <alignment horizontal="center" vertical="center"/>
    </xf>
    <xf numFmtId="10" fontId="21" fillId="13" borderId="58" xfId="0" applyNumberFormat="1" applyFont="1" applyFill="1" applyBorder="1" applyAlignment="1">
      <alignment horizontal="center" vertical="center"/>
    </xf>
    <xf numFmtId="0" fontId="21" fillId="15" borderId="85" xfId="0" applyFont="1" applyFill="1" applyBorder="1" applyAlignment="1">
      <alignment horizontal="left" vertical="center" wrapText="1"/>
    </xf>
    <xf numFmtId="170" fontId="25" fillId="9" borderId="0" xfId="0" applyNumberFormat="1" applyFont="1" applyFill="1" applyAlignment="1">
      <alignment horizontal="right"/>
    </xf>
    <xf numFmtId="10" fontId="21" fillId="13" borderId="0" xfId="0" applyNumberFormat="1" applyFont="1" applyFill="1" applyAlignment="1">
      <alignment horizontal="center" vertical="center"/>
    </xf>
    <xf numFmtId="10" fontId="21" fillId="13" borderId="44" xfId="0" applyNumberFormat="1" applyFont="1" applyFill="1" applyBorder="1" applyAlignment="1">
      <alignment horizontal="center" vertical="center"/>
    </xf>
    <xf numFmtId="0" fontId="2" fillId="10" borderId="56" xfId="0" applyFont="1" applyFill="1" applyBorder="1" applyAlignment="1">
      <alignment horizontal="center" vertical="center"/>
    </xf>
    <xf numFmtId="10" fontId="21" fillId="13" borderId="8" xfId="0" applyNumberFormat="1" applyFont="1" applyFill="1" applyBorder="1" applyAlignment="1">
      <alignment horizontal="center" vertical="center"/>
    </xf>
    <xf numFmtId="10" fontId="21" fillId="13" borderId="21" xfId="0" applyNumberFormat="1" applyFont="1" applyFill="1" applyBorder="1" applyAlignment="1">
      <alignment horizontal="center" vertical="center"/>
    </xf>
    <xf numFmtId="44" fontId="25" fillId="9" borderId="12" xfId="8" applyFont="1" applyFill="1" applyBorder="1" applyAlignment="1">
      <alignment horizontal="right"/>
    </xf>
    <xf numFmtId="170" fontId="25" fillId="9" borderId="12" xfId="8" applyNumberFormat="1" applyFont="1" applyFill="1" applyBorder="1" applyAlignment="1">
      <alignment horizontal="right"/>
    </xf>
    <xf numFmtId="170" fontId="25" fillId="9" borderId="63" xfId="8" applyNumberFormat="1" applyFont="1" applyFill="1" applyBorder="1" applyAlignment="1">
      <alignment horizontal="right"/>
    </xf>
    <xf numFmtId="44" fontId="13" fillId="13" borderId="12" xfId="8" applyFont="1" applyFill="1" applyBorder="1" applyAlignment="1">
      <alignment vertical="center"/>
    </xf>
    <xf numFmtId="9" fontId="21" fillId="12" borderId="12" xfId="1" applyFont="1" applyFill="1" applyBorder="1" applyAlignment="1">
      <alignment vertical="center"/>
    </xf>
    <xf numFmtId="44" fontId="21" fillId="12" borderId="12" xfId="8" applyFont="1" applyFill="1" applyBorder="1" applyAlignment="1">
      <alignment vertical="center"/>
    </xf>
    <xf numFmtId="44" fontId="13" fillId="12" borderId="12" xfId="8" applyFont="1" applyFill="1" applyBorder="1" applyAlignment="1">
      <alignment vertical="center"/>
    </xf>
    <xf numFmtId="44" fontId="13" fillId="12" borderId="63" xfId="8" applyFont="1" applyFill="1" applyBorder="1" applyAlignment="1">
      <alignment vertical="center"/>
    </xf>
    <xf numFmtId="170" fontId="25" fillId="9" borderId="73" xfId="8" applyNumberFormat="1" applyFont="1" applyFill="1" applyBorder="1" applyAlignment="1">
      <alignment horizontal="right"/>
    </xf>
    <xf numFmtId="170" fontId="25" fillId="9" borderId="74" xfId="8" applyNumberFormat="1" applyFont="1" applyFill="1" applyBorder="1" applyAlignment="1">
      <alignment horizontal="right"/>
    </xf>
    <xf numFmtId="44" fontId="25" fillId="9" borderId="86" xfId="8" applyFont="1" applyFill="1" applyBorder="1" applyAlignment="1">
      <alignment horizontal="right"/>
    </xf>
    <xf numFmtId="44" fontId="13" fillId="13" borderId="86" xfId="8" applyFont="1" applyFill="1" applyBorder="1" applyAlignment="1">
      <alignment vertical="center"/>
    </xf>
    <xf numFmtId="9" fontId="21" fillId="12" borderId="86" xfId="1" applyFont="1" applyFill="1" applyBorder="1" applyAlignment="1">
      <alignment vertical="center"/>
    </xf>
    <xf numFmtId="44" fontId="21" fillId="12" borderId="86" xfId="8" applyFont="1" applyFill="1" applyBorder="1" applyAlignment="1">
      <alignment vertical="center"/>
    </xf>
    <xf numFmtId="44" fontId="13" fillId="12" borderId="86" xfId="8" applyFont="1" applyFill="1" applyBorder="1" applyAlignment="1">
      <alignment vertical="center"/>
    </xf>
    <xf numFmtId="10" fontId="21" fillId="13" borderId="87" xfId="0" applyNumberFormat="1" applyFont="1" applyFill="1" applyBorder="1" applyAlignment="1">
      <alignment horizontal="center" vertical="center"/>
    </xf>
    <xf numFmtId="0" fontId="21" fillId="15" borderId="45" xfId="0" applyFont="1" applyFill="1" applyBorder="1" applyAlignment="1">
      <alignment horizontal="left" vertical="center" wrapText="1"/>
    </xf>
    <xf numFmtId="0" fontId="2" fillId="10" borderId="70" xfId="0" applyFont="1" applyFill="1" applyBorder="1" applyAlignment="1">
      <alignment horizontal="center" vertical="center"/>
    </xf>
    <xf numFmtId="0" fontId="21" fillId="15" borderId="81" xfId="0" applyFont="1" applyFill="1" applyBorder="1" applyAlignment="1">
      <alignment horizontal="center" vertical="center"/>
    </xf>
    <xf numFmtId="44" fontId="21" fillId="15" borderId="81" xfId="8" applyFont="1" applyFill="1" applyBorder="1" applyAlignment="1">
      <alignment vertical="center"/>
    </xf>
    <xf numFmtId="37" fontId="31" fillId="6" borderId="48" xfId="3" applyNumberFormat="1" applyFont="1" applyFill="1" applyBorder="1" applyAlignment="1">
      <alignment horizontal="center" vertical="center"/>
    </xf>
    <xf numFmtId="37" fontId="31" fillId="6" borderId="49" xfId="3" applyNumberFormat="1" applyFont="1" applyFill="1" applyBorder="1" applyAlignment="1">
      <alignment horizontal="center" vertical="center"/>
    </xf>
    <xf numFmtId="9" fontId="33" fillId="0" borderId="0" xfId="1" applyFont="1"/>
    <xf numFmtId="170" fontId="0" fillId="0" borderId="0" xfId="0" applyNumberFormat="1"/>
    <xf numFmtId="170" fontId="33" fillId="0" borderId="0" xfId="0" applyNumberFormat="1" applyFont="1"/>
    <xf numFmtId="0" fontId="22" fillId="15" borderId="84" xfId="0" applyFont="1" applyFill="1" applyBorder="1" applyAlignment="1">
      <alignment horizontal="left" vertical="center" wrapText="1"/>
    </xf>
    <xf numFmtId="164" fontId="6" fillId="0" borderId="88" xfId="2" applyNumberFormat="1" applyFont="1" applyBorder="1" applyAlignment="1" applyProtection="1">
      <alignment horizontal="left" vertical="center"/>
      <protection locked="0"/>
    </xf>
    <xf numFmtId="164" fontId="6" fillId="0" borderId="89" xfId="2" applyNumberFormat="1" applyFont="1" applyBorder="1" applyAlignment="1" applyProtection="1">
      <alignment horizontal="left" vertical="center"/>
      <protection locked="0"/>
    </xf>
    <xf numFmtId="164" fontId="6" fillId="0" borderId="90" xfId="2" applyNumberFormat="1" applyFont="1" applyBorder="1" applyAlignment="1" applyProtection="1">
      <alignment horizontal="left" vertical="center"/>
      <protection locked="0"/>
    </xf>
    <xf numFmtId="164" fontId="6" fillId="0" borderId="91" xfId="2" applyNumberFormat="1" applyFont="1" applyBorder="1" applyAlignment="1" applyProtection="1">
      <alignment horizontal="left" vertical="center"/>
      <protection locked="0"/>
    </xf>
    <xf numFmtId="0" fontId="7" fillId="0" borderId="92" xfId="2" applyFont="1" applyBorder="1" applyAlignment="1" applyProtection="1">
      <alignment horizontal="left" vertical="center"/>
      <protection locked="0"/>
    </xf>
    <xf numFmtId="0" fontId="6" fillId="0" borderId="92" xfId="2" applyFont="1" applyBorder="1" applyAlignment="1" applyProtection="1">
      <alignment horizontal="left" vertical="center"/>
      <protection locked="0"/>
    </xf>
    <xf numFmtId="14" fontId="7" fillId="0" borderId="91" xfId="2" applyNumberFormat="1" applyFont="1" applyBorder="1" applyAlignment="1" applyProtection="1">
      <alignment horizontal="left" vertical="center"/>
      <protection locked="0"/>
    </xf>
    <xf numFmtId="164" fontId="6" fillId="0" borderId="11" xfId="2" applyNumberFormat="1" applyFont="1" applyBorder="1" applyAlignment="1" applyProtection="1">
      <alignment horizontal="left" vertical="center"/>
      <protection locked="0"/>
    </xf>
    <xf numFmtId="0" fontId="6" fillId="0" borderId="93" xfId="2" applyFont="1" applyBorder="1" applyAlignment="1" applyProtection="1">
      <alignment horizontal="left" vertical="center"/>
      <protection locked="0"/>
    </xf>
    <xf numFmtId="0" fontId="0" fillId="0" borderId="48" xfId="0" applyBorder="1" applyAlignment="1">
      <alignment vertical="center"/>
    </xf>
    <xf numFmtId="0" fontId="0" fillId="0" borderId="75" xfId="0" applyBorder="1" applyAlignment="1">
      <alignment vertical="center"/>
    </xf>
    <xf numFmtId="0" fontId="30" fillId="16" borderId="48" xfId="0" applyFont="1" applyFill="1" applyBorder="1" applyAlignment="1">
      <alignment horizontal="center"/>
    </xf>
    <xf numFmtId="0" fontId="30" fillId="16" borderId="58" xfId="0" applyFont="1" applyFill="1" applyBorder="1" applyAlignment="1">
      <alignment horizontal="center" vertical="center"/>
    </xf>
    <xf numFmtId="0" fontId="0" fillId="0" borderId="45" xfId="0" applyBorder="1" applyAlignment="1">
      <alignment vertical="center"/>
    </xf>
    <xf numFmtId="170" fontId="0" fillId="0" borderId="47" xfId="0" applyNumberFormat="1" applyBorder="1" applyAlignment="1">
      <alignment vertical="center"/>
    </xf>
    <xf numFmtId="170" fontId="0" fillId="0" borderId="47" xfId="0" applyNumberFormat="1" applyBorder="1"/>
    <xf numFmtId="0" fontId="12" fillId="16" borderId="75" xfId="0" applyFont="1" applyFill="1" applyBorder="1" applyAlignment="1">
      <alignment vertical="center"/>
    </xf>
    <xf numFmtId="170" fontId="30" fillId="16" borderId="82" xfId="0" applyNumberFormat="1" applyFont="1" applyFill="1" applyBorder="1"/>
    <xf numFmtId="44" fontId="0" fillId="0" borderId="0" xfId="0" applyNumberFormat="1"/>
    <xf numFmtId="170" fontId="0" fillId="0" borderId="82" xfId="0" applyNumberFormat="1" applyBorder="1"/>
    <xf numFmtId="170" fontId="0" fillId="0" borderId="58" xfId="0" applyNumberFormat="1" applyBorder="1"/>
    <xf numFmtId="10" fontId="22" fillId="13" borderId="8" xfId="0" applyNumberFormat="1" applyFont="1" applyFill="1" applyBorder="1" applyAlignment="1">
      <alignment horizontal="center" vertical="center"/>
    </xf>
    <xf numFmtId="0" fontId="2" fillId="10" borderId="60" xfId="0" applyFont="1" applyFill="1" applyBorder="1" applyAlignment="1">
      <alignment horizontal="center" vertical="center"/>
    </xf>
    <xf numFmtId="10" fontId="21" fillId="13" borderId="56" xfId="0" applyNumberFormat="1" applyFont="1" applyFill="1" applyBorder="1" applyAlignment="1">
      <alignment horizontal="center" vertical="center"/>
    </xf>
    <xf numFmtId="44" fontId="27" fillId="14" borderId="0" xfId="8" applyFont="1" applyFill="1" applyBorder="1" applyAlignment="1">
      <alignment horizontal="center"/>
    </xf>
    <xf numFmtId="44" fontId="25" fillId="9" borderId="0" xfId="0" applyNumberFormat="1" applyFont="1" applyFill="1" applyAlignment="1">
      <alignment horizontal="right"/>
    </xf>
    <xf numFmtId="44" fontId="13" fillId="13" borderId="0" xfId="0" applyNumberFormat="1" applyFont="1" applyFill="1"/>
    <xf numFmtId="0" fontId="0" fillId="12" borderId="0" xfId="0" applyFill="1"/>
    <xf numFmtId="44" fontId="13" fillId="12" borderId="0" xfId="0" applyNumberFormat="1" applyFont="1" applyFill="1"/>
    <xf numFmtId="0" fontId="2" fillId="0" borderId="0" xfId="0" applyFont="1" applyAlignment="1">
      <alignment horizontal="center" vertical="center"/>
    </xf>
    <xf numFmtId="44" fontId="22" fillId="12" borderId="47" xfId="8" applyFont="1" applyFill="1" applyBorder="1" applyAlignment="1">
      <alignment vertical="center"/>
    </xf>
    <xf numFmtId="0" fontId="0" fillId="17" borderId="0" xfId="0" applyFill="1"/>
    <xf numFmtId="0" fontId="21" fillId="0" borderId="31" xfId="0" applyFont="1" applyBorder="1" applyAlignment="1">
      <alignment horizontal="left" vertical="center" wrapText="1"/>
    </xf>
    <xf numFmtId="0" fontId="2" fillId="10" borderId="44" xfId="0" applyFont="1" applyFill="1" applyBorder="1" applyAlignment="1">
      <alignment horizontal="center" vertical="center"/>
    </xf>
    <xf numFmtId="1" fontId="21" fillId="11" borderId="5" xfId="0" applyNumberFormat="1" applyFont="1" applyFill="1" applyBorder="1" applyAlignment="1">
      <alignment vertical="center"/>
    </xf>
    <xf numFmtId="1" fontId="21" fillId="11" borderId="43" xfId="0" applyNumberFormat="1" applyFont="1" applyFill="1" applyBorder="1" applyAlignment="1">
      <alignment vertical="center"/>
    </xf>
    <xf numFmtId="0" fontId="21" fillId="15" borderId="95" xfId="0" applyFont="1" applyFill="1" applyBorder="1" applyAlignment="1">
      <alignment horizontal="left" vertical="center" wrapText="1"/>
    </xf>
    <xf numFmtId="0" fontId="21" fillId="15" borderId="96" xfId="0" applyFont="1" applyFill="1" applyBorder="1" applyAlignment="1">
      <alignment horizontal="left" vertical="center" wrapText="1"/>
    </xf>
    <xf numFmtId="44" fontId="13" fillId="12" borderId="0" xfId="8" applyFont="1" applyFill="1" applyBorder="1"/>
    <xf numFmtId="1" fontId="21" fillId="11" borderId="46" xfId="0" applyNumberFormat="1" applyFont="1" applyFill="1" applyBorder="1" applyAlignment="1">
      <alignment vertical="center"/>
    </xf>
    <xf numFmtId="0" fontId="2" fillId="10" borderId="8" xfId="0" applyFont="1" applyFill="1" applyBorder="1" applyAlignment="1">
      <alignment horizontal="center" vertical="center"/>
    </xf>
    <xf numFmtId="10" fontId="21" fillId="13" borderId="50" xfId="0" applyNumberFormat="1" applyFont="1" applyFill="1" applyBorder="1" applyAlignment="1">
      <alignment horizontal="center" vertical="center"/>
    </xf>
    <xf numFmtId="44" fontId="26" fillId="14" borderId="97" xfId="0" applyNumberFormat="1" applyFont="1" applyFill="1" applyBorder="1"/>
    <xf numFmtId="44" fontId="26" fillId="14" borderId="99" xfId="8" applyFont="1" applyFill="1" applyBorder="1"/>
    <xf numFmtId="8" fontId="21" fillId="11" borderId="5" xfId="0" applyNumberFormat="1" applyFont="1" applyFill="1" applyBorder="1"/>
    <xf numFmtId="44" fontId="21" fillId="11" borderId="7" xfId="0" applyNumberFormat="1" applyFont="1" applyFill="1" applyBorder="1"/>
    <xf numFmtId="14" fontId="21" fillId="11" borderId="8" xfId="0" applyNumberFormat="1" applyFont="1" applyFill="1" applyBorder="1"/>
    <xf numFmtId="0" fontId="21" fillId="11" borderId="5" xfId="0" applyFont="1" applyFill="1" applyBorder="1" applyAlignment="1">
      <alignment wrapText="1"/>
    </xf>
    <xf numFmtId="0" fontId="21" fillId="11" borderId="8" xfId="0" applyFont="1" applyFill="1" applyBorder="1" applyAlignment="1">
      <alignment wrapText="1"/>
    </xf>
    <xf numFmtId="0" fontId="22" fillId="15" borderId="45" xfId="0" applyFont="1" applyFill="1" applyBorder="1" applyAlignment="1">
      <alignment horizontal="left" vertical="center" wrapText="1"/>
    </xf>
    <xf numFmtId="0" fontId="22" fillId="15" borderId="71" xfId="0" applyFont="1" applyFill="1" applyBorder="1" applyAlignment="1">
      <alignment horizontal="left" vertical="center" wrapText="1"/>
    </xf>
    <xf numFmtId="0" fontId="21" fillId="15" borderId="68" xfId="0" applyFont="1" applyFill="1" applyBorder="1" applyAlignment="1">
      <alignment horizontal="left" vertical="center" wrapText="1"/>
    </xf>
    <xf numFmtId="0" fontId="22" fillId="15" borderId="37" xfId="0" applyFont="1" applyFill="1" applyBorder="1" applyAlignment="1">
      <alignment horizontal="left" vertical="center" wrapText="1"/>
    </xf>
    <xf numFmtId="0" fontId="21" fillId="15" borderId="50" xfId="0" applyFont="1" applyFill="1" applyBorder="1" applyAlignment="1">
      <alignment horizontal="left" vertical="center" wrapText="1"/>
    </xf>
    <xf numFmtId="0" fontId="21" fillId="15" borderId="50" xfId="2" applyFont="1" applyFill="1" applyBorder="1" applyAlignment="1">
      <alignment horizontal="left" vertical="center" wrapText="1"/>
    </xf>
    <xf numFmtId="0" fontId="22" fillId="15" borderId="65" xfId="0" applyFont="1" applyFill="1" applyBorder="1" applyAlignment="1">
      <alignment horizontal="left" vertical="center" wrapText="1"/>
    </xf>
    <xf numFmtId="0" fontId="21" fillId="15" borderId="66" xfId="0" applyFont="1" applyFill="1" applyBorder="1" applyAlignment="1">
      <alignment horizontal="left" vertical="center" wrapText="1"/>
    </xf>
    <xf numFmtId="0" fontId="22" fillId="15" borderId="44" xfId="0" applyFont="1" applyFill="1" applyBorder="1" applyAlignment="1">
      <alignment horizontal="left" vertical="center" wrapText="1"/>
    </xf>
    <xf numFmtId="8" fontId="21" fillId="11" borderId="0" xfId="0" applyNumberFormat="1" applyFont="1" applyFill="1"/>
    <xf numFmtId="44" fontId="21" fillId="11" borderId="0" xfId="0" applyNumberFormat="1" applyFont="1" applyFill="1"/>
    <xf numFmtId="14" fontId="21" fillId="11" borderId="0" xfId="0" applyNumberFormat="1" applyFont="1" applyFill="1"/>
    <xf numFmtId="0" fontId="21" fillId="11" borderId="0" xfId="0" applyFont="1" applyFill="1" applyAlignment="1">
      <alignment wrapText="1"/>
    </xf>
    <xf numFmtId="0" fontId="21" fillId="15" borderId="37" xfId="0" applyFont="1" applyFill="1" applyBorder="1" applyAlignment="1">
      <alignment horizontal="left" vertical="center" wrapText="1"/>
    </xf>
    <xf numFmtId="0" fontId="22" fillId="15" borderId="79" xfId="0" applyFont="1" applyFill="1" applyBorder="1" applyAlignment="1">
      <alignment horizontal="left" vertical="center" wrapText="1"/>
    </xf>
    <xf numFmtId="0" fontId="21" fillId="15" borderId="80" xfId="0" applyFont="1" applyFill="1" applyBorder="1" applyAlignment="1">
      <alignment horizontal="left" vertical="center" wrapText="1"/>
    </xf>
    <xf numFmtId="1" fontId="21" fillId="11" borderId="69" xfId="0" applyNumberFormat="1" applyFont="1" applyFill="1" applyBorder="1" applyAlignment="1">
      <alignment vertical="center"/>
    </xf>
    <xf numFmtId="0" fontId="0" fillId="17" borderId="44" xfId="0" applyFill="1" applyBorder="1"/>
    <xf numFmtId="170" fontId="0" fillId="17" borderId="44" xfId="0" applyNumberFormat="1" applyFill="1" applyBorder="1"/>
    <xf numFmtId="0" fontId="0" fillId="19" borderId="44" xfId="0" applyFill="1" applyBorder="1"/>
    <xf numFmtId="170" fontId="0" fillId="19" borderId="44" xfId="0" applyNumberFormat="1" applyFill="1" applyBorder="1"/>
    <xf numFmtId="0" fontId="0" fillId="18" borderId="44" xfId="0" applyFill="1" applyBorder="1"/>
    <xf numFmtId="170" fontId="0" fillId="18" borderId="44" xfId="0" applyNumberFormat="1" applyFill="1" applyBorder="1"/>
    <xf numFmtId="9" fontId="0" fillId="0" borderId="0" xfId="1" applyFont="1"/>
    <xf numFmtId="0" fontId="21" fillId="0" borderId="42" xfId="0" applyFont="1" applyBorder="1" applyAlignment="1">
      <alignment horizontal="left" vertical="center" wrapText="1"/>
    </xf>
    <xf numFmtId="0" fontId="21" fillId="15" borderId="71" xfId="0" applyFont="1" applyFill="1" applyBorder="1" applyAlignment="1">
      <alignment horizontal="left" vertical="center" wrapText="1"/>
    </xf>
    <xf numFmtId="0" fontId="22" fillId="10" borderId="98" xfId="0" applyFont="1" applyFill="1" applyBorder="1" applyAlignment="1">
      <alignment horizontal="center" vertical="center"/>
    </xf>
    <xf numFmtId="1" fontId="21" fillId="11" borderId="53" xfId="0" applyNumberFormat="1" applyFont="1" applyFill="1" applyBorder="1" applyAlignment="1">
      <alignment vertical="center"/>
    </xf>
    <xf numFmtId="1" fontId="21" fillId="11" borderId="13" xfId="0" applyNumberFormat="1" applyFont="1" applyFill="1" applyBorder="1" applyAlignment="1">
      <alignment vertical="center"/>
    </xf>
    <xf numFmtId="10" fontId="21" fillId="13" borderId="100" xfId="0" applyNumberFormat="1" applyFont="1" applyFill="1" applyBorder="1" applyAlignment="1">
      <alignment horizontal="center" vertical="center"/>
    </xf>
    <xf numFmtId="44" fontId="26" fillId="14" borderId="101" xfId="0" applyNumberFormat="1" applyFont="1" applyFill="1" applyBorder="1"/>
    <xf numFmtId="44" fontId="27" fillId="14" borderId="9" xfId="8" applyFont="1" applyFill="1" applyBorder="1" applyAlignment="1">
      <alignment horizontal="center"/>
    </xf>
    <xf numFmtId="44" fontId="27" fillId="14" borderId="102" xfId="8" applyFont="1" applyFill="1" applyBorder="1" applyAlignment="1">
      <alignment horizontal="center"/>
    </xf>
    <xf numFmtId="44" fontId="26" fillId="14" borderId="103" xfId="8" applyFont="1" applyFill="1" applyBorder="1"/>
    <xf numFmtId="0" fontId="21" fillId="0" borderId="0" xfId="0" applyFont="1"/>
    <xf numFmtId="0" fontId="21" fillId="0" borderId="0" xfId="0" applyFont="1" applyAlignment="1">
      <alignment horizontal="center"/>
    </xf>
    <xf numFmtId="16" fontId="21" fillId="20" borderId="9" xfId="0" applyNumberFormat="1" applyFont="1" applyFill="1" applyBorder="1"/>
    <xf numFmtId="16" fontId="21" fillId="20" borderId="10" xfId="0" applyNumberFormat="1" applyFont="1" applyFill="1" applyBorder="1"/>
    <xf numFmtId="16" fontId="21" fillId="21" borderId="11" xfId="0" applyNumberFormat="1" applyFont="1" applyFill="1" applyBorder="1"/>
    <xf numFmtId="16" fontId="21" fillId="21" borderId="12" xfId="0" applyNumberFormat="1" applyFont="1" applyFill="1" applyBorder="1"/>
    <xf numFmtId="0" fontId="21" fillId="22" borderId="13" xfId="0" applyFont="1" applyFill="1" applyBorder="1" applyAlignment="1">
      <alignment horizontal="right"/>
    </xf>
    <xf numFmtId="0" fontId="21" fillId="22" borderId="0" xfId="0" applyFont="1" applyFill="1" applyAlignment="1">
      <alignment horizontal="right"/>
    </xf>
    <xf numFmtId="0" fontId="29" fillId="16" borderId="11" xfId="0" applyFont="1" applyFill="1" applyBorder="1"/>
    <xf numFmtId="0" fontId="29" fillId="16" borderId="12" xfId="0" applyFont="1" applyFill="1" applyBorder="1"/>
    <xf numFmtId="164" fontId="4" fillId="0" borderId="88" xfId="2" applyNumberFormat="1" applyFont="1" applyBorder="1" applyAlignment="1" applyProtection="1">
      <alignment horizontal="left" vertical="center"/>
      <protection locked="0"/>
    </xf>
    <xf numFmtId="164" fontId="4" fillId="0" borderId="89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4" fillId="0" borderId="90" xfId="2" applyNumberFormat="1" applyFont="1" applyBorder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64" fontId="4" fillId="0" borderId="11" xfId="2" applyNumberFormat="1" applyFont="1" applyBorder="1" applyAlignment="1" applyProtection="1">
      <alignment horizontal="left" vertical="center"/>
      <protection locked="0"/>
    </xf>
    <xf numFmtId="0" fontId="34" fillId="23" borderId="44" xfId="0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164" fontId="36" fillId="0" borderId="44" xfId="2" applyNumberFormat="1" applyFont="1" applyBorder="1" applyAlignment="1" applyProtection="1">
      <alignment horizontal="left" vertical="center"/>
      <protection locked="0"/>
    </xf>
    <xf numFmtId="44" fontId="34" fillId="0" borderId="44" xfId="0" applyNumberFormat="1" applyFont="1" applyBorder="1"/>
    <xf numFmtId="9" fontId="34" fillId="0" borderId="44" xfId="1" applyFont="1" applyBorder="1" applyAlignment="1">
      <alignment horizontal="center"/>
    </xf>
    <xf numFmtId="44" fontId="34" fillId="23" borderId="44" xfId="0" applyNumberFormat="1" applyFont="1" applyFill="1" applyBorder="1" applyAlignment="1">
      <alignment horizontal="center"/>
    </xf>
    <xf numFmtId="0" fontId="22" fillId="0" borderId="35" xfId="0" applyFont="1" applyBorder="1"/>
    <xf numFmtId="170" fontId="22" fillId="0" borderId="104" xfId="0" applyNumberFormat="1" applyFont="1" applyBorder="1" applyAlignment="1">
      <alignment horizontal="center"/>
    </xf>
    <xf numFmtId="44" fontId="22" fillId="0" borderId="104" xfId="0" applyNumberFormat="1" applyFont="1" applyBorder="1"/>
    <xf numFmtId="170" fontId="22" fillId="0" borderId="104" xfId="0" applyNumberFormat="1" applyFont="1" applyBorder="1"/>
    <xf numFmtId="9" fontId="22" fillId="0" borderId="34" xfId="1" applyFont="1" applyBorder="1" applyAlignment="1">
      <alignment horizontal="center"/>
    </xf>
    <xf numFmtId="0" fontId="22" fillId="0" borderId="0" xfId="0" applyFont="1"/>
    <xf numFmtId="170" fontId="22" fillId="23" borderId="66" xfId="0" applyNumberFormat="1" applyFont="1" applyFill="1" applyBorder="1" applyAlignment="1">
      <alignment horizontal="center"/>
    </xf>
    <xf numFmtId="44" fontId="22" fillId="23" borderId="44" xfId="0" applyNumberFormat="1" applyFont="1" applyFill="1" applyBorder="1"/>
    <xf numFmtId="170" fontId="22" fillId="23" borderId="44" xfId="0" applyNumberFormat="1" applyFont="1" applyFill="1" applyBorder="1"/>
    <xf numFmtId="170" fontId="21" fillId="0" borderId="0" xfId="0" applyNumberFormat="1" applyFont="1"/>
    <xf numFmtId="0" fontId="32" fillId="14" borderId="44" xfId="0" applyFont="1" applyFill="1" applyBorder="1" applyAlignment="1">
      <alignment horizontal="center" vertical="center"/>
    </xf>
    <xf numFmtId="0" fontId="26" fillId="14" borderId="44" xfId="0" applyFont="1" applyFill="1" applyBorder="1"/>
    <xf numFmtId="44" fontId="26" fillId="14" borderId="44" xfId="0" applyNumberFormat="1" applyFont="1" applyFill="1" applyBorder="1"/>
    <xf numFmtId="9" fontId="26" fillId="14" borderId="44" xfId="1" applyFont="1" applyFill="1" applyBorder="1"/>
    <xf numFmtId="44" fontId="26" fillId="14" borderId="44" xfId="8" applyFont="1" applyFill="1" applyBorder="1"/>
    <xf numFmtId="0" fontId="37" fillId="0" borderId="0" xfId="0" applyFont="1"/>
    <xf numFmtId="49" fontId="38" fillId="0" borderId="0" xfId="2" applyNumberFormat="1" applyFont="1" applyAlignment="1">
      <alignment horizontal="left" vertical="center" wrapText="1"/>
    </xf>
    <xf numFmtId="0" fontId="38" fillId="0" borderId="0" xfId="2" applyFont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4" fontId="38" fillId="0" borderId="0" xfId="2" applyNumberFormat="1" applyFont="1" applyAlignment="1">
      <alignment horizontal="left" vertical="center"/>
    </xf>
    <xf numFmtId="164" fontId="38" fillId="0" borderId="88" xfId="2" applyNumberFormat="1" applyFont="1" applyBorder="1" applyAlignment="1" applyProtection="1">
      <alignment horizontal="left" vertical="center"/>
      <protection locked="0"/>
    </xf>
    <xf numFmtId="164" fontId="38" fillId="0" borderId="89" xfId="2" applyNumberFormat="1" applyFont="1" applyBorder="1" applyAlignment="1" applyProtection="1">
      <alignment horizontal="left" vertical="center"/>
      <protection locked="0"/>
    </xf>
    <xf numFmtId="164" fontId="38" fillId="0" borderId="90" xfId="2" applyNumberFormat="1" applyFont="1" applyBorder="1" applyAlignment="1" applyProtection="1">
      <alignment horizontal="left" vertical="center"/>
      <protection locked="0"/>
    </xf>
    <xf numFmtId="164" fontId="38" fillId="0" borderId="91" xfId="2" applyNumberFormat="1" applyFont="1" applyBorder="1" applyAlignment="1" applyProtection="1">
      <alignment horizontal="left" vertical="center"/>
      <protection locked="0"/>
    </xf>
    <xf numFmtId="0" fontId="38" fillId="0" borderId="92" xfId="2" applyFont="1" applyBorder="1" applyAlignment="1" applyProtection="1">
      <alignment horizontal="left" vertical="center"/>
      <protection locked="0"/>
    </xf>
    <xf numFmtId="14" fontId="38" fillId="0" borderId="91" xfId="2" applyNumberFormat="1" applyFont="1" applyBorder="1" applyAlignment="1" applyProtection="1">
      <alignment horizontal="left" vertical="center"/>
      <protection locked="0"/>
    </xf>
    <xf numFmtId="164" fontId="38" fillId="0" borderId="11" xfId="2" applyNumberFormat="1" applyFont="1" applyBorder="1" applyAlignment="1" applyProtection="1">
      <alignment horizontal="left" vertical="center"/>
      <protection locked="0"/>
    </xf>
    <xf numFmtId="0" fontId="38" fillId="0" borderId="93" xfId="2" applyFont="1" applyBorder="1" applyAlignment="1" applyProtection="1">
      <alignment horizontal="left" vertical="center"/>
      <protection locked="0"/>
    </xf>
    <xf numFmtId="49" fontId="37" fillId="0" borderId="0" xfId="0" applyNumberFormat="1" applyFont="1"/>
    <xf numFmtId="0" fontId="37" fillId="0" borderId="0" xfId="1" applyNumberFormat="1" applyFont="1"/>
    <xf numFmtId="165" fontId="40" fillId="6" borderId="23" xfId="4" applyFont="1" applyFill="1" applyBorder="1" applyAlignment="1">
      <alignment horizontal="center" vertical="center" wrapText="1"/>
    </xf>
    <xf numFmtId="168" fontId="41" fillId="0" borderId="3" xfId="1" applyNumberFormat="1" applyFont="1" applyBorder="1"/>
    <xf numFmtId="166" fontId="40" fillId="0" borderId="25" xfId="4" applyNumberFormat="1" applyFont="1" applyBorder="1" applyAlignment="1">
      <alignment horizontal="center" vertical="center" wrapText="1"/>
    </xf>
    <xf numFmtId="0" fontId="42" fillId="5" borderId="0" xfId="0" applyFont="1" applyFill="1"/>
    <xf numFmtId="49" fontId="42" fillId="5" borderId="0" xfId="0" applyNumberFormat="1" applyFont="1" applyFill="1"/>
    <xf numFmtId="0" fontId="43" fillId="0" borderId="0" xfId="0" applyFont="1"/>
    <xf numFmtId="0" fontId="44" fillId="0" borderId="30" xfId="0" applyFont="1" applyBorder="1" applyAlignment="1">
      <alignment horizontal="left" vertical="center"/>
    </xf>
    <xf numFmtId="49" fontId="44" fillId="0" borderId="31" xfId="0" applyNumberFormat="1" applyFont="1" applyBorder="1" applyAlignment="1">
      <alignment horizontal="left" vertical="center"/>
    </xf>
    <xf numFmtId="0" fontId="44" fillId="0" borderId="32" xfId="0" applyFont="1" applyBorder="1" applyAlignment="1">
      <alignment horizontal="left" vertical="center"/>
    </xf>
    <xf numFmtId="0" fontId="44" fillId="0" borderId="30" xfId="0" applyFont="1" applyBorder="1" applyAlignment="1">
      <alignment horizontal="left" vertical="center" wrapText="1"/>
    </xf>
    <xf numFmtId="0" fontId="38" fillId="6" borderId="48" xfId="3" applyFont="1" applyFill="1" applyBorder="1" applyAlignment="1">
      <alignment horizontal="left" vertical="center"/>
    </xf>
    <xf numFmtId="0" fontId="38" fillId="6" borderId="49" xfId="3" applyFont="1" applyFill="1" applyBorder="1" applyAlignment="1">
      <alignment horizontal="center" vertical="center"/>
    </xf>
    <xf numFmtId="0" fontId="42" fillId="6" borderId="49" xfId="3" applyFont="1" applyFill="1" applyBorder="1" applyAlignment="1">
      <alignment horizontal="center" vertical="center"/>
    </xf>
    <xf numFmtId="169" fontId="42" fillId="6" borderId="49" xfId="3" applyNumberFormat="1" applyFont="1" applyFill="1" applyBorder="1" applyAlignment="1">
      <alignment horizontal="center" vertical="center" wrapText="1"/>
    </xf>
    <xf numFmtId="0" fontId="42" fillId="6" borderId="49" xfId="3" applyFont="1" applyFill="1" applyBorder="1" applyAlignment="1">
      <alignment horizontal="center" vertical="center" wrapText="1"/>
    </xf>
    <xf numFmtId="171" fontId="42" fillId="6" borderId="49" xfId="1" applyNumberFormat="1" applyFont="1" applyFill="1" applyBorder="1" applyAlignment="1">
      <alignment horizontal="center" vertical="center" wrapText="1"/>
    </xf>
    <xf numFmtId="10" fontId="42" fillId="6" borderId="49" xfId="1" applyNumberFormat="1" applyFont="1" applyFill="1" applyBorder="1" applyAlignment="1">
      <alignment horizontal="center" vertical="center" wrapText="1"/>
    </xf>
    <xf numFmtId="0" fontId="42" fillId="6" borderId="58" xfId="3" applyFont="1" applyFill="1" applyBorder="1" applyAlignment="1">
      <alignment horizontal="center" vertical="center" wrapText="1"/>
    </xf>
    <xf numFmtId="37" fontId="45" fillId="6" borderId="48" xfId="3" applyNumberFormat="1" applyFont="1" applyFill="1" applyBorder="1" applyAlignment="1">
      <alignment horizontal="center" vertical="center"/>
    </xf>
    <xf numFmtId="37" fontId="45" fillId="6" borderId="49" xfId="3" applyNumberFormat="1" applyFont="1" applyFill="1" applyBorder="1" applyAlignment="1">
      <alignment horizontal="center" vertical="center"/>
    </xf>
    <xf numFmtId="40" fontId="40" fillId="6" borderId="49" xfId="4" applyNumberFormat="1" applyFont="1" applyFill="1" applyBorder="1" applyAlignment="1">
      <alignment horizontal="center" vertical="center"/>
    </xf>
    <xf numFmtId="165" fontId="40" fillId="6" borderId="49" xfId="4" applyFont="1" applyFill="1" applyBorder="1" applyAlignment="1">
      <alignment horizontal="right" vertical="center"/>
    </xf>
    <xf numFmtId="40" fontId="40" fillId="6" borderId="49" xfId="4" applyNumberFormat="1" applyFont="1" applyFill="1" applyBorder="1" applyAlignment="1">
      <alignment horizontal="center" vertical="center" wrapText="1"/>
    </xf>
    <xf numFmtId="10" fontId="40" fillId="6" borderId="49" xfId="5" applyNumberFormat="1" applyFont="1" applyFill="1" applyBorder="1" applyAlignment="1">
      <alignment horizontal="center" vertical="center" wrapText="1"/>
    </xf>
    <xf numFmtId="165" fontId="40" fillId="6" borderId="49" xfId="4" applyFont="1" applyFill="1" applyBorder="1" applyAlignment="1">
      <alignment horizontal="center" vertical="center" wrapText="1"/>
    </xf>
    <xf numFmtId="165" fontId="40" fillId="6" borderId="58" xfId="4" applyFont="1" applyFill="1" applyBorder="1" applyAlignment="1">
      <alignment horizontal="center" vertical="center" wrapText="1"/>
    </xf>
    <xf numFmtId="10" fontId="40" fillId="6" borderId="33" xfId="5" applyNumberFormat="1" applyFont="1" applyFill="1" applyBorder="1" applyAlignment="1">
      <alignment horizontal="center" vertical="center" wrapText="1"/>
    </xf>
    <xf numFmtId="10" fontId="40" fillId="6" borderId="34" xfId="5" applyNumberFormat="1" applyFont="1" applyFill="1" applyBorder="1" applyAlignment="1">
      <alignment horizontal="center" vertical="center" wrapText="1"/>
    </xf>
    <xf numFmtId="165" fontId="40" fillId="6" borderId="35" xfId="4" applyFont="1" applyFill="1" applyBorder="1" applyAlignment="1">
      <alignment horizontal="center" vertical="center" wrapText="1"/>
    </xf>
    <xf numFmtId="165" fontId="40" fillId="6" borderId="34" xfId="4" applyFont="1" applyFill="1" applyBorder="1" applyAlignment="1">
      <alignment horizontal="center" vertical="center" wrapText="1"/>
    </xf>
    <xf numFmtId="37" fontId="40" fillId="6" borderId="1" xfId="3" applyNumberFormat="1" applyFont="1" applyFill="1" applyBorder="1" applyAlignment="1">
      <alignment horizontal="center" vertical="center"/>
    </xf>
    <xf numFmtId="40" fontId="40" fillId="6" borderId="36" xfId="4" applyNumberFormat="1" applyFont="1" applyFill="1" applyBorder="1" applyAlignment="1">
      <alignment horizontal="center" vertical="center"/>
    </xf>
    <xf numFmtId="166" fontId="46" fillId="6" borderId="37" xfId="4" applyNumberFormat="1" applyFont="1" applyFill="1" applyBorder="1" applyAlignment="1">
      <alignment horizontal="center" vertical="center" wrapText="1"/>
    </xf>
    <xf numFmtId="166" fontId="47" fillId="6" borderId="38" xfId="4" applyNumberFormat="1" applyFont="1" applyFill="1" applyBorder="1" applyAlignment="1">
      <alignment horizontal="center" vertical="center" wrapText="1"/>
    </xf>
    <xf numFmtId="0" fontId="44" fillId="0" borderId="40" xfId="0" applyFont="1" applyBorder="1" applyAlignment="1">
      <alignment horizontal="left" vertical="center" wrapText="1"/>
    </xf>
    <xf numFmtId="49" fontId="44" fillId="0" borderId="31" xfId="0" applyNumberFormat="1" applyFont="1" applyBorder="1" applyAlignment="1">
      <alignment horizontal="left" vertical="center" wrapText="1"/>
    </xf>
    <xf numFmtId="0" fontId="44" fillId="0" borderId="0" xfId="0" applyFont="1" applyAlignment="1">
      <alignment horizontal="left" vertical="center" wrapText="1"/>
    </xf>
    <xf numFmtId="0" fontId="44" fillId="0" borderId="32" xfId="0" applyFont="1" applyBorder="1" applyAlignment="1">
      <alignment horizontal="left" vertical="center" wrapText="1"/>
    </xf>
    <xf numFmtId="0" fontId="42" fillId="10" borderId="49" xfId="0" applyFont="1" applyFill="1" applyBorder="1" applyAlignment="1">
      <alignment horizontal="center" vertical="center"/>
    </xf>
    <xf numFmtId="0" fontId="42" fillId="10" borderId="58" xfId="0" applyFont="1" applyFill="1" applyBorder="1" applyAlignment="1">
      <alignment horizontal="center" vertical="center"/>
    </xf>
    <xf numFmtId="0" fontId="41" fillId="10" borderId="60" xfId="0" applyFont="1" applyFill="1" applyBorder="1" applyAlignment="1">
      <alignment horizontal="center" vertical="center"/>
    </xf>
    <xf numFmtId="0" fontId="41" fillId="10" borderId="83" xfId="0" applyFont="1" applyFill="1" applyBorder="1" applyAlignment="1">
      <alignment horizontal="center" vertical="center"/>
    </xf>
    <xf numFmtId="0" fontId="42" fillId="15" borderId="44" xfId="0" applyFont="1" applyFill="1" applyBorder="1" applyAlignment="1">
      <alignment horizontal="left" vertical="center" wrapText="1"/>
    </xf>
    <xf numFmtId="0" fontId="44" fillId="15" borderId="44" xfId="0" applyFont="1" applyFill="1" applyBorder="1" applyAlignment="1">
      <alignment horizontal="left" vertical="center" wrapText="1"/>
    </xf>
    <xf numFmtId="0" fontId="44" fillId="15" borderId="44" xfId="0" applyFont="1" applyFill="1" applyBorder="1" applyAlignment="1">
      <alignment horizontal="center" vertical="center"/>
    </xf>
    <xf numFmtId="44" fontId="44" fillId="15" borderId="44" xfId="8" applyFont="1" applyFill="1" applyBorder="1" applyAlignment="1">
      <alignment vertical="center"/>
    </xf>
    <xf numFmtId="44" fontId="44" fillId="0" borderId="44" xfId="8" applyFont="1" applyBorder="1" applyAlignment="1">
      <alignment vertical="center"/>
    </xf>
    <xf numFmtId="0" fontId="37" fillId="0" borderId="0" xfId="0" applyFont="1" applyAlignment="1">
      <alignment vertical="center"/>
    </xf>
    <xf numFmtId="1" fontId="44" fillId="11" borderId="44" xfId="0" applyNumberFormat="1" applyFont="1" applyFill="1" applyBorder="1" applyAlignment="1">
      <alignment horizontal="center" vertical="center"/>
    </xf>
    <xf numFmtId="44" fontId="44" fillId="11" borderId="44" xfId="8" applyFont="1" applyFill="1" applyBorder="1" applyAlignment="1">
      <alignment vertical="center"/>
    </xf>
    <xf numFmtId="44" fontId="44" fillId="13" borderId="44" xfId="8" applyFont="1" applyFill="1" applyBorder="1" applyAlignment="1">
      <alignment vertical="center"/>
    </xf>
    <xf numFmtId="9" fontId="44" fillId="12" borderId="44" xfId="1" applyFont="1" applyFill="1" applyBorder="1" applyAlignment="1">
      <alignment vertical="center"/>
    </xf>
    <xf numFmtId="44" fontId="44" fillId="12" borderId="44" xfId="8" applyFont="1" applyFill="1" applyBorder="1" applyAlignment="1">
      <alignment vertical="center"/>
    </xf>
    <xf numFmtId="10" fontId="44" fillId="13" borderId="44" xfId="0" applyNumberFormat="1" applyFont="1" applyFill="1" applyBorder="1" applyAlignment="1">
      <alignment horizontal="center" vertical="center"/>
    </xf>
    <xf numFmtId="0" fontId="37" fillId="0" borderId="44" xfId="0" applyFont="1" applyBorder="1" applyAlignment="1">
      <alignment vertical="center"/>
    </xf>
    <xf numFmtId="0" fontId="42" fillId="15" borderId="65" xfId="0" applyFont="1" applyFill="1" applyBorder="1" applyAlignment="1">
      <alignment horizontal="left" vertical="center" wrapText="1"/>
    </xf>
    <xf numFmtId="0" fontId="44" fillId="15" borderId="66" xfId="0" applyFont="1" applyFill="1" applyBorder="1" applyAlignment="1">
      <alignment horizontal="left" vertical="center" wrapText="1"/>
    </xf>
    <xf numFmtId="0" fontId="44" fillId="15" borderId="66" xfId="0" applyFont="1" applyFill="1" applyBorder="1" applyAlignment="1">
      <alignment horizontal="center" vertical="center"/>
    </xf>
    <xf numFmtId="44" fontId="44" fillId="15" borderId="66" xfId="8" applyFont="1" applyFill="1" applyBorder="1" applyAlignment="1">
      <alignment vertical="center"/>
    </xf>
    <xf numFmtId="44" fontId="44" fillId="0" borderId="68" xfId="8" applyFont="1" applyBorder="1" applyAlignment="1">
      <alignment vertical="center"/>
    </xf>
    <xf numFmtId="44" fontId="44" fillId="0" borderId="70" xfId="8" applyFont="1" applyBorder="1" applyAlignment="1">
      <alignment vertical="center"/>
    </xf>
    <xf numFmtId="0" fontId="42" fillId="15" borderId="37" xfId="0" applyFont="1" applyFill="1" applyBorder="1" applyAlignment="1">
      <alignment horizontal="left" vertical="center" wrapText="1"/>
    </xf>
    <xf numFmtId="0" fontId="44" fillId="15" borderId="50" xfId="0" applyFont="1" applyFill="1" applyBorder="1" applyAlignment="1">
      <alignment horizontal="left" vertical="center" wrapText="1"/>
    </xf>
    <xf numFmtId="0" fontId="44" fillId="15" borderId="50" xfId="0" applyFont="1" applyFill="1" applyBorder="1" applyAlignment="1">
      <alignment horizontal="center" vertical="center"/>
    </xf>
    <xf numFmtId="44" fontId="44" fillId="15" borderId="50" xfId="8" applyFont="1" applyFill="1" applyBorder="1" applyAlignment="1">
      <alignment vertical="center"/>
    </xf>
    <xf numFmtId="44" fontId="44" fillId="0" borderId="50" xfId="8" applyFont="1" applyBorder="1" applyAlignment="1">
      <alignment vertical="center"/>
    </xf>
    <xf numFmtId="44" fontId="44" fillId="0" borderId="38" xfId="8" applyFont="1" applyBorder="1" applyAlignment="1">
      <alignment vertical="center"/>
    </xf>
    <xf numFmtId="0" fontId="44" fillId="0" borderId="41" xfId="0" applyFont="1" applyBorder="1" applyAlignment="1">
      <alignment horizontal="left" vertical="center" wrapText="1"/>
    </xf>
    <xf numFmtId="0" fontId="44" fillId="0" borderId="64" xfId="0" applyFont="1" applyBorder="1" applyAlignment="1">
      <alignment horizontal="left" vertical="center" wrapText="1"/>
    </xf>
    <xf numFmtId="170" fontId="26" fillId="9" borderId="73" xfId="8" applyNumberFormat="1" applyFont="1" applyFill="1" applyBorder="1" applyAlignment="1">
      <alignment horizontal="right"/>
    </xf>
    <xf numFmtId="170" fontId="26" fillId="9" borderId="74" xfId="8" applyNumberFormat="1" applyFont="1" applyFill="1" applyBorder="1" applyAlignment="1">
      <alignment horizontal="right"/>
    </xf>
    <xf numFmtId="44" fontId="26" fillId="9" borderId="44" xfId="8" applyFont="1" applyFill="1" applyBorder="1" applyAlignment="1">
      <alignment horizontal="right"/>
    </xf>
    <xf numFmtId="44" fontId="42" fillId="13" borderId="44" xfId="8" applyFont="1" applyFill="1" applyBorder="1" applyAlignment="1">
      <alignment vertical="center"/>
    </xf>
    <xf numFmtId="44" fontId="42" fillId="12" borderId="44" xfId="8" applyFont="1" applyFill="1" applyBorder="1" applyAlignment="1">
      <alignment vertical="center"/>
    </xf>
    <xf numFmtId="0" fontId="41" fillId="10" borderId="44" xfId="0" applyFont="1" applyFill="1" applyBorder="1" applyAlignment="1">
      <alignment horizontal="center" vertical="center"/>
    </xf>
    <xf numFmtId="0" fontId="44" fillId="0" borderId="50" xfId="0" applyFont="1" applyBorder="1" applyAlignment="1">
      <alignment horizontal="center" vertical="center"/>
    </xf>
    <xf numFmtId="44" fontId="37" fillId="0" borderId="0" xfId="0" applyNumberFormat="1" applyFont="1" applyAlignment="1">
      <alignment vertical="center"/>
    </xf>
    <xf numFmtId="0" fontId="41" fillId="0" borderId="0" xfId="0" applyFont="1" applyAlignment="1">
      <alignment horizontal="center" vertical="center"/>
    </xf>
    <xf numFmtId="170" fontId="26" fillId="9" borderId="12" xfId="8" applyNumberFormat="1" applyFont="1" applyFill="1" applyBorder="1" applyAlignment="1">
      <alignment horizontal="right"/>
    </xf>
    <xf numFmtId="170" fontId="26" fillId="9" borderId="63" xfId="8" applyNumberFormat="1" applyFont="1" applyFill="1" applyBorder="1" applyAlignment="1">
      <alignment horizontal="right"/>
    </xf>
    <xf numFmtId="0" fontId="37" fillId="0" borderId="44" xfId="0" applyFont="1" applyBorder="1"/>
    <xf numFmtId="170" fontId="42" fillId="10" borderId="59" xfId="0" applyNumberFormat="1" applyFont="1" applyFill="1" applyBorder="1" applyAlignment="1">
      <alignment horizontal="center" vertical="center"/>
    </xf>
    <xf numFmtId="170" fontId="42" fillId="10" borderId="39" xfId="0" applyNumberFormat="1" applyFont="1" applyFill="1" applyBorder="1" applyAlignment="1">
      <alignment horizontal="center" vertical="center"/>
    </xf>
    <xf numFmtId="170" fontId="26" fillId="10" borderId="62" xfId="0" applyNumberFormat="1" applyFont="1" applyFill="1" applyBorder="1" applyAlignment="1">
      <alignment horizontal="center" vertical="center"/>
    </xf>
    <xf numFmtId="0" fontId="44" fillId="15" borderId="81" xfId="0" applyFont="1" applyFill="1" applyBorder="1" applyAlignment="1">
      <alignment horizontal="center" vertical="center"/>
    </xf>
    <xf numFmtId="44" fontId="44" fillId="15" borderId="81" xfId="8" applyFont="1" applyFill="1" applyBorder="1" applyAlignment="1">
      <alignment vertical="center"/>
    </xf>
    <xf numFmtId="44" fontId="44" fillId="15" borderId="47" xfId="8" applyFont="1" applyFill="1" applyBorder="1" applyAlignment="1">
      <alignment vertical="center"/>
    </xf>
    <xf numFmtId="10" fontId="42" fillId="13" borderId="44" xfId="0" applyNumberFormat="1" applyFont="1" applyFill="1" applyBorder="1" applyAlignment="1">
      <alignment horizontal="center" vertical="center"/>
    </xf>
    <xf numFmtId="8" fontId="44" fillId="11" borderId="44" xfId="0" applyNumberFormat="1" applyFont="1" applyFill="1" applyBorder="1"/>
    <xf numFmtId="44" fontId="44" fillId="11" borderId="44" xfId="0" applyNumberFormat="1" applyFont="1" applyFill="1" applyBorder="1"/>
    <xf numFmtId="14" fontId="44" fillId="11" borderId="44" xfId="0" applyNumberFormat="1" applyFont="1" applyFill="1" applyBorder="1"/>
    <xf numFmtId="0" fontId="44" fillId="11" borderId="44" xfId="0" applyFont="1" applyFill="1" applyBorder="1" applyAlignment="1">
      <alignment wrapText="1"/>
    </xf>
    <xf numFmtId="170" fontId="26" fillId="9" borderId="0" xfId="0" applyNumberFormat="1" applyFont="1" applyFill="1" applyAlignment="1">
      <alignment horizontal="right"/>
    </xf>
    <xf numFmtId="170" fontId="26" fillId="9" borderId="14" xfId="0" applyNumberFormat="1" applyFont="1" applyFill="1" applyBorder="1" applyAlignment="1">
      <alignment horizontal="right"/>
    </xf>
    <xf numFmtId="44" fontId="26" fillId="9" borderId="44" xfId="0" applyNumberFormat="1" applyFont="1" applyFill="1" applyBorder="1" applyAlignment="1">
      <alignment horizontal="right"/>
    </xf>
    <xf numFmtId="44" fontId="42" fillId="13" borderId="44" xfId="0" applyNumberFormat="1" applyFont="1" applyFill="1" applyBorder="1"/>
    <xf numFmtId="0" fontId="37" fillId="12" borderId="44" xfId="0" applyFont="1" applyFill="1" applyBorder="1"/>
    <xf numFmtId="44" fontId="42" fillId="12" borderId="44" xfId="0" applyNumberFormat="1" applyFont="1" applyFill="1" applyBorder="1"/>
    <xf numFmtId="44" fontId="42" fillId="12" borderId="44" xfId="8" applyFont="1" applyFill="1" applyBorder="1"/>
    <xf numFmtId="0" fontId="44" fillId="15" borderId="50" xfId="2" applyFont="1" applyFill="1" applyBorder="1" applyAlignment="1">
      <alignment horizontal="left" vertical="center" wrapText="1"/>
    </xf>
    <xf numFmtId="0" fontId="42" fillId="10" borderId="59" xfId="0" applyFont="1" applyFill="1" applyBorder="1" applyAlignment="1">
      <alignment horizontal="center" vertical="center"/>
    </xf>
    <xf numFmtId="0" fontId="42" fillId="10" borderId="39" xfId="0" applyFont="1" applyFill="1" applyBorder="1" applyAlignment="1">
      <alignment horizontal="center" vertical="center"/>
    </xf>
    <xf numFmtId="0" fontId="42" fillId="10" borderId="62" xfId="0" applyFont="1" applyFill="1" applyBorder="1" applyAlignment="1">
      <alignment horizontal="center" vertical="center"/>
    </xf>
    <xf numFmtId="0" fontId="42" fillId="15" borderId="79" xfId="0" applyFont="1" applyFill="1" applyBorder="1" applyAlignment="1">
      <alignment horizontal="left" vertical="center" wrapText="1"/>
    </xf>
    <xf numFmtId="0" fontId="44" fillId="15" borderId="80" xfId="0" applyFont="1" applyFill="1" applyBorder="1" applyAlignment="1">
      <alignment horizontal="left" vertical="center" wrapText="1"/>
    </xf>
    <xf numFmtId="0" fontId="42" fillId="15" borderId="84" xfId="0" applyFont="1" applyFill="1" applyBorder="1" applyAlignment="1">
      <alignment horizontal="left" vertical="center" wrapText="1"/>
    </xf>
    <xf numFmtId="0" fontId="44" fillId="15" borderId="85" xfId="0" applyFont="1" applyFill="1" applyBorder="1" applyAlignment="1">
      <alignment horizontal="left" vertical="center" wrapText="1"/>
    </xf>
    <xf numFmtId="0" fontId="44" fillId="0" borderId="44" xfId="0" applyFont="1" applyBorder="1" applyAlignment="1">
      <alignment horizontal="center" vertical="center"/>
    </xf>
    <xf numFmtId="44" fontId="44" fillId="0" borderId="47" xfId="8" applyFont="1" applyBorder="1" applyAlignment="1">
      <alignment vertical="center"/>
    </xf>
    <xf numFmtId="170" fontId="26" fillId="9" borderId="12" xfId="0" applyNumberFormat="1" applyFont="1" applyFill="1" applyBorder="1" applyAlignment="1">
      <alignment horizontal="right"/>
    </xf>
    <xf numFmtId="170" fontId="26" fillId="9" borderId="63" xfId="0" applyNumberFormat="1" applyFont="1" applyFill="1" applyBorder="1" applyAlignment="1">
      <alignment horizontal="right"/>
    </xf>
    <xf numFmtId="44" fontId="26" fillId="14" borderId="44" xfId="8" applyFont="1" applyFill="1" applyBorder="1" applyAlignment="1">
      <alignment horizontal="center"/>
    </xf>
    <xf numFmtId="49" fontId="44" fillId="0" borderId="42" xfId="0" applyNumberFormat="1" applyFont="1" applyBorder="1" applyAlignment="1">
      <alignment horizontal="left" vertical="center" wrapText="1"/>
    </xf>
    <xf numFmtId="44" fontId="37" fillId="0" borderId="0" xfId="0" applyNumberFormat="1" applyFont="1"/>
    <xf numFmtId="44" fontId="46" fillId="6" borderId="37" xfId="8" applyFont="1" applyFill="1" applyBorder="1" applyAlignment="1">
      <alignment horizontal="center" vertical="center" wrapText="1"/>
    </xf>
    <xf numFmtId="44" fontId="47" fillId="6" borderId="38" xfId="8" applyFont="1" applyFill="1" applyBorder="1" applyAlignment="1">
      <alignment horizontal="center" vertical="center" wrapText="1"/>
    </xf>
    <xf numFmtId="44" fontId="41" fillId="0" borderId="0" xfId="8" applyFont="1"/>
    <xf numFmtId="44" fontId="48" fillId="0" borderId="44" xfId="8" applyFont="1" applyBorder="1" applyAlignment="1">
      <alignment vertical="center"/>
    </xf>
    <xf numFmtId="44" fontId="49" fillId="0" borderId="44" xfId="8" applyFont="1" applyBorder="1" applyAlignment="1">
      <alignment vertical="center"/>
    </xf>
    <xf numFmtId="164" fontId="38" fillId="0" borderId="16" xfId="2" applyNumberFormat="1" applyFont="1" applyBorder="1" applyAlignment="1" applyProtection="1">
      <alignment horizontal="left" vertical="center"/>
      <protection locked="0"/>
    </xf>
    <xf numFmtId="164" fontId="38" fillId="0" borderId="15" xfId="2" applyNumberFormat="1" applyFont="1" applyBorder="1" applyAlignment="1" applyProtection="1">
      <alignment horizontal="left" vertical="center"/>
      <protection locked="0"/>
    </xf>
    <xf numFmtId="164" fontId="38" fillId="0" borderId="20" xfId="2" applyNumberFormat="1" applyFont="1" applyBorder="1" applyAlignment="1" applyProtection="1">
      <alignment horizontal="left" vertical="center"/>
      <protection locked="0"/>
    </xf>
    <xf numFmtId="164" fontId="38" fillId="0" borderId="19" xfId="2" applyNumberFormat="1" applyFont="1" applyBorder="1" applyAlignment="1" applyProtection="1">
      <alignment horizontal="left" vertical="center"/>
      <protection locked="0"/>
    </xf>
    <xf numFmtId="0" fontId="38" fillId="0" borderId="17" xfId="2" applyFont="1" applyBorder="1" applyAlignment="1" applyProtection="1">
      <alignment horizontal="left" vertical="center"/>
      <protection locked="0"/>
    </xf>
    <xf numFmtId="14" fontId="38" fillId="0" borderId="19" xfId="2" applyNumberFormat="1" applyFont="1" applyBorder="1" applyAlignment="1" applyProtection="1">
      <alignment horizontal="left" vertical="center"/>
      <protection locked="0"/>
    </xf>
    <xf numFmtId="164" fontId="38" fillId="0" borderId="24" xfId="2" applyNumberFormat="1" applyFont="1" applyBorder="1" applyAlignment="1" applyProtection="1">
      <alignment horizontal="left" vertical="center"/>
      <protection locked="0"/>
    </xf>
    <xf numFmtId="0" fontId="38" fillId="0" borderId="18" xfId="2" applyFont="1" applyBorder="1" applyAlignment="1" applyProtection="1">
      <alignment horizontal="left" vertical="center"/>
      <protection locked="0"/>
    </xf>
    <xf numFmtId="37" fontId="40" fillId="6" borderId="48" xfId="3" applyNumberFormat="1" applyFont="1" applyFill="1" applyBorder="1" applyAlignment="1">
      <alignment horizontal="center" vertical="center"/>
    </xf>
    <xf numFmtId="37" fontId="40" fillId="6" borderId="49" xfId="3" applyNumberFormat="1" applyFont="1" applyFill="1" applyBorder="1" applyAlignment="1">
      <alignment horizontal="center" vertical="center"/>
    </xf>
    <xf numFmtId="0" fontId="41" fillId="10" borderId="48" xfId="0" applyFont="1" applyFill="1" applyBorder="1" applyAlignment="1">
      <alignment horizontal="center" vertical="center"/>
    </xf>
    <xf numFmtId="0" fontId="41" fillId="10" borderId="58" xfId="0" applyFont="1" applyFill="1" applyBorder="1" applyAlignment="1">
      <alignment horizontal="center" vertical="center"/>
    </xf>
    <xf numFmtId="0" fontId="44" fillId="15" borderId="45" xfId="0" applyFont="1" applyFill="1" applyBorder="1" applyAlignment="1">
      <alignment horizontal="left" vertical="center" wrapText="1"/>
    </xf>
    <xf numFmtId="0" fontId="44" fillId="0" borderId="44" xfId="0" applyFont="1" applyBorder="1" applyAlignment="1">
      <alignment horizontal="left" vertical="center" wrapText="1"/>
    </xf>
    <xf numFmtId="1" fontId="44" fillId="11" borderId="46" xfId="0" applyNumberFormat="1" applyFont="1" applyFill="1" applyBorder="1" applyAlignment="1">
      <alignment horizontal="center" vertical="center"/>
    </xf>
    <xf numFmtId="1" fontId="44" fillId="11" borderId="43" xfId="0" applyNumberFormat="1" applyFont="1" applyFill="1" applyBorder="1" applyAlignment="1">
      <alignment horizontal="center" vertical="center"/>
    </xf>
    <xf numFmtId="44" fontId="44" fillId="11" borderId="43" xfId="8" applyFont="1" applyFill="1" applyBorder="1" applyAlignment="1">
      <alignment vertical="center"/>
    </xf>
    <xf numFmtId="44" fontId="42" fillId="13" borderId="43" xfId="8" applyFont="1" applyFill="1" applyBorder="1" applyAlignment="1">
      <alignment vertical="center"/>
    </xf>
    <xf numFmtId="9" fontId="44" fillId="12" borderId="43" xfId="1" applyFont="1" applyFill="1" applyBorder="1" applyAlignment="1">
      <alignment vertical="center"/>
    </xf>
    <xf numFmtId="44" fontId="44" fillId="12" borderId="43" xfId="8" applyFont="1" applyFill="1" applyBorder="1" applyAlignment="1">
      <alignment vertical="center"/>
    </xf>
    <xf numFmtId="44" fontId="42" fillId="12" borderId="43" xfId="8" applyFont="1" applyFill="1" applyBorder="1" applyAlignment="1">
      <alignment vertical="center"/>
    </xf>
    <xf numFmtId="44" fontId="42" fillId="12" borderId="38" xfId="8" applyFont="1" applyFill="1" applyBorder="1" applyAlignment="1">
      <alignment vertical="center"/>
    </xf>
    <xf numFmtId="10" fontId="44" fillId="13" borderId="45" xfId="0" applyNumberFormat="1" applyFont="1" applyFill="1" applyBorder="1" applyAlignment="1">
      <alignment horizontal="center" vertical="center"/>
    </xf>
    <xf numFmtId="10" fontId="44" fillId="13" borderId="47" xfId="0" applyNumberFormat="1" applyFont="1" applyFill="1" applyBorder="1" applyAlignment="1">
      <alignment horizontal="center" vertical="center"/>
    </xf>
    <xf numFmtId="0" fontId="44" fillId="15" borderId="44" xfId="2" applyFont="1" applyFill="1" applyBorder="1" applyAlignment="1">
      <alignment horizontal="left" vertical="center" wrapText="1"/>
    </xf>
    <xf numFmtId="1" fontId="44" fillId="11" borderId="53" xfId="0" applyNumberFormat="1" applyFont="1" applyFill="1" applyBorder="1" applyAlignment="1">
      <alignment horizontal="center" vertical="center"/>
    </xf>
    <xf numFmtId="1" fontId="44" fillId="11" borderId="5" xfId="0" applyNumberFormat="1" applyFont="1" applyFill="1" applyBorder="1" applyAlignment="1">
      <alignment horizontal="center" vertical="center"/>
    </xf>
    <xf numFmtId="44" fontId="44" fillId="11" borderId="5" xfId="8" applyFont="1" applyFill="1" applyBorder="1" applyAlignment="1">
      <alignment vertical="center"/>
    </xf>
    <xf numFmtId="44" fontId="42" fillId="13" borderId="5" xfId="8" applyFont="1" applyFill="1" applyBorder="1" applyAlignment="1">
      <alignment vertical="center"/>
    </xf>
    <xf numFmtId="9" fontId="44" fillId="12" borderId="5" xfId="1" applyFont="1" applyFill="1" applyBorder="1" applyAlignment="1">
      <alignment vertical="center"/>
    </xf>
    <xf numFmtId="44" fontId="44" fillId="12" borderId="5" xfId="8" applyFont="1" applyFill="1" applyBorder="1" applyAlignment="1">
      <alignment vertical="center"/>
    </xf>
    <xf numFmtId="44" fontId="42" fillId="12" borderId="5" xfId="8" applyFont="1" applyFill="1" applyBorder="1" applyAlignment="1">
      <alignment vertical="center"/>
    </xf>
    <xf numFmtId="44" fontId="42" fillId="12" borderId="47" xfId="8" applyFont="1" applyFill="1" applyBorder="1" applyAlignment="1">
      <alignment vertical="center"/>
    </xf>
    <xf numFmtId="10" fontId="44" fillId="13" borderId="75" xfId="0" applyNumberFormat="1" applyFont="1" applyFill="1" applyBorder="1" applyAlignment="1">
      <alignment horizontal="center" vertical="center"/>
    </xf>
    <xf numFmtId="10" fontId="44" fillId="13" borderId="82" xfId="0" applyNumberFormat="1" applyFont="1" applyFill="1" applyBorder="1" applyAlignment="1">
      <alignment horizontal="center" vertical="center"/>
    </xf>
    <xf numFmtId="0" fontId="44" fillId="0" borderId="77" xfId="0" applyFont="1" applyBorder="1" applyAlignment="1">
      <alignment horizontal="left" vertical="center" wrapText="1"/>
    </xf>
    <xf numFmtId="0" fontId="44" fillId="0" borderId="78" xfId="0" applyFont="1" applyBorder="1" applyAlignment="1">
      <alignment horizontal="left" vertical="center" wrapText="1"/>
    </xf>
    <xf numFmtId="44" fontId="26" fillId="9" borderId="12" xfId="0" applyNumberFormat="1" applyFont="1" applyFill="1" applyBorder="1" applyAlignment="1">
      <alignment horizontal="right"/>
    </xf>
    <xf numFmtId="44" fontId="42" fillId="13" borderId="12" xfId="0" applyNumberFormat="1" applyFont="1" applyFill="1" applyBorder="1"/>
    <xf numFmtId="0" fontId="37" fillId="12" borderId="12" xfId="0" applyFont="1" applyFill="1" applyBorder="1"/>
    <xf numFmtId="44" fontId="42" fillId="12" borderId="12" xfId="0" applyNumberFormat="1" applyFont="1" applyFill="1" applyBorder="1"/>
    <xf numFmtId="44" fontId="42" fillId="12" borderId="63" xfId="8" applyFont="1" applyFill="1" applyBorder="1"/>
    <xf numFmtId="0" fontId="44" fillId="15" borderId="76" xfId="0" applyFont="1" applyFill="1" applyBorder="1" applyAlignment="1">
      <alignment horizontal="center" vertical="center"/>
    </xf>
    <xf numFmtId="44" fontId="44" fillId="15" borderId="76" xfId="8" applyFont="1" applyFill="1" applyBorder="1" applyAlignment="1">
      <alignment vertical="center"/>
    </xf>
    <xf numFmtId="0" fontId="41" fillId="10" borderId="94" xfId="0" applyFont="1" applyFill="1" applyBorder="1" applyAlignment="1">
      <alignment horizontal="center" vertical="center"/>
    </xf>
    <xf numFmtId="44" fontId="44" fillId="13" borderId="5" xfId="8" applyFont="1" applyFill="1" applyBorder="1" applyAlignment="1">
      <alignment vertical="center"/>
    </xf>
    <xf numFmtId="44" fontId="44" fillId="12" borderId="47" xfId="8" applyFont="1" applyFill="1" applyBorder="1" applyAlignment="1">
      <alignment vertical="center"/>
    </xf>
    <xf numFmtId="0" fontId="44" fillId="15" borderId="95" xfId="0" applyFont="1" applyFill="1" applyBorder="1" applyAlignment="1">
      <alignment horizontal="left" vertical="center" wrapText="1"/>
    </xf>
    <xf numFmtId="0" fontId="44" fillId="15" borderId="96" xfId="0" applyFont="1" applyFill="1" applyBorder="1" applyAlignment="1">
      <alignment horizontal="left" vertical="center" wrapText="1"/>
    </xf>
    <xf numFmtId="0" fontId="44" fillId="0" borderId="68" xfId="0" applyFont="1" applyBorder="1" applyAlignment="1">
      <alignment horizontal="center" vertical="center"/>
    </xf>
    <xf numFmtId="1" fontId="44" fillId="11" borderId="13" xfId="0" applyNumberFormat="1" applyFont="1" applyFill="1" applyBorder="1" applyAlignment="1">
      <alignment horizontal="center" vertical="center"/>
    </xf>
    <xf numFmtId="1" fontId="44" fillId="11" borderId="69" xfId="0" applyNumberFormat="1" applyFont="1" applyFill="1" applyBorder="1" applyAlignment="1">
      <alignment horizontal="center" vertical="center"/>
    </xf>
    <xf numFmtId="44" fontId="44" fillId="11" borderId="69" xfId="8" applyFont="1" applyFill="1" applyBorder="1" applyAlignment="1">
      <alignment vertical="center"/>
    </xf>
    <xf numFmtId="44" fontId="44" fillId="13" borderId="69" xfId="8" applyFont="1" applyFill="1" applyBorder="1" applyAlignment="1">
      <alignment vertical="center"/>
    </xf>
    <xf numFmtId="9" fontId="44" fillId="12" borderId="69" xfId="1" applyFont="1" applyFill="1" applyBorder="1" applyAlignment="1">
      <alignment vertical="center"/>
    </xf>
    <xf numFmtId="44" fontId="44" fillId="12" borderId="69" xfId="8" applyFont="1" applyFill="1" applyBorder="1" applyAlignment="1">
      <alignment vertical="center"/>
    </xf>
    <xf numFmtId="44" fontId="44" fillId="12" borderId="70" xfId="8" applyFont="1" applyFill="1" applyBorder="1" applyAlignment="1">
      <alignment vertical="center"/>
    </xf>
    <xf numFmtId="1" fontId="44" fillId="11" borderId="5" xfId="0" applyNumberFormat="1" applyFont="1" applyFill="1" applyBorder="1" applyAlignment="1">
      <alignment vertical="center"/>
    </xf>
    <xf numFmtId="10" fontId="44" fillId="13" borderId="14" xfId="0" applyNumberFormat="1" applyFont="1" applyFill="1" applyBorder="1" applyAlignment="1">
      <alignment horizontal="center" vertical="center"/>
    </xf>
    <xf numFmtId="8" fontId="44" fillId="11" borderId="5" xfId="0" applyNumberFormat="1" applyFont="1" applyFill="1" applyBorder="1"/>
    <xf numFmtId="44" fontId="44" fillId="11" borderId="7" xfId="0" applyNumberFormat="1" applyFont="1" applyFill="1" applyBorder="1"/>
    <xf numFmtId="14" fontId="44" fillId="11" borderId="8" xfId="0" applyNumberFormat="1" applyFont="1" applyFill="1" applyBorder="1"/>
    <xf numFmtId="0" fontId="44" fillId="11" borderId="5" xfId="0" applyFont="1" applyFill="1" applyBorder="1" applyAlignment="1">
      <alignment wrapText="1"/>
    </xf>
    <xf numFmtId="0" fontId="44" fillId="11" borderId="8" xfId="0" applyFont="1" applyFill="1" applyBorder="1" applyAlignment="1">
      <alignment wrapText="1"/>
    </xf>
    <xf numFmtId="44" fontId="26" fillId="9" borderId="0" xfId="0" applyNumberFormat="1" applyFont="1" applyFill="1" applyAlignment="1">
      <alignment horizontal="right"/>
    </xf>
    <xf numFmtId="44" fontId="42" fillId="13" borderId="0" xfId="0" applyNumberFormat="1" applyFont="1" applyFill="1"/>
    <xf numFmtId="0" fontId="37" fillId="12" borderId="0" xfId="0" applyFont="1" applyFill="1"/>
    <xf numFmtId="44" fontId="42" fillId="12" borderId="0" xfId="0" applyNumberFormat="1" applyFont="1" applyFill="1"/>
    <xf numFmtId="44" fontId="42" fillId="12" borderId="14" xfId="8" applyFont="1" applyFill="1" applyBorder="1"/>
    <xf numFmtId="44" fontId="26" fillId="14" borderId="13" xfId="8" applyFont="1" applyFill="1" applyBorder="1" applyAlignment="1">
      <alignment horizontal="center"/>
    </xf>
    <xf numFmtId="44" fontId="26" fillId="14" borderId="14" xfId="8" applyFont="1" applyFill="1" applyBorder="1" applyAlignment="1">
      <alignment horizontal="center"/>
    </xf>
    <xf numFmtId="0" fontId="44" fillId="0" borderId="31" xfId="0" applyFont="1" applyBorder="1" applyAlignment="1">
      <alignment horizontal="left" vertical="center" wrapText="1"/>
    </xf>
    <xf numFmtId="0" fontId="41" fillId="10" borderId="8" xfId="0" applyFont="1" applyFill="1" applyBorder="1" applyAlignment="1">
      <alignment horizontal="center" vertical="center"/>
    </xf>
    <xf numFmtId="0" fontId="44" fillId="15" borderId="37" xfId="0" applyFont="1" applyFill="1" applyBorder="1" applyAlignment="1">
      <alignment horizontal="left" vertical="center" wrapText="1"/>
    </xf>
    <xf numFmtId="1" fontId="44" fillId="11" borderId="46" xfId="0" applyNumberFormat="1" applyFont="1" applyFill="1" applyBorder="1" applyAlignment="1">
      <alignment vertical="center"/>
    </xf>
    <xf numFmtId="1" fontId="44" fillId="11" borderId="43" xfId="0" applyNumberFormat="1" applyFont="1" applyFill="1" applyBorder="1" applyAlignment="1">
      <alignment vertical="center"/>
    </xf>
    <xf numFmtId="44" fontId="44" fillId="13" borderId="43" xfId="8" applyFont="1" applyFill="1" applyBorder="1" applyAlignment="1">
      <alignment vertical="center"/>
    </xf>
    <xf numFmtId="44" fontId="44" fillId="12" borderId="38" xfId="8" applyFont="1" applyFill="1" applyBorder="1" applyAlignment="1">
      <alignment vertical="center"/>
    </xf>
    <xf numFmtId="10" fontId="44" fillId="13" borderId="8" xfId="0" applyNumberFormat="1" applyFont="1" applyFill="1" applyBorder="1" applyAlignment="1">
      <alignment horizontal="center" vertical="center"/>
    </xf>
    <xf numFmtId="10" fontId="44" fillId="13" borderId="21" xfId="0" applyNumberFormat="1" applyFont="1" applyFill="1" applyBorder="1" applyAlignment="1">
      <alignment horizontal="center" vertical="center"/>
    </xf>
    <xf numFmtId="10" fontId="44" fillId="13" borderId="50" xfId="0" applyNumberFormat="1" applyFont="1" applyFill="1" applyBorder="1" applyAlignment="1">
      <alignment horizontal="center" vertical="center"/>
    </xf>
    <xf numFmtId="44" fontId="44" fillId="12" borderId="50" xfId="8" applyFont="1" applyFill="1" applyBorder="1" applyAlignment="1">
      <alignment vertical="center"/>
    </xf>
    <xf numFmtId="10" fontId="44" fillId="13" borderId="0" xfId="0" applyNumberFormat="1" applyFont="1" applyFill="1" applyAlignment="1">
      <alignment horizontal="center" vertical="center"/>
    </xf>
    <xf numFmtId="8" fontId="44" fillId="11" borderId="0" xfId="0" applyNumberFormat="1" applyFont="1" applyFill="1"/>
    <xf numFmtId="44" fontId="44" fillId="11" borderId="0" xfId="0" applyNumberFormat="1" applyFont="1" applyFill="1"/>
    <xf numFmtId="14" fontId="44" fillId="11" borderId="0" xfId="0" applyNumberFormat="1" applyFont="1" applyFill="1"/>
    <xf numFmtId="0" fontId="44" fillId="11" borderId="0" xfId="0" applyFont="1" applyFill="1" applyAlignment="1">
      <alignment wrapText="1"/>
    </xf>
    <xf numFmtId="0" fontId="44" fillId="15" borderId="68" xfId="0" applyFont="1" applyFill="1" applyBorder="1" applyAlignment="1">
      <alignment horizontal="left" vertical="center" wrapText="1"/>
    </xf>
    <xf numFmtId="1" fontId="44" fillId="11" borderId="69" xfId="0" applyNumberFormat="1" applyFont="1" applyFill="1" applyBorder="1" applyAlignment="1">
      <alignment vertical="center"/>
    </xf>
    <xf numFmtId="44" fontId="44" fillId="12" borderId="68" xfId="8" applyFont="1" applyFill="1" applyBorder="1" applyAlignment="1">
      <alignment vertical="center"/>
    </xf>
    <xf numFmtId="0" fontId="44" fillId="0" borderId="66" xfId="0" applyFont="1" applyBorder="1" applyAlignment="1">
      <alignment horizontal="center" vertical="center"/>
    </xf>
    <xf numFmtId="44" fontId="44" fillId="0" borderId="66" xfId="8" applyFont="1" applyBorder="1" applyAlignment="1">
      <alignment vertical="center"/>
    </xf>
    <xf numFmtId="1" fontId="44" fillId="11" borderId="24" xfId="0" applyNumberFormat="1" applyFont="1" applyFill="1" applyBorder="1" applyAlignment="1">
      <alignment vertical="center"/>
    </xf>
    <xf numFmtId="44" fontId="44" fillId="11" borderId="24" xfId="8" applyFont="1" applyFill="1" applyBorder="1" applyAlignment="1">
      <alignment vertical="center"/>
    </xf>
    <xf numFmtId="44" fontId="44" fillId="13" borderId="24" xfId="8" applyFont="1" applyFill="1" applyBorder="1" applyAlignment="1">
      <alignment vertical="center"/>
    </xf>
    <xf numFmtId="9" fontId="44" fillId="12" borderId="24" xfId="1" applyFont="1" applyFill="1" applyBorder="1" applyAlignment="1">
      <alignment vertical="center"/>
    </xf>
    <xf numFmtId="44" fontId="44" fillId="12" borderId="24" xfId="8" applyFont="1" applyFill="1" applyBorder="1" applyAlignment="1">
      <alignment vertical="center"/>
    </xf>
    <xf numFmtId="44" fontId="44" fillId="12" borderId="66" xfId="8" applyFont="1" applyFill="1" applyBorder="1" applyAlignment="1">
      <alignment vertical="center"/>
    </xf>
    <xf numFmtId="44" fontId="42" fillId="12" borderId="0" xfId="8" applyFont="1" applyFill="1" applyBorder="1"/>
    <xf numFmtId="44" fontId="26" fillId="14" borderId="98" xfId="8" applyFont="1" applyFill="1" applyBorder="1" applyAlignment="1">
      <alignment horizontal="center"/>
    </xf>
    <xf numFmtId="0" fontId="42" fillId="15" borderId="45" xfId="0" applyFont="1" applyFill="1" applyBorder="1" applyAlignment="1">
      <alignment horizontal="left" vertical="center" wrapText="1"/>
    </xf>
    <xf numFmtId="10" fontId="44" fillId="13" borderId="67" xfId="0" applyNumberFormat="1" applyFont="1" applyFill="1" applyBorder="1" applyAlignment="1">
      <alignment horizontal="center" vertical="center"/>
    </xf>
    <xf numFmtId="0" fontId="42" fillId="15" borderId="71" xfId="0" applyFont="1" applyFill="1" applyBorder="1" applyAlignment="1">
      <alignment horizontal="left" vertical="center" wrapText="1"/>
    </xf>
    <xf numFmtId="0" fontId="37" fillId="17" borderId="0" xfId="0" applyFont="1" applyFill="1"/>
    <xf numFmtId="10" fontId="44" fillId="13" borderId="6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9" fontId="50" fillId="0" borderId="0" xfId="1" applyFont="1" applyAlignment="1">
      <alignment horizontal="right"/>
    </xf>
    <xf numFmtId="0" fontId="50" fillId="0" borderId="0" xfId="0" applyFont="1" applyAlignment="1">
      <alignment horizontal="left"/>
    </xf>
    <xf numFmtId="0" fontId="50" fillId="0" borderId="0" xfId="0" applyFont="1" applyAlignment="1">
      <alignment horizontal="right"/>
    </xf>
    <xf numFmtId="44" fontId="50" fillId="0" borderId="0" xfId="0" applyNumberFormat="1" applyFont="1" applyAlignment="1">
      <alignment horizontal="right"/>
    </xf>
    <xf numFmtId="164" fontId="4" fillId="0" borderId="91" xfId="2" applyNumberFormat="1" applyFont="1" applyBorder="1" applyAlignment="1" applyProtection="1">
      <alignment horizontal="left" vertical="center"/>
      <protection locked="0"/>
    </xf>
    <xf numFmtId="0" fontId="4" fillId="0" borderId="92" xfId="2" applyFont="1" applyBorder="1" applyAlignment="1" applyProtection="1">
      <alignment horizontal="left" vertical="center"/>
      <protection locked="0"/>
    </xf>
    <xf numFmtId="14" fontId="4" fillId="0" borderId="91" xfId="2" applyNumberFormat="1" applyFont="1" applyBorder="1" applyAlignment="1" applyProtection="1">
      <alignment horizontal="left" vertical="center"/>
      <protection locked="0"/>
    </xf>
    <xf numFmtId="0" fontId="4" fillId="0" borderId="93" xfId="2" applyFont="1" applyBorder="1" applyAlignment="1" applyProtection="1">
      <alignment horizontal="left" vertical="center"/>
      <protection locked="0"/>
    </xf>
    <xf numFmtId="0" fontId="41" fillId="0" borderId="0" xfId="0" applyFont="1"/>
    <xf numFmtId="44" fontId="0" fillId="0" borderId="0" xfId="8" applyFont="1"/>
    <xf numFmtId="0" fontId="41" fillId="0" borderId="0" xfId="0" applyFont="1" applyAlignment="1">
      <alignment horizontal="left"/>
    </xf>
    <xf numFmtId="44" fontId="0" fillId="0" borderId="0" xfId="8" applyFont="1" applyFill="1"/>
    <xf numFmtId="44" fontId="2" fillId="0" borderId="0" xfId="8" applyFont="1" applyFill="1"/>
    <xf numFmtId="44" fontId="51" fillId="0" borderId="0" xfId="0" applyNumberFormat="1" applyFont="1"/>
    <xf numFmtId="44" fontId="21" fillId="0" borderId="102" xfId="0" applyNumberFormat="1" applyFont="1" applyBorder="1" applyAlignment="1">
      <alignment horizontal="center" vertical="center"/>
    </xf>
    <xf numFmtId="0" fontId="21" fillId="0" borderId="103" xfId="0" applyFont="1" applyBorder="1" applyAlignment="1">
      <alignment horizontal="center" vertical="center"/>
    </xf>
    <xf numFmtId="0" fontId="22" fillId="23" borderId="4" xfId="0" applyFont="1" applyFill="1" applyBorder="1" applyAlignment="1">
      <alignment horizontal="center"/>
    </xf>
    <xf numFmtId="0" fontId="22" fillId="23" borderId="22" xfId="0" applyFont="1" applyFill="1" applyBorder="1" applyAlignment="1">
      <alignment horizontal="center"/>
    </xf>
    <xf numFmtId="0" fontId="22" fillId="23" borderId="101" xfId="0" applyFont="1" applyFill="1" applyBorder="1" applyAlignment="1">
      <alignment horizontal="center"/>
    </xf>
    <xf numFmtId="0" fontId="38" fillId="0" borderId="0" xfId="2" applyFont="1" applyAlignment="1">
      <alignment horizontal="left" vertical="center" wrapText="1"/>
    </xf>
    <xf numFmtId="0" fontId="38" fillId="0" borderId="0" xfId="2" applyFont="1" applyAlignment="1">
      <alignment horizontal="left" vertical="top"/>
    </xf>
    <xf numFmtId="0" fontId="40" fillId="2" borderId="1" xfId="3" applyFont="1" applyFill="1" applyBorder="1" applyAlignment="1">
      <alignment horizontal="center" vertical="center"/>
    </xf>
    <xf numFmtId="0" fontId="40" fillId="2" borderId="2" xfId="3" applyFont="1" applyFill="1" applyBorder="1" applyAlignment="1">
      <alignment horizontal="center" vertical="center"/>
    </xf>
    <xf numFmtId="0" fontId="40" fillId="2" borderId="3" xfId="3" applyFont="1" applyFill="1" applyBorder="1" applyAlignment="1">
      <alignment horizontal="center" vertical="center"/>
    </xf>
    <xf numFmtId="0" fontId="40" fillId="3" borderId="4" xfId="0" applyFont="1" applyFill="1" applyBorder="1" applyAlignment="1">
      <alignment horizontal="center" vertical="center" wrapText="1"/>
    </xf>
    <xf numFmtId="0" fontId="40" fillId="3" borderId="22" xfId="0" applyFont="1" applyFill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/>
    </xf>
    <xf numFmtId="0" fontId="26" fillId="9" borderId="44" xfId="0" applyFont="1" applyFill="1" applyBorder="1" applyAlignment="1">
      <alignment horizontal="left"/>
    </xf>
    <xf numFmtId="0" fontId="26" fillId="9" borderId="54" xfId="0" applyFont="1" applyFill="1" applyBorder="1" applyAlignment="1">
      <alignment horizontal="left" vertical="center"/>
    </xf>
    <xf numFmtId="0" fontId="26" fillId="9" borderId="55" xfId="0" applyFont="1" applyFill="1" applyBorder="1" applyAlignment="1">
      <alignment horizontal="left" vertical="center"/>
    </xf>
    <xf numFmtId="0" fontId="26" fillId="9" borderId="56" xfId="0" applyFont="1" applyFill="1" applyBorder="1" applyAlignment="1">
      <alignment horizontal="left" vertical="center"/>
    </xf>
    <xf numFmtId="0" fontId="26" fillId="9" borderId="44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26" fillId="8" borderId="62" xfId="0" applyFont="1" applyFill="1" applyBorder="1" applyAlignment="1">
      <alignment horizontal="center" vertical="center"/>
    </xf>
    <xf numFmtId="0" fontId="26" fillId="8" borderId="44" xfId="0" applyFont="1" applyFill="1" applyBorder="1" applyAlignment="1">
      <alignment horizontal="center" vertical="center"/>
    </xf>
    <xf numFmtId="0" fontId="26" fillId="9" borderId="9" xfId="0" applyFont="1" applyFill="1" applyBorder="1" applyAlignment="1">
      <alignment horizontal="left"/>
    </xf>
    <xf numFmtId="0" fontId="26" fillId="9" borderId="10" xfId="0" applyFont="1" applyFill="1" applyBorder="1" applyAlignment="1">
      <alignment horizontal="left"/>
    </xf>
    <xf numFmtId="0" fontId="26" fillId="9" borderId="60" xfId="0" applyFont="1" applyFill="1" applyBorder="1" applyAlignment="1">
      <alignment horizontal="left"/>
    </xf>
    <xf numFmtId="1" fontId="26" fillId="9" borderId="44" xfId="0" applyNumberFormat="1" applyFont="1" applyFill="1" applyBorder="1" applyAlignment="1">
      <alignment horizontal="left"/>
    </xf>
    <xf numFmtId="44" fontId="40" fillId="0" borderId="25" xfId="8" applyFont="1" applyBorder="1" applyAlignment="1">
      <alignment horizontal="center" vertical="center" wrapText="1"/>
    </xf>
    <xf numFmtId="44" fontId="40" fillId="0" borderId="26" xfId="8" applyFont="1" applyBorder="1" applyAlignment="1">
      <alignment horizontal="center" vertical="center" wrapText="1"/>
    </xf>
    <xf numFmtId="166" fontId="40" fillId="4" borderId="13" xfId="4" applyNumberFormat="1" applyFont="1" applyFill="1" applyBorder="1" applyAlignment="1">
      <alignment horizontal="center" vertical="center" wrapText="1"/>
    </xf>
    <xf numFmtId="166" fontId="40" fillId="4" borderId="0" xfId="4" applyNumberFormat="1" applyFont="1" applyFill="1" applyBorder="1" applyAlignment="1">
      <alignment horizontal="center" vertical="center" wrapText="1"/>
    </xf>
    <xf numFmtId="0" fontId="26" fillId="8" borderId="13" xfId="0" applyFont="1" applyFill="1" applyBorder="1" applyAlignment="1">
      <alignment horizontal="center"/>
    </xf>
    <xf numFmtId="0" fontId="26" fillId="8" borderId="0" xfId="0" applyFont="1" applyFill="1" applyAlignment="1">
      <alignment horizontal="center"/>
    </xf>
    <xf numFmtId="0" fontId="26" fillId="8" borderId="14" xfId="0" applyFont="1" applyFill="1" applyBorder="1" applyAlignment="1">
      <alignment horizontal="center"/>
    </xf>
    <xf numFmtId="0" fontId="26" fillId="9" borderId="54" xfId="0" applyFont="1" applyFill="1" applyBorder="1" applyAlignment="1">
      <alignment horizontal="left"/>
    </xf>
    <xf numFmtId="0" fontId="26" fillId="9" borderId="55" xfId="0" applyFont="1" applyFill="1" applyBorder="1" applyAlignment="1">
      <alignment horizontal="left"/>
    </xf>
    <xf numFmtId="0" fontId="26" fillId="9" borderId="56" xfId="0" applyFont="1" applyFill="1" applyBorder="1" applyAlignment="1">
      <alignment horizontal="left"/>
    </xf>
    <xf numFmtId="0" fontId="26" fillId="9" borderId="102" xfId="0" applyFont="1" applyFill="1" applyBorder="1" applyAlignment="1">
      <alignment horizontal="left"/>
    </xf>
    <xf numFmtId="166" fontId="40" fillId="4" borderId="4" xfId="4" applyNumberFormat="1" applyFont="1" applyFill="1" applyBorder="1" applyAlignment="1">
      <alignment horizontal="center" vertical="center" wrapText="1"/>
    </xf>
    <xf numFmtId="166" fontId="40" fillId="4" borderId="22" xfId="4" applyNumberFormat="1" applyFont="1" applyFill="1" applyBorder="1" applyAlignment="1">
      <alignment horizontal="center" vertical="center" wrapText="1"/>
    </xf>
    <xf numFmtId="166" fontId="40" fillId="4" borderId="3" xfId="4" applyNumberFormat="1" applyFont="1" applyFill="1" applyBorder="1" applyAlignment="1">
      <alignment horizontal="center" vertical="center" wrapText="1"/>
    </xf>
    <xf numFmtId="0" fontId="26" fillId="8" borderId="4" xfId="0" applyFont="1" applyFill="1" applyBorder="1" applyAlignment="1">
      <alignment horizontal="center"/>
    </xf>
    <xf numFmtId="0" fontId="26" fillId="8" borderId="22" xfId="0" applyFont="1" applyFill="1" applyBorder="1" applyAlignment="1">
      <alignment horizontal="center"/>
    </xf>
    <xf numFmtId="0" fontId="26" fillId="8" borderId="61" xfId="0" applyFont="1" applyFill="1" applyBorder="1" applyAlignment="1">
      <alignment horizontal="center"/>
    </xf>
    <xf numFmtId="0" fontId="26" fillId="8" borderId="44" xfId="0" applyFont="1" applyFill="1" applyBorder="1" applyAlignment="1">
      <alignment horizontal="center"/>
    </xf>
    <xf numFmtId="0" fontId="26" fillId="8" borderId="9" xfId="0" applyFont="1" applyFill="1" applyBorder="1" applyAlignment="1">
      <alignment horizontal="center"/>
    </xf>
    <xf numFmtId="0" fontId="26" fillId="8" borderId="10" xfId="0" applyFont="1" applyFill="1" applyBorder="1" applyAlignment="1">
      <alignment horizontal="center"/>
    </xf>
    <xf numFmtId="0" fontId="26" fillId="8" borderId="62" xfId="0" applyFont="1" applyFill="1" applyBorder="1" applyAlignment="1">
      <alignment horizontal="center"/>
    </xf>
    <xf numFmtId="0" fontId="26" fillId="9" borderId="4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44" fontId="26" fillId="8" borderId="13" xfId="8" applyFont="1" applyFill="1" applyBorder="1" applyAlignment="1">
      <alignment horizontal="center"/>
    </xf>
    <xf numFmtId="44" fontId="26" fillId="8" borderId="0" xfId="8" applyFont="1" applyFill="1" applyAlignment="1">
      <alignment horizontal="center"/>
    </xf>
    <xf numFmtId="44" fontId="26" fillId="9" borderId="9" xfId="8" applyFont="1" applyFill="1" applyBorder="1" applyAlignment="1">
      <alignment horizontal="left"/>
    </xf>
    <xf numFmtId="44" fontId="26" fillId="9" borderId="10" xfId="8" applyFont="1" applyFill="1" applyBorder="1" applyAlignment="1">
      <alignment horizontal="left"/>
    </xf>
    <xf numFmtId="0" fontId="26" fillId="9" borderId="72" xfId="0" applyFont="1" applyFill="1" applyBorder="1" applyAlignment="1">
      <alignment horizontal="left"/>
    </xf>
    <xf numFmtId="0" fontId="26" fillId="9" borderId="62" xfId="0" applyFont="1" applyFill="1" applyBorder="1" applyAlignment="1">
      <alignment horizontal="left"/>
    </xf>
    <xf numFmtId="0" fontId="26" fillId="9" borderId="13" xfId="0" applyFont="1" applyFill="1" applyBorder="1" applyAlignment="1">
      <alignment horizontal="left"/>
    </xf>
    <xf numFmtId="0" fontId="26" fillId="9" borderId="0" xfId="0" applyFont="1" applyFill="1" applyAlignment="1">
      <alignment horizontal="left"/>
    </xf>
    <xf numFmtId="0" fontId="26" fillId="8" borderId="40" xfId="0" applyFont="1" applyFill="1" applyBorder="1" applyAlignment="1">
      <alignment horizontal="center"/>
    </xf>
    <xf numFmtId="166" fontId="40" fillId="0" borderId="25" xfId="4" applyNumberFormat="1" applyFont="1" applyBorder="1" applyAlignment="1">
      <alignment horizontal="center" vertical="center" wrapText="1"/>
    </xf>
    <xf numFmtId="166" fontId="40" fillId="0" borderId="26" xfId="4" applyNumberFormat="1" applyFont="1" applyBorder="1" applyAlignment="1">
      <alignment horizontal="center" vertical="center" wrapText="1"/>
    </xf>
    <xf numFmtId="0" fontId="25" fillId="8" borderId="40" xfId="0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25" fillId="9" borderId="9" xfId="0" applyFont="1" applyFill="1" applyBorder="1" applyAlignment="1">
      <alignment horizontal="left"/>
    </xf>
    <xf numFmtId="0" fontId="25" fillId="9" borderId="10" xfId="0" applyFont="1" applyFill="1" applyBorder="1" applyAlignment="1">
      <alignment horizontal="left"/>
    </xf>
    <xf numFmtId="0" fontId="25" fillId="9" borderId="60" xfId="0" applyFont="1" applyFill="1" applyBorder="1" applyAlignment="1">
      <alignment horizontal="left"/>
    </xf>
    <xf numFmtId="0" fontId="25" fillId="9" borderId="98" xfId="0" applyFont="1" applyFill="1" applyBorder="1" applyAlignment="1">
      <alignment horizontal="left"/>
    </xf>
    <xf numFmtId="0" fontId="25" fillId="9" borderId="46" xfId="0" applyFont="1" applyFill="1" applyBorder="1" applyAlignment="1">
      <alignment horizontal="left"/>
    </xf>
    <xf numFmtId="0" fontId="25" fillId="9" borderId="6" xfId="0" applyFont="1" applyFill="1" applyBorder="1" applyAlignment="1">
      <alignment horizontal="left"/>
    </xf>
    <xf numFmtId="0" fontId="25" fillId="8" borderId="13" xfId="0" applyFont="1" applyFill="1" applyBorder="1" applyAlignment="1">
      <alignment horizontal="center"/>
    </xf>
    <xf numFmtId="0" fontId="25" fillId="8" borderId="14" xfId="0" applyFont="1" applyFill="1" applyBorder="1" applyAlignment="1">
      <alignment horizontal="center"/>
    </xf>
    <xf numFmtId="0" fontId="25" fillId="9" borderId="62" xfId="0" applyFont="1" applyFill="1" applyBorder="1" applyAlignment="1">
      <alignment horizontal="left"/>
    </xf>
    <xf numFmtId="0" fontId="25" fillId="9" borderId="11" xfId="0" applyFont="1" applyFill="1" applyBorder="1" applyAlignment="1">
      <alignment horizontal="left"/>
    </xf>
    <xf numFmtId="0" fontId="25" fillId="9" borderId="12" xfId="0" applyFont="1" applyFill="1" applyBorder="1" applyAlignment="1">
      <alignment horizontal="left"/>
    </xf>
    <xf numFmtId="0" fontId="25" fillId="8" borderId="9" xfId="0" applyFont="1" applyFill="1" applyBorder="1" applyAlignment="1">
      <alignment horizontal="center"/>
    </xf>
    <xf numFmtId="0" fontId="25" fillId="8" borderId="10" xfId="0" applyFont="1" applyFill="1" applyBorder="1" applyAlignment="1">
      <alignment horizontal="center"/>
    </xf>
    <xf numFmtId="0" fontId="25" fillId="8" borderId="62" xfId="0" applyFont="1" applyFill="1" applyBorder="1" applyAlignment="1">
      <alignment horizontal="center"/>
    </xf>
    <xf numFmtId="1" fontId="25" fillId="9" borderId="11" xfId="0" applyNumberFormat="1" applyFont="1" applyFill="1" applyBorder="1" applyAlignment="1">
      <alignment horizontal="left"/>
    </xf>
    <xf numFmtId="1" fontId="25" fillId="9" borderId="12" xfId="0" applyNumberFormat="1" applyFont="1" applyFill="1" applyBorder="1" applyAlignment="1">
      <alignment horizontal="left"/>
    </xf>
    <xf numFmtId="0" fontId="25" fillId="8" borderId="4" xfId="0" applyFont="1" applyFill="1" applyBorder="1" applyAlignment="1">
      <alignment horizontal="center"/>
    </xf>
    <xf numFmtId="0" fontId="25" fillId="8" borderId="22" xfId="0" applyFont="1" applyFill="1" applyBorder="1" applyAlignment="1">
      <alignment horizontal="center"/>
    </xf>
    <xf numFmtId="0" fontId="25" fillId="8" borderId="61" xfId="0" applyFont="1" applyFill="1" applyBorder="1" applyAlignment="1">
      <alignment horizontal="center"/>
    </xf>
    <xf numFmtId="0" fontId="25" fillId="9" borderId="51" xfId="0" applyFont="1" applyFill="1" applyBorder="1" applyAlignment="1">
      <alignment horizontal="left"/>
    </xf>
    <xf numFmtId="0" fontId="25" fillId="9" borderId="52" xfId="0" applyFont="1" applyFill="1" applyBorder="1" applyAlignment="1">
      <alignment horizontal="left"/>
    </xf>
    <xf numFmtId="0" fontId="25" fillId="8" borderId="9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25" fillId="8" borderId="62" xfId="0" applyFont="1" applyFill="1" applyBorder="1" applyAlignment="1">
      <alignment horizontal="center" vertical="center"/>
    </xf>
    <xf numFmtId="0" fontId="25" fillId="8" borderId="13" xfId="0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0" fontId="25" fillId="8" borderId="14" xfId="0" applyFont="1" applyFill="1" applyBorder="1" applyAlignment="1">
      <alignment horizontal="center" vertical="center"/>
    </xf>
    <xf numFmtId="0" fontId="25" fillId="9" borderId="54" xfId="0" applyFont="1" applyFill="1" applyBorder="1" applyAlignment="1">
      <alignment horizontal="left" vertical="center"/>
    </xf>
    <xf numFmtId="0" fontId="25" fillId="9" borderId="55" xfId="0" applyFont="1" applyFill="1" applyBorder="1" applyAlignment="1">
      <alignment horizontal="left" vertical="center"/>
    </xf>
    <xf numFmtId="0" fontId="25" fillId="9" borderId="56" xfId="0" applyFont="1" applyFill="1" applyBorder="1" applyAlignment="1">
      <alignment horizontal="left" vertical="center"/>
    </xf>
    <xf numFmtId="0" fontId="25" fillId="9" borderId="57" xfId="0" applyFont="1" applyFill="1" applyBorder="1" applyAlignment="1">
      <alignment horizontal="left" vertical="center"/>
    </xf>
    <xf numFmtId="1" fontId="25" fillId="9" borderId="51" xfId="0" applyNumberFormat="1" applyFont="1" applyFill="1" applyBorder="1" applyAlignment="1">
      <alignment horizontal="left"/>
    </xf>
    <xf numFmtId="1" fontId="25" fillId="9" borderId="52" xfId="0" applyNumberFormat="1" applyFont="1" applyFill="1" applyBorder="1" applyAlignment="1">
      <alignment horizontal="left"/>
    </xf>
    <xf numFmtId="166" fontId="9" fillId="0" borderId="25" xfId="4" applyNumberFormat="1" applyFont="1" applyBorder="1" applyAlignment="1">
      <alignment horizontal="center" vertical="center" wrapText="1"/>
    </xf>
    <xf numFmtId="166" fontId="9" fillId="0" borderId="26" xfId="4" applyNumberFormat="1" applyFont="1" applyBorder="1" applyAlignment="1">
      <alignment horizontal="center" vertical="center" wrapText="1"/>
    </xf>
    <xf numFmtId="0" fontId="25" fillId="9" borderId="54" xfId="0" applyFont="1" applyFill="1" applyBorder="1" applyAlignment="1">
      <alignment horizontal="left"/>
    </xf>
    <xf numFmtId="0" fontId="25" fillId="9" borderId="55" xfId="0" applyFont="1" applyFill="1" applyBorder="1" applyAlignment="1">
      <alignment horizontal="left"/>
    </xf>
    <xf numFmtId="0" fontId="25" fillId="9" borderId="56" xfId="0" applyFont="1" applyFill="1" applyBorder="1" applyAlignment="1">
      <alignment horizontal="left"/>
    </xf>
    <xf numFmtId="0" fontId="25" fillId="9" borderId="57" xfId="0" applyFont="1" applyFill="1" applyBorder="1" applyAlignment="1">
      <alignment horizontal="left"/>
    </xf>
    <xf numFmtId="0" fontId="9" fillId="3" borderId="4" xfId="0" applyFont="1" applyFill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166" fontId="9" fillId="4" borderId="4" xfId="4" applyNumberFormat="1" applyFont="1" applyFill="1" applyBorder="1" applyAlignment="1">
      <alignment horizontal="center" vertical="center" wrapText="1"/>
    </xf>
    <xf numFmtId="166" fontId="9" fillId="4" borderId="22" xfId="4" applyNumberFormat="1" applyFont="1" applyFill="1" applyBorder="1" applyAlignment="1">
      <alignment horizontal="center" vertical="center" wrapText="1"/>
    </xf>
    <xf numFmtId="166" fontId="9" fillId="4" borderId="3" xfId="4" applyNumberFormat="1" applyFont="1" applyFill="1" applyBorder="1" applyAlignment="1">
      <alignment horizontal="center" vertical="center" wrapText="1"/>
    </xf>
    <xf numFmtId="166" fontId="9" fillId="4" borderId="13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0" fontId="25" fillId="9" borderId="72" xfId="0" applyFont="1" applyFill="1" applyBorder="1" applyAlignment="1">
      <alignment horizontal="left"/>
    </xf>
    <xf numFmtId="1" fontId="25" fillId="9" borderId="72" xfId="0" applyNumberFormat="1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1" xfId="3" applyFont="1" applyFill="1" applyBorder="1" applyAlignment="1">
      <alignment horizontal="center" vertical="center"/>
    </xf>
    <xf numFmtId="0" fontId="9" fillId="2" borderId="2" xfId="3" applyFont="1" applyFill="1" applyBorder="1" applyAlignment="1">
      <alignment horizontal="center" vertical="center"/>
    </xf>
    <xf numFmtId="0" fontId="9" fillId="2" borderId="3" xfId="3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horizontal="left" vertical="center"/>
    </xf>
    <xf numFmtId="0" fontId="14" fillId="7" borderId="2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5" fillId="7" borderId="27" xfId="0" applyFont="1" applyFill="1" applyBorder="1" applyAlignment="1">
      <alignment horizontal="left" vertical="top"/>
    </xf>
    <xf numFmtId="0" fontId="17" fillId="7" borderId="27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44" fontId="6" fillId="0" borderId="0" xfId="0" applyNumberFormat="1" applyFont="1" applyAlignment="1">
      <alignment horizontal="left"/>
    </xf>
    <xf numFmtId="170" fontId="23" fillId="0" borderId="104" xfId="0" applyNumberFormat="1" applyFont="1" applyBorder="1"/>
    <xf numFmtId="9" fontId="23" fillId="0" borderId="34" xfId="1" applyFont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698848</xdr:colOff>
      <xdr:row>0</xdr:row>
      <xdr:rowOff>152400</xdr:rowOff>
    </xdr:from>
    <xdr:to>
      <xdr:col>5</xdr:col>
      <xdr:colOff>672434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241866</xdr:colOff>
      <xdr:row>0</xdr:row>
      <xdr:rowOff>130971</xdr:rowOff>
    </xdr:from>
    <xdr:to>
      <xdr:col>1</xdr:col>
      <xdr:colOff>623422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46</xdr:col>
      <xdr:colOff>493750</xdr:colOff>
      <xdr:row>0</xdr:row>
      <xdr:rowOff>190500</xdr:rowOff>
    </xdr:from>
    <xdr:to>
      <xdr:col>48</xdr:col>
      <xdr:colOff>382810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95699</xdr:colOff>
      <xdr:row>0</xdr:row>
      <xdr:rowOff>179391</xdr:rowOff>
    </xdr:from>
    <xdr:to>
      <xdr:col>46</xdr:col>
      <xdr:colOff>380505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698848</xdr:colOff>
      <xdr:row>0</xdr:row>
      <xdr:rowOff>152400</xdr:rowOff>
    </xdr:from>
    <xdr:to>
      <xdr:col>5</xdr:col>
      <xdr:colOff>672434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46</xdr:col>
      <xdr:colOff>493750</xdr:colOff>
      <xdr:row>0</xdr:row>
      <xdr:rowOff>190500</xdr:rowOff>
    </xdr:from>
    <xdr:to>
      <xdr:col>48</xdr:col>
      <xdr:colOff>382810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31750</xdr:colOff>
      <xdr:row>3</xdr:row>
      <xdr:rowOff>109311</xdr:rowOff>
    </xdr:from>
    <xdr:ext cx="2776118" cy="1993675"/>
    <xdr:pic>
      <xdr:nvPicPr>
        <xdr:cNvPr id="9" name="Imagem 7">
          <a:extLst>
            <a:ext uri="{FF2B5EF4-FFF2-40B4-BE49-F238E27FC236}">
              <a16:creationId xmlns:a16="http://schemas.microsoft.com/office/drawing/2014/main" id="{77C37D8E-E9B3-4DE6-BC08-52ECB966F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27750" y="1331686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63169</xdr:colOff>
      <xdr:row>0</xdr:row>
      <xdr:rowOff>152400</xdr:rowOff>
    </xdr:from>
    <xdr:to>
      <xdr:col>5</xdr:col>
      <xdr:colOff>887237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EA44B53A-C0FE-4ABE-BB59-10D737C75A66}"/>
            </a:ext>
          </a:extLst>
        </xdr:cNvPr>
        <xdr:cNvSpPr/>
      </xdr:nvSpPr>
      <xdr:spPr bwMode="auto">
        <a:xfrm>
          <a:off x="706106" y="152400"/>
          <a:ext cx="876456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237218</xdr:colOff>
      <xdr:row>0</xdr:row>
      <xdr:rowOff>130971</xdr:rowOff>
    </xdr:from>
    <xdr:to>
      <xdr:col>1</xdr:col>
      <xdr:colOff>618774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0BDB826-0EEE-46C7-AA1E-5E46C648A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24" y="130971"/>
          <a:ext cx="381556" cy="372267"/>
        </a:xfrm>
        <a:prstGeom prst="rect">
          <a:avLst/>
        </a:prstGeom>
      </xdr:spPr>
    </xdr:pic>
    <xdr:clientData/>
  </xdr:twoCellAnchor>
  <xdr:twoCellAnchor editAs="absolute">
    <xdr:from>
      <xdr:col>53</xdr:col>
      <xdr:colOff>186077</xdr:colOff>
      <xdr:row>0</xdr:row>
      <xdr:rowOff>190500</xdr:rowOff>
    </xdr:from>
    <xdr:to>
      <xdr:col>55</xdr:col>
      <xdr:colOff>21126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105A7C2B-E85D-4911-9810-012CD2DB1983}"/>
            </a:ext>
          </a:extLst>
        </xdr:cNvPr>
        <xdr:cNvSpPr/>
      </xdr:nvSpPr>
      <xdr:spPr bwMode="auto">
        <a:xfrm>
          <a:off x="29731832" y="190500"/>
          <a:ext cx="10391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52</xdr:col>
      <xdr:colOff>342365</xdr:colOff>
      <xdr:row>0</xdr:row>
      <xdr:rowOff>182566</xdr:rowOff>
    </xdr:from>
    <xdr:to>
      <xdr:col>53</xdr:col>
      <xdr:colOff>52724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F0FCBA1-10BD-4152-934F-225F63597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7403" y="179391"/>
          <a:ext cx="390601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63169</xdr:colOff>
      <xdr:row>0</xdr:row>
      <xdr:rowOff>152400</xdr:rowOff>
    </xdr:from>
    <xdr:to>
      <xdr:col>5</xdr:col>
      <xdr:colOff>887237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CA6AB059-EF4D-4E09-8CB1-5BC23E0BCF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106" y="152400"/>
          <a:ext cx="876456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53</xdr:col>
      <xdr:colOff>186077</xdr:colOff>
      <xdr:row>0</xdr:row>
      <xdr:rowOff>190500</xdr:rowOff>
    </xdr:from>
    <xdr:to>
      <xdr:col>55</xdr:col>
      <xdr:colOff>21126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532BFE9-41F1-4F76-B5C4-F9DD9477973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31832" y="190500"/>
          <a:ext cx="10391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186193</xdr:colOff>
      <xdr:row>3</xdr:row>
      <xdr:rowOff>73591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532B143E-A10D-46EE-99FA-C657697AA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79193" y="1295966"/>
          <a:ext cx="2776118" cy="19936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63169</xdr:colOff>
      <xdr:row>0</xdr:row>
      <xdr:rowOff>152400</xdr:rowOff>
    </xdr:from>
    <xdr:to>
      <xdr:col>5</xdr:col>
      <xdr:colOff>887237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5912C14F-132E-45E0-AE78-CFEA23209877}"/>
            </a:ext>
          </a:extLst>
        </xdr:cNvPr>
        <xdr:cNvSpPr/>
      </xdr:nvSpPr>
      <xdr:spPr bwMode="auto">
        <a:xfrm>
          <a:off x="706106" y="152400"/>
          <a:ext cx="876456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237218</xdr:colOff>
      <xdr:row>0</xdr:row>
      <xdr:rowOff>130971</xdr:rowOff>
    </xdr:from>
    <xdr:to>
      <xdr:col>1</xdr:col>
      <xdr:colOff>618774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0378C387-3C66-481C-80E9-E5A0A6CC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24" y="130971"/>
          <a:ext cx="381556" cy="375442"/>
        </a:xfrm>
        <a:prstGeom prst="rect">
          <a:avLst/>
        </a:prstGeom>
      </xdr:spPr>
    </xdr:pic>
    <xdr:clientData/>
  </xdr:twoCellAnchor>
  <xdr:twoCellAnchor editAs="absolute">
    <xdr:from>
      <xdr:col>52</xdr:col>
      <xdr:colOff>205918</xdr:colOff>
      <xdr:row>0</xdr:row>
      <xdr:rowOff>190500</xdr:rowOff>
    </xdr:from>
    <xdr:to>
      <xdr:col>53</xdr:col>
      <xdr:colOff>565977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F29BEC16-500B-4025-9C92-CACD678352AF}"/>
            </a:ext>
          </a:extLst>
        </xdr:cNvPr>
        <xdr:cNvSpPr/>
      </xdr:nvSpPr>
      <xdr:spPr bwMode="auto">
        <a:xfrm>
          <a:off x="29747707" y="190500"/>
          <a:ext cx="102964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51</xdr:col>
      <xdr:colOff>304831</xdr:colOff>
      <xdr:row>0</xdr:row>
      <xdr:rowOff>182566</xdr:rowOff>
    </xdr:from>
    <xdr:to>
      <xdr:col>52</xdr:col>
      <xdr:colOff>88554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7D9EDE7-334C-4F2D-922F-718BF4775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20578" y="182566"/>
          <a:ext cx="390601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63169</xdr:colOff>
      <xdr:row>0</xdr:row>
      <xdr:rowOff>152400</xdr:rowOff>
    </xdr:from>
    <xdr:to>
      <xdr:col>5</xdr:col>
      <xdr:colOff>887237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360B902-D39B-4B0A-8417-B2BD2B4544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106" y="152400"/>
          <a:ext cx="876456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52</xdr:col>
      <xdr:colOff>205918</xdr:colOff>
      <xdr:row>0</xdr:row>
      <xdr:rowOff>190500</xdr:rowOff>
    </xdr:from>
    <xdr:to>
      <xdr:col>53</xdr:col>
      <xdr:colOff>565977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BCBA0239-44F6-4F52-B466-CDB07B6A45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47707" y="190500"/>
          <a:ext cx="102964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289379</xdr:colOff>
      <xdr:row>3</xdr:row>
      <xdr:rowOff>168842</xdr:rowOff>
    </xdr:from>
    <xdr:ext cx="2187120" cy="1570685"/>
    <xdr:pic>
      <xdr:nvPicPr>
        <xdr:cNvPr id="8" name="Imagem 7">
          <a:extLst>
            <a:ext uri="{FF2B5EF4-FFF2-40B4-BE49-F238E27FC236}">
              <a16:creationId xmlns:a16="http://schemas.microsoft.com/office/drawing/2014/main" id="{1237B47E-51C8-4ED8-B277-5EC37EEC6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04629" y="1347561"/>
          <a:ext cx="2187120" cy="157068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467527</xdr:colOff>
      <xdr:row>0</xdr:row>
      <xdr:rowOff>152400</xdr:rowOff>
    </xdr:from>
    <xdr:to>
      <xdr:col>3</xdr:col>
      <xdr:colOff>237005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5B336B25-AF61-4CD3-BCC3-C39FF5E44066}"/>
            </a:ext>
          </a:extLst>
        </xdr:cNvPr>
        <xdr:cNvSpPr/>
      </xdr:nvSpPr>
      <xdr:spPr bwMode="auto">
        <a:xfrm>
          <a:off x="708827" y="152400"/>
          <a:ext cx="8743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10545</xdr:colOff>
      <xdr:row>0</xdr:row>
      <xdr:rowOff>130971</xdr:rowOff>
    </xdr:from>
    <xdr:to>
      <xdr:col>1</xdr:col>
      <xdr:colOff>392101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333C15CF-5D87-4520-9F8B-858FF53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845" y="130971"/>
          <a:ext cx="381556" cy="372267"/>
        </a:xfrm>
        <a:prstGeom prst="rect">
          <a:avLst/>
        </a:prstGeom>
      </xdr:spPr>
    </xdr:pic>
    <xdr:clientData/>
  </xdr:twoCellAnchor>
  <xdr:twoCellAnchor editAs="absolute">
    <xdr:from>
      <xdr:col>24</xdr:col>
      <xdr:colOff>169446</xdr:colOff>
      <xdr:row>0</xdr:row>
      <xdr:rowOff>190500</xdr:rowOff>
    </xdr:from>
    <xdr:to>
      <xdr:col>24</xdr:col>
      <xdr:colOff>1228720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736F5BFF-B1C3-4138-B1AF-5ADB7FCC489D}"/>
            </a:ext>
          </a:extLst>
        </xdr:cNvPr>
        <xdr:cNvSpPr/>
      </xdr:nvSpPr>
      <xdr:spPr bwMode="auto">
        <a:xfrm>
          <a:off x="29665196" y="190500"/>
          <a:ext cx="105927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23</xdr:col>
      <xdr:colOff>2046056</xdr:colOff>
      <xdr:row>0</xdr:row>
      <xdr:rowOff>179391</xdr:rowOff>
    </xdr:from>
    <xdr:to>
      <xdr:col>24</xdr:col>
      <xdr:colOff>56201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C39F3A77-FB73-4107-B189-9D8105AB7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0556" y="179391"/>
          <a:ext cx="391395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467527</xdr:colOff>
      <xdr:row>0</xdr:row>
      <xdr:rowOff>152400</xdr:rowOff>
    </xdr:from>
    <xdr:to>
      <xdr:col>3</xdr:col>
      <xdr:colOff>237005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B446A9B2-DB9E-4730-B739-0101CB5667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27" y="152400"/>
          <a:ext cx="8743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24</xdr:col>
      <xdr:colOff>169446</xdr:colOff>
      <xdr:row>0</xdr:row>
      <xdr:rowOff>190500</xdr:rowOff>
    </xdr:from>
    <xdr:to>
      <xdr:col>24</xdr:col>
      <xdr:colOff>1228720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49952B65-A6B2-45E7-8615-43EF0A3347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65196" y="190500"/>
          <a:ext cx="1059274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718004</xdr:colOff>
      <xdr:row>4</xdr:row>
      <xdr:rowOff>193222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16C1D508-6154-49D0-8C3E-BD3DE8692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26104" y="1621972"/>
          <a:ext cx="2776118" cy="19936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iovanni\AppData\Local\Microsoft\Windows\INetCache\Content.Outlook\GBHEE9QR\BAU_001_ESTANDE%20ABF.v07.MKT.xlsx" TargetMode="External"/><Relationship Id="rId1" Type="http://schemas.openxmlformats.org/officeDocument/2006/relationships/externalLinkPath" Target="file:///C:\Users\Giovanni\AppData\Local\Microsoft\Windows\INetCache\Content.Outlook\GBHEE9QR\BAU_001_ESTANDE%20ABF.v07.MK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NCIPAL "/>
      <sheetName val="PEDIDOS EM BRIEFING"/>
      <sheetName val="TAXAS"/>
      <sheetName val="TOTAL"/>
    </sheetNames>
    <sheetDataSet>
      <sheetData sheetId="0" refreshError="1"/>
      <sheetData sheetId="1" refreshError="1"/>
      <sheetData sheetId="2" refreshError="1"/>
      <sheetData sheetId="3" refreshError="1">
        <row r="17">
          <cell r="C17">
            <v>27119.786928047775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B4E18-A690-4FB5-9B34-C5555564C44A}">
  <dimension ref="A1:F34"/>
  <sheetViews>
    <sheetView showGridLines="0" tabSelected="1" topLeftCell="A23" zoomScaleNormal="100" workbookViewId="0">
      <selection activeCell="C32" sqref="C32:D32"/>
    </sheetView>
  </sheetViews>
  <sheetFormatPr defaultColWidth="8.6640625" defaultRowHeight="16.2" x14ac:dyDescent="0.35"/>
  <cols>
    <col min="1" max="1" width="8.6640625" style="255"/>
    <col min="2" max="2" width="30.6640625" style="255" customWidth="1"/>
    <col min="3" max="3" width="31.6640625" style="255" customWidth="1"/>
    <col min="4" max="4" width="20.44140625" style="255" customWidth="1"/>
    <col min="5" max="5" width="18.44140625" style="255" customWidth="1"/>
    <col min="6" max="6" width="11.88671875" style="256" bestFit="1" customWidth="1"/>
    <col min="7" max="7" width="12.88671875" style="255" bestFit="1" customWidth="1"/>
    <col min="8" max="8" width="12.5546875" style="255" bestFit="1" customWidth="1"/>
    <col min="9" max="16384" width="8.6640625" style="255"/>
  </cols>
  <sheetData>
    <row r="1" spans="1:5" s="256" customFormat="1" hidden="1" x14ac:dyDescent="0.35">
      <c r="A1" s="255"/>
      <c r="B1" s="255"/>
      <c r="C1" s="255"/>
      <c r="D1" s="255"/>
      <c r="E1" s="255"/>
    </row>
    <row r="2" spans="1:5" s="256" customFormat="1" hidden="1" x14ac:dyDescent="0.35">
      <c r="A2" s="255"/>
      <c r="B2" s="255"/>
      <c r="C2" s="255"/>
      <c r="D2" s="255"/>
      <c r="E2" s="255"/>
    </row>
    <row r="3" spans="1:5" s="256" customFormat="1" hidden="1" x14ac:dyDescent="0.35">
      <c r="A3" s="255"/>
      <c r="B3" s="255"/>
      <c r="C3" s="257">
        <v>45866</v>
      </c>
      <c r="D3" s="258"/>
      <c r="E3" s="549" t="e">
        <f>SUM(#REF!)</f>
        <v>#REF!</v>
      </c>
    </row>
    <row r="4" spans="1:5" s="256" customFormat="1" ht="15.6" hidden="1" customHeight="1" thickBot="1" x14ac:dyDescent="0.4">
      <c r="A4" s="255"/>
      <c r="B4" s="255"/>
      <c r="C4" s="259">
        <v>45867</v>
      </c>
      <c r="D4" s="260"/>
      <c r="E4" s="550"/>
    </row>
    <row r="5" spans="1:5" s="256" customFormat="1" hidden="1" x14ac:dyDescent="0.35">
      <c r="A5" s="255"/>
      <c r="B5" s="255"/>
      <c r="C5" s="261" t="s">
        <v>269</v>
      </c>
      <c r="D5" s="262"/>
      <c r="E5" s="255"/>
    </row>
    <row r="6" spans="1:5" s="256" customFormat="1" hidden="1" x14ac:dyDescent="0.35">
      <c r="A6" s="255"/>
      <c r="B6" s="255"/>
      <c r="C6" s="261" t="s">
        <v>270</v>
      </c>
      <c r="D6" s="262"/>
      <c r="E6" s="255"/>
    </row>
    <row r="7" spans="1:5" s="256" customFormat="1" ht="16.8" hidden="1" thickBot="1" x14ac:dyDescent="0.4">
      <c r="A7" s="255"/>
      <c r="B7" s="255"/>
      <c r="C7" s="263" t="s">
        <v>13</v>
      </c>
      <c r="D7" s="264"/>
      <c r="E7" s="255"/>
    </row>
    <row r="9" spans="1:5" s="256" customFormat="1" ht="24" customHeight="1" x14ac:dyDescent="0.35">
      <c r="A9" s="255"/>
      <c r="B9" s="255"/>
      <c r="C9" s="255"/>
      <c r="D9" s="255"/>
      <c r="E9" s="255"/>
    </row>
    <row r="10" spans="1:5" ht="16.8" thickBot="1" x14ac:dyDescent="0.4"/>
    <row r="11" spans="1:5" s="256" customFormat="1" ht="15" customHeight="1" x14ac:dyDescent="0.35">
      <c r="A11" s="255"/>
      <c r="B11" s="265" t="s">
        <v>85</v>
      </c>
      <c r="C11" s="266" t="s">
        <v>106</v>
      </c>
      <c r="D11" s="267"/>
      <c r="E11" s="255"/>
    </row>
    <row r="12" spans="1:5" s="256" customFormat="1" ht="15" customHeight="1" x14ac:dyDescent="0.35">
      <c r="A12" s="255"/>
      <c r="B12" s="268" t="s">
        <v>84</v>
      </c>
      <c r="C12" s="539" t="s">
        <v>100</v>
      </c>
      <c r="D12" s="267"/>
      <c r="E12" s="255"/>
    </row>
    <row r="13" spans="1:5" s="256" customFormat="1" ht="15" customHeight="1" x14ac:dyDescent="0.35">
      <c r="A13" s="255"/>
      <c r="B13" s="268" t="s">
        <v>83</v>
      </c>
      <c r="C13" s="540" t="s">
        <v>107</v>
      </c>
      <c r="D13" s="269"/>
      <c r="E13" s="255"/>
    </row>
    <row r="14" spans="1:5" s="256" customFormat="1" ht="15" customHeight="1" x14ac:dyDescent="0.35">
      <c r="A14" s="255"/>
      <c r="B14" s="268" t="s">
        <v>82</v>
      </c>
      <c r="C14" s="540" t="s">
        <v>108</v>
      </c>
      <c r="D14" s="269"/>
      <c r="E14" s="255"/>
    </row>
    <row r="15" spans="1:5" s="256" customFormat="1" ht="15" customHeight="1" x14ac:dyDescent="0.35">
      <c r="A15" s="255"/>
      <c r="B15" s="268" t="s">
        <v>78</v>
      </c>
      <c r="C15" s="541" t="s">
        <v>109</v>
      </c>
      <c r="D15" s="270"/>
      <c r="E15" s="255"/>
    </row>
    <row r="16" spans="1:5" ht="15" customHeight="1" x14ac:dyDescent="0.35">
      <c r="B16" s="268" t="s">
        <v>79</v>
      </c>
      <c r="C16" s="540" t="s">
        <v>102</v>
      </c>
      <c r="D16" s="269"/>
    </row>
    <row r="17" spans="2:6" ht="15" customHeight="1" x14ac:dyDescent="0.35">
      <c r="B17" s="268" t="s">
        <v>80</v>
      </c>
      <c r="C17" s="540" t="s">
        <v>110</v>
      </c>
      <c r="D17" s="269"/>
    </row>
    <row r="18" spans="2:6" ht="15" customHeight="1" thickBot="1" x14ac:dyDescent="0.4">
      <c r="B18" s="271" t="s">
        <v>81</v>
      </c>
      <c r="C18" s="542" t="s">
        <v>111</v>
      </c>
      <c r="D18" s="269"/>
    </row>
    <row r="20" spans="2:6" ht="15.6" customHeight="1" x14ac:dyDescent="0.35">
      <c r="B20" s="272"/>
      <c r="C20" s="272" t="s">
        <v>271</v>
      </c>
      <c r="D20" s="272" t="s">
        <v>272</v>
      </c>
      <c r="E20" s="272" t="s">
        <v>273</v>
      </c>
      <c r="F20" s="273"/>
    </row>
    <row r="21" spans="2:6" x14ac:dyDescent="0.35">
      <c r="B21" s="274" t="s">
        <v>186</v>
      </c>
      <c r="C21" s="275">
        <f>PRINCIPAL!N43</f>
        <v>271700.29203429853</v>
      </c>
      <c r="D21" s="275">
        <f>PRINCIPAL!X43</f>
        <v>208644.47</v>
      </c>
      <c r="E21" s="275">
        <f>C21-D21</f>
        <v>63055.82203429853</v>
      </c>
      <c r="F21" s="276">
        <f>E21*100%/C21</f>
        <v>0.2320785949922298</v>
      </c>
    </row>
    <row r="22" spans="2:6" x14ac:dyDescent="0.35">
      <c r="B22" s="274" t="s">
        <v>277</v>
      </c>
      <c r="C22" s="275">
        <f>'PEDIDOS EM BRIEFING'!$N$43</f>
        <v>60683.039323971672</v>
      </c>
      <c r="D22" s="275">
        <f>'PEDIDOS EM BRIEFING'!$X$43</f>
        <v>36203</v>
      </c>
      <c r="E22" s="275">
        <f t="shared" ref="E22" si="0">C22-D22</f>
        <v>24480.039323971672</v>
      </c>
      <c r="F22" s="276">
        <f t="shared" ref="F22:F23" si="1">E22*100%/C22</f>
        <v>0.40340826030942228</v>
      </c>
    </row>
    <row r="23" spans="2:6" x14ac:dyDescent="0.35">
      <c r="B23" s="274" t="s">
        <v>278</v>
      </c>
      <c r="C23" s="275">
        <f>TAXAS!N23</f>
        <v>37834.709829750223</v>
      </c>
      <c r="D23" s="275">
        <f>TAXAS!X23</f>
        <v>26165</v>
      </c>
      <c r="E23" s="275">
        <f>C23-D23</f>
        <v>11669.709829750223</v>
      </c>
      <c r="F23" s="276">
        <f t="shared" si="1"/>
        <v>0.30843925808502137</v>
      </c>
    </row>
    <row r="24" spans="2:6" x14ac:dyDescent="0.35">
      <c r="B24" s="272" t="s">
        <v>13</v>
      </c>
      <c r="C24" s="277">
        <f>SUM(C21:C23)</f>
        <v>370218.04118802043</v>
      </c>
      <c r="D24" s="277">
        <f>SUM(D21:D23)</f>
        <v>271012.46999999997</v>
      </c>
      <c r="E24" s="277">
        <f>C24-D24</f>
        <v>99205.571188020462</v>
      </c>
      <c r="F24" s="276">
        <f t="shared" ref="F24" si="2">E24*100%/C24</f>
        <v>0.26796525331308074</v>
      </c>
    </row>
    <row r="26" spans="2:6" ht="16.8" thickBot="1" x14ac:dyDescent="0.4"/>
    <row r="27" spans="2:6" ht="21.9" customHeight="1" thickBot="1" x14ac:dyDescent="0.4">
      <c r="B27" s="551" t="s">
        <v>274</v>
      </c>
      <c r="C27" s="552"/>
      <c r="D27" s="552"/>
      <c r="E27" s="552"/>
      <c r="F27" s="553"/>
    </row>
    <row r="28" spans="2:6" ht="29.4" customHeight="1" thickBot="1" x14ac:dyDescent="0.4">
      <c r="B28" s="278" t="s">
        <v>275</v>
      </c>
      <c r="C28" s="279">
        <v>181750</v>
      </c>
      <c r="D28" s="280">
        <f>D24</f>
        <v>271012.46999999997</v>
      </c>
      <c r="E28" s="674">
        <f>C28-D28</f>
        <v>-89262.469999999972</v>
      </c>
      <c r="F28" s="675">
        <f>E28*100%/C28</f>
        <v>-0.49112775790921581</v>
      </c>
    </row>
    <row r="29" spans="2:6" ht="29.4" customHeight="1" thickBot="1" x14ac:dyDescent="0.4">
      <c r="B29" s="278" t="s">
        <v>276</v>
      </c>
      <c r="C29" s="279">
        <v>154917.97</v>
      </c>
      <c r="D29" s="280">
        <f>C29*0.15</f>
        <v>23237.695499999998</v>
      </c>
      <c r="E29" s="281">
        <f>C29-D29</f>
        <v>131680.2745</v>
      </c>
      <c r="F29" s="282">
        <f t="shared" ref="F29:F30" si="3">E29*100%/C29</f>
        <v>0.85</v>
      </c>
    </row>
    <row r="30" spans="2:6" ht="29.4" customHeight="1" thickBot="1" x14ac:dyDescent="0.4">
      <c r="B30" s="278" t="s">
        <v>311</v>
      </c>
      <c r="C30" s="279">
        <v>27119.79</v>
      </c>
      <c r="D30" s="280">
        <f>C30*0.15</f>
        <v>4067.9684999999999</v>
      </c>
      <c r="E30" s="281">
        <f t="shared" ref="E30:E31" si="4">C30-D30</f>
        <v>23051.821500000002</v>
      </c>
      <c r="F30" s="282">
        <f t="shared" si="3"/>
        <v>0.85000000000000009</v>
      </c>
    </row>
    <row r="31" spans="2:6" ht="29.4" customHeight="1" thickBot="1" x14ac:dyDescent="0.4">
      <c r="B31" s="278" t="s">
        <v>312</v>
      </c>
      <c r="C31" s="279">
        <v>6430.28</v>
      </c>
      <c r="D31" s="280">
        <f>C31*0.15</f>
        <v>964.54199999999992</v>
      </c>
      <c r="E31" s="281">
        <f t="shared" si="4"/>
        <v>5465.7379999999994</v>
      </c>
      <c r="F31" s="282">
        <f>E31*100%/C31</f>
        <v>0.85</v>
      </c>
    </row>
    <row r="32" spans="2:6" ht="20.25" customHeight="1" thickBot="1" x14ac:dyDescent="0.4">
      <c r="B32" s="283"/>
      <c r="C32" s="284">
        <f>SUM(C28:C31)</f>
        <v>370218.04</v>
      </c>
      <c r="D32" s="285">
        <f>SUM(D28:D31)</f>
        <v>299282.67599999998</v>
      </c>
      <c r="E32" s="286">
        <f>C32-D32</f>
        <v>70935.364000000001</v>
      </c>
      <c r="F32" s="282">
        <f>E32*100%/C32</f>
        <v>0.19160428811086572</v>
      </c>
    </row>
    <row r="33" spans="3:3" x14ac:dyDescent="0.35">
      <c r="C33" s="548"/>
    </row>
    <row r="34" spans="3:3" x14ac:dyDescent="0.35">
      <c r="C34" s="287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M49"/>
  <sheetViews>
    <sheetView showGridLines="0" topLeftCell="B1" zoomScale="50" zoomScaleNormal="50" workbookViewId="0">
      <pane ySplit="1" topLeftCell="A39" activePane="bottomLeft" state="frozen"/>
      <selection pane="bottomLeft" activeCell="AL45" sqref="AL45:AL51"/>
    </sheetView>
  </sheetViews>
  <sheetFormatPr defaultColWidth="8.88671875" defaultRowHeight="21" x14ac:dyDescent="0.4"/>
  <cols>
    <col min="1" max="1" width="3.44140625" style="293" hidden="1" customWidth="1"/>
    <col min="2" max="2" width="12.88671875" style="293" customWidth="1"/>
    <col min="3" max="3" width="6.44140625" style="293" hidden="1" customWidth="1"/>
    <col min="4" max="4" width="6.88671875" style="293" hidden="1" customWidth="1"/>
    <col min="5" max="5" width="11.5546875" style="293" hidden="1" customWidth="1"/>
    <col min="6" max="6" width="28" style="293" customWidth="1"/>
    <col min="7" max="7" width="50.5546875" style="293" customWidth="1"/>
    <col min="8" max="8" width="7.109375" style="296" hidden="1" customWidth="1"/>
    <col min="9" max="9" width="7.6640625" style="296" hidden="1" customWidth="1"/>
    <col min="10" max="10" width="17" style="293" hidden="1" customWidth="1"/>
    <col min="11" max="11" width="27.33203125" style="293" customWidth="1"/>
    <col min="12" max="12" width="25.109375" style="293" customWidth="1"/>
    <col min="13" max="13" width="24.88671875" style="293" bestFit="1" customWidth="1"/>
    <col min="14" max="14" width="28.6640625" style="293" bestFit="1" customWidth="1"/>
    <col min="15" max="15" width="5.5546875" style="293" hidden="1" customWidth="1"/>
    <col min="16" max="16" width="10.44140625" style="293" hidden="1" customWidth="1"/>
    <col min="17" max="17" width="10.5546875" style="296" customWidth="1"/>
    <col min="18" max="18" width="10.44140625" style="296" hidden="1" customWidth="1"/>
    <col min="19" max="19" width="19.5546875" style="293" hidden="1" customWidth="1"/>
    <col min="20" max="20" width="27" style="293" bestFit="1" customWidth="1"/>
    <col min="21" max="21" width="23.6640625" style="293" hidden="1" customWidth="1"/>
    <col min="22" max="22" width="12.109375" style="293" hidden="1" customWidth="1"/>
    <col min="23" max="23" width="19.88671875" style="293" hidden="1" customWidth="1"/>
    <col min="24" max="24" width="27.5546875" style="293" customWidth="1"/>
    <col min="25" max="25" width="29.88671875" style="293" hidden="1" customWidth="1"/>
    <col min="26" max="26" width="19.109375" style="293" hidden="1" customWidth="1"/>
    <col min="27" max="27" width="25.6640625" style="293" hidden="1" customWidth="1"/>
    <col min="28" max="28" width="65.5546875" style="293" hidden="1" customWidth="1"/>
    <col min="29" max="29" width="52.33203125" style="293" hidden="1" customWidth="1"/>
    <col min="30" max="30" width="67.88671875" style="293" hidden="1" customWidth="1"/>
    <col min="31" max="31" width="53.88671875" style="293" hidden="1" customWidth="1"/>
    <col min="32" max="32" width="45.6640625" style="293" hidden="1" customWidth="1"/>
    <col min="33" max="33" width="106.88671875" style="293" hidden="1" customWidth="1"/>
    <col min="34" max="34" width="59.44140625" style="293" hidden="1" customWidth="1"/>
    <col min="35" max="35" width="55" style="293" hidden="1" customWidth="1"/>
    <col min="36" max="36" width="79.5546875" style="293" hidden="1" customWidth="1"/>
    <col min="37" max="37" width="27.6640625" style="426" customWidth="1"/>
    <col min="38" max="38" width="26.88671875" style="426" customWidth="1"/>
    <col min="39" max="39" width="22.44140625" style="545" customWidth="1"/>
    <col min="40" max="40" width="25" style="293" customWidth="1"/>
    <col min="41" max="16384" width="8.88671875" style="293"/>
  </cols>
  <sheetData>
    <row r="1" spans="1:38" ht="49.5" customHeight="1" x14ac:dyDescent="0.4">
      <c r="B1" s="294"/>
      <c r="C1" s="295"/>
      <c r="D1" s="295"/>
      <c r="F1" s="554" t="s">
        <v>65</v>
      </c>
      <c r="G1" s="554"/>
    </row>
    <row r="2" spans="1:38" ht="24.75" customHeight="1" x14ac:dyDescent="0.4">
      <c r="B2" s="297"/>
      <c r="D2" s="295"/>
      <c r="F2" s="555" t="s">
        <v>0</v>
      </c>
      <c r="G2" s="555"/>
    </row>
    <row r="3" spans="1:38" ht="22.8" thickBot="1" x14ac:dyDescent="0.45">
      <c r="B3" s="298"/>
      <c r="F3" s="299"/>
      <c r="G3" s="299"/>
    </row>
    <row r="4" spans="1:38" ht="22.2" x14ac:dyDescent="0.4">
      <c r="F4" s="300" t="s">
        <v>85</v>
      </c>
      <c r="G4" s="301" t="s">
        <v>106</v>
      </c>
    </row>
    <row r="5" spans="1:38" ht="22.2" x14ac:dyDescent="0.4">
      <c r="F5" s="302" t="s">
        <v>84</v>
      </c>
      <c r="G5" s="303" t="s">
        <v>100</v>
      </c>
    </row>
    <row r="6" spans="1:38" ht="22.2" x14ac:dyDescent="0.4">
      <c r="D6" s="293" t="s">
        <v>63</v>
      </c>
      <c r="F6" s="302" t="s">
        <v>83</v>
      </c>
      <c r="G6" s="304" t="s">
        <v>107</v>
      </c>
    </row>
    <row r="7" spans="1:38" ht="21.75" customHeight="1" x14ac:dyDescent="0.4">
      <c r="F7" s="302" t="s">
        <v>82</v>
      </c>
      <c r="G7" s="304" t="s">
        <v>108</v>
      </c>
      <c r="J7" s="293" t="s">
        <v>64</v>
      </c>
    </row>
    <row r="8" spans="1:38" ht="22.2" x14ac:dyDescent="0.4">
      <c r="F8" s="302" t="s">
        <v>78</v>
      </c>
      <c r="G8" s="305" t="s">
        <v>109</v>
      </c>
    </row>
    <row r="9" spans="1:38" ht="22.2" x14ac:dyDescent="0.4">
      <c r="F9" s="302" t="s">
        <v>79</v>
      </c>
      <c r="G9" s="304" t="s">
        <v>102</v>
      </c>
      <c r="J9" s="293" t="s">
        <v>63</v>
      </c>
    </row>
    <row r="10" spans="1:38" ht="27" customHeight="1" x14ac:dyDescent="0.4">
      <c r="F10" s="302" t="s">
        <v>80</v>
      </c>
      <c r="G10" s="304" t="s">
        <v>110</v>
      </c>
    </row>
    <row r="11" spans="1:38" ht="22.8" thickBot="1" x14ac:dyDescent="0.45">
      <c r="F11" s="306" t="s">
        <v>81</v>
      </c>
      <c r="G11" s="307" t="s">
        <v>111</v>
      </c>
    </row>
    <row r="12" spans="1:38" ht="22.8" hidden="1" thickBot="1" x14ac:dyDescent="0.45">
      <c r="B12" s="308"/>
      <c r="M12" s="309"/>
      <c r="Q12" s="556" t="s">
        <v>1</v>
      </c>
      <c r="R12" s="557"/>
      <c r="S12" s="557"/>
      <c r="T12" s="558"/>
      <c r="U12" s="559" t="s">
        <v>2</v>
      </c>
      <c r="V12" s="560"/>
      <c r="W12" s="560"/>
      <c r="X12" s="561"/>
      <c r="Y12" s="310" t="s">
        <v>15</v>
      </c>
      <c r="Z12" s="311">
        <f>(1/(1-M14))-1</f>
        <v>0.24269914253759173</v>
      </c>
      <c r="AC12" s="588" t="s">
        <v>3</v>
      </c>
      <c r="AD12" s="589"/>
      <c r="AE12" s="590"/>
      <c r="AG12" s="579" t="s">
        <v>16</v>
      </c>
      <c r="AH12" s="580"/>
      <c r="AJ12" s="312" t="s">
        <v>18</v>
      </c>
      <c r="AK12" s="577" t="s">
        <v>17</v>
      </c>
      <c r="AL12" s="578"/>
    </row>
    <row r="13" spans="1:38" ht="22.8" thickBot="1" x14ac:dyDescent="0.5">
      <c r="A13" s="313" t="s">
        <v>4</v>
      </c>
      <c r="B13" s="314" t="s">
        <v>5</v>
      </c>
      <c r="C13" s="313" t="s">
        <v>6</v>
      </c>
      <c r="D13" s="313" t="s">
        <v>7</v>
      </c>
      <c r="E13" s="313" t="s">
        <v>8</v>
      </c>
      <c r="M13" s="315">
        <v>0.80469999999999997</v>
      </c>
    </row>
    <row r="14" spans="1:38" ht="35.1" customHeight="1" thickBot="1" x14ac:dyDescent="0.45">
      <c r="A14" s="316">
        <v>0</v>
      </c>
      <c r="B14" s="317"/>
      <c r="C14" s="318"/>
      <c r="D14" s="319"/>
      <c r="E14" s="319"/>
      <c r="F14" s="320" t="s">
        <v>41</v>
      </c>
      <c r="G14" s="321" t="s">
        <v>42</v>
      </c>
      <c r="H14" s="322" t="s">
        <v>43</v>
      </c>
      <c r="I14" s="322" t="s">
        <v>44</v>
      </c>
      <c r="J14" s="323" t="s">
        <v>45</v>
      </c>
      <c r="K14" s="324" t="s">
        <v>9</v>
      </c>
      <c r="L14" s="325">
        <v>0.1</v>
      </c>
      <c r="M14" s="326">
        <f>1-M13</f>
        <v>0.19530000000000003</v>
      </c>
      <c r="N14" s="327" t="s">
        <v>39</v>
      </c>
      <c r="Q14" s="328" t="s">
        <v>46</v>
      </c>
      <c r="R14" s="329" t="s">
        <v>47</v>
      </c>
      <c r="S14" s="330" t="s">
        <v>48</v>
      </c>
      <c r="T14" s="331" t="s">
        <v>49</v>
      </c>
      <c r="U14" s="332" t="s">
        <v>50</v>
      </c>
      <c r="V14" s="333" t="s">
        <v>51</v>
      </c>
      <c r="W14" s="334" t="s">
        <v>52</v>
      </c>
      <c r="X14" s="334" t="s">
        <v>53</v>
      </c>
      <c r="Y14" s="335" t="s">
        <v>54</v>
      </c>
      <c r="Z14" s="336" t="s">
        <v>55</v>
      </c>
      <c r="AA14" s="337" t="s">
        <v>40</v>
      </c>
      <c r="AC14" s="338" t="s">
        <v>56</v>
      </c>
      <c r="AD14" s="339" t="s">
        <v>57</v>
      </c>
      <c r="AE14" s="339" t="s">
        <v>11</v>
      </c>
      <c r="AG14" s="340" t="s">
        <v>58</v>
      </c>
      <c r="AH14" s="341" t="s">
        <v>59</v>
      </c>
      <c r="AK14" s="424" t="s">
        <v>60</v>
      </c>
      <c r="AL14" s="425" t="s">
        <v>61</v>
      </c>
    </row>
    <row r="15" spans="1:38" ht="35.1" customHeight="1" thickBot="1" x14ac:dyDescent="0.5">
      <c r="A15" s="344">
        <v>1</v>
      </c>
      <c r="B15" s="345">
        <v>1</v>
      </c>
      <c r="C15" s="346" t="s">
        <v>66</v>
      </c>
      <c r="D15" s="344"/>
      <c r="E15" s="344"/>
      <c r="F15" s="581" t="s">
        <v>96</v>
      </c>
      <c r="G15" s="582"/>
      <c r="H15" s="582"/>
      <c r="I15" s="582"/>
      <c r="J15" s="582"/>
      <c r="K15" s="582"/>
      <c r="L15" s="582"/>
      <c r="M15" s="582"/>
      <c r="N15" s="583"/>
      <c r="P15" s="297"/>
      <c r="Q15" s="581" t="str">
        <f>IF(F15&lt;&gt;"",F15,"")</f>
        <v>INTERNOS</v>
      </c>
      <c r="R15" s="582"/>
      <c r="S15" s="582"/>
      <c r="T15" s="582"/>
      <c r="U15" s="582"/>
      <c r="V15" s="582"/>
      <c r="W15" s="582"/>
      <c r="X15" s="582"/>
      <c r="Y15" s="583"/>
      <c r="AK15" s="600"/>
      <c r="AL15" s="601"/>
    </row>
    <row r="16" spans="1:38" ht="35.1" customHeight="1" x14ac:dyDescent="0.45">
      <c r="A16" s="319">
        <v>2</v>
      </c>
      <c r="B16" s="345" t="s">
        <v>68</v>
      </c>
      <c r="C16" s="347" t="s">
        <v>67</v>
      </c>
      <c r="D16" s="319"/>
      <c r="E16" s="319"/>
      <c r="F16" s="584" t="s">
        <v>97</v>
      </c>
      <c r="G16" s="585"/>
      <c r="H16" s="585"/>
      <c r="I16" s="585"/>
      <c r="J16" s="585"/>
      <c r="K16" s="586"/>
      <c r="L16" s="348" t="s">
        <v>69</v>
      </c>
      <c r="M16" s="348" t="s">
        <v>70</v>
      </c>
      <c r="N16" s="349" t="s">
        <v>39</v>
      </c>
      <c r="P16" s="297"/>
      <c r="Q16" s="573" t="str">
        <f>IF(F16&lt;&gt;"",F16,"")</f>
        <v>Internos</v>
      </c>
      <c r="R16" s="574"/>
      <c r="S16" s="574"/>
      <c r="T16" s="574"/>
      <c r="U16" s="574"/>
      <c r="V16" s="574"/>
      <c r="W16" s="574"/>
      <c r="X16" s="574"/>
      <c r="Y16" s="587"/>
      <c r="Z16" s="350" t="s">
        <v>71</v>
      </c>
      <c r="AA16" s="351" t="s">
        <v>40</v>
      </c>
      <c r="AK16" s="602"/>
      <c r="AL16" s="603"/>
    </row>
    <row r="17" spans="1:39" s="357" customFormat="1" ht="99.9" customHeight="1" x14ac:dyDescent="0.4">
      <c r="A17" s="319">
        <v>3</v>
      </c>
      <c r="B17" s="345" t="s">
        <v>73</v>
      </c>
      <c r="C17" s="347" t="s">
        <v>72</v>
      </c>
      <c r="D17" s="319" t="s">
        <v>86</v>
      </c>
      <c r="E17" s="319" t="s">
        <v>77</v>
      </c>
      <c r="F17" s="352" t="s">
        <v>101</v>
      </c>
      <c r="G17" s="353" t="s">
        <v>125</v>
      </c>
      <c r="H17" s="354">
        <v>1</v>
      </c>
      <c r="I17" s="354">
        <v>1</v>
      </c>
      <c r="J17" s="355">
        <v>6500</v>
      </c>
      <c r="K17" s="356">
        <f t="shared" ref="K17:K20" si="0">IF(F17&lt;&gt;"",H17*I17*J17,"")</f>
        <v>6500</v>
      </c>
      <c r="L17" s="356">
        <f t="shared" ref="L17:L20" si="1">IF(K17&lt;&gt;"",IF(D17="INTERNO",0,K17*$L$14),"")</f>
        <v>0</v>
      </c>
      <c r="M17" s="356">
        <f>IF(K17&lt;&gt;"",IF(E17="FAT.OGGI",SUM(K17:L17)*(1/(1-$M$14)-1),L17*(1/(1-$M$14)-1)),"")</f>
        <v>1577.5444264943462</v>
      </c>
      <c r="N17" s="356">
        <f t="shared" ref="N17:N20" si="2">SUM(K17:M17)</f>
        <v>8077.5444264943462</v>
      </c>
      <c r="P17" s="296"/>
      <c r="Q17" s="358">
        <f t="shared" ref="Q17:Q20" si="3">IF(H17&lt;&gt;"",H17,"")</f>
        <v>1</v>
      </c>
      <c r="R17" s="358">
        <v>1</v>
      </c>
      <c r="S17" s="359">
        <v>0</v>
      </c>
      <c r="T17" s="359">
        <f t="shared" ref="T17:T20" si="4">IF(Q17&lt;&gt;"",Q17*R17*S17,"")</f>
        <v>0</v>
      </c>
      <c r="U17" s="360">
        <f t="shared" ref="U17:U20" si="5">IF(Q17&lt;&gt;"",K17-T17,"")</f>
        <v>6500</v>
      </c>
      <c r="V17" s="361">
        <f t="shared" ref="V17:V20" si="6">IF(Q17&lt;&gt;"",0%,"")</f>
        <v>0</v>
      </c>
      <c r="W17" s="362">
        <f t="shared" ref="W17:W20" si="7">IF(Q17&lt;&gt;"",V17*U17,"")</f>
        <v>0</v>
      </c>
      <c r="X17" s="362">
        <f t="shared" ref="X17:X20" si="8">IF(Q17&lt;&gt;"",W17+T17,"")</f>
        <v>0</v>
      </c>
      <c r="Y17" s="362">
        <f t="shared" ref="Y17" si="9">IF(Q17&lt;&gt;"",X17+M17,"")</f>
        <v>1577.5444264943462</v>
      </c>
      <c r="Z17" s="363">
        <f>IF(Q17&lt;&gt;"",U17/K17,"")</f>
        <v>1</v>
      </c>
      <c r="AA17" s="363" t="str">
        <f>IFERROR(T17/$T$21, "")</f>
        <v/>
      </c>
      <c r="AB17" s="364"/>
      <c r="AC17" s="364"/>
      <c r="AD17" s="364"/>
      <c r="AE17" s="364"/>
      <c r="AF17" s="364"/>
      <c r="AG17" s="364"/>
      <c r="AH17" s="364"/>
      <c r="AI17" s="364"/>
      <c r="AJ17" s="364"/>
      <c r="AK17" s="428">
        <f>X17-AL17</f>
        <v>0</v>
      </c>
      <c r="AL17" s="427"/>
      <c r="AM17" s="545"/>
    </row>
    <row r="18" spans="1:39" s="357" customFormat="1" ht="99.9" customHeight="1" x14ac:dyDescent="0.4">
      <c r="A18" s="344">
        <v>5</v>
      </c>
      <c r="B18" s="345" t="s">
        <v>122</v>
      </c>
      <c r="C18" s="346" t="s">
        <v>72</v>
      </c>
      <c r="D18" s="344" t="s">
        <v>86</v>
      </c>
      <c r="E18" s="344" t="s">
        <v>77</v>
      </c>
      <c r="F18" s="365" t="s">
        <v>126</v>
      </c>
      <c r="G18" s="366" t="s">
        <v>279</v>
      </c>
      <c r="H18" s="367">
        <v>1</v>
      </c>
      <c r="I18" s="367">
        <v>1</v>
      </c>
      <c r="J18" s="368">
        <v>3500</v>
      </c>
      <c r="K18" s="369">
        <f t="shared" si="0"/>
        <v>3500</v>
      </c>
      <c r="L18" s="369">
        <f t="shared" si="1"/>
        <v>0</v>
      </c>
      <c r="M18" s="369">
        <f>IF(K18&lt;&gt;"",IF(E18="FAT.OGGI",SUM(K18:L18)*(1/(1-$M$14)-1),L18*(1/(1-$M$14)-1)),0)</f>
        <v>849.44699888157106</v>
      </c>
      <c r="N18" s="370">
        <f t="shared" si="2"/>
        <v>4349.4469988815708</v>
      </c>
      <c r="P18" s="296"/>
      <c r="Q18" s="358">
        <f t="shared" si="3"/>
        <v>1</v>
      </c>
      <c r="R18" s="358">
        <f>IF(I18&lt;&gt;"",I18,"")</f>
        <v>1</v>
      </c>
      <c r="S18" s="359"/>
      <c r="T18" s="359">
        <f t="shared" si="4"/>
        <v>0</v>
      </c>
      <c r="U18" s="360">
        <f t="shared" si="5"/>
        <v>3500</v>
      </c>
      <c r="V18" s="361">
        <f t="shared" si="6"/>
        <v>0</v>
      </c>
      <c r="W18" s="362">
        <f t="shared" si="7"/>
        <v>0</v>
      </c>
      <c r="X18" s="362">
        <f t="shared" si="8"/>
        <v>0</v>
      </c>
      <c r="Y18" s="362">
        <f t="shared" ref="Y18:Y21" si="10">IF(Q18&lt;&gt;"",X18+M18,"")</f>
        <v>849.44699888157106</v>
      </c>
      <c r="Z18" s="363">
        <f>IF(Q18&lt;&gt;"", IFERROR(U18/K18, 0), 0)</f>
        <v>1</v>
      </c>
      <c r="AA18" s="363" t="str">
        <f>IFERROR(T18/$T$21, "")</f>
        <v/>
      </c>
      <c r="AB18" s="364"/>
      <c r="AC18" s="364"/>
      <c r="AD18" s="364"/>
      <c r="AE18" s="364"/>
      <c r="AF18" s="364"/>
      <c r="AG18" s="364"/>
      <c r="AH18" s="364"/>
      <c r="AI18" s="364"/>
      <c r="AJ18" s="364"/>
      <c r="AK18" s="428">
        <f t="shared" ref="AK18:AK41" si="11">X18-AL18</f>
        <v>0</v>
      </c>
      <c r="AL18" s="427"/>
      <c r="AM18" s="545"/>
    </row>
    <row r="19" spans="1:39" s="357" customFormat="1" ht="99.9" customHeight="1" x14ac:dyDescent="0.4">
      <c r="A19" s="319">
        <v>6</v>
      </c>
      <c r="B19" s="345" t="s">
        <v>123</v>
      </c>
      <c r="C19" s="347" t="s">
        <v>72</v>
      </c>
      <c r="D19" s="319" t="s">
        <v>86</v>
      </c>
      <c r="E19" s="319" t="s">
        <v>77</v>
      </c>
      <c r="F19" s="371" t="s">
        <v>88</v>
      </c>
      <c r="G19" s="372" t="s">
        <v>127</v>
      </c>
      <c r="H19" s="373">
        <v>1</v>
      </c>
      <c r="I19" s="373">
        <v>1</v>
      </c>
      <c r="J19" s="374">
        <v>6500</v>
      </c>
      <c r="K19" s="375">
        <f t="shared" si="0"/>
        <v>6500</v>
      </c>
      <c r="L19" s="375">
        <f t="shared" si="1"/>
        <v>0</v>
      </c>
      <c r="M19" s="375">
        <f>IF(K19&lt;&gt;"",IF(E19="FAT.OGGI",SUM(K19:L19)*(1/(1-$M$14)-1),L19*(1/(1-$M$14)-1)),0)</f>
        <v>1577.5444264943462</v>
      </c>
      <c r="N19" s="376">
        <f t="shared" si="2"/>
        <v>8077.5444264943462</v>
      </c>
      <c r="P19" s="296"/>
      <c r="Q19" s="358">
        <f t="shared" si="3"/>
        <v>1</v>
      </c>
      <c r="R19" s="358">
        <f>IF(I19&lt;&gt;"",I19,"")</f>
        <v>1</v>
      </c>
      <c r="S19" s="359"/>
      <c r="T19" s="359">
        <f t="shared" si="4"/>
        <v>0</v>
      </c>
      <c r="U19" s="360">
        <f t="shared" si="5"/>
        <v>6500</v>
      </c>
      <c r="V19" s="361">
        <f t="shared" si="6"/>
        <v>0</v>
      </c>
      <c r="W19" s="362">
        <f t="shared" si="7"/>
        <v>0</v>
      </c>
      <c r="X19" s="362">
        <f t="shared" si="8"/>
        <v>0</v>
      </c>
      <c r="Y19" s="362">
        <f t="shared" si="10"/>
        <v>1577.5444264943462</v>
      </c>
      <c r="Z19" s="363">
        <f>IF(Q19&lt;&gt;"", IFERROR(U19/K19, 0), 0)</f>
        <v>1</v>
      </c>
      <c r="AA19" s="363" t="str">
        <f>IFERROR(T19/$T$21, "")</f>
        <v/>
      </c>
      <c r="AB19" s="364"/>
      <c r="AC19" s="364"/>
      <c r="AD19" s="364"/>
      <c r="AE19" s="364"/>
      <c r="AF19" s="364"/>
      <c r="AG19" s="364"/>
      <c r="AH19" s="364"/>
      <c r="AI19" s="364"/>
      <c r="AJ19" s="364"/>
      <c r="AK19" s="428">
        <f t="shared" si="11"/>
        <v>0</v>
      </c>
      <c r="AL19" s="427"/>
      <c r="AM19" s="545"/>
    </row>
    <row r="20" spans="1:39" s="357" customFormat="1" ht="99.9" customHeight="1" x14ac:dyDescent="0.4">
      <c r="A20" s="319">
        <v>7</v>
      </c>
      <c r="B20" s="345" t="s">
        <v>124</v>
      </c>
      <c r="C20" s="347" t="s">
        <v>72</v>
      </c>
      <c r="D20" s="319" t="s">
        <v>86</v>
      </c>
      <c r="E20" s="319" t="s">
        <v>77</v>
      </c>
      <c r="F20" s="371" t="s">
        <v>128</v>
      </c>
      <c r="G20" s="372" t="s">
        <v>129</v>
      </c>
      <c r="H20" s="373">
        <v>1</v>
      </c>
      <c r="I20" s="373">
        <v>1</v>
      </c>
      <c r="J20" s="374">
        <v>2200</v>
      </c>
      <c r="K20" s="375">
        <f t="shared" si="0"/>
        <v>2200</v>
      </c>
      <c r="L20" s="375">
        <f t="shared" si="1"/>
        <v>0</v>
      </c>
      <c r="M20" s="375">
        <f>IF(K20&lt;&gt;"",IF(E20="FAT.OGGI",SUM(K20:L20)*(1/(1-$M$14)-1),L20*(1/(1-$M$14)-1)),0)</f>
        <v>533.93811358270182</v>
      </c>
      <c r="N20" s="376">
        <f t="shared" si="2"/>
        <v>2733.9381135827016</v>
      </c>
      <c r="P20" s="296"/>
      <c r="Q20" s="358">
        <f t="shared" si="3"/>
        <v>1</v>
      </c>
      <c r="R20" s="358">
        <f>IF(I20&lt;&gt;"",I20,"")</f>
        <v>1</v>
      </c>
      <c r="S20" s="359"/>
      <c r="T20" s="359">
        <f t="shared" si="4"/>
        <v>0</v>
      </c>
      <c r="U20" s="360">
        <f t="shared" si="5"/>
        <v>2200</v>
      </c>
      <c r="V20" s="361">
        <f t="shared" si="6"/>
        <v>0</v>
      </c>
      <c r="W20" s="362">
        <f t="shared" si="7"/>
        <v>0</v>
      </c>
      <c r="X20" s="362">
        <f t="shared" si="8"/>
        <v>0</v>
      </c>
      <c r="Y20" s="362">
        <f t="shared" si="10"/>
        <v>533.93811358270182</v>
      </c>
      <c r="Z20" s="363">
        <f>IF(Q20&lt;&gt;"", IFERROR(U20/K20, 0), 0)</f>
        <v>1</v>
      </c>
      <c r="AA20" s="363" t="str">
        <f>IFERROR(T20/$T$21, "")</f>
        <v/>
      </c>
      <c r="AB20" s="364"/>
      <c r="AC20" s="364"/>
      <c r="AD20" s="364"/>
      <c r="AE20" s="364"/>
      <c r="AF20" s="364"/>
      <c r="AG20" s="364"/>
      <c r="AH20" s="364"/>
      <c r="AI20" s="364"/>
      <c r="AJ20" s="364"/>
      <c r="AK20" s="428">
        <f t="shared" si="11"/>
        <v>0</v>
      </c>
      <c r="AL20" s="427"/>
      <c r="AM20" s="545"/>
    </row>
    <row r="21" spans="1:39" s="357" customFormat="1" ht="35.1" customHeight="1" thickBot="1" x14ac:dyDescent="0.5">
      <c r="A21" s="377">
        <v>9</v>
      </c>
      <c r="B21" s="345"/>
      <c r="C21" s="378" t="s">
        <v>75</v>
      </c>
      <c r="D21" s="377"/>
      <c r="E21" s="377"/>
      <c r="F21" s="562" t="s">
        <v>171</v>
      </c>
      <c r="G21" s="563"/>
      <c r="H21" s="563"/>
      <c r="I21" s="563"/>
      <c r="J21" s="604"/>
      <c r="K21" s="379">
        <f>SUM(K17:K20)</f>
        <v>18700</v>
      </c>
      <c r="L21" s="379">
        <f>SUM(L17:L20)</f>
        <v>0</v>
      </c>
      <c r="M21" s="379">
        <f>SUM(M17:M20)</f>
        <v>4538.4739654529649</v>
      </c>
      <c r="N21" s="380">
        <f>SUM(N17:N20)</f>
        <v>23238.473965452966</v>
      </c>
      <c r="P21" s="296"/>
      <c r="Q21" s="576" t="s">
        <v>171</v>
      </c>
      <c r="R21" s="576"/>
      <c r="S21" s="576"/>
      <c r="T21" s="381">
        <f>SUM(T17:T20)</f>
        <v>0</v>
      </c>
      <c r="U21" s="382">
        <f>SUM(U17:U20)</f>
        <v>18700</v>
      </c>
      <c r="V21" s="361"/>
      <c r="W21" s="362"/>
      <c r="X21" s="383">
        <f>SUM(X17:X20)</f>
        <v>0</v>
      </c>
      <c r="Y21" s="383">
        <f t="shared" si="10"/>
        <v>4538.4739654529649</v>
      </c>
      <c r="Z21" s="363"/>
      <c r="AA21" s="363"/>
      <c r="AB21" s="364"/>
      <c r="AC21" s="364"/>
      <c r="AD21" s="364"/>
      <c r="AE21" s="364"/>
      <c r="AF21" s="364"/>
      <c r="AG21" s="364"/>
      <c r="AH21" s="364"/>
      <c r="AI21" s="364"/>
      <c r="AJ21" s="364"/>
      <c r="AK21" s="428"/>
      <c r="AL21" s="427"/>
      <c r="AM21" s="545"/>
    </row>
    <row r="22" spans="1:39" s="357" customFormat="1" ht="35.1" customHeight="1" thickBot="1" x14ac:dyDescent="0.45">
      <c r="A22" s="344">
        <v>10</v>
      </c>
      <c r="B22" s="345">
        <v>2</v>
      </c>
      <c r="C22" s="346" t="s">
        <v>66</v>
      </c>
      <c r="D22" s="344"/>
      <c r="E22" s="344"/>
      <c r="F22" s="569" t="s">
        <v>118</v>
      </c>
      <c r="G22" s="570"/>
      <c r="H22" s="570"/>
      <c r="I22" s="570"/>
      <c r="J22" s="570"/>
      <c r="K22" s="570"/>
      <c r="L22" s="570"/>
      <c r="M22" s="570"/>
      <c r="N22" s="571"/>
      <c r="P22" s="296"/>
      <c r="Q22" s="572" t="str">
        <f>IF(F22&lt;&gt;"",F22,"")</f>
        <v xml:space="preserve">ESTANDE | 88m² - PRAZO DE ENVIO DOS PROJETOS: 15/05/2026 </v>
      </c>
      <c r="R22" s="572"/>
      <c r="S22" s="572"/>
      <c r="T22" s="572"/>
      <c r="U22" s="572"/>
      <c r="V22" s="572"/>
      <c r="W22" s="572"/>
      <c r="X22" s="572"/>
      <c r="Y22" s="572"/>
      <c r="Z22" s="364"/>
      <c r="AA22" s="364"/>
      <c r="AB22" s="364"/>
      <c r="AC22" s="364"/>
      <c r="AD22" s="364"/>
      <c r="AE22" s="364"/>
      <c r="AF22" s="364"/>
      <c r="AG22" s="364"/>
      <c r="AH22" s="364"/>
      <c r="AI22" s="364"/>
      <c r="AJ22" s="364"/>
      <c r="AK22" s="428"/>
      <c r="AL22" s="427"/>
      <c r="AM22" s="545"/>
    </row>
    <row r="23" spans="1:39" s="357" customFormat="1" ht="35.1" customHeight="1" x14ac:dyDescent="0.4">
      <c r="A23" s="319">
        <v>11</v>
      </c>
      <c r="B23" s="345" t="s">
        <v>87</v>
      </c>
      <c r="C23" s="347" t="s">
        <v>67</v>
      </c>
      <c r="D23" s="319"/>
      <c r="E23" s="319"/>
      <c r="F23" s="565" t="s">
        <v>112</v>
      </c>
      <c r="G23" s="566"/>
      <c r="H23" s="566"/>
      <c r="I23" s="566"/>
      <c r="J23" s="566"/>
      <c r="K23" s="567"/>
      <c r="L23" s="348" t="s">
        <v>69</v>
      </c>
      <c r="M23" s="348" t="s">
        <v>70</v>
      </c>
      <c r="N23" s="349" t="s">
        <v>39</v>
      </c>
      <c r="P23" s="296"/>
      <c r="Q23" s="568" t="str">
        <f>IF(F23&lt;&gt;"",F23,"")</f>
        <v xml:space="preserve">Estande </v>
      </c>
      <c r="R23" s="568"/>
      <c r="S23" s="568"/>
      <c r="T23" s="568"/>
      <c r="U23" s="568"/>
      <c r="V23" s="568"/>
      <c r="W23" s="568"/>
      <c r="X23" s="568"/>
      <c r="Y23" s="568"/>
      <c r="Z23" s="384" t="s">
        <v>71</v>
      </c>
      <c r="AA23" s="384" t="s">
        <v>40</v>
      </c>
      <c r="AB23" s="364"/>
      <c r="AC23" s="364"/>
      <c r="AD23" s="364"/>
      <c r="AE23" s="364"/>
      <c r="AF23" s="364"/>
      <c r="AG23" s="364"/>
      <c r="AH23" s="364"/>
      <c r="AI23" s="364"/>
      <c r="AJ23" s="364"/>
      <c r="AK23" s="428"/>
      <c r="AL23" s="427"/>
      <c r="AM23" s="545"/>
    </row>
    <row r="24" spans="1:39" s="357" customFormat="1" ht="99.9" customHeight="1" x14ac:dyDescent="0.4">
      <c r="A24" s="319">
        <v>12</v>
      </c>
      <c r="B24" s="345" t="s">
        <v>95</v>
      </c>
      <c r="C24" s="347" t="s">
        <v>72</v>
      </c>
      <c r="D24" s="319" t="s">
        <v>74</v>
      </c>
      <c r="E24" s="319" t="s">
        <v>174</v>
      </c>
      <c r="F24" s="371" t="s">
        <v>113</v>
      </c>
      <c r="G24" s="372" t="s">
        <v>162</v>
      </c>
      <c r="H24" s="385">
        <v>1</v>
      </c>
      <c r="I24" s="385">
        <v>1</v>
      </c>
      <c r="J24" s="375">
        <v>181750</v>
      </c>
      <c r="K24" s="375">
        <f t="shared" ref="K24" si="12">IF(F24&lt;&gt;"",H24*I24*J24,"")</f>
        <v>181750</v>
      </c>
      <c r="L24" s="375">
        <f t="shared" ref="L24" si="13">IF(K24&lt;&gt;"",IF(D24="INTERNO",0,K24*$L$14),"")</f>
        <v>18175</v>
      </c>
      <c r="M24" s="375">
        <f>IF(K24&lt;&gt;"",IF(E24="FAT.OGGI",SUM(K24:L24)*(1/(1-$M$14)-1),L24*(1/(1-$M$14)-1)),"")</f>
        <v>4411.0569156207293</v>
      </c>
      <c r="N24" s="376">
        <f t="shared" ref="N24" si="14">SUM(K24:M24)</f>
        <v>204336.05691562072</v>
      </c>
      <c r="O24" s="386"/>
      <c r="P24" s="387" t="s">
        <v>168</v>
      </c>
      <c r="Q24" s="358">
        <f t="shared" ref="Q24" si="15">IF(H24&lt;&gt;"",H24,"")</f>
        <v>1</v>
      </c>
      <c r="R24" s="358">
        <f t="shared" ref="R24" si="16">IF(I24&lt;&gt;"",I24,"")</f>
        <v>1</v>
      </c>
      <c r="S24" s="359">
        <v>168000</v>
      </c>
      <c r="T24" s="359">
        <f t="shared" ref="T24" si="17">IF(Q24&lt;&gt;"",Q24*R24*S24,"")</f>
        <v>168000</v>
      </c>
      <c r="U24" s="360">
        <f t="shared" ref="U24" si="18">IF(Q24&lt;&gt;"",K24-T24,"")</f>
        <v>13750</v>
      </c>
      <c r="V24" s="361">
        <f t="shared" ref="V24" si="19">IF(Q24&lt;&gt;"",0%,"")</f>
        <v>0</v>
      </c>
      <c r="W24" s="362">
        <f t="shared" ref="W24" si="20">IF(Q24&lt;&gt;"",V24*U24,"")</f>
        <v>0</v>
      </c>
      <c r="X24" s="362">
        <f t="shared" ref="X24" si="21">IF(Q24&lt;&gt;"",W24+T24,"")</f>
        <v>168000</v>
      </c>
      <c r="Y24" s="362">
        <f t="shared" ref="Y24" si="22">IF(Q24&lt;&gt;"",X24+M24,"")</f>
        <v>172411.05691562072</v>
      </c>
      <c r="Z24" s="363">
        <f>IF(Q24&lt;&gt;"",U24/K24,"")</f>
        <v>7.5653370013755161E-2</v>
      </c>
      <c r="AA24" s="363">
        <f>IFERROR(T24/$T$25, "")</f>
        <v>1</v>
      </c>
      <c r="AB24" s="364"/>
      <c r="AC24" s="364"/>
      <c r="AD24" s="364"/>
      <c r="AE24" s="364"/>
      <c r="AF24" s="364"/>
      <c r="AG24" s="364"/>
      <c r="AH24" s="364"/>
      <c r="AI24" s="364"/>
      <c r="AJ24" s="364"/>
      <c r="AK24" s="428">
        <f t="shared" si="11"/>
        <v>0</v>
      </c>
      <c r="AL24" s="427">
        <f>84000+84000</f>
        <v>168000</v>
      </c>
      <c r="AM24" s="545" t="s">
        <v>284</v>
      </c>
    </row>
    <row r="25" spans="1:39" s="357" customFormat="1" ht="35.1" customHeight="1" thickBot="1" x14ac:dyDescent="0.5">
      <c r="A25" s="377">
        <v>13</v>
      </c>
      <c r="B25" s="345"/>
      <c r="C25" s="378" t="s">
        <v>75</v>
      </c>
      <c r="D25" s="377"/>
      <c r="E25" s="377"/>
      <c r="F25" s="562" t="s">
        <v>170</v>
      </c>
      <c r="G25" s="563"/>
      <c r="H25" s="563"/>
      <c r="I25" s="563"/>
      <c r="J25" s="563"/>
      <c r="K25" s="388">
        <f>SUM(K24:K24)</f>
        <v>181750</v>
      </c>
      <c r="L25" s="388">
        <f>SUM(L24:L24)</f>
        <v>18175</v>
      </c>
      <c r="M25" s="388">
        <f>SUM(M24:M24)</f>
        <v>4411.0569156207293</v>
      </c>
      <c r="N25" s="389">
        <f>SUM(N24:N24)</f>
        <v>204336.05691562072</v>
      </c>
      <c r="O25" s="386"/>
      <c r="P25" s="387"/>
      <c r="Q25" s="576" t="s">
        <v>170</v>
      </c>
      <c r="R25" s="576"/>
      <c r="S25" s="576"/>
      <c r="T25" s="381">
        <f>SUM(T24:T24)</f>
        <v>168000</v>
      </c>
      <c r="U25" s="382">
        <f>SUM(U24:U24)</f>
        <v>13750</v>
      </c>
      <c r="V25" s="361"/>
      <c r="W25" s="362"/>
      <c r="X25" s="383">
        <f>SUM(X24:X24)</f>
        <v>168000</v>
      </c>
      <c r="Y25" s="383">
        <f>IF(Q25&lt;&gt;"",X25+M25,"")</f>
        <v>172411.05691562072</v>
      </c>
      <c r="Z25" s="363"/>
      <c r="AA25" s="363"/>
      <c r="AB25" s="364"/>
      <c r="AC25" s="364"/>
      <c r="AD25" s="364"/>
      <c r="AE25" s="364"/>
      <c r="AF25" s="364"/>
      <c r="AG25" s="364"/>
      <c r="AH25" s="364"/>
      <c r="AI25" s="364"/>
      <c r="AJ25" s="364"/>
      <c r="AK25" s="428"/>
      <c r="AL25" s="427"/>
      <c r="AM25" s="545"/>
    </row>
    <row r="26" spans="1:39" ht="35.1" customHeight="1" thickBot="1" x14ac:dyDescent="0.5">
      <c r="A26" s="319">
        <v>14</v>
      </c>
      <c r="B26" s="345">
        <v>3</v>
      </c>
      <c r="C26" s="347" t="s">
        <v>66</v>
      </c>
      <c r="D26" s="319"/>
      <c r="E26" s="319"/>
      <c r="F26" s="591" t="s">
        <v>104</v>
      </c>
      <c r="G26" s="592"/>
      <c r="H26" s="592"/>
      <c r="I26" s="592"/>
      <c r="J26" s="592"/>
      <c r="K26" s="592"/>
      <c r="L26" s="592"/>
      <c r="M26" s="592"/>
      <c r="N26" s="593"/>
      <c r="P26" s="297"/>
      <c r="Q26" s="594" t="str">
        <f>IF(F26&lt;&gt;"",F26,"")</f>
        <v>SEGURO</v>
      </c>
      <c r="R26" s="594"/>
      <c r="S26" s="594"/>
      <c r="T26" s="594"/>
      <c r="U26" s="594"/>
      <c r="V26" s="594"/>
      <c r="W26" s="594"/>
      <c r="X26" s="594"/>
      <c r="Y26" s="594"/>
      <c r="Z26" s="390"/>
      <c r="AA26" s="390"/>
      <c r="AB26" s="390"/>
      <c r="AC26" s="390"/>
      <c r="AD26" s="390"/>
      <c r="AE26" s="390"/>
      <c r="AF26" s="390"/>
      <c r="AG26" s="390"/>
      <c r="AH26" s="390"/>
      <c r="AI26" s="390"/>
      <c r="AJ26" s="390"/>
      <c r="AK26" s="428"/>
      <c r="AL26" s="427"/>
    </row>
    <row r="27" spans="1:39" ht="35.1" customHeight="1" x14ac:dyDescent="0.45">
      <c r="A27" s="319">
        <v>15</v>
      </c>
      <c r="B27" s="345" t="s">
        <v>92</v>
      </c>
      <c r="C27" s="347" t="s">
        <v>67</v>
      </c>
      <c r="D27" s="319"/>
      <c r="E27" s="319"/>
      <c r="F27" s="573" t="s">
        <v>139</v>
      </c>
      <c r="G27" s="574"/>
      <c r="H27" s="574"/>
      <c r="I27" s="574"/>
      <c r="J27" s="574"/>
      <c r="K27" s="575"/>
      <c r="L27" s="391" t="s">
        <v>69</v>
      </c>
      <c r="M27" s="392" t="s">
        <v>70</v>
      </c>
      <c r="N27" s="393" t="s">
        <v>39</v>
      </c>
      <c r="P27" s="297"/>
      <c r="Q27" s="564" t="str">
        <f>IF(F27&lt;&gt;"",F27,"")</f>
        <v>Seguro</v>
      </c>
      <c r="R27" s="564"/>
      <c r="S27" s="564"/>
      <c r="T27" s="564"/>
      <c r="U27" s="564"/>
      <c r="V27" s="564"/>
      <c r="W27" s="564"/>
      <c r="X27" s="564"/>
      <c r="Y27" s="564"/>
      <c r="Z27" s="384" t="s">
        <v>71</v>
      </c>
      <c r="AA27" s="384" t="s">
        <v>40</v>
      </c>
      <c r="AB27" s="390"/>
      <c r="AC27" s="390"/>
      <c r="AD27" s="390"/>
      <c r="AE27" s="390"/>
      <c r="AF27" s="390"/>
      <c r="AG27" s="390"/>
      <c r="AH27" s="390"/>
      <c r="AI27" s="390"/>
      <c r="AJ27" s="390"/>
      <c r="AK27" s="428"/>
      <c r="AL27" s="427"/>
    </row>
    <row r="28" spans="1:39" ht="99.9" customHeight="1" x14ac:dyDescent="0.45">
      <c r="A28" s="377">
        <v>16</v>
      </c>
      <c r="B28" s="345" t="s">
        <v>93</v>
      </c>
      <c r="C28" s="378" t="s">
        <v>72</v>
      </c>
      <c r="D28" s="377" t="s">
        <v>74</v>
      </c>
      <c r="E28" s="377" t="s">
        <v>77</v>
      </c>
      <c r="F28" s="365" t="s">
        <v>139</v>
      </c>
      <c r="G28" s="366" t="s">
        <v>172</v>
      </c>
      <c r="H28" s="394">
        <v>1</v>
      </c>
      <c r="I28" s="394">
        <v>1</v>
      </c>
      <c r="J28" s="395">
        <v>1850</v>
      </c>
      <c r="K28" s="368">
        <v>1800</v>
      </c>
      <c r="L28" s="355">
        <f>IF(K28&lt;&gt;"",IF(D28="INTERNO",0,K28*$L$14),"")</f>
        <v>180</v>
      </c>
      <c r="M28" s="355">
        <f>IF(K28&lt;&gt;"",IF(E28="FAT.OGGI",SUM(K28:L28)*(1/(1-$M$14)-1),L28*(1/(1-$M$14)-1)),0)</f>
        <v>480.54430222443165</v>
      </c>
      <c r="N28" s="396">
        <f>SUM(K28:M28)</f>
        <v>2460.5443022244317</v>
      </c>
      <c r="P28" s="297"/>
      <c r="Q28" s="358">
        <f>IF(H28&lt;&gt;"",H28,"")</f>
        <v>1</v>
      </c>
      <c r="R28" s="358">
        <f>IF(I28&lt;&gt;"",I28,"")</f>
        <v>1</v>
      </c>
      <c r="S28" s="359">
        <v>4093.93</v>
      </c>
      <c r="T28" s="359">
        <v>4098.3100000000004</v>
      </c>
      <c r="U28" s="360">
        <f>IF(Q28&lt;&gt;"",K28-T28,"")</f>
        <v>-2298.3100000000004</v>
      </c>
      <c r="V28" s="361">
        <f>IF(Q28&lt;&gt;"",0%,"")</f>
        <v>0</v>
      </c>
      <c r="W28" s="362">
        <f>IF(Q28&lt;&gt;"",V28*U28,"")</f>
        <v>0</v>
      </c>
      <c r="X28" s="362">
        <f>IF(Q28&lt;&gt;"",W28+T28,"")</f>
        <v>4098.3100000000004</v>
      </c>
      <c r="Y28" s="362">
        <f>IF(Q28&lt;&gt;"",X28+M28,"")</f>
        <v>4578.8543022244321</v>
      </c>
      <c r="Z28" s="397">
        <f>IF(Q28&lt;&gt;"", IFERROR(U28/K28, 0), 0)</f>
        <v>-1.2768388888888891</v>
      </c>
      <c r="AA28" s="384"/>
      <c r="AB28" s="390"/>
      <c r="AC28" s="398">
        <v>2203.9299999999998</v>
      </c>
      <c r="AD28" s="399">
        <f>T28-AC28</f>
        <v>1894.3800000000006</v>
      </c>
      <c r="AE28" s="400">
        <v>46203</v>
      </c>
      <c r="AF28" s="390"/>
      <c r="AG28" s="401" t="s">
        <v>214</v>
      </c>
      <c r="AH28" s="401" t="s">
        <v>215</v>
      </c>
      <c r="AI28" s="390"/>
      <c r="AJ28" s="390"/>
      <c r="AK28" s="428">
        <f t="shared" si="11"/>
        <v>0</v>
      </c>
      <c r="AL28" s="427">
        <f>2208.31+1890</f>
        <v>4098.3099999999995</v>
      </c>
      <c r="AM28" s="545" t="s">
        <v>285</v>
      </c>
    </row>
    <row r="29" spans="1:39" ht="35.1" customHeight="1" thickBot="1" x14ac:dyDescent="0.5">
      <c r="A29" s="319">
        <v>17</v>
      </c>
      <c r="B29" s="345"/>
      <c r="C29" s="347" t="s">
        <v>75</v>
      </c>
      <c r="D29" s="319"/>
      <c r="E29" s="319"/>
      <c r="F29" s="598" t="s">
        <v>140</v>
      </c>
      <c r="G29" s="599"/>
      <c r="H29" s="599"/>
      <c r="I29" s="599"/>
      <c r="J29" s="599"/>
      <c r="K29" s="402">
        <f>SUM(K28:K28)</f>
        <v>1800</v>
      </c>
      <c r="L29" s="402">
        <f>SUM(L28:L28)</f>
        <v>180</v>
      </c>
      <c r="M29" s="402">
        <f>SUM(M28:M28)</f>
        <v>480.54430222443165</v>
      </c>
      <c r="N29" s="403">
        <f>SUM(N28:N28)</f>
        <v>2460.5443022244317</v>
      </c>
      <c r="P29" s="297"/>
      <c r="Q29" s="564" t="s">
        <v>89</v>
      </c>
      <c r="R29" s="564"/>
      <c r="S29" s="564"/>
      <c r="T29" s="404">
        <f>SUM(T28:T28)</f>
        <v>4098.3100000000004</v>
      </c>
      <c r="U29" s="405">
        <f>SUM(U28:U28)</f>
        <v>-2298.3100000000004</v>
      </c>
      <c r="V29" s="406"/>
      <c r="W29" s="406"/>
      <c r="X29" s="407">
        <f>SUM(X28:X28)</f>
        <v>4098.3100000000004</v>
      </c>
      <c r="Y29" s="408">
        <f>IF(Q29&lt;&gt;"",X29+M29,"")</f>
        <v>4578.8543022244321</v>
      </c>
      <c r="Z29" s="390"/>
      <c r="AA29" s="390"/>
      <c r="AB29" s="390"/>
      <c r="AC29" s="390"/>
      <c r="AD29" s="390"/>
      <c r="AE29" s="390"/>
      <c r="AF29" s="390"/>
      <c r="AG29" s="390"/>
      <c r="AH29" s="390"/>
      <c r="AI29" s="390"/>
      <c r="AJ29" s="390"/>
      <c r="AK29" s="428"/>
      <c r="AL29" s="427"/>
    </row>
    <row r="30" spans="1:39" ht="35.1" customHeight="1" thickBot="1" x14ac:dyDescent="0.5">
      <c r="A30" s="319">
        <v>18</v>
      </c>
      <c r="B30" s="345">
        <v>4</v>
      </c>
      <c r="C30" s="347" t="s">
        <v>66</v>
      </c>
      <c r="D30" s="319"/>
      <c r="E30" s="319"/>
      <c r="F30" s="595" t="s">
        <v>145</v>
      </c>
      <c r="G30" s="596"/>
      <c r="H30" s="596"/>
      <c r="I30" s="596"/>
      <c r="J30" s="596"/>
      <c r="K30" s="596"/>
      <c r="L30" s="596"/>
      <c r="M30" s="596"/>
      <c r="N30" s="597"/>
      <c r="P30" s="297"/>
      <c r="Q30" s="594" t="str">
        <f>IF(F30&lt;&gt;"",F30,"")</f>
        <v>ITENS (LOCAÇÃO)</v>
      </c>
      <c r="R30" s="594"/>
      <c r="S30" s="594"/>
      <c r="T30" s="594"/>
      <c r="U30" s="594"/>
      <c r="V30" s="594"/>
      <c r="W30" s="594"/>
      <c r="X30" s="594"/>
      <c r="Y30" s="594"/>
      <c r="Z30" s="390"/>
      <c r="AA30" s="390"/>
      <c r="AB30" s="390"/>
      <c r="AC30" s="390"/>
      <c r="AD30" s="390"/>
      <c r="AE30" s="390"/>
      <c r="AF30" s="390"/>
      <c r="AG30" s="390"/>
      <c r="AH30" s="390"/>
      <c r="AI30" s="390"/>
      <c r="AJ30" s="390"/>
      <c r="AK30" s="428"/>
      <c r="AL30" s="427"/>
    </row>
    <row r="31" spans="1:39" ht="35.1" customHeight="1" x14ac:dyDescent="0.45">
      <c r="A31" s="319">
        <v>19</v>
      </c>
      <c r="B31" s="345" t="s">
        <v>98</v>
      </c>
      <c r="C31" s="347" t="s">
        <v>67</v>
      </c>
      <c r="D31" s="319"/>
      <c r="E31" s="319"/>
      <c r="F31" s="573" t="s">
        <v>148</v>
      </c>
      <c r="G31" s="574"/>
      <c r="H31" s="574"/>
      <c r="I31" s="574"/>
      <c r="J31" s="574"/>
      <c r="K31" s="575"/>
      <c r="L31" s="391" t="s">
        <v>69</v>
      </c>
      <c r="M31" s="392" t="s">
        <v>70</v>
      </c>
      <c r="N31" s="393" t="s">
        <v>39</v>
      </c>
      <c r="P31" s="297"/>
      <c r="Q31" s="564" t="str">
        <f>IF(F31&lt;&gt;"",F31,"")</f>
        <v>Itens (Locação)</v>
      </c>
      <c r="R31" s="564"/>
      <c r="S31" s="564"/>
      <c r="T31" s="564"/>
      <c r="U31" s="564"/>
      <c r="V31" s="564"/>
      <c r="W31" s="564"/>
      <c r="X31" s="564"/>
      <c r="Y31" s="564"/>
      <c r="Z31" s="384" t="s">
        <v>71</v>
      </c>
      <c r="AA31" s="384" t="s">
        <v>40</v>
      </c>
      <c r="AB31" s="390"/>
      <c r="AC31" s="390"/>
      <c r="AD31" s="390"/>
      <c r="AE31" s="390"/>
      <c r="AF31" s="390"/>
      <c r="AG31" s="390"/>
      <c r="AH31" s="390"/>
      <c r="AI31" s="390"/>
      <c r="AJ31" s="390"/>
      <c r="AK31" s="428"/>
      <c r="AL31" s="427"/>
    </row>
    <row r="32" spans="1:39" ht="99.9" customHeight="1" x14ac:dyDescent="0.4">
      <c r="A32" s="319">
        <v>22</v>
      </c>
      <c r="B32" s="345" t="s">
        <v>138</v>
      </c>
      <c r="C32" s="347" t="s">
        <v>72</v>
      </c>
      <c r="D32" s="319" t="s">
        <v>74</v>
      </c>
      <c r="E32" s="319" t="s">
        <v>77</v>
      </c>
      <c r="F32" s="371" t="s">
        <v>147</v>
      </c>
      <c r="G32" s="409" t="s">
        <v>146</v>
      </c>
      <c r="H32" s="385">
        <v>1</v>
      </c>
      <c r="I32" s="385">
        <v>4</v>
      </c>
      <c r="J32" s="375">
        <v>550</v>
      </c>
      <c r="K32" s="375">
        <f t="shared" ref="K32" si="23">IF(F32&lt;&gt;"",H32*I32*J32,"")</f>
        <v>2200</v>
      </c>
      <c r="L32" s="375">
        <f t="shared" ref="L32" si="24">IF(K32&lt;&gt;"",IF(D32="INTERNO",0,K32*$L$14),"")</f>
        <v>220</v>
      </c>
      <c r="M32" s="375">
        <f t="shared" ref="M32" si="25">IF(K32&lt;&gt;"",IF(E32="FAT.OGGI",SUM(K32:L32)*(1/(1-$M$14)-1),L32*(1/(1-$M$14)-1)),0)</f>
        <v>587.33192494097193</v>
      </c>
      <c r="N32" s="376">
        <f t="shared" ref="N32" si="26">SUM(K32:M32)</f>
        <v>3007.3319249409719</v>
      </c>
      <c r="P32" s="297"/>
      <c r="Q32" s="358">
        <f t="shared" ref="Q32" si="27">IF(H32&lt;&gt;"",H32,"")</f>
        <v>1</v>
      </c>
      <c r="R32" s="358">
        <v>0</v>
      </c>
      <c r="S32" s="359">
        <v>0</v>
      </c>
      <c r="T32" s="359">
        <v>6060</v>
      </c>
      <c r="U32" s="382">
        <f t="shared" ref="U32" si="28">IF(Q32&lt;&gt;"",K32-T32,"")</f>
        <v>-3860</v>
      </c>
      <c r="V32" s="361">
        <f t="shared" ref="V32" si="29">IF(Q32&lt;&gt;"",0%,"")</f>
        <v>0</v>
      </c>
      <c r="W32" s="362">
        <f t="shared" ref="W32" si="30">IF(Q32&lt;&gt;"",V32*U32,"")</f>
        <v>0</v>
      </c>
      <c r="X32" s="383">
        <f t="shared" ref="X32" si="31">IF(Q32&lt;&gt;"",W32+T32,"")</f>
        <v>6060</v>
      </c>
      <c r="Y32" s="383">
        <f t="shared" ref="Y32" si="32">IF(Q32&lt;&gt;"",X32+M32,"")</f>
        <v>6647.3319249409724</v>
      </c>
      <c r="Z32" s="363">
        <f t="shared" ref="Z32" si="33">IF(Q32&lt;&gt;"", IFERROR(U32/K32, 0), 0)</f>
        <v>-1.7545454545454546</v>
      </c>
      <c r="AA32" s="363">
        <f>IFERROR(T32/$T$33, "")</f>
        <v>1</v>
      </c>
      <c r="AB32" s="390"/>
      <c r="AC32" s="390"/>
      <c r="AD32" s="390"/>
      <c r="AE32" s="390"/>
      <c r="AF32" s="390"/>
      <c r="AG32" s="390"/>
      <c r="AH32" s="390"/>
      <c r="AI32" s="390"/>
      <c r="AJ32" s="390"/>
      <c r="AK32" s="428">
        <f t="shared" si="11"/>
        <v>0</v>
      </c>
      <c r="AL32" s="427">
        <v>6060</v>
      </c>
      <c r="AM32" s="545" t="s">
        <v>313</v>
      </c>
    </row>
    <row r="33" spans="1:39" ht="35.1" customHeight="1" thickBot="1" x14ac:dyDescent="0.5">
      <c r="A33" s="377">
        <v>23</v>
      </c>
      <c r="B33" s="345"/>
      <c r="C33" s="378" t="s">
        <v>75</v>
      </c>
      <c r="D33" s="377"/>
      <c r="E33" s="377"/>
      <c r="F33" s="562" t="s">
        <v>169</v>
      </c>
      <c r="G33" s="563"/>
      <c r="H33" s="563"/>
      <c r="I33" s="563"/>
      <c r="J33" s="563"/>
      <c r="K33" s="388">
        <f>SUM(K32:K32)</f>
        <v>2200</v>
      </c>
      <c r="L33" s="388">
        <f>SUM(L32:L32)</f>
        <v>220</v>
      </c>
      <c r="M33" s="388">
        <f>SUM(M32:M32)</f>
        <v>587.33192494097193</v>
      </c>
      <c r="N33" s="389">
        <f>SUM(N32:N32)</f>
        <v>3007.3319249409719</v>
      </c>
      <c r="P33" s="297"/>
      <c r="Q33" s="576" t="s">
        <v>169</v>
      </c>
      <c r="R33" s="576"/>
      <c r="S33" s="576"/>
      <c r="T33" s="381">
        <f>SUM(T32:T32)</f>
        <v>6060</v>
      </c>
      <c r="U33" s="382">
        <f>SUM(U32:U32)</f>
        <v>-3860</v>
      </c>
      <c r="V33" s="361"/>
      <c r="W33" s="362"/>
      <c r="X33" s="383">
        <f>SUM(X32:X32)</f>
        <v>6060</v>
      </c>
      <c r="Y33" s="383">
        <f>IF(Q33&lt;&gt;"",X33+M33,"")</f>
        <v>6647.3319249409724</v>
      </c>
      <c r="Z33" s="363"/>
      <c r="AA33" s="363"/>
      <c r="AB33" s="390"/>
      <c r="AC33" s="390"/>
      <c r="AD33" s="390"/>
      <c r="AE33" s="390"/>
      <c r="AF33" s="390"/>
      <c r="AG33" s="390"/>
      <c r="AH33" s="390"/>
      <c r="AI33" s="390"/>
      <c r="AJ33" s="390"/>
      <c r="AK33" s="428"/>
      <c r="AL33" s="427"/>
    </row>
    <row r="34" spans="1:39" ht="35.1" customHeight="1" thickBot="1" x14ac:dyDescent="0.5">
      <c r="A34" s="344">
        <v>24</v>
      </c>
      <c r="B34" s="345">
        <v>5</v>
      </c>
      <c r="C34" s="346" t="s">
        <v>66</v>
      </c>
      <c r="D34" s="344"/>
      <c r="E34" s="344"/>
      <c r="F34" s="581" t="s">
        <v>132</v>
      </c>
      <c r="G34" s="582"/>
      <c r="H34" s="582"/>
      <c r="I34" s="582"/>
      <c r="J34" s="582"/>
      <c r="K34" s="582"/>
      <c r="L34" s="582"/>
      <c r="M34" s="582"/>
      <c r="N34" s="583"/>
      <c r="P34" s="297"/>
      <c r="Q34" s="594" t="str">
        <f>IF(F34&lt;&gt;"",F34,"")</f>
        <v>STAFF</v>
      </c>
      <c r="R34" s="594"/>
      <c r="S34" s="594"/>
      <c r="T34" s="594"/>
      <c r="U34" s="594"/>
      <c r="V34" s="594"/>
      <c r="W34" s="594"/>
      <c r="X34" s="594"/>
      <c r="Y34" s="594"/>
      <c r="Z34" s="390"/>
      <c r="AA34" s="390"/>
      <c r="AB34" s="390"/>
      <c r="AC34" s="390"/>
      <c r="AD34" s="390"/>
      <c r="AE34" s="390"/>
      <c r="AF34" s="390"/>
      <c r="AG34" s="390"/>
      <c r="AH34" s="390"/>
      <c r="AI34" s="390"/>
      <c r="AJ34" s="390"/>
      <c r="AK34" s="428"/>
      <c r="AL34" s="427"/>
    </row>
    <row r="35" spans="1:39" ht="35.1" customHeight="1" x14ac:dyDescent="0.45">
      <c r="A35" s="319">
        <v>25</v>
      </c>
      <c r="B35" s="345" t="s">
        <v>143</v>
      </c>
      <c r="C35" s="347" t="s">
        <v>67</v>
      </c>
      <c r="D35" s="319"/>
      <c r="E35" s="319"/>
      <c r="F35" s="573" t="s">
        <v>133</v>
      </c>
      <c r="G35" s="574"/>
      <c r="H35" s="574"/>
      <c r="I35" s="574"/>
      <c r="J35" s="574"/>
      <c r="K35" s="575"/>
      <c r="L35" s="410" t="s">
        <v>69</v>
      </c>
      <c r="M35" s="411" t="s">
        <v>70</v>
      </c>
      <c r="N35" s="412" t="s">
        <v>39</v>
      </c>
      <c r="P35" s="297"/>
      <c r="Q35" s="564" t="str">
        <f>IF(F35&lt;&gt;"",F35,"")</f>
        <v>Staff</v>
      </c>
      <c r="R35" s="564"/>
      <c r="S35" s="564"/>
      <c r="T35" s="564"/>
      <c r="U35" s="564"/>
      <c r="V35" s="564"/>
      <c r="W35" s="564"/>
      <c r="X35" s="564"/>
      <c r="Y35" s="564"/>
      <c r="Z35" s="384" t="s">
        <v>71</v>
      </c>
      <c r="AA35" s="384" t="s">
        <v>40</v>
      </c>
      <c r="AB35" s="390"/>
      <c r="AC35" s="390"/>
      <c r="AD35" s="390"/>
      <c r="AE35" s="390"/>
      <c r="AF35" s="390"/>
      <c r="AG35" s="390"/>
      <c r="AH35" s="390"/>
      <c r="AI35" s="390"/>
      <c r="AJ35" s="390"/>
      <c r="AK35" s="428"/>
      <c r="AL35" s="427"/>
    </row>
    <row r="36" spans="1:39" ht="99.9" customHeight="1" x14ac:dyDescent="0.45">
      <c r="A36" s="319">
        <v>26</v>
      </c>
      <c r="B36" s="345" t="s">
        <v>144</v>
      </c>
      <c r="C36" s="347" t="s">
        <v>72</v>
      </c>
      <c r="D36" s="319" t="s">
        <v>74</v>
      </c>
      <c r="E36" s="319" t="s">
        <v>77</v>
      </c>
      <c r="F36" s="413" t="s">
        <v>150</v>
      </c>
      <c r="G36" s="414" t="s">
        <v>280</v>
      </c>
      <c r="H36" s="385">
        <v>1</v>
      </c>
      <c r="I36" s="385">
        <v>6</v>
      </c>
      <c r="J36" s="375">
        <v>950</v>
      </c>
      <c r="K36" s="375">
        <f>IF(F36&lt;&gt;"",H36*I36*J36,"")</f>
        <v>5700</v>
      </c>
      <c r="L36" s="375">
        <f>IF(K36&lt;&gt;"",IF(D36="INTERNO",0,K36*$L$14),"")</f>
        <v>570</v>
      </c>
      <c r="M36" s="375">
        <f>IF(K36&lt;&gt;"",IF(E36="FAT.OGGI",SUM(K36:L36)*(1/(1-$M$14)-1),L36*(1/(1-$M$14)-1)),0)</f>
        <v>1521.7236237107002</v>
      </c>
      <c r="N36" s="376">
        <f>SUM(K36:M36)</f>
        <v>7791.7236237106999</v>
      </c>
      <c r="P36" s="387" t="s">
        <v>189</v>
      </c>
      <c r="Q36" s="358">
        <f>IF(H36&lt;&gt;"",H36,"")</f>
        <v>1</v>
      </c>
      <c r="R36" s="358">
        <v>1</v>
      </c>
      <c r="S36" s="359">
        <v>6500</v>
      </c>
      <c r="T36" s="359">
        <f>IF(Q36&lt;&gt;"",Q36*R36*S36,"")</f>
        <v>6500</v>
      </c>
      <c r="U36" s="360">
        <f>IF(Q36&lt;&gt;"",K36-T36,"")</f>
        <v>-800</v>
      </c>
      <c r="V36" s="361">
        <f>IF(Q36&lt;&gt;"",0%,"")</f>
        <v>0</v>
      </c>
      <c r="W36" s="362">
        <f>IF(Q36&lt;&gt;"",V36*U36,"")</f>
        <v>0</v>
      </c>
      <c r="X36" s="362">
        <f>IF(Q36&lt;&gt;"",W36+T36,"")</f>
        <v>6500</v>
      </c>
      <c r="Y36" s="362">
        <f>IF(Q36&lt;&gt;"",X36+M36,"")</f>
        <v>8021.7236237106999</v>
      </c>
      <c r="Z36" s="363">
        <f>IF(Q36&lt;&gt;"", IFERROR(U36/K36, 0), 0)</f>
        <v>-0.14035087719298245</v>
      </c>
      <c r="AA36" s="363"/>
      <c r="AB36" s="390"/>
      <c r="AC36" s="398">
        <v>6500</v>
      </c>
      <c r="AD36" s="399">
        <f>T36-AC36</f>
        <v>0</v>
      </c>
      <c r="AE36" s="400">
        <v>46204</v>
      </c>
      <c r="AF36" s="390"/>
      <c r="AG36" s="401" t="s">
        <v>220</v>
      </c>
      <c r="AH36" s="401" t="s">
        <v>221</v>
      </c>
      <c r="AI36" s="390"/>
      <c r="AJ36" s="390"/>
      <c r="AK36" s="428">
        <f t="shared" si="11"/>
        <v>0</v>
      </c>
      <c r="AL36" s="427">
        <v>6500</v>
      </c>
      <c r="AM36" s="545" t="s">
        <v>286</v>
      </c>
    </row>
    <row r="37" spans="1:39" ht="99.9" customHeight="1" x14ac:dyDescent="0.45">
      <c r="A37" s="319">
        <v>27</v>
      </c>
      <c r="B37" s="345" t="s">
        <v>175</v>
      </c>
      <c r="C37" s="347" t="s">
        <v>72</v>
      </c>
      <c r="D37" s="319" t="s">
        <v>74</v>
      </c>
      <c r="E37" s="319" t="s">
        <v>77</v>
      </c>
      <c r="F37" s="371" t="s">
        <v>165</v>
      </c>
      <c r="G37" s="372" t="s">
        <v>151</v>
      </c>
      <c r="H37" s="385">
        <v>1</v>
      </c>
      <c r="I37" s="385">
        <v>5</v>
      </c>
      <c r="J37" s="375">
        <v>900</v>
      </c>
      <c r="K37" s="375">
        <f>IF(F37&lt;&gt;"",H37*I37*J37,"")</f>
        <v>4500</v>
      </c>
      <c r="L37" s="375">
        <f>IF(K37&lt;&gt;"",IF(D37="INTERNO",0,K37*$L$14),"")</f>
        <v>450</v>
      </c>
      <c r="M37" s="375">
        <f>IF(K37&lt;&gt;"",IF(E37="FAT.OGGI",SUM(K37:L37)*(1/(1-$M$14)-1),L37*(1/(1-$M$14)-1)),0)</f>
        <v>1201.360755561079</v>
      </c>
      <c r="N37" s="376">
        <f>SUM(K37:M37)</f>
        <v>6151.3607555610788</v>
      </c>
      <c r="P37" s="297"/>
      <c r="Q37" s="358">
        <f>IF(H37&lt;&gt;"",H37,"")</f>
        <v>1</v>
      </c>
      <c r="R37" s="358">
        <v>1</v>
      </c>
      <c r="S37" s="359">
        <v>3250</v>
      </c>
      <c r="T37" s="359">
        <f>IF(Q37&lt;&gt;"",Q37*R37*S37,"")</f>
        <v>3250</v>
      </c>
      <c r="U37" s="360">
        <f>IF(Q37&lt;&gt;"",K37-T37,"")</f>
        <v>1250</v>
      </c>
      <c r="V37" s="361">
        <f>IF(Q37&lt;&gt;"",0%,"")</f>
        <v>0</v>
      </c>
      <c r="W37" s="362">
        <f>IF(Q37&lt;&gt;"",V37*U37,"")</f>
        <v>0</v>
      </c>
      <c r="X37" s="362">
        <f>IF(Q37&lt;&gt;"",W37+T37,"")</f>
        <v>3250</v>
      </c>
      <c r="Y37" s="362">
        <f>IF(Q37&lt;&gt;"",X37+M37,"")</f>
        <v>4451.3607555610788</v>
      </c>
      <c r="Z37" s="363">
        <f>IF(Q37&lt;&gt;"", IFERROR(U37/K37, 0), 0)</f>
        <v>0.27777777777777779</v>
      </c>
      <c r="AA37" s="363"/>
      <c r="AB37" s="390"/>
      <c r="AC37" s="398">
        <v>3250</v>
      </c>
      <c r="AD37" s="399">
        <f>T37-AC37</f>
        <v>0</v>
      </c>
      <c r="AE37" s="400">
        <v>46203</v>
      </c>
      <c r="AF37" s="390"/>
      <c r="AG37" s="401" t="s">
        <v>216</v>
      </c>
      <c r="AH37" s="401" t="s">
        <v>217</v>
      </c>
      <c r="AI37" s="390"/>
      <c r="AJ37" s="390"/>
      <c r="AK37" s="428">
        <f t="shared" si="11"/>
        <v>0</v>
      </c>
      <c r="AL37" s="427">
        <v>3250</v>
      </c>
      <c r="AM37" s="545" t="s">
        <v>287</v>
      </c>
    </row>
    <row r="38" spans="1:39" ht="99.9" customHeight="1" x14ac:dyDescent="0.4">
      <c r="A38" s="319">
        <v>28</v>
      </c>
      <c r="B38" s="345" t="s">
        <v>176</v>
      </c>
      <c r="C38" s="347" t="s">
        <v>72</v>
      </c>
      <c r="D38" s="319" t="s">
        <v>74</v>
      </c>
      <c r="E38" s="319" t="s">
        <v>77</v>
      </c>
      <c r="F38" s="371" t="s">
        <v>136</v>
      </c>
      <c r="G38" s="372" t="s">
        <v>281</v>
      </c>
      <c r="H38" s="385">
        <v>1</v>
      </c>
      <c r="I38" s="385">
        <v>1</v>
      </c>
      <c r="J38" s="375">
        <v>2400</v>
      </c>
      <c r="K38" s="375">
        <f t="shared" ref="K38:K41" si="34">IF(F38&lt;&gt;"",H38*I38*J38,"")</f>
        <v>2400</v>
      </c>
      <c r="L38" s="375">
        <f>IF(K38&lt;&gt;"",IF(D38="INTERNO",0,K38*$L$14),"")</f>
        <v>240</v>
      </c>
      <c r="M38" s="375">
        <f>IF(K38&lt;&gt;"",IF(E38="FAT.OGGI",SUM(K38:L38)*(1/(1-$M$14)-1),L38*(1/(1-$M$14)-1)),0)</f>
        <v>640.72573629924216</v>
      </c>
      <c r="N38" s="376">
        <f t="shared" ref="N38:N41" si="35">SUM(K38:M38)</f>
        <v>3280.7257362992423</v>
      </c>
      <c r="P38" s="297"/>
      <c r="Q38" s="358">
        <f t="shared" ref="Q38:Q41" si="36">IF(H38&lt;&gt;"",H38,"")</f>
        <v>1</v>
      </c>
      <c r="R38" s="358">
        <f t="shared" ref="R38:R41" si="37">IF(I38&lt;&gt;"",I38,"")</f>
        <v>1</v>
      </c>
      <c r="S38" s="359">
        <v>2058</v>
      </c>
      <c r="T38" s="359">
        <f t="shared" ref="T38:T40" si="38">IF(Q38&lt;&gt;"",Q38*R38*S38,"")</f>
        <v>2058</v>
      </c>
      <c r="U38" s="360">
        <f t="shared" ref="U38:U41" si="39">IF(Q38&lt;&gt;"",K38-T38,"")</f>
        <v>342</v>
      </c>
      <c r="V38" s="361">
        <f t="shared" ref="V38:V41" si="40">IF(Q38&lt;&gt;"",0%,"")</f>
        <v>0</v>
      </c>
      <c r="W38" s="362">
        <f t="shared" ref="W38:W41" si="41">IF(Q38&lt;&gt;"",V38*U38,"")</f>
        <v>0</v>
      </c>
      <c r="X38" s="362">
        <f t="shared" ref="X38:X41" si="42">IF(Q38&lt;&gt;"",W38+T38,"")</f>
        <v>2058</v>
      </c>
      <c r="Y38" s="362">
        <f t="shared" ref="Y38:Y42" si="43">IF(Q38&lt;&gt;"",X38+M38,"")</f>
        <v>2698.7257362992423</v>
      </c>
      <c r="Z38" s="363">
        <f>IF(Q38&lt;&gt;"",U38/K38,"")</f>
        <v>0.14249999999999999</v>
      </c>
      <c r="AA38" s="363">
        <f>T38/$T$42</f>
        <v>6.7506042085982626E-2</v>
      </c>
      <c r="AB38" s="390"/>
      <c r="AC38" s="390"/>
      <c r="AD38" s="390"/>
      <c r="AE38" s="390"/>
      <c r="AF38" s="390"/>
      <c r="AG38" s="390"/>
      <c r="AH38" s="390"/>
      <c r="AI38" s="390"/>
      <c r="AJ38" s="390"/>
      <c r="AK38" s="428">
        <f t="shared" si="11"/>
        <v>0</v>
      </c>
      <c r="AL38" s="427">
        <v>2058</v>
      </c>
      <c r="AM38" s="545" t="s">
        <v>288</v>
      </c>
    </row>
    <row r="39" spans="1:39" ht="99.9" customHeight="1" x14ac:dyDescent="0.45">
      <c r="A39" s="319">
        <v>29</v>
      </c>
      <c r="B39" s="345" t="s">
        <v>177</v>
      </c>
      <c r="C39" s="347" t="s">
        <v>72</v>
      </c>
      <c r="D39" s="319" t="s">
        <v>74</v>
      </c>
      <c r="E39" s="319" t="s">
        <v>77</v>
      </c>
      <c r="F39" s="371" t="s">
        <v>141</v>
      </c>
      <c r="G39" s="372" t="s">
        <v>282</v>
      </c>
      <c r="H39" s="385">
        <v>1</v>
      </c>
      <c r="I39" s="385">
        <v>1</v>
      </c>
      <c r="J39" s="375">
        <v>880</v>
      </c>
      <c r="K39" s="375">
        <f t="shared" si="34"/>
        <v>880</v>
      </c>
      <c r="L39" s="375">
        <f t="shared" ref="L39:L41" si="44">IF(K39&lt;&gt;"",IF(D39="INTERNO",0,K39*$L$14),"")</f>
        <v>88</v>
      </c>
      <c r="M39" s="375">
        <f t="shared" ref="M39:M41" si="45">IF(K39&lt;&gt;"",IF(E39="FAT.OGGI",SUM(K39:L39)*(1/(1-$M$14)-1),L39*(1/(1-$M$14)-1)),0)</f>
        <v>234.93276997638878</v>
      </c>
      <c r="N39" s="376">
        <f t="shared" si="35"/>
        <v>1202.9327699763887</v>
      </c>
      <c r="P39" s="297"/>
      <c r="Q39" s="358">
        <f t="shared" si="36"/>
        <v>1</v>
      </c>
      <c r="R39" s="358">
        <f t="shared" si="37"/>
        <v>1</v>
      </c>
      <c r="S39" s="359">
        <v>1245.42</v>
      </c>
      <c r="T39" s="359">
        <f t="shared" si="38"/>
        <v>1245.42</v>
      </c>
      <c r="U39" s="360">
        <f t="shared" si="39"/>
        <v>-365.42000000000007</v>
      </c>
      <c r="V39" s="361">
        <f t="shared" si="40"/>
        <v>0</v>
      </c>
      <c r="W39" s="362">
        <f t="shared" si="41"/>
        <v>0</v>
      </c>
      <c r="X39" s="362">
        <f t="shared" si="42"/>
        <v>1245.42</v>
      </c>
      <c r="Y39" s="362">
        <f t="shared" si="43"/>
        <v>1480.3527699763888</v>
      </c>
      <c r="Z39" s="363">
        <f t="shared" ref="Z39:Z41" si="46">IF(Q39&lt;&gt;"", IFERROR(U39/K39, 0), 0)</f>
        <v>-0.41525000000000006</v>
      </c>
      <c r="AA39" s="363"/>
      <c r="AB39" s="390"/>
      <c r="AC39" s="398">
        <v>419.54</v>
      </c>
      <c r="AD39" s="399">
        <f>T39-AC39</f>
        <v>825.88000000000011</v>
      </c>
      <c r="AE39" s="400">
        <v>46191</v>
      </c>
      <c r="AF39" s="390"/>
      <c r="AG39" s="401" t="s">
        <v>208</v>
      </c>
      <c r="AH39" s="401" t="s">
        <v>209</v>
      </c>
      <c r="AI39" s="390"/>
      <c r="AJ39" s="390"/>
      <c r="AK39" s="428">
        <f t="shared" si="11"/>
        <v>0</v>
      </c>
      <c r="AL39" s="427">
        <f>419.54+825.88</f>
        <v>1245.42</v>
      </c>
      <c r="AM39" s="545" t="s">
        <v>289</v>
      </c>
    </row>
    <row r="40" spans="1:39" ht="99.9" customHeight="1" x14ac:dyDescent="0.45">
      <c r="A40" s="319">
        <v>31</v>
      </c>
      <c r="B40" s="345" t="s">
        <v>178</v>
      </c>
      <c r="C40" s="347" t="s">
        <v>72</v>
      </c>
      <c r="D40" s="319" t="s">
        <v>74</v>
      </c>
      <c r="E40" s="319" t="s">
        <v>77</v>
      </c>
      <c r="F40" s="371" t="s">
        <v>149</v>
      </c>
      <c r="G40" s="372" t="s">
        <v>283</v>
      </c>
      <c r="H40" s="385">
        <v>4</v>
      </c>
      <c r="I40" s="385">
        <v>4</v>
      </c>
      <c r="J40" s="375">
        <v>800</v>
      </c>
      <c r="K40" s="375">
        <f t="shared" si="34"/>
        <v>12800</v>
      </c>
      <c r="L40" s="375">
        <f t="shared" si="44"/>
        <v>1280</v>
      </c>
      <c r="M40" s="375">
        <f t="shared" si="45"/>
        <v>3417.2039269292914</v>
      </c>
      <c r="N40" s="376">
        <f t="shared" si="35"/>
        <v>17497.203926929291</v>
      </c>
      <c r="P40" s="297"/>
      <c r="Q40" s="358">
        <v>1</v>
      </c>
      <c r="R40" s="358">
        <v>1</v>
      </c>
      <c r="S40" s="359">
        <v>8000</v>
      </c>
      <c r="T40" s="359">
        <f t="shared" si="38"/>
        <v>8000</v>
      </c>
      <c r="U40" s="360">
        <f t="shared" si="39"/>
        <v>4800</v>
      </c>
      <c r="V40" s="361">
        <f t="shared" si="40"/>
        <v>0</v>
      </c>
      <c r="W40" s="362">
        <f t="shared" si="41"/>
        <v>0</v>
      </c>
      <c r="X40" s="362">
        <f t="shared" si="42"/>
        <v>8000</v>
      </c>
      <c r="Y40" s="362">
        <f t="shared" si="43"/>
        <v>11417.203926929291</v>
      </c>
      <c r="Z40" s="363">
        <f t="shared" si="46"/>
        <v>0.375</v>
      </c>
      <c r="AA40" s="363"/>
      <c r="AB40" s="390"/>
      <c r="AC40" s="398">
        <v>8000</v>
      </c>
      <c r="AD40" s="399">
        <f>T40-AC40</f>
        <v>0</v>
      </c>
      <c r="AE40" s="400">
        <v>46204</v>
      </c>
      <c r="AF40" s="390"/>
      <c r="AG40" s="401" t="s">
        <v>224</v>
      </c>
      <c r="AH40" s="401" t="s">
        <v>225</v>
      </c>
      <c r="AI40" s="390"/>
      <c r="AJ40" s="390"/>
      <c r="AK40" s="428">
        <f t="shared" si="11"/>
        <v>0</v>
      </c>
      <c r="AL40" s="427">
        <f>2000+2000+2000+2000</f>
        <v>8000</v>
      </c>
      <c r="AM40" s="545" t="s">
        <v>290</v>
      </c>
    </row>
    <row r="41" spans="1:39" ht="99.9" customHeight="1" x14ac:dyDescent="0.45">
      <c r="A41" s="319">
        <v>32</v>
      </c>
      <c r="B41" s="345" t="s">
        <v>179</v>
      </c>
      <c r="C41" s="347" t="s">
        <v>72</v>
      </c>
      <c r="D41" s="319" t="s">
        <v>74</v>
      </c>
      <c r="E41" s="319" t="s">
        <v>77</v>
      </c>
      <c r="F41" s="415" t="s">
        <v>157</v>
      </c>
      <c r="G41" s="416" t="s">
        <v>158</v>
      </c>
      <c r="H41" s="417">
        <v>1</v>
      </c>
      <c r="I41" s="417">
        <v>1</v>
      </c>
      <c r="J41" s="356">
        <v>2000</v>
      </c>
      <c r="K41" s="356">
        <f t="shared" si="34"/>
        <v>2000</v>
      </c>
      <c r="L41" s="356">
        <f t="shared" si="44"/>
        <v>200</v>
      </c>
      <c r="M41" s="356">
        <f t="shared" si="45"/>
        <v>533.93811358270182</v>
      </c>
      <c r="N41" s="418">
        <f t="shared" si="35"/>
        <v>2733.9381135827016</v>
      </c>
      <c r="P41" s="297"/>
      <c r="Q41" s="358">
        <f t="shared" si="36"/>
        <v>1</v>
      </c>
      <c r="R41" s="358">
        <f t="shared" si="37"/>
        <v>1</v>
      </c>
      <c r="S41" s="359">
        <v>3908.83</v>
      </c>
      <c r="T41" s="359">
        <v>9432.74</v>
      </c>
      <c r="U41" s="360">
        <f t="shared" si="39"/>
        <v>-7432.74</v>
      </c>
      <c r="V41" s="361">
        <f t="shared" si="40"/>
        <v>0</v>
      </c>
      <c r="W41" s="362">
        <f t="shared" si="41"/>
        <v>0</v>
      </c>
      <c r="X41" s="362">
        <f t="shared" si="42"/>
        <v>9432.74</v>
      </c>
      <c r="Y41" s="362">
        <f t="shared" si="43"/>
        <v>9966.6781135827023</v>
      </c>
      <c r="Z41" s="363">
        <f t="shared" si="46"/>
        <v>-3.71637</v>
      </c>
      <c r="AA41" s="363"/>
      <c r="AB41" s="390"/>
      <c r="AC41" s="398">
        <v>2000</v>
      </c>
      <c r="AD41" s="399">
        <f>T41-AC41</f>
        <v>7432.74</v>
      </c>
      <c r="AE41" s="400">
        <v>46191</v>
      </c>
      <c r="AF41" s="390"/>
      <c r="AG41" s="401" t="s">
        <v>206</v>
      </c>
      <c r="AH41" s="401" t="s">
        <v>207</v>
      </c>
      <c r="AI41" s="390"/>
      <c r="AJ41" s="390"/>
      <c r="AK41" s="428">
        <f t="shared" si="11"/>
        <v>0</v>
      </c>
      <c r="AL41" s="428">
        <f>'CUSTOS OP.'!H21</f>
        <v>9432.74</v>
      </c>
      <c r="AM41" s="545" t="s">
        <v>302</v>
      </c>
    </row>
    <row r="42" spans="1:39" ht="35.1" customHeight="1" thickBot="1" x14ac:dyDescent="0.5">
      <c r="A42" s="319">
        <v>33</v>
      </c>
      <c r="B42" s="345"/>
      <c r="C42" s="347" t="s">
        <v>75</v>
      </c>
      <c r="D42" s="319"/>
      <c r="E42" s="319"/>
      <c r="F42" s="562" t="s">
        <v>159</v>
      </c>
      <c r="G42" s="563"/>
      <c r="H42" s="563"/>
      <c r="I42" s="563"/>
      <c r="J42" s="563"/>
      <c r="K42" s="419">
        <f>SUM(K36:K41)</f>
        <v>28280</v>
      </c>
      <c r="L42" s="419">
        <f>SUM(L36:L41)</f>
        <v>2828</v>
      </c>
      <c r="M42" s="419">
        <f>SUM(M36:M41)</f>
        <v>7549.8849260594034</v>
      </c>
      <c r="N42" s="420">
        <f>SUM(N36:N41)</f>
        <v>38657.8849260594</v>
      </c>
      <c r="P42" s="297"/>
      <c r="Q42" s="564" t="s">
        <v>105</v>
      </c>
      <c r="R42" s="564"/>
      <c r="S42" s="564"/>
      <c r="T42" s="404">
        <f>SUM(T36:T41)</f>
        <v>30486.159999999996</v>
      </c>
      <c r="U42" s="405">
        <f>SUM(U36:U41)</f>
        <v>-2206.16</v>
      </c>
      <c r="V42" s="406"/>
      <c r="W42" s="406"/>
      <c r="X42" s="407">
        <f>SUM(X36:X41)</f>
        <v>30486.159999999996</v>
      </c>
      <c r="Y42" s="408">
        <f t="shared" si="43"/>
        <v>38036.044926059403</v>
      </c>
      <c r="Z42" s="421" t="s">
        <v>90</v>
      </c>
      <c r="AA42" s="421" t="s">
        <v>91</v>
      </c>
      <c r="AB42" s="390"/>
      <c r="AC42" s="390"/>
      <c r="AD42" s="390"/>
      <c r="AE42" s="390"/>
      <c r="AF42" s="390"/>
      <c r="AG42" s="390"/>
      <c r="AH42" s="390"/>
      <c r="AI42" s="390"/>
      <c r="AJ42" s="390"/>
      <c r="AK42" s="428"/>
      <c r="AL42" s="427"/>
    </row>
    <row r="43" spans="1:39" ht="35.1" customHeight="1" thickBot="1" x14ac:dyDescent="0.5">
      <c r="A43" s="377">
        <v>34</v>
      </c>
      <c r="B43" s="422"/>
      <c r="C43" s="378" t="s">
        <v>76</v>
      </c>
      <c r="D43" s="377"/>
      <c r="E43" s="377"/>
      <c r="F43" s="40" t="s">
        <v>160</v>
      </c>
      <c r="G43" s="41"/>
      <c r="H43" s="91"/>
      <c r="I43" s="91"/>
      <c r="J43" s="41"/>
      <c r="K43" s="42">
        <f>SUM(K17:K20)+SUM(K24:K24)+SUM(K28:K28)+SUM(K32:K32)+SUM(K36:K41)</f>
        <v>232730</v>
      </c>
      <c r="L43" s="42">
        <f>SUM(L17:L20)+SUM(L24:L24)+SUM(L28:L28)+SUM(L32:L32)+SUM(L36:L41)</f>
        <v>21403</v>
      </c>
      <c r="M43" s="42">
        <f>SUM(M17:M20)+SUM(M24:M24)+SUM(M28:M28)+SUM(M32:M32)+SUM(M36:M41)</f>
        <v>17567.292034298502</v>
      </c>
      <c r="N43" s="80">
        <f>SUM(N17:N20)+SUM(N24:N24)+SUM(N28:N28)+SUM(N32:N32)+SUM(N36:N41)</f>
        <v>271700.29203429853</v>
      </c>
      <c r="P43" s="297"/>
      <c r="Q43" s="288" t="s">
        <v>13</v>
      </c>
      <c r="R43" s="288"/>
      <c r="S43" s="289"/>
      <c r="T43" s="290">
        <f>SUM(T17:T20)+SUM(T24:T24)+SUM(T28:T28)+SUM(T32:T32)+SUM(T36:T41)</f>
        <v>208644.47</v>
      </c>
      <c r="U43" s="290">
        <f>SUM(U17:U20)+SUM(U24:U24)+SUM(U28:U28)+SUM(U32:U32)+SUM(U36:U41)</f>
        <v>24085.53</v>
      </c>
      <c r="V43" s="289"/>
      <c r="W43" s="289"/>
      <c r="X43" s="290">
        <f>SUM(X17:X20)+SUM(X24:X24)+SUM(X28:X28)+SUM(X32:X32)+SUM(X36:X41)</f>
        <v>208644.47</v>
      </c>
      <c r="Y43" s="290">
        <f>SUM(Y17:Y20)+SUM(Y24:Y24)+SUM(Y28:Y28)+SUM(Y32:Y32)+SUM(Y36:Y41)</f>
        <v>226211.7620342985</v>
      </c>
      <c r="Z43" s="291">
        <f>IF(Q43&lt;&gt;"",(N43-Y43)/N43,"")</f>
        <v>0.16742171920175083</v>
      </c>
      <c r="AA43" s="292">
        <f>IF(Z43&lt;&gt;"",(N43-Y43),"")</f>
        <v>45488.530000000028</v>
      </c>
      <c r="AB43" s="390"/>
      <c r="AC43" s="390"/>
      <c r="AD43" s="390"/>
      <c r="AE43" s="390"/>
      <c r="AF43" s="390"/>
      <c r="AG43" s="390"/>
      <c r="AH43" s="390"/>
      <c r="AI43" s="390"/>
      <c r="AJ43" s="390"/>
      <c r="AK43" s="428">
        <f>SUM(AK17:AK42)</f>
        <v>0</v>
      </c>
      <c r="AL43" s="427">
        <f>SUM(AL17:AL42)</f>
        <v>208644.47</v>
      </c>
    </row>
    <row r="46" spans="1:39" x14ac:dyDescent="0.4">
      <c r="AK46" s="537"/>
      <c r="AL46" s="673"/>
    </row>
    <row r="47" spans="1:39" x14ac:dyDescent="0.4">
      <c r="AK47" s="538"/>
      <c r="AL47" s="534"/>
    </row>
    <row r="48" spans="1:39" x14ac:dyDescent="0.4">
      <c r="N48" s="423"/>
      <c r="AK48" s="538"/>
      <c r="AL48" s="534"/>
    </row>
    <row r="49" spans="37:38" x14ac:dyDescent="0.4">
      <c r="AK49" s="535"/>
      <c r="AL49" s="536"/>
    </row>
  </sheetData>
  <mergeCells count="39">
    <mergeCell ref="Q25:S25"/>
    <mergeCell ref="F21:J21"/>
    <mergeCell ref="Q21:S21"/>
    <mergeCell ref="F25:J25"/>
    <mergeCell ref="F26:N26"/>
    <mergeCell ref="Q26:Y26"/>
    <mergeCell ref="F34:N34"/>
    <mergeCell ref="Q34:Y34"/>
    <mergeCell ref="F30:N30"/>
    <mergeCell ref="Q30:Y30"/>
    <mergeCell ref="F27:K27"/>
    <mergeCell ref="Q27:Y27"/>
    <mergeCell ref="F29:J29"/>
    <mergeCell ref="Q29:S29"/>
    <mergeCell ref="AK12:AL12"/>
    <mergeCell ref="AG12:AH12"/>
    <mergeCell ref="F15:N15"/>
    <mergeCell ref="Q15:Y15"/>
    <mergeCell ref="F16:K16"/>
    <mergeCell ref="Q16:Y16"/>
    <mergeCell ref="AC12:AE12"/>
    <mergeCell ref="AK15:AL15"/>
    <mergeCell ref="AK16:AL16"/>
    <mergeCell ref="F1:G1"/>
    <mergeCell ref="F2:G2"/>
    <mergeCell ref="Q12:T12"/>
    <mergeCell ref="U12:X12"/>
    <mergeCell ref="F42:J42"/>
    <mergeCell ref="Q42:S42"/>
    <mergeCell ref="F23:K23"/>
    <mergeCell ref="Q23:Y23"/>
    <mergeCell ref="F22:N22"/>
    <mergeCell ref="Q22:Y22"/>
    <mergeCell ref="F35:K35"/>
    <mergeCell ref="Q35:Y35"/>
    <mergeCell ref="F31:K31"/>
    <mergeCell ref="Q31:Y31"/>
    <mergeCell ref="F33:J33"/>
    <mergeCell ref="Q33:S33"/>
  </mergeCells>
  <phoneticPr fontId="28" type="noConversion"/>
  <dataValidations count="3">
    <dataValidation type="list" allowBlank="1" showInputMessage="1" showErrorMessage="1" sqref="D43 D28:D29 D24:D25 D17:D21 D32:D33 D36:D41" xr:uid="{3EFE53A9-6730-4F75-830F-74A58BE49321}">
      <formula1>"INTERNO,OPERACIONAL"</formula1>
    </dataValidation>
    <dataValidation type="list" allowBlank="1" showInputMessage="1" showErrorMessage="1" sqref="E28:E29 E24:E25 E17:E21 E32:E33 E36:E41" xr:uid="{CD75B295-2527-4911-908C-60EF7E809F77}">
      <formula1>"FAT.OGGI,FAT.CLIENTE"</formula1>
    </dataValidation>
    <dataValidation type="list" allowBlank="1" showInputMessage="1" showErrorMessage="1" sqref="E43" xr:uid="{5D0E5BE6-BD96-4A2F-A61F-BF1586ADE644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683F-776A-4177-ABD2-14A334599FE6}">
  <sheetPr codeName="Planilha14">
    <pageSetUpPr autoPageBreaks="0"/>
  </sheetPr>
  <dimension ref="A1:AO43"/>
  <sheetViews>
    <sheetView showGridLines="0" topLeftCell="G1" zoomScale="60" zoomScaleNormal="60" workbookViewId="0">
      <pane ySplit="1" topLeftCell="A39" activePane="bottomLeft" state="frozen"/>
      <selection pane="bottomLeft" activeCell="AN34" sqref="AN34"/>
    </sheetView>
  </sheetViews>
  <sheetFormatPr defaultColWidth="8.88671875" defaultRowHeight="21" x14ac:dyDescent="0.4"/>
  <cols>
    <col min="1" max="1" width="3.44140625" style="293" hidden="1" customWidth="1"/>
    <col min="2" max="2" width="9.44140625" style="293" customWidth="1"/>
    <col min="3" max="3" width="8" style="293" hidden="1" customWidth="1"/>
    <col min="4" max="4" width="4.6640625" style="293" hidden="1" customWidth="1"/>
    <col min="5" max="5" width="11.33203125" style="293" hidden="1" customWidth="1"/>
    <col min="6" max="6" width="33" style="293" customWidth="1"/>
    <col min="7" max="7" width="58.109375" style="293" customWidth="1"/>
    <col min="8" max="8" width="7.109375" style="296" hidden="1" customWidth="1"/>
    <col min="9" max="9" width="7.6640625" style="296" hidden="1" customWidth="1"/>
    <col min="10" max="10" width="14.5546875" style="293" hidden="1" customWidth="1"/>
    <col min="11" max="11" width="24.88671875" style="293" bestFit="1" customWidth="1"/>
    <col min="12" max="12" width="23" style="293" bestFit="1" customWidth="1"/>
    <col min="13" max="13" width="23.109375" style="293" customWidth="1"/>
    <col min="14" max="14" width="24.88671875" style="293" bestFit="1" customWidth="1"/>
    <col min="15" max="15" width="8.88671875" style="293" hidden="1" customWidth="1"/>
    <col min="16" max="16" width="8.33203125" style="293" hidden="1" customWidth="1"/>
    <col min="17" max="17" width="10.5546875" style="296" customWidth="1"/>
    <col min="18" max="18" width="10.44140625" style="296" hidden="1" customWidth="1"/>
    <col min="19" max="19" width="19.5546875" style="293" hidden="1" customWidth="1"/>
    <col min="20" max="20" width="25.6640625" style="293" customWidth="1"/>
    <col min="21" max="21" width="23.6640625" style="293" hidden="1" customWidth="1"/>
    <col min="22" max="22" width="12.109375" style="293" hidden="1" customWidth="1"/>
    <col min="23" max="23" width="19.88671875" style="293" hidden="1" customWidth="1"/>
    <col min="24" max="24" width="26.33203125" style="293" customWidth="1"/>
    <col min="25" max="25" width="29.109375" style="293" hidden="1" customWidth="1"/>
    <col min="26" max="26" width="19.109375" style="293" hidden="1" customWidth="1"/>
    <col min="27" max="27" width="25.6640625" style="293" hidden="1" customWidth="1"/>
    <col min="28" max="28" width="65.5546875" style="293" hidden="1" customWidth="1"/>
    <col min="29" max="29" width="52.33203125" style="293" hidden="1" customWidth="1"/>
    <col min="30" max="30" width="67.88671875" style="293" hidden="1" customWidth="1"/>
    <col min="31" max="31" width="53.88671875" style="293" hidden="1" customWidth="1"/>
    <col min="32" max="32" width="45.6640625" style="293" hidden="1" customWidth="1"/>
    <col min="33" max="33" width="106.88671875" style="293" hidden="1" customWidth="1"/>
    <col min="34" max="34" width="59.44140625" style="293" hidden="1" customWidth="1"/>
    <col min="35" max="35" width="55" style="293" hidden="1" customWidth="1"/>
    <col min="36" max="36" width="79.5546875" style="293" hidden="1" customWidth="1"/>
    <col min="37" max="37" width="55.88671875" style="293" hidden="1" customWidth="1"/>
    <col min="38" max="38" width="23.109375" style="293" hidden="1" customWidth="1"/>
    <col min="39" max="39" width="22.44140625" style="293" customWidth="1"/>
    <col min="40" max="40" width="25" style="293" customWidth="1"/>
    <col min="41" max="41" width="8.88671875" style="543"/>
    <col min="42" max="16384" width="8.88671875" style="293"/>
  </cols>
  <sheetData>
    <row r="1" spans="1:40" ht="49.5" customHeight="1" x14ac:dyDescent="0.4">
      <c r="B1" s="294"/>
      <c r="C1" s="295"/>
      <c r="D1" s="295"/>
      <c r="F1" s="554" t="s">
        <v>65</v>
      </c>
      <c r="G1" s="554"/>
    </row>
    <row r="2" spans="1:40" ht="24.75" customHeight="1" x14ac:dyDescent="0.4">
      <c r="B2" s="297"/>
      <c r="D2" s="295"/>
      <c r="F2" s="555" t="s">
        <v>0</v>
      </c>
      <c r="G2" s="555"/>
    </row>
    <row r="3" spans="1:40" ht="22.2" x14ac:dyDescent="0.4">
      <c r="B3" s="298"/>
      <c r="F3" s="299"/>
      <c r="G3" s="299"/>
    </row>
    <row r="4" spans="1:40" ht="22.2" x14ac:dyDescent="0.4">
      <c r="F4" s="429" t="s">
        <v>85</v>
      </c>
      <c r="G4" s="430" t="s">
        <v>106</v>
      </c>
    </row>
    <row r="5" spans="1:40" ht="22.2" x14ac:dyDescent="0.4">
      <c r="F5" s="431" t="s">
        <v>84</v>
      </c>
      <c r="G5" s="432" t="s">
        <v>100</v>
      </c>
    </row>
    <row r="6" spans="1:40" ht="22.2" x14ac:dyDescent="0.4">
      <c r="D6" s="293" t="s">
        <v>63</v>
      </c>
      <c r="F6" s="431" t="s">
        <v>83</v>
      </c>
      <c r="G6" s="433" t="s">
        <v>107</v>
      </c>
    </row>
    <row r="7" spans="1:40" ht="21.75" customHeight="1" x14ac:dyDescent="0.4">
      <c r="F7" s="431" t="s">
        <v>82</v>
      </c>
      <c r="G7" s="433" t="s">
        <v>108</v>
      </c>
      <c r="J7" s="293" t="s">
        <v>64</v>
      </c>
    </row>
    <row r="8" spans="1:40" ht="22.2" x14ac:dyDescent="0.4">
      <c r="F8" s="431" t="s">
        <v>78</v>
      </c>
      <c r="G8" s="434" t="s">
        <v>109</v>
      </c>
    </row>
    <row r="9" spans="1:40" ht="22.2" x14ac:dyDescent="0.4">
      <c r="F9" s="431" t="s">
        <v>79</v>
      </c>
      <c r="G9" s="433" t="s">
        <v>102</v>
      </c>
      <c r="J9" s="293" t="s">
        <v>63</v>
      </c>
    </row>
    <row r="10" spans="1:40" ht="27" customHeight="1" x14ac:dyDescent="0.4">
      <c r="F10" s="431" t="s">
        <v>80</v>
      </c>
      <c r="G10" s="433" t="s">
        <v>110</v>
      </c>
    </row>
    <row r="11" spans="1:40" ht="22.2" x14ac:dyDescent="0.4">
      <c r="F11" s="435" t="s">
        <v>81</v>
      </c>
      <c r="G11" s="436" t="s">
        <v>111</v>
      </c>
    </row>
    <row r="12" spans="1:40" ht="22.8" hidden="1" thickBot="1" x14ac:dyDescent="0.45">
      <c r="B12" s="308"/>
      <c r="M12" s="309"/>
      <c r="Q12" s="556" t="s">
        <v>1</v>
      </c>
      <c r="R12" s="557"/>
      <c r="S12" s="557"/>
      <c r="T12" s="558"/>
      <c r="U12" s="559" t="s">
        <v>2</v>
      </c>
      <c r="V12" s="560"/>
      <c r="W12" s="560"/>
      <c r="X12" s="561"/>
      <c r="Y12" s="310" t="s">
        <v>15</v>
      </c>
      <c r="Z12" s="311">
        <f>(1/(1-M14))-1</f>
        <v>0.24269914253759173</v>
      </c>
      <c r="AC12" s="588" t="s">
        <v>3</v>
      </c>
      <c r="AD12" s="589"/>
      <c r="AE12" s="590"/>
      <c r="AG12" s="579" t="s">
        <v>16</v>
      </c>
      <c r="AH12" s="580"/>
      <c r="AJ12" s="312" t="s">
        <v>18</v>
      </c>
      <c r="AK12" s="609" t="s">
        <v>17</v>
      </c>
      <c r="AL12" s="610"/>
    </row>
    <row r="13" spans="1:40" ht="22.8" thickBot="1" x14ac:dyDescent="0.5">
      <c r="A13" s="313" t="s">
        <v>4</v>
      </c>
      <c r="B13" s="314" t="s">
        <v>5</v>
      </c>
      <c r="C13" s="313" t="s">
        <v>6</v>
      </c>
      <c r="D13" s="313" t="s">
        <v>7</v>
      </c>
      <c r="E13" s="313" t="s">
        <v>8</v>
      </c>
      <c r="M13" s="315">
        <v>0.80469999999999997</v>
      </c>
    </row>
    <row r="14" spans="1:40" ht="35.1" customHeight="1" thickBot="1" x14ac:dyDescent="0.45">
      <c r="A14" s="316">
        <v>0</v>
      </c>
      <c r="B14" s="317"/>
      <c r="C14" s="318"/>
      <c r="D14" s="319"/>
      <c r="E14" s="319"/>
      <c r="F14" s="320" t="s">
        <v>41</v>
      </c>
      <c r="G14" s="321" t="s">
        <v>42</v>
      </c>
      <c r="H14" s="322" t="s">
        <v>43</v>
      </c>
      <c r="I14" s="322" t="s">
        <v>44</v>
      </c>
      <c r="J14" s="323" t="s">
        <v>45</v>
      </c>
      <c r="K14" s="324" t="s">
        <v>9</v>
      </c>
      <c r="L14" s="325">
        <v>0.1</v>
      </c>
      <c r="M14" s="326">
        <f>1-M13</f>
        <v>0.19530000000000003</v>
      </c>
      <c r="N14" s="327" t="s">
        <v>39</v>
      </c>
      <c r="Q14" s="437" t="s">
        <v>46</v>
      </c>
      <c r="R14" s="438" t="s">
        <v>47</v>
      </c>
      <c r="S14" s="330" t="s">
        <v>48</v>
      </c>
      <c r="T14" s="331" t="s">
        <v>49</v>
      </c>
      <c r="U14" s="332" t="s">
        <v>50</v>
      </c>
      <c r="V14" s="333" t="s">
        <v>51</v>
      </c>
      <c r="W14" s="334" t="s">
        <v>52</v>
      </c>
      <c r="X14" s="334" t="s">
        <v>53</v>
      </c>
      <c r="Y14" s="335" t="s">
        <v>54</v>
      </c>
      <c r="Z14" s="336" t="s">
        <v>55</v>
      </c>
      <c r="AA14" s="337" t="s">
        <v>40</v>
      </c>
      <c r="AC14" s="338" t="s">
        <v>56</v>
      </c>
      <c r="AD14" s="339" t="s">
        <v>57</v>
      </c>
      <c r="AE14" s="339" t="s">
        <v>11</v>
      </c>
      <c r="AG14" s="340" t="s">
        <v>58</v>
      </c>
      <c r="AH14" s="341" t="s">
        <v>59</v>
      </c>
      <c r="AK14" s="342" t="s">
        <v>60</v>
      </c>
      <c r="AL14" s="343" t="s">
        <v>61</v>
      </c>
      <c r="AM14" s="424" t="s">
        <v>60</v>
      </c>
      <c r="AN14" s="425" t="s">
        <v>61</v>
      </c>
    </row>
    <row r="15" spans="1:40" ht="35.1" customHeight="1" thickBot="1" x14ac:dyDescent="0.5">
      <c r="A15" s="319">
        <v>1</v>
      </c>
      <c r="B15" s="345">
        <v>1</v>
      </c>
      <c r="C15" s="347" t="s">
        <v>66</v>
      </c>
      <c r="D15" s="319"/>
      <c r="E15" s="319"/>
      <c r="F15" s="591" t="s">
        <v>145</v>
      </c>
      <c r="G15" s="592"/>
      <c r="H15" s="592"/>
      <c r="I15" s="592"/>
      <c r="J15" s="592"/>
      <c r="K15" s="592"/>
      <c r="L15" s="592"/>
      <c r="M15" s="592"/>
      <c r="N15" s="593"/>
      <c r="Q15" s="591" t="str">
        <f>IF(F15&lt;&gt;"",F15,"")</f>
        <v>ITENS (LOCAÇÃO)</v>
      </c>
      <c r="R15" s="592"/>
      <c r="S15" s="592"/>
      <c r="T15" s="592"/>
      <c r="U15" s="592"/>
      <c r="V15" s="592"/>
      <c r="W15" s="592"/>
      <c r="X15" s="592"/>
      <c r="Y15" s="593"/>
      <c r="AM15" s="600"/>
      <c r="AN15" s="601"/>
    </row>
    <row r="16" spans="1:40" ht="35.1" customHeight="1" x14ac:dyDescent="0.45">
      <c r="A16" s="319">
        <v>2</v>
      </c>
      <c r="B16" s="345" t="s">
        <v>68</v>
      </c>
      <c r="C16" s="347" t="s">
        <v>67</v>
      </c>
      <c r="D16" s="319"/>
      <c r="E16" s="319"/>
      <c r="F16" s="573" t="s">
        <v>148</v>
      </c>
      <c r="G16" s="574"/>
      <c r="H16" s="574"/>
      <c r="I16" s="574"/>
      <c r="J16" s="574"/>
      <c r="K16" s="575"/>
      <c r="L16" s="391" t="s">
        <v>69</v>
      </c>
      <c r="M16" s="392" t="s">
        <v>70</v>
      </c>
      <c r="N16" s="393" t="s">
        <v>39</v>
      </c>
      <c r="Q16" s="573" t="str">
        <f>IF(F16&lt;&gt;"",F16,"")</f>
        <v>Itens (Locação)</v>
      </c>
      <c r="R16" s="574"/>
      <c r="S16" s="574"/>
      <c r="T16" s="574"/>
      <c r="U16" s="574"/>
      <c r="V16" s="574"/>
      <c r="W16" s="574"/>
      <c r="X16" s="574"/>
      <c r="Y16" s="605"/>
      <c r="Z16" s="439" t="s">
        <v>71</v>
      </c>
      <c r="AA16" s="440" t="s">
        <v>40</v>
      </c>
      <c r="AM16" s="602"/>
      <c r="AN16" s="603"/>
    </row>
    <row r="17" spans="1:41" ht="99.9" customHeight="1" x14ac:dyDescent="0.4">
      <c r="A17" s="319">
        <v>4</v>
      </c>
      <c r="B17" s="345" t="s">
        <v>73</v>
      </c>
      <c r="C17" s="347" t="s">
        <v>72</v>
      </c>
      <c r="D17" s="319" t="s">
        <v>74</v>
      </c>
      <c r="E17" s="319" t="s">
        <v>77</v>
      </c>
      <c r="F17" s="441" t="s">
        <v>135</v>
      </c>
      <c r="G17" s="442" t="s">
        <v>161</v>
      </c>
      <c r="H17" s="385">
        <v>10</v>
      </c>
      <c r="I17" s="385">
        <v>4</v>
      </c>
      <c r="J17" s="375">
        <v>200</v>
      </c>
      <c r="K17" s="375">
        <f>IF(F17&lt;&gt;"",H17*I17*J17,"")</f>
        <v>8000</v>
      </c>
      <c r="L17" s="375">
        <f>IF(K17&lt;&gt;"",IF(D17="INTERNO",0,K17*$L$14),"")</f>
        <v>800</v>
      </c>
      <c r="M17" s="375">
        <f>IF(K17&lt;&gt;"",IF(E17="FAT.OGGI",SUM(K17:L17)*(1/(1-$M$14)-1),L17*(1/(1-$M$14)-1)),0)</f>
        <v>2135.7524543308073</v>
      </c>
      <c r="N17" s="376">
        <f>SUM(K17:M17)</f>
        <v>10935.752454330806</v>
      </c>
      <c r="Q17" s="443">
        <v>1</v>
      </c>
      <c r="R17" s="444">
        <v>1</v>
      </c>
      <c r="S17" s="445">
        <v>5920</v>
      </c>
      <c r="T17" s="445">
        <v>0</v>
      </c>
      <c r="U17" s="446">
        <f>IF(Q17&lt;&gt;"",K17-T17,"")</f>
        <v>8000</v>
      </c>
      <c r="V17" s="447">
        <f>IF(Q17&lt;&gt;"",0%,"")</f>
        <v>0</v>
      </c>
      <c r="W17" s="448">
        <f>IF(Q17&lt;&gt;"",V17*U17,"")</f>
        <v>0</v>
      </c>
      <c r="X17" s="449">
        <f>IF(Q17&lt;&gt;"",W17+T17,"")</f>
        <v>0</v>
      </c>
      <c r="Y17" s="450">
        <f>IF(Q17&lt;&gt;"",X17+M17,"")</f>
        <v>2135.7524543308073</v>
      </c>
      <c r="Z17" s="451">
        <f>IF(Q17&lt;&gt;"", IFERROR(U17/K17, 0), 0)</f>
        <v>1</v>
      </c>
      <c r="AA17" s="452"/>
      <c r="AM17" s="428">
        <f>X17-AN17</f>
        <v>0</v>
      </c>
      <c r="AN17" s="427"/>
    </row>
    <row r="18" spans="1:41" ht="99.9" customHeight="1" thickBot="1" x14ac:dyDescent="0.45">
      <c r="A18" s="377">
        <v>5</v>
      </c>
      <c r="B18" s="345" t="s">
        <v>62</v>
      </c>
      <c r="C18" s="378" t="s">
        <v>72</v>
      </c>
      <c r="D18" s="319" t="s">
        <v>74</v>
      </c>
      <c r="E18" s="319" t="s">
        <v>77</v>
      </c>
      <c r="F18" s="441" t="s">
        <v>204</v>
      </c>
      <c r="G18" s="453" t="s">
        <v>205</v>
      </c>
      <c r="H18" s="417">
        <v>4</v>
      </c>
      <c r="I18" s="417">
        <v>4</v>
      </c>
      <c r="J18" s="356">
        <v>75</v>
      </c>
      <c r="K18" s="356">
        <f>IF(F18&lt;&gt;"",H18*I18*J18,"")</f>
        <v>1200</v>
      </c>
      <c r="L18" s="356">
        <f>IF(K18&lt;&gt;"",IF(D18="INTERNO",0,K18*$L$14),"")</f>
        <v>120</v>
      </c>
      <c r="M18" s="356">
        <f>IF(K18&lt;&gt;"",IF(E18="FAT.OGGI",SUM(K18:L18)*(1/(1-$M$14)-1),L18*(1/(1-$M$14)-1)),0)</f>
        <v>320.36286814962108</v>
      </c>
      <c r="N18" s="418">
        <f>SUM(K18:M18)</f>
        <v>1640.3628681496211</v>
      </c>
      <c r="Q18" s="454">
        <v>1</v>
      </c>
      <c r="R18" s="455">
        <v>1</v>
      </c>
      <c r="S18" s="456">
        <v>0</v>
      </c>
      <c r="T18" s="456">
        <f>IF(Q18&lt;&gt;"",Q18*R18*S18,"")</f>
        <v>0</v>
      </c>
      <c r="U18" s="457">
        <f>IF(Q18&lt;&gt;"",K18-T18,"")</f>
        <v>1200</v>
      </c>
      <c r="V18" s="458">
        <f>IF(Q18&lt;&gt;"",0%,"")</f>
        <v>0</v>
      </c>
      <c r="W18" s="459">
        <f>IF(Q18&lt;&gt;"",V18*U18,"")</f>
        <v>0</v>
      </c>
      <c r="X18" s="460">
        <f>IF(Q18&lt;&gt;"",W18+T18,"")</f>
        <v>0</v>
      </c>
      <c r="Y18" s="461">
        <f>IF(Q18&lt;&gt;"",X18+M18,"")</f>
        <v>320.36286814962108</v>
      </c>
      <c r="Z18" s="462">
        <f>IF(Q18&lt;&gt;"", IFERROR(U18/K18, 0), 0)</f>
        <v>1</v>
      </c>
      <c r="AA18" s="463"/>
      <c r="AM18" s="428">
        <f t="shared" ref="AM18:AM41" si="0">X18-AN18</f>
        <v>0</v>
      </c>
      <c r="AN18" s="427"/>
    </row>
    <row r="19" spans="1:41" ht="35.1" customHeight="1" thickBot="1" x14ac:dyDescent="0.5">
      <c r="A19" s="464">
        <v>6</v>
      </c>
      <c r="B19" s="345"/>
      <c r="C19" s="465" t="s">
        <v>75</v>
      </c>
      <c r="D19" s="464"/>
      <c r="E19" s="464"/>
      <c r="F19" s="562" t="s">
        <v>142</v>
      </c>
      <c r="G19" s="563"/>
      <c r="H19" s="563"/>
      <c r="I19" s="563"/>
      <c r="J19" s="563"/>
      <c r="K19" s="419">
        <f>SUM(K17:K18)</f>
        <v>9200</v>
      </c>
      <c r="L19" s="419">
        <f>SUM(L17:L18)</f>
        <v>920</v>
      </c>
      <c r="M19" s="419">
        <f>SUM(M17:M18)</f>
        <v>2456.1153224804284</v>
      </c>
      <c r="N19" s="420">
        <f>SUM(N17:N18)</f>
        <v>12576.115322480427</v>
      </c>
      <c r="Q19" s="562" t="s">
        <v>89</v>
      </c>
      <c r="R19" s="563"/>
      <c r="S19" s="563"/>
      <c r="T19" s="466">
        <f>SUM(T17:T18)</f>
        <v>0</v>
      </c>
      <c r="U19" s="467">
        <f>SUM(U17:U18)</f>
        <v>9200</v>
      </c>
      <c r="V19" s="468"/>
      <c r="W19" s="468"/>
      <c r="X19" s="469">
        <f>SUM(X17:X18)</f>
        <v>0</v>
      </c>
      <c r="Y19" s="470">
        <f>IF(Q19&lt;&gt;"",X19+M19,"")</f>
        <v>2456.1153224804284</v>
      </c>
      <c r="AM19" s="428"/>
      <c r="AN19" s="427"/>
    </row>
    <row r="20" spans="1:41" ht="35.1" customHeight="1" thickBot="1" x14ac:dyDescent="0.5">
      <c r="A20" s="319">
        <v>7</v>
      </c>
      <c r="B20" s="345">
        <v>2</v>
      </c>
      <c r="C20" s="347" t="s">
        <v>66</v>
      </c>
      <c r="D20" s="319"/>
      <c r="E20" s="319"/>
      <c r="F20" s="591" t="s">
        <v>153</v>
      </c>
      <c r="G20" s="592"/>
      <c r="H20" s="592"/>
      <c r="I20" s="592"/>
      <c r="J20" s="592"/>
      <c r="K20" s="592"/>
      <c r="L20" s="592"/>
      <c r="M20" s="592"/>
      <c r="N20" s="593"/>
      <c r="Q20" s="595" t="str">
        <f>IF(F20&lt;&gt;"",F20,"")</f>
        <v>UNIFORMES</v>
      </c>
      <c r="R20" s="596"/>
      <c r="S20" s="596"/>
      <c r="T20" s="596"/>
      <c r="U20" s="596"/>
      <c r="V20" s="596"/>
      <c r="W20" s="596"/>
      <c r="X20" s="596"/>
      <c r="Y20" s="597"/>
      <c r="AM20" s="428"/>
      <c r="AN20" s="427"/>
    </row>
    <row r="21" spans="1:41" ht="35.1" customHeight="1" x14ac:dyDescent="0.45">
      <c r="A21" s="319">
        <v>8</v>
      </c>
      <c r="B21" s="345" t="s">
        <v>87</v>
      </c>
      <c r="C21" s="347" t="s">
        <v>67</v>
      </c>
      <c r="D21" s="319"/>
      <c r="E21" s="319"/>
      <c r="F21" s="573" t="s">
        <v>154</v>
      </c>
      <c r="G21" s="574"/>
      <c r="H21" s="574"/>
      <c r="I21" s="574"/>
      <c r="J21" s="574"/>
      <c r="K21" s="575"/>
      <c r="L21" s="391" t="s">
        <v>69</v>
      </c>
      <c r="M21" s="392" t="s">
        <v>70</v>
      </c>
      <c r="N21" s="393" t="s">
        <v>39</v>
      </c>
      <c r="Q21" s="573" t="str">
        <f>IF(F21&lt;&gt;"",F21,"")</f>
        <v>Uniformes</v>
      </c>
      <c r="R21" s="574"/>
      <c r="S21" s="574"/>
      <c r="T21" s="574"/>
      <c r="U21" s="574"/>
      <c r="V21" s="574"/>
      <c r="W21" s="574"/>
      <c r="X21" s="574"/>
      <c r="Y21" s="605"/>
      <c r="Z21" s="439" t="s">
        <v>71</v>
      </c>
      <c r="AA21" s="440" t="s">
        <v>40</v>
      </c>
      <c r="AM21" s="428"/>
      <c r="AN21" s="427"/>
    </row>
    <row r="22" spans="1:41" ht="99.9" customHeight="1" x14ac:dyDescent="0.4">
      <c r="A22" s="319">
        <v>9</v>
      </c>
      <c r="B22" s="345" t="s">
        <v>95</v>
      </c>
      <c r="C22" s="347" t="s">
        <v>72</v>
      </c>
      <c r="D22" s="319" t="s">
        <v>74</v>
      </c>
      <c r="E22" s="319" t="s">
        <v>77</v>
      </c>
      <c r="F22" s="441" t="s">
        <v>155</v>
      </c>
      <c r="G22" s="353" t="s">
        <v>194</v>
      </c>
      <c r="H22" s="471">
        <v>200</v>
      </c>
      <c r="I22" s="471">
        <v>1</v>
      </c>
      <c r="J22" s="472">
        <v>95</v>
      </c>
      <c r="K22" s="355">
        <f t="shared" ref="K22" si="1">IF(F22&lt;&gt;"",H22*I22*J22,"")</f>
        <v>19000</v>
      </c>
      <c r="L22" s="355">
        <f t="shared" ref="L22" si="2">IF(K22&lt;&gt;"",IF(D22="INTERNO",0,K22*$L$14),"")</f>
        <v>1900</v>
      </c>
      <c r="M22" s="355">
        <f t="shared" ref="M22" si="3">IF(K22&lt;&gt;"",IF(E22="FAT.OGGI",SUM(K22:L22)*(1/(1-$M$14)-1),L22*(1/(1-$M$14)-1)),0)</f>
        <v>5072.4120790356674</v>
      </c>
      <c r="N22" s="396">
        <f t="shared" ref="N22" si="4">SUM(K22:M22)</f>
        <v>25972.412079035668</v>
      </c>
      <c r="Q22" s="443">
        <v>1</v>
      </c>
      <c r="R22" s="444">
        <f t="shared" ref="R22" si="5">IF(I22&lt;&gt;"",I22,"")</f>
        <v>1</v>
      </c>
      <c r="S22" s="445">
        <v>15200</v>
      </c>
      <c r="T22" s="445">
        <f>IF(Q22&lt;&gt;"",Q22*R22*S22,"")</f>
        <v>15200</v>
      </c>
      <c r="U22" s="446">
        <f>IF(Q22&lt;&gt;"",K22-T22,"")</f>
        <v>3800</v>
      </c>
      <c r="V22" s="447">
        <f>IF(Q22&lt;&gt;"",0%,"")</f>
        <v>0</v>
      </c>
      <c r="W22" s="448">
        <f>IF(Q22&lt;&gt;"",V22*U22,"")</f>
        <v>0</v>
      </c>
      <c r="X22" s="449">
        <f>IF(Q22&lt;&gt;"",W22+T22,"")</f>
        <v>15200</v>
      </c>
      <c r="Y22" s="450">
        <f>IF(Q22&lt;&gt;"",X22+M22,"")</f>
        <v>20272.412079035668</v>
      </c>
      <c r="Z22" s="451">
        <f>IF(Q22&lt;&gt;"", IFERROR(U22/K22, 0), 0)</f>
        <v>0.2</v>
      </c>
      <c r="AA22" s="452">
        <f>IFERROR(T22/$T$23, "")</f>
        <v>1</v>
      </c>
      <c r="AM22" s="428">
        <f t="shared" si="0"/>
        <v>0</v>
      </c>
      <c r="AN22" s="427">
        <f>7600+7600</f>
        <v>15200</v>
      </c>
      <c r="AO22" s="543" t="s">
        <v>291</v>
      </c>
    </row>
    <row r="23" spans="1:41" ht="35.1" customHeight="1" thickBot="1" x14ac:dyDescent="0.5">
      <c r="A23" s="464">
        <v>11</v>
      </c>
      <c r="B23" s="345"/>
      <c r="C23" s="465" t="s">
        <v>75</v>
      </c>
      <c r="D23" s="464"/>
      <c r="E23" s="464"/>
      <c r="F23" s="562" t="s">
        <v>89</v>
      </c>
      <c r="G23" s="563"/>
      <c r="H23" s="563"/>
      <c r="I23" s="563"/>
      <c r="J23" s="563"/>
      <c r="K23" s="419">
        <f>SUM(K22:K22)</f>
        <v>19000</v>
      </c>
      <c r="L23" s="419">
        <f>SUM(L22:L22)</f>
        <v>1900</v>
      </c>
      <c r="M23" s="419">
        <f>SUM(M22:M22)</f>
        <v>5072.4120790356674</v>
      </c>
      <c r="N23" s="420">
        <f>SUM(N22:N22)</f>
        <v>25972.412079035668</v>
      </c>
      <c r="Q23" s="562" t="s">
        <v>89</v>
      </c>
      <c r="R23" s="563"/>
      <c r="S23" s="563"/>
      <c r="T23" s="466">
        <f>SUM(T22:T22)</f>
        <v>15200</v>
      </c>
      <c r="U23" s="467">
        <f>SUM(U22:U22)</f>
        <v>3800</v>
      </c>
      <c r="V23" s="468"/>
      <c r="W23" s="468"/>
      <c r="X23" s="469">
        <f>SUM(X22:X22)</f>
        <v>15200</v>
      </c>
      <c r="Y23" s="470">
        <f>IF(Q23&lt;&gt;"",X23+M23,"")</f>
        <v>20272.412079035668</v>
      </c>
      <c r="AM23" s="428"/>
      <c r="AN23" s="427"/>
    </row>
    <row r="24" spans="1:41" ht="35.1" customHeight="1" thickBot="1" x14ac:dyDescent="0.5">
      <c r="A24" s="344">
        <v>12</v>
      </c>
      <c r="B24" s="345">
        <v>3</v>
      </c>
      <c r="C24" s="346" t="s">
        <v>66</v>
      </c>
      <c r="D24" s="344"/>
      <c r="E24" s="344"/>
      <c r="F24" s="581" t="s">
        <v>132</v>
      </c>
      <c r="G24" s="582"/>
      <c r="H24" s="582"/>
      <c r="I24" s="582"/>
      <c r="J24" s="582"/>
      <c r="K24" s="582"/>
      <c r="L24" s="582"/>
      <c r="M24" s="582"/>
      <c r="N24" s="583"/>
      <c r="Q24" s="581" t="str">
        <f>IF(F24&lt;&gt;"",F24,"")</f>
        <v>STAFF</v>
      </c>
      <c r="R24" s="582"/>
      <c r="S24" s="582"/>
      <c r="T24" s="582"/>
      <c r="U24" s="582"/>
      <c r="V24" s="582"/>
      <c r="W24" s="582"/>
      <c r="X24" s="582"/>
      <c r="Y24" s="583"/>
      <c r="AM24" s="428"/>
      <c r="AN24" s="427"/>
    </row>
    <row r="25" spans="1:41" ht="35.1" customHeight="1" x14ac:dyDescent="0.45">
      <c r="A25" s="319">
        <v>13</v>
      </c>
      <c r="B25" s="345" t="s">
        <v>92</v>
      </c>
      <c r="C25" s="347" t="s">
        <v>67</v>
      </c>
      <c r="D25" s="319"/>
      <c r="E25" s="319"/>
      <c r="F25" s="573" t="s">
        <v>133</v>
      </c>
      <c r="G25" s="574"/>
      <c r="H25" s="574"/>
      <c r="I25" s="574"/>
      <c r="J25" s="574"/>
      <c r="K25" s="575"/>
      <c r="L25" s="410" t="s">
        <v>69</v>
      </c>
      <c r="M25" s="411" t="s">
        <v>70</v>
      </c>
      <c r="N25" s="412" t="s">
        <v>39</v>
      </c>
      <c r="Q25" s="573" t="str">
        <f>IF(F25&lt;&gt;"",F25,"")</f>
        <v>Staff</v>
      </c>
      <c r="R25" s="574"/>
      <c r="S25" s="574"/>
      <c r="T25" s="574"/>
      <c r="U25" s="574"/>
      <c r="V25" s="574"/>
      <c r="W25" s="574"/>
      <c r="X25" s="574"/>
      <c r="Y25" s="605"/>
      <c r="Z25" s="473" t="s">
        <v>71</v>
      </c>
      <c r="AA25" s="351" t="s">
        <v>40</v>
      </c>
      <c r="AM25" s="428"/>
      <c r="AN25" s="427"/>
    </row>
    <row r="26" spans="1:41" ht="99.9" customHeight="1" x14ac:dyDescent="0.4">
      <c r="A26" s="377">
        <v>14</v>
      </c>
      <c r="B26" s="345" t="s">
        <v>93</v>
      </c>
      <c r="C26" s="378" t="s">
        <v>72</v>
      </c>
      <c r="D26" s="319" t="s">
        <v>74</v>
      </c>
      <c r="E26" s="319" t="s">
        <v>77</v>
      </c>
      <c r="F26" s="441" t="s">
        <v>173</v>
      </c>
      <c r="G26" s="353" t="s">
        <v>195</v>
      </c>
      <c r="H26" s="417">
        <v>1</v>
      </c>
      <c r="I26" s="417">
        <v>1</v>
      </c>
      <c r="J26" s="356">
        <v>1500</v>
      </c>
      <c r="K26" s="356">
        <f t="shared" ref="K26:K27" si="6">IF(F26&lt;&gt;"",H26*I26*J26,"")</f>
        <v>1500</v>
      </c>
      <c r="L26" s="356">
        <f t="shared" ref="L26:L27" si="7">IF(K26&lt;&gt;"",IF(D26="INTERNO",0,K26*$L$14),"")</f>
        <v>150</v>
      </c>
      <c r="M26" s="356">
        <f t="shared" ref="M26:M27" si="8">IF(K26&lt;&gt;"",IF(E26="FAT.OGGI",SUM(K26:L26)*(1/(1-$M$14)-1),L26*(1/(1-$M$14)-1)),0)</f>
        <v>400.45358518702636</v>
      </c>
      <c r="N26" s="418">
        <f t="shared" ref="N26:N27" si="9">SUM(K26:M26)</f>
        <v>2050.4535851870264</v>
      </c>
      <c r="Q26" s="454">
        <f t="shared" ref="Q26:R27" si="10">IF(H26&lt;&gt;"",H26,"")</f>
        <v>1</v>
      </c>
      <c r="R26" s="455">
        <f t="shared" si="10"/>
        <v>1</v>
      </c>
      <c r="S26" s="456">
        <v>0</v>
      </c>
      <c r="T26" s="456">
        <f t="shared" ref="T26:T27" si="11">IF(Q26&lt;&gt;"",Q26*R26*S26,"")</f>
        <v>0</v>
      </c>
      <c r="U26" s="474">
        <f t="shared" ref="U26:U27" si="12">IF(Q26&lt;&gt;"",K26-T26,"")</f>
        <v>1500</v>
      </c>
      <c r="V26" s="458">
        <f t="shared" ref="V26:V27" si="13">IF(Q26&lt;&gt;"",0%,"")</f>
        <v>0</v>
      </c>
      <c r="W26" s="459">
        <f t="shared" ref="W26:W27" si="14">IF(Q26&lt;&gt;"",V26*U26,"")</f>
        <v>0</v>
      </c>
      <c r="X26" s="459">
        <f t="shared" ref="X26:X27" si="15">IF(Q26&lt;&gt;"",W26+T26,"")</f>
        <v>0</v>
      </c>
      <c r="Y26" s="475">
        <f t="shared" ref="Y26:Y29" si="16">IF(Q26&lt;&gt;"",X26+M26,"")</f>
        <v>400.45358518702636</v>
      </c>
      <c r="Z26" s="451">
        <f t="shared" ref="Z26:Z27" si="17">IF(Q26&lt;&gt;"", IFERROR(U26/K26, 0), 0)</f>
        <v>1</v>
      </c>
      <c r="AA26" s="452"/>
      <c r="AM26" s="428">
        <f t="shared" si="0"/>
        <v>0</v>
      </c>
      <c r="AN26" s="427"/>
    </row>
    <row r="27" spans="1:41" ht="99.9" customHeight="1" x14ac:dyDescent="0.4">
      <c r="A27" s="344">
        <v>15</v>
      </c>
      <c r="B27" s="345" t="s">
        <v>94</v>
      </c>
      <c r="C27" s="346" t="s">
        <v>72</v>
      </c>
      <c r="D27" s="344" t="s">
        <v>74</v>
      </c>
      <c r="E27" s="344" t="s">
        <v>77</v>
      </c>
      <c r="F27" s="476" t="s">
        <v>156</v>
      </c>
      <c r="G27" s="477" t="s">
        <v>166</v>
      </c>
      <c r="H27" s="478">
        <v>1</v>
      </c>
      <c r="I27" s="478">
        <v>1</v>
      </c>
      <c r="J27" s="369">
        <v>3300</v>
      </c>
      <c r="K27" s="369">
        <f t="shared" si="6"/>
        <v>3300</v>
      </c>
      <c r="L27" s="369">
        <f t="shared" si="7"/>
        <v>330</v>
      </c>
      <c r="M27" s="369">
        <f t="shared" si="8"/>
        <v>880.99788741145801</v>
      </c>
      <c r="N27" s="370">
        <f t="shared" si="9"/>
        <v>4510.9978874114577</v>
      </c>
      <c r="Q27" s="479">
        <f t="shared" si="10"/>
        <v>1</v>
      </c>
      <c r="R27" s="480">
        <f t="shared" si="10"/>
        <v>1</v>
      </c>
      <c r="S27" s="481">
        <v>3200</v>
      </c>
      <c r="T27" s="481">
        <f t="shared" si="11"/>
        <v>3200</v>
      </c>
      <c r="U27" s="482">
        <f t="shared" si="12"/>
        <v>100</v>
      </c>
      <c r="V27" s="483">
        <f t="shared" si="13"/>
        <v>0</v>
      </c>
      <c r="W27" s="484">
        <f t="shared" si="14"/>
        <v>0</v>
      </c>
      <c r="X27" s="484">
        <f t="shared" si="15"/>
        <v>3200</v>
      </c>
      <c r="Y27" s="485">
        <f t="shared" si="16"/>
        <v>4080.9978874114581</v>
      </c>
      <c r="Z27" s="451">
        <f t="shared" si="17"/>
        <v>3.0303030303030304E-2</v>
      </c>
      <c r="AA27" s="452"/>
      <c r="AM27" s="428">
        <f t="shared" si="0"/>
        <v>0</v>
      </c>
      <c r="AN27" s="427">
        <v>3200</v>
      </c>
      <c r="AO27" s="543" t="s">
        <v>292</v>
      </c>
    </row>
    <row r="28" spans="1:41" ht="99.9" customHeight="1" x14ac:dyDescent="0.45">
      <c r="A28" s="377">
        <v>16</v>
      </c>
      <c r="B28" s="345" t="s">
        <v>196</v>
      </c>
      <c r="C28" s="378" t="s">
        <v>72</v>
      </c>
      <c r="D28" s="344" t="s">
        <v>74</v>
      </c>
      <c r="E28" s="344" t="s">
        <v>77</v>
      </c>
      <c r="F28" s="353" t="s">
        <v>197</v>
      </c>
      <c r="G28" s="353" t="s">
        <v>198</v>
      </c>
      <c r="H28" s="417">
        <v>2</v>
      </c>
      <c r="I28" s="417">
        <v>3</v>
      </c>
      <c r="J28" s="356">
        <v>380</v>
      </c>
      <c r="K28" s="356">
        <f>IF(F28&lt;&gt;"",H28*I28*J28,"")</f>
        <v>2280</v>
      </c>
      <c r="L28" s="356">
        <f>IF(K28&lt;&gt;"",IF(D28="INTERNO",0,K28*$L$14),"")</f>
        <v>228</v>
      </c>
      <c r="M28" s="356">
        <f>IF(K28&lt;&gt;"",IF(E28="FAT.OGGI",SUM(K28:L28)*(1/(1-$M$14)-1),L28*(1/(1-$M$14)-1)),"")</f>
        <v>608.68944948428009</v>
      </c>
      <c r="N28" s="356">
        <f>SUM(K28:M28)</f>
        <v>3116.68944948428</v>
      </c>
      <c r="Q28" s="486">
        <v>1</v>
      </c>
      <c r="R28" s="486">
        <v>1</v>
      </c>
      <c r="S28" s="456">
        <v>2282</v>
      </c>
      <c r="T28" s="456">
        <f>IF(Q28&lt;&gt;"",Q28*R28*S28,"")</f>
        <v>2282</v>
      </c>
      <c r="U28" s="474">
        <f>IF(Q28&lt;&gt;"",K28-T28,"")</f>
        <v>-2</v>
      </c>
      <c r="V28" s="458">
        <f>IF(Q28&lt;&gt;"",0%,"")</f>
        <v>0</v>
      </c>
      <c r="W28" s="459">
        <f>IF(Q28&lt;&gt;"",V28*U28,"")</f>
        <v>0</v>
      </c>
      <c r="X28" s="459">
        <f>IF(Q28&lt;&gt;"",W28+T28,"")</f>
        <v>2282</v>
      </c>
      <c r="Y28" s="362">
        <f>IF(Q28&lt;&gt;"",X28+M28,"")</f>
        <v>2890.68944948428</v>
      </c>
      <c r="Z28" s="363">
        <f>IF(Q28&lt;&gt;"",U28/K28,"")</f>
        <v>-8.7719298245614037E-4</v>
      </c>
      <c r="AA28" s="487"/>
      <c r="AC28" s="488">
        <v>2282</v>
      </c>
      <c r="AD28" s="489">
        <f>T28-AC28</f>
        <v>0</v>
      </c>
      <c r="AE28" s="490">
        <v>46204</v>
      </c>
      <c r="AG28" s="491" t="s">
        <v>222</v>
      </c>
      <c r="AH28" s="492" t="s">
        <v>223</v>
      </c>
      <c r="AM28" s="428">
        <f t="shared" si="0"/>
        <v>0</v>
      </c>
      <c r="AN28" s="427">
        <v>2282</v>
      </c>
      <c r="AO28" s="543" t="s">
        <v>301</v>
      </c>
    </row>
    <row r="29" spans="1:41" ht="35.1" customHeight="1" x14ac:dyDescent="0.45">
      <c r="A29" s="344">
        <v>16</v>
      </c>
      <c r="B29" s="345"/>
      <c r="C29" s="346" t="s">
        <v>75</v>
      </c>
      <c r="D29" s="344"/>
      <c r="E29" s="344"/>
      <c r="F29" s="606" t="s">
        <v>159</v>
      </c>
      <c r="G29" s="607"/>
      <c r="H29" s="607"/>
      <c r="I29" s="607"/>
      <c r="J29" s="607"/>
      <c r="K29" s="402">
        <f>SUM(K26:K28)</f>
        <v>7080</v>
      </c>
      <c r="L29" s="402">
        <f>SUM(L26:L28)</f>
        <v>708</v>
      </c>
      <c r="M29" s="402">
        <f>SUM(M26:M28)</f>
        <v>1890.1409220827645</v>
      </c>
      <c r="N29" s="403">
        <f>SUM(N26:N28)</f>
        <v>9678.1409220827645</v>
      </c>
      <c r="Q29" s="606" t="s">
        <v>105</v>
      </c>
      <c r="R29" s="607"/>
      <c r="S29" s="607"/>
      <c r="T29" s="493">
        <f>SUM(T26:T28)</f>
        <v>5482</v>
      </c>
      <c r="U29" s="494">
        <f>SUM(U26:U28)</f>
        <v>1598</v>
      </c>
      <c r="V29" s="495"/>
      <c r="W29" s="495"/>
      <c r="X29" s="496">
        <f>SUM(X26:X28)</f>
        <v>5482</v>
      </c>
      <c r="Y29" s="497">
        <f t="shared" si="16"/>
        <v>7372.1409220827645</v>
      </c>
      <c r="Z29" s="498" t="s">
        <v>90</v>
      </c>
      <c r="AA29" s="499" t="s">
        <v>91</v>
      </c>
      <c r="AM29" s="428"/>
      <c r="AN29" s="427"/>
    </row>
    <row r="30" spans="1:41" ht="35.1" customHeight="1" thickBot="1" x14ac:dyDescent="0.5">
      <c r="A30" s="319">
        <v>17</v>
      </c>
      <c r="B30" s="345">
        <v>4</v>
      </c>
      <c r="C30" s="347" t="s">
        <v>66</v>
      </c>
      <c r="D30" s="319"/>
      <c r="E30" s="500"/>
      <c r="F30" s="608" t="s">
        <v>228</v>
      </c>
      <c r="G30" s="582"/>
      <c r="H30" s="582"/>
      <c r="I30" s="582"/>
      <c r="J30" s="582"/>
      <c r="K30" s="582"/>
      <c r="L30" s="582"/>
      <c r="M30" s="582"/>
      <c r="N30" s="582"/>
      <c r="Q30" s="582" t="str">
        <f>IF(F30&lt;&gt;"",F30,"")</f>
        <v>EXTRAS</v>
      </c>
      <c r="R30" s="582"/>
      <c r="S30" s="582"/>
      <c r="T30" s="582"/>
      <c r="U30" s="582"/>
      <c r="V30" s="582"/>
      <c r="W30" s="582"/>
      <c r="X30" s="582"/>
      <c r="Y30" s="582"/>
      <c r="AM30" s="428"/>
      <c r="AN30" s="427"/>
    </row>
    <row r="31" spans="1:41" ht="35.1" customHeight="1" x14ac:dyDescent="0.45">
      <c r="A31" s="319">
        <v>18</v>
      </c>
      <c r="B31" s="345" t="s">
        <v>98</v>
      </c>
      <c r="C31" s="347" t="s">
        <v>67</v>
      </c>
      <c r="D31" s="319"/>
      <c r="E31" s="319"/>
      <c r="F31" s="573" t="s">
        <v>228</v>
      </c>
      <c r="G31" s="574"/>
      <c r="H31" s="574"/>
      <c r="I31" s="574"/>
      <c r="J31" s="574"/>
      <c r="K31" s="575"/>
      <c r="L31" s="410" t="s">
        <v>69</v>
      </c>
      <c r="M31" s="411" t="s">
        <v>70</v>
      </c>
      <c r="N31" s="412" t="s">
        <v>39</v>
      </c>
      <c r="Q31" s="573" t="str">
        <f>IF(F31&lt;&gt;"",F31,"")</f>
        <v>EXTRAS</v>
      </c>
      <c r="R31" s="574"/>
      <c r="S31" s="574"/>
      <c r="T31" s="574"/>
      <c r="U31" s="574"/>
      <c r="V31" s="574"/>
      <c r="W31" s="574"/>
      <c r="X31" s="574"/>
      <c r="Y31" s="605"/>
      <c r="Z31" s="501" t="s">
        <v>71</v>
      </c>
      <c r="AA31" s="384" t="s">
        <v>40</v>
      </c>
      <c r="AM31" s="428"/>
      <c r="AN31" s="427"/>
    </row>
    <row r="32" spans="1:41" ht="99.9" customHeight="1" x14ac:dyDescent="0.45">
      <c r="A32" s="319">
        <v>19</v>
      </c>
      <c r="B32" s="345" t="s">
        <v>99</v>
      </c>
      <c r="C32" s="347" t="s">
        <v>72</v>
      </c>
      <c r="D32" s="319" t="s">
        <v>74</v>
      </c>
      <c r="E32" s="319" t="s">
        <v>174</v>
      </c>
      <c r="F32" s="502" t="s">
        <v>199</v>
      </c>
      <c r="G32" s="372" t="s">
        <v>200</v>
      </c>
      <c r="H32" s="385">
        <v>100</v>
      </c>
      <c r="I32" s="385">
        <v>1</v>
      </c>
      <c r="J32" s="375">
        <v>30</v>
      </c>
      <c r="K32" s="375">
        <f t="shared" ref="K32:K41" si="18">IF(F32&lt;&gt;"",H32*I32*J32,"")</f>
        <v>3000</v>
      </c>
      <c r="L32" s="375">
        <f t="shared" ref="L32:L41" si="19">IF(K32&lt;&gt;"",IF(D32="INTERNO",0,K32*$L$14),"")</f>
        <v>300</v>
      </c>
      <c r="M32" s="375">
        <f t="shared" ref="M32:M41" si="20">IF(K32&lt;&gt;"",IF(E32="FAT.OGGI",SUM(K32:L32)*(1/(1-$M$14)-1),L32*(1/(1-$M$14)-1)),"")</f>
        <v>72.809742761277519</v>
      </c>
      <c r="N32" s="376">
        <f t="shared" ref="N32:N41" si="21">SUM(K32:M32)</f>
        <v>3372.8097427612774</v>
      </c>
      <c r="Q32" s="503">
        <v>1</v>
      </c>
      <c r="R32" s="504">
        <f t="shared" ref="Q32:R34" si="22">IF(I32&lt;&gt;"",I32,"")</f>
        <v>1</v>
      </c>
      <c r="S32" s="445">
        <v>3069</v>
      </c>
      <c r="T32" s="445">
        <f t="shared" ref="T32:T41" si="23">IF(Q32&lt;&gt;"",Q32*R32*S32,"")</f>
        <v>3069</v>
      </c>
      <c r="U32" s="505">
        <f t="shared" ref="U32:U41" si="24">IF(Q32&lt;&gt;"",K32-T32,"")</f>
        <v>-69</v>
      </c>
      <c r="V32" s="447">
        <f t="shared" ref="V32:V41" si="25">IF(Q32&lt;&gt;"",0%,"")</f>
        <v>0</v>
      </c>
      <c r="W32" s="448">
        <f t="shared" ref="W32:W41" si="26">IF(Q32&lt;&gt;"",V32*U32,"")</f>
        <v>0</v>
      </c>
      <c r="X32" s="448">
        <f t="shared" ref="X32:X41" si="27">IF(Q32&lt;&gt;"",W32+T32,"")</f>
        <v>3069</v>
      </c>
      <c r="Y32" s="506">
        <f t="shared" ref="Y32:Y42" si="28">IF(Q32&lt;&gt;"",X32+M32,"")</f>
        <v>3141.8097427612774</v>
      </c>
      <c r="Z32" s="507">
        <f t="shared" ref="Z32:Z41" si="29">IF(Q32&lt;&gt;"",U32/K32,"")</f>
        <v>-2.3E-2</v>
      </c>
      <c r="AA32" s="363">
        <f>T32/$T$42</f>
        <v>0.19773210489014884</v>
      </c>
      <c r="AC32" s="488">
        <v>1534.5</v>
      </c>
      <c r="AD32" s="489">
        <f>T32-AC32</f>
        <v>1534.5</v>
      </c>
      <c r="AE32" s="490">
        <v>46195</v>
      </c>
      <c r="AG32" s="491" t="s">
        <v>212</v>
      </c>
      <c r="AH32" s="492" t="s">
        <v>213</v>
      </c>
      <c r="AM32" s="428">
        <f t="shared" si="0"/>
        <v>0</v>
      </c>
      <c r="AN32" s="427">
        <f>1534.5+1534.5</f>
        <v>3069</v>
      </c>
      <c r="AO32" s="543" t="s">
        <v>296</v>
      </c>
    </row>
    <row r="33" spans="1:41" ht="99.9" customHeight="1" x14ac:dyDescent="0.45">
      <c r="A33" s="319">
        <v>20</v>
      </c>
      <c r="B33" s="345" t="s">
        <v>137</v>
      </c>
      <c r="C33" s="347" t="s">
        <v>72</v>
      </c>
      <c r="D33" s="319" t="s">
        <v>74</v>
      </c>
      <c r="E33" s="319" t="s">
        <v>174</v>
      </c>
      <c r="F33" s="502" t="s">
        <v>201</v>
      </c>
      <c r="G33" s="372" t="s">
        <v>202</v>
      </c>
      <c r="H33" s="385">
        <v>60</v>
      </c>
      <c r="I33" s="385">
        <v>1</v>
      </c>
      <c r="J33" s="375">
        <v>6</v>
      </c>
      <c r="K33" s="375">
        <f t="shared" si="18"/>
        <v>360</v>
      </c>
      <c r="L33" s="375">
        <f t="shared" si="19"/>
        <v>36</v>
      </c>
      <c r="M33" s="375">
        <f t="shared" si="20"/>
        <v>8.7371691313533013</v>
      </c>
      <c r="N33" s="376">
        <f t="shared" si="21"/>
        <v>404.73716913135331</v>
      </c>
      <c r="Q33" s="503">
        <f t="shared" si="22"/>
        <v>60</v>
      </c>
      <c r="R33" s="504">
        <f t="shared" si="22"/>
        <v>1</v>
      </c>
      <c r="S33" s="445">
        <v>4.9000000000000004</v>
      </c>
      <c r="T33" s="445">
        <v>322</v>
      </c>
      <c r="U33" s="505">
        <f t="shared" si="24"/>
        <v>38</v>
      </c>
      <c r="V33" s="447">
        <f t="shared" si="25"/>
        <v>0</v>
      </c>
      <c r="W33" s="448">
        <f t="shared" si="26"/>
        <v>0</v>
      </c>
      <c r="X33" s="448">
        <f t="shared" si="27"/>
        <v>322</v>
      </c>
      <c r="Y33" s="506">
        <f t="shared" si="28"/>
        <v>330.73716913135331</v>
      </c>
      <c r="Z33" s="508">
        <f t="shared" si="29"/>
        <v>0.10555555555555556</v>
      </c>
      <c r="AA33" s="509">
        <f>T33/$T$42</f>
        <v>2.0746085948070356E-2</v>
      </c>
      <c r="AC33" s="488">
        <v>322</v>
      </c>
      <c r="AD33" s="489">
        <f>T33-AC33</f>
        <v>0</v>
      </c>
      <c r="AE33" s="490">
        <v>46203</v>
      </c>
      <c r="AG33" s="491" t="s">
        <v>218</v>
      </c>
      <c r="AH33" s="492" t="s">
        <v>219</v>
      </c>
      <c r="AM33" s="428">
        <f t="shared" si="0"/>
        <v>0</v>
      </c>
      <c r="AN33" s="427">
        <v>322</v>
      </c>
      <c r="AO33" s="543" t="s">
        <v>298</v>
      </c>
    </row>
    <row r="34" spans="1:41" ht="99.9" customHeight="1" x14ac:dyDescent="0.45">
      <c r="A34" s="319">
        <v>21</v>
      </c>
      <c r="B34" s="345" t="s">
        <v>138</v>
      </c>
      <c r="C34" s="347" t="s">
        <v>72</v>
      </c>
      <c r="D34" s="319" t="s">
        <v>74</v>
      </c>
      <c r="E34" s="319" t="s">
        <v>174</v>
      </c>
      <c r="F34" s="372" t="s">
        <v>210</v>
      </c>
      <c r="G34" s="372" t="s">
        <v>211</v>
      </c>
      <c r="H34" s="385">
        <v>1</v>
      </c>
      <c r="I34" s="385">
        <v>1</v>
      </c>
      <c r="J34" s="375">
        <v>2000</v>
      </c>
      <c r="K34" s="375">
        <f t="shared" si="18"/>
        <v>2000</v>
      </c>
      <c r="L34" s="375">
        <f t="shared" si="19"/>
        <v>200</v>
      </c>
      <c r="M34" s="375">
        <f t="shared" si="20"/>
        <v>48.539828507518344</v>
      </c>
      <c r="N34" s="375">
        <f t="shared" si="21"/>
        <v>2248.5398285075185</v>
      </c>
      <c r="Q34" s="504">
        <f t="shared" si="22"/>
        <v>1</v>
      </c>
      <c r="R34" s="504">
        <f t="shared" si="22"/>
        <v>1</v>
      </c>
      <c r="S34" s="445">
        <v>2380</v>
      </c>
      <c r="T34" s="445">
        <f t="shared" si="23"/>
        <v>2380</v>
      </c>
      <c r="U34" s="505">
        <f t="shared" si="24"/>
        <v>-380</v>
      </c>
      <c r="V34" s="447">
        <f t="shared" si="25"/>
        <v>0</v>
      </c>
      <c r="W34" s="448">
        <f t="shared" si="26"/>
        <v>0</v>
      </c>
      <c r="X34" s="448">
        <f t="shared" si="27"/>
        <v>2380</v>
      </c>
      <c r="Y34" s="510">
        <f t="shared" si="28"/>
        <v>2428.5398285075185</v>
      </c>
      <c r="Z34" s="363">
        <f t="shared" si="29"/>
        <v>-0.19</v>
      </c>
      <c r="AA34" s="511"/>
      <c r="AC34" s="488">
        <v>2380</v>
      </c>
      <c r="AD34" s="489">
        <f>T34-AC34</f>
        <v>0</v>
      </c>
      <c r="AE34" s="490">
        <v>46204</v>
      </c>
      <c r="AG34" s="491" t="s">
        <v>226</v>
      </c>
      <c r="AH34" s="492" t="s">
        <v>227</v>
      </c>
      <c r="AM34" s="428">
        <f t="shared" si="0"/>
        <v>0</v>
      </c>
      <c r="AN34" s="427">
        <v>2380</v>
      </c>
      <c r="AO34" s="543" t="s">
        <v>297</v>
      </c>
    </row>
    <row r="35" spans="1:41" ht="99.9" customHeight="1" x14ac:dyDescent="0.45">
      <c r="A35" s="319">
        <v>22</v>
      </c>
      <c r="B35" s="345" t="s">
        <v>229</v>
      </c>
      <c r="C35" s="347" t="s">
        <v>72</v>
      </c>
      <c r="D35" s="319" t="s">
        <v>74</v>
      </c>
      <c r="E35" s="319" t="s">
        <v>174</v>
      </c>
      <c r="F35" s="372" t="s">
        <v>232</v>
      </c>
      <c r="G35" s="372" t="s">
        <v>233</v>
      </c>
      <c r="H35" s="385">
        <v>1</v>
      </c>
      <c r="I35" s="385">
        <v>1</v>
      </c>
      <c r="J35" s="375">
        <v>400</v>
      </c>
      <c r="K35" s="375">
        <f t="shared" si="18"/>
        <v>400</v>
      </c>
      <c r="L35" s="375">
        <f t="shared" si="19"/>
        <v>40</v>
      </c>
      <c r="M35" s="375">
        <f t="shared" si="20"/>
        <v>9.7079657015036691</v>
      </c>
      <c r="N35" s="375">
        <f t="shared" si="21"/>
        <v>449.70796570150367</v>
      </c>
      <c r="Q35" s="504">
        <f t="shared" ref="Q35:R41" si="30">IF(H35&lt;&gt;"",H35,"")</f>
        <v>1</v>
      </c>
      <c r="R35" s="504">
        <f t="shared" si="30"/>
        <v>1</v>
      </c>
      <c r="S35" s="445">
        <v>0</v>
      </c>
      <c r="T35" s="445">
        <f t="shared" si="23"/>
        <v>0</v>
      </c>
      <c r="U35" s="505">
        <f t="shared" si="24"/>
        <v>400</v>
      </c>
      <c r="V35" s="447">
        <f t="shared" si="25"/>
        <v>0</v>
      </c>
      <c r="W35" s="448">
        <f t="shared" si="26"/>
        <v>0</v>
      </c>
      <c r="X35" s="448">
        <f t="shared" si="27"/>
        <v>0</v>
      </c>
      <c r="Y35" s="510">
        <f t="shared" si="28"/>
        <v>9.7079657015036691</v>
      </c>
      <c r="Z35" s="363">
        <f t="shared" si="29"/>
        <v>1</v>
      </c>
      <c r="AA35" s="511"/>
      <c r="AC35" s="512"/>
      <c r="AD35" s="513"/>
      <c r="AE35" s="514"/>
      <c r="AG35" s="515"/>
      <c r="AH35" s="515"/>
      <c r="AM35" s="428">
        <f t="shared" si="0"/>
        <v>0</v>
      </c>
      <c r="AN35" s="427"/>
    </row>
    <row r="36" spans="1:41" ht="99.9" customHeight="1" x14ac:dyDescent="0.45">
      <c r="A36" s="377">
        <v>23</v>
      </c>
      <c r="B36" s="345" t="s">
        <v>231</v>
      </c>
      <c r="C36" s="378" t="s">
        <v>72</v>
      </c>
      <c r="D36" s="319" t="s">
        <v>74</v>
      </c>
      <c r="E36" s="319" t="s">
        <v>174</v>
      </c>
      <c r="F36" s="353" t="s">
        <v>197</v>
      </c>
      <c r="G36" s="353" t="s">
        <v>247</v>
      </c>
      <c r="H36" s="417">
        <v>2</v>
      </c>
      <c r="I36" s="417">
        <v>1</v>
      </c>
      <c r="J36" s="356">
        <v>380</v>
      </c>
      <c r="K36" s="356">
        <f>IF(F36&lt;&gt;"",H36*I36*J36,"")</f>
        <v>760</v>
      </c>
      <c r="L36" s="356">
        <f>IF(K36&lt;&gt;"",IF(D36="INTERNO",0,K36*$L$14),"")</f>
        <v>76</v>
      </c>
      <c r="M36" s="356">
        <f>IF(K36&lt;&gt;"",IF(E36="FAT.OGGI",SUM(K36:L36)*(1/(1-$M$14)-1),L36*(1/(1-$M$14)-1)),"")</f>
        <v>18.445134832856972</v>
      </c>
      <c r="N36" s="356">
        <f>SUM(K36:M36)</f>
        <v>854.44513483285698</v>
      </c>
      <c r="Q36" s="486">
        <f>IF(H36&lt;&gt;"",H36,"")</f>
        <v>2</v>
      </c>
      <c r="R36" s="486">
        <f>IF(I36&lt;&gt;"",I36,"")</f>
        <v>1</v>
      </c>
      <c r="S36" s="456">
        <v>0</v>
      </c>
      <c r="T36" s="456">
        <f>IF(Q36&lt;&gt;"",Q36*R36*S36,"")</f>
        <v>0</v>
      </c>
      <c r="U36" s="474">
        <f>IF(Q36&lt;&gt;"",K36-T36,"")</f>
        <v>760</v>
      </c>
      <c r="V36" s="458">
        <f>IF(Q36&lt;&gt;"",0%,"")</f>
        <v>0</v>
      </c>
      <c r="W36" s="459">
        <f>IF(Q36&lt;&gt;"",V36*U36,"")</f>
        <v>0</v>
      </c>
      <c r="X36" s="459">
        <f>IF(Q36&lt;&gt;"",W36+T36,"")</f>
        <v>0</v>
      </c>
      <c r="Y36" s="362">
        <f>IF(Q36&lt;&gt;"",X36+M36,"")</f>
        <v>18.445134832856972</v>
      </c>
      <c r="Z36" s="363">
        <f>IF(Q36&lt;&gt;"",U36/K36,"")</f>
        <v>1</v>
      </c>
      <c r="AA36" s="511"/>
      <c r="AC36" s="512"/>
      <c r="AD36" s="513"/>
      <c r="AE36" s="514"/>
      <c r="AG36" s="515"/>
      <c r="AH36" s="515"/>
      <c r="AM36" s="428">
        <f t="shared" si="0"/>
        <v>0</v>
      </c>
      <c r="AN36" s="427"/>
    </row>
    <row r="37" spans="1:41" ht="99.9" customHeight="1" x14ac:dyDescent="0.45">
      <c r="A37" s="344">
        <v>22</v>
      </c>
      <c r="B37" s="345" t="s">
        <v>236</v>
      </c>
      <c r="C37" s="346" t="s">
        <v>72</v>
      </c>
      <c r="D37" s="344" t="s">
        <v>74</v>
      </c>
      <c r="E37" s="344" t="s">
        <v>174</v>
      </c>
      <c r="F37" s="516" t="s">
        <v>235</v>
      </c>
      <c r="G37" s="516" t="s">
        <v>234</v>
      </c>
      <c r="H37" s="478">
        <v>1</v>
      </c>
      <c r="I37" s="478">
        <v>1</v>
      </c>
      <c r="J37" s="369">
        <v>4559.5200000000004</v>
      </c>
      <c r="K37" s="369">
        <f t="shared" si="18"/>
        <v>4559.5200000000004</v>
      </c>
      <c r="L37" s="369">
        <f t="shared" si="19"/>
        <v>455.95200000000006</v>
      </c>
      <c r="M37" s="369">
        <f t="shared" si="20"/>
        <v>110.65915943830004</v>
      </c>
      <c r="N37" s="369">
        <f t="shared" si="21"/>
        <v>5126.1311594383005</v>
      </c>
      <c r="Q37" s="517">
        <f t="shared" si="30"/>
        <v>1</v>
      </c>
      <c r="R37" s="517">
        <f t="shared" si="30"/>
        <v>1</v>
      </c>
      <c r="S37" s="481">
        <v>9750</v>
      </c>
      <c r="T37" s="481">
        <f t="shared" si="23"/>
        <v>9750</v>
      </c>
      <c r="U37" s="482">
        <f t="shared" si="24"/>
        <v>-5190.4799999999996</v>
      </c>
      <c r="V37" s="483">
        <f t="shared" si="25"/>
        <v>0</v>
      </c>
      <c r="W37" s="484">
        <f t="shared" si="26"/>
        <v>0</v>
      </c>
      <c r="X37" s="484">
        <f t="shared" si="27"/>
        <v>9750</v>
      </c>
      <c r="Y37" s="518">
        <f t="shared" si="28"/>
        <v>9860.6591594383008</v>
      </c>
      <c r="Z37" s="363">
        <f t="shared" si="29"/>
        <v>-1.1383829876829137</v>
      </c>
      <c r="AA37" s="511"/>
      <c r="AC37" s="512"/>
      <c r="AD37" s="513"/>
      <c r="AE37" s="514"/>
      <c r="AG37" s="515"/>
      <c r="AH37" s="515"/>
      <c r="AM37" s="428">
        <f t="shared" si="0"/>
        <v>0</v>
      </c>
      <c r="AN37" s="427">
        <v>9750</v>
      </c>
      <c r="AO37" s="543" t="s">
        <v>299</v>
      </c>
    </row>
    <row r="38" spans="1:41" ht="99.9" customHeight="1" x14ac:dyDescent="0.45">
      <c r="A38" s="319">
        <v>23</v>
      </c>
      <c r="B38" s="345" t="s">
        <v>237</v>
      </c>
      <c r="C38" s="347" t="s">
        <v>72</v>
      </c>
      <c r="D38" s="344" t="s">
        <v>74</v>
      </c>
      <c r="E38" s="344" t="s">
        <v>174</v>
      </c>
      <c r="F38" s="372" t="s">
        <v>239</v>
      </c>
      <c r="G38" s="372" t="s">
        <v>240</v>
      </c>
      <c r="H38" s="385">
        <v>1</v>
      </c>
      <c r="I38" s="385">
        <v>0</v>
      </c>
      <c r="J38" s="375">
        <v>0</v>
      </c>
      <c r="K38" s="375">
        <f t="shared" si="18"/>
        <v>0</v>
      </c>
      <c r="L38" s="375">
        <f t="shared" si="19"/>
        <v>0</v>
      </c>
      <c r="M38" s="375">
        <f t="shared" si="20"/>
        <v>0</v>
      </c>
      <c r="N38" s="375">
        <f t="shared" si="21"/>
        <v>0</v>
      </c>
      <c r="Q38" s="504">
        <f t="shared" si="30"/>
        <v>1</v>
      </c>
      <c r="R38" s="504">
        <f t="shared" si="30"/>
        <v>0</v>
      </c>
      <c r="S38" s="445"/>
      <c r="T38" s="445">
        <f t="shared" si="23"/>
        <v>0</v>
      </c>
      <c r="U38" s="505">
        <f t="shared" si="24"/>
        <v>0</v>
      </c>
      <c r="V38" s="447">
        <f t="shared" si="25"/>
        <v>0</v>
      </c>
      <c r="W38" s="448">
        <f t="shared" si="26"/>
        <v>0</v>
      </c>
      <c r="X38" s="448">
        <f t="shared" si="27"/>
        <v>0</v>
      </c>
      <c r="Y38" s="510">
        <f t="shared" si="28"/>
        <v>0</v>
      </c>
      <c r="Z38" s="363" t="e">
        <f t="shared" si="29"/>
        <v>#DIV/0!</v>
      </c>
      <c r="AA38" s="511"/>
      <c r="AC38" s="512"/>
      <c r="AD38" s="513"/>
      <c r="AE38" s="514"/>
      <c r="AG38" s="515"/>
      <c r="AH38" s="515"/>
      <c r="AM38" s="428">
        <f t="shared" si="0"/>
        <v>0</v>
      </c>
      <c r="AN38" s="427"/>
    </row>
    <row r="39" spans="1:41" ht="99.9" customHeight="1" x14ac:dyDescent="0.45">
      <c r="A39" s="319">
        <v>24</v>
      </c>
      <c r="B39" s="345" t="s">
        <v>238</v>
      </c>
      <c r="C39" s="347" t="s">
        <v>72</v>
      </c>
      <c r="D39" s="344" t="s">
        <v>74</v>
      </c>
      <c r="E39" s="344" t="s">
        <v>174</v>
      </c>
      <c r="F39" s="372" t="s">
        <v>249</v>
      </c>
      <c r="G39" s="372" t="s">
        <v>240</v>
      </c>
      <c r="H39" s="385">
        <v>1</v>
      </c>
      <c r="I39" s="385">
        <v>0</v>
      </c>
      <c r="J39" s="375">
        <v>0</v>
      </c>
      <c r="K39" s="375">
        <f t="shared" si="18"/>
        <v>0</v>
      </c>
      <c r="L39" s="375">
        <f t="shared" si="19"/>
        <v>0</v>
      </c>
      <c r="M39" s="375">
        <f t="shared" si="20"/>
        <v>0</v>
      </c>
      <c r="N39" s="375">
        <f t="shared" si="21"/>
        <v>0</v>
      </c>
      <c r="Q39" s="504">
        <f t="shared" si="30"/>
        <v>1</v>
      </c>
      <c r="R39" s="504">
        <f t="shared" si="30"/>
        <v>0</v>
      </c>
      <c r="S39" s="445"/>
      <c r="T39" s="445">
        <f t="shared" si="23"/>
        <v>0</v>
      </c>
      <c r="U39" s="505">
        <f t="shared" si="24"/>
        <v>0</v>
      </c>
      <c r="V39" s="447">
        <f t="shared" si="25"/>
        <v>0</v>
      </c>
      <c r="W39" s="448">
        <f t="shared" si="26"/>
        <v>0</v>
      </c>
      <c r="X39" s="448">
        <f t="shared" si="27"/>
        <v>0</v>
      </c>
      <c r="Y39" s="510">
        <f t="shared" si="28"/>
        <v>0</v>
      </c>
      <c r="Z39" s="363" t="e">
        <f t="shared" si="29"/>
        <v>#DIV/0!</v>
      </c>
      <c r="AA39" s="511"/>
      <c r="AC39" s="512"/>
      <c r="AD39" s="513"/>
      <c r="AE39" s="514"/>
      <c r="AG39" s="515"/>
      <c r="AH39" s="515"/>
      <c r="AM39" s="428">
        <f t="shared" si="0"/>
        <v>0</v>
      </c>
      <c r="AN39" s="427"/>
    </row>
    <row r="40" spans="1:41" ht="99.9" customHeight="1" x14ac:dyDescent="0.45">
      <c r="A40" s="377">
        <v>25</v>
      </c>
      <c r="B40" s="345" t="s">
        <v>246</v>
      </c>
      <c r="C40" s="378" t="s">
        <v>72</v>
      </c>
      <c r="D40" s="344" t="s">
        <v>74</v>
      </c>
      <c r="E40" s="344" t="s">
        <v>174</v>
      </c>
      <c r="F40" s="353" t="s">
        <v>250</v>
      </c>
      <c r="G40" s="353" t="s">
        <v>240</v>
      </c>
      <c r="H40" s="417">
        <v>1</v>
      </c>
      <c r="I40" s="417">
        <v>0</v>
      </c>
      <c r="J40" s="356"/>
      <c r="K40" s="356">
        <f>IF(F40&lt;&gt;"",H40*I40*J40,"")</f>
        <v>0</v>
      </c>
      <c r="L40" s="356">
        <f>IF(K40&lt;&gt;"",IF(D40="INTERNO",0,K40*$L$14),"")</f>
        <v>0</v>
      </c>
      <c r="M40" s="356">
        <f>IF(K40&lt;&gt;"",IF(E40="FAT.OGGI",SUM(K40:L40)*(1/(1-$M$14)-1),L40*(1/(1-$M$14)-1)),"")</f>
        <v>0</v>
      </c>
      <c r="N40" s="356">
        <f>SUM(K40:M40)</f>
        <v>0</v>
      </c>
      <c r="Q40" s="486">
        <f>IF(H40&lt;&gt;"",H40,"")</f>
        <v>1</v>
      </c>
      <c r="R40" s="486">
        <f>IF(I40&lt;&gt;"",I40,"")</f>
        <v>0</v>
      </c>
      <c r="S40" s="456"/>
      <c r="T40" s="456">
        <f>IF(Q40&lt;&gt;"",Q40*R40*S40,"")</f>
        <v>0</v>
      </c>
      <c r="U40" s="474">
        <f>IF(Q40&lt;&gt;"",K40-T40,"")</f>
        <v>0</v>
      </c>
      <c r="V40" s="458">
        <f>IF(Q40&lt;&gt;"",0%,"")</f>
        <v>0</v>
      </c>
      <c r="W40" s="459">
        <f>IF(Q40&lt;&gt;"",V40*U40,"")</f>
        <v>0</v>
      </c>
      <c r="X40" s="459">
        <f>IF(Q40&lt;&gt;"",W40+T40,"")</f>
        <v>0</v>
      </c>
      <c r="Y40" s="362">
        <f>IF(Q40&lt;&gt;"",X40+M40,"")</f>
        <v>0</v>
      </c>
      <c r="Z40" s="363" t="e">
        <f>IF(Q40&lt;&gt;"",U40/K40,"")</f>
        <v>#DIV/0!</v>
      </c>
      <c r="AA40" s="511"/>
      <c r="AC40" s="512"/>
      <c r="AD40" s="513"/>
      <c r="AE40" s="514"/>
      <c r="AG40" s="515"/>
      <c r="AH40" s="515"/>
      <c r="AM40" s="428">
        <f t="shared" si="0"/>
        <v>0</v>
      </c>
      <c r="AN40" s="427"/>
    </row>
    <row r="41" spans="1:41" ht="99.9" customHeight="1" thickBot="1" x14ac:dyDescent="0.5">
      <c r="A41" s="464">
        <v>25</v>
      </c>
      <c r="B41" s="345" t="s">
        <v>248</v>
      </c>
      <c r="C41" s="465" t="s">
        <v>72</v>
      </c>
      <c r="D41" s="344" t="s">
        <v>74</v>
      </c>
      <c r="E41" s="344" t="s">
        <v>174</v>
      </c>
      <c r="F41" s="366" t="s">
        <v>241</v>
      </c>
      <c r="G41" s="366" t="s">
        <v>240</v>
      </c>
      <c r="H41" s="519">
        <v>1</v>
      </c>
      <c r="I41" s="519">
        <v>0</v>
      </c>
      <c r="J41" s="520">
        <v>0</v>
      </c>
      <c r="K41" s="520">
        <f t="shared" si="18"/>
        <v>0</v>
      </c>
      <c r="L41" s="520">
        <f t="shared" si="19"/>
        <v>0</v>
      </c>
      <c r="M41" s="520">
        <f t="shared" si="20"/>
        <v>0</v>
      </c>
      <c r="N41" s="520">
        <f t="shared" si="21"/>
        <v>0</v>
      </c>
      <c r="Q41" s="521">
        <f t="shared" si="30"/>
        <v>1</v>
      </c>
      <c r="R41" s="521">
        <f t="shared" si="30"/>
        <v>0</v>
      </c>
      <c r="S41" s="522"/>
      <c r="T41" s="522">
        <f t="shared" si="23"/>
        <v>0</v>
      </c>
      <c r="U41" s="523">
        <f t="shared" si="24"/>
        <v>0</v>
      </c>
      <c r="V41" s="524">
        <f t="shared" si="25"/>
        <v>0</v>
      </c>
      <c r="W41" s="525">
        <f t="shared" si="26"/>
        <v>0</v>
      </c>
      <c r="X41" s="525">
        <f t="shared" si="27"/>
        <v>0</v>
      </c>
      <c r="Y41" s="526">
        <f t="shared" si="28"/>
        <v>0</v>
      </c>
      <c r="Z41" s="363" t="e">
        <f t="shared" si="29"/>
        <v>#DIV/0!</v>
      </c>
      <c r="AA41" s="511"/>
      <c r="AC41" s="512"/>
      <c r="AD41" s="513"/>
      <c r="AE41" s="514"/>
      <c r="AG41" s="515"/>
      <c r="AH41" s="515"/>
      <c r="AM41" s="428">
        <f t="shared" si="0"/>
        <v>0</v>
      </c>
      <c r="AN41" s="427"/>
    </row>
    <row r="42" spans="1:41" ht="35.1" customHeight="1" thickBot="1" x14ac:dyDescent="0.5">
      <c r="A42" s="344">
        <v>21</v>
      </c>
      <c r="B42" s="345"/>
      <c r="C42" s="346" t="s">
        <v>75</v>
      </c>
      <c r="D42" s="344"/>
      <c r="E42" s="344"/>
      <c r="F42" s="606" t="s">
        <v>203</v>
      </c>
      <c r="G42" s="607"/>
      <c r="H42" s="607"/>
      <c r="I42" s="607"/>
      <c r="J42" s="607"/>
      <c r="K42" s="402">
        <f>SUM(K32:K41)</f>
        <v>11079.52</v>
      </c>
      <c r="L42" s="402">
        <f>SUM(L32:L41)</f>
        <v>1107.952</v>
      </c>
      <c r="M42" s="402">
        <f>SUM(M32:M41)</f>
        <v>268.89900037280984</v>
      </c>
      <c r="N42" s="403">
        <f>SUM(N32:N41)</f>
        <v>12456.37100037281</v>
      </c>
      <c r="Q42" s="606" t="s">
        <v>203</v>
      </c>
      <c r="R42" s="607"/>
      <c r="S42" s="607"/>
      <c r="T42" s="493">
        <f>SUM(T32:T41)</f>
        <v>15521</v>
      </c>
      <c r="U42" s="494">
        <f>SUM(U32:U41)</f>
        <v>-4441.4799999999996</v>
      </c>
      <c r="V42" s="495"/>
      <c r="W42" s="495"/>
      <c r="X42" s="496">
        <f>SUM(X32:X41)</f>
        <v>15521</v>
      </c>
      <c r="Y42" s="527">
        <f t="shared" si="28"/>
        <v>15789.89900037281</v>
      </c>
      <c r="Z42" s="498" t="s">
        <v>90</v>
      </c>
      <c r="AA42" s="528" t="s">
        <v>91</v>
      </c>
      <c r="AM42" s="428"/>
      <c r="AN42" s="427"/>
    </row>
    <row r="43" spans="1:41" ht="35.1" customHeight="1" thickBot="1" x14ac:dyDescent="0.5">
      <c r="A43" s="377">
        <v>22</v>
      </c>
      <c r="B43" s="422"/>
      <c r="C43" s="378" t="s">
        <v>76</v>
      </c>
      <c r="D43" s="377"/>
      <c r="E43" s="377"/>
      <c r="F43" s="40" t="s">
        <v>160</v>
      </c>
      <c r="G43" s="41"/>
      <c r="H43" s="91"/>
      <c r="I43" s="91"/>
      <c r="J43" s="41"/>
      <c r="K43" s="42">
        <f>SUM(K17:K18)+SUM(K22:K22)+SUM(K26:K28)+SUM(K32:K41)</f>
        <v>46359.520000000004</v>
      </c>
      <c r="L43" s="42">
        <f>SUM(L17:L18)+SUM(L22:L22)+SUM(L26:L28)+SUM(L32:L41)</f>
        <v>4635.9520000000002</v>
      </c>
      <c r="M43" s="42">
        <f>SUM(M17:M18)+SUM(M22:M22)+SUM(M26:M28)+SUM(M32:M41)</f>
        <v>9687.5673239716707</v>
      </c>
      <c r="N43" s="214">
        <f>SUM(N17:N18)+SUM(N22:N22)+SUM(N26:N28)+SUM(N32:N41)</f>
        <v>60683.039323971672</v>
      </c>
      <c r="Q43" s="90" t="s">
        <v>13</v>
      </c>
      <c r="R43" s="91"/>
      <c r="S43" s="41"/>
      <c r="T43" s="42">
        <f>SUM(T17:T18)+SUM(T22:T22)+SUM(T26:T28)+SUM(T32:T41)</f>
        <v>36203</v>
      </c>
      <c r="U43" s="42">
        <f>SUM(U17:U18)+SUM(U22:U22)+SUM(U26:U28)+SUM(U32:U41)</f>
        <v>10156.52</v>
      </c>
      <c r="V43" s="41"/>
      <c r="W43" s="41"/>
      <c r="X43" s="42">
        <f>SUM(X17:X18)+SUM(X22:X22)+SUM(X26:X28)+SUM(X32:X41)</f>
        <v>36203</v>
      </c>
      <c r="Y43" s="214">
        <f>SUM(Y17:Y18)+SUM(Y22:Y22)+SUM(Y26:Y28)+SUM(Y32:Y41)</f>
        <v>45890.567323971671</v>
      </c>
      <c r="Z43" s="134">
        <f>IF(Q43&lt;&gt;"",(N43-Y43)/N43,"")</f>
        <v>0.24376616868226833</v>
      </c>
      <c r="AA43" s="215">
        <f>IF(Z43&lt;&gt;"",(N43-Y43),"")</f>
        <v>14792.472000000002</v>
      </c>
      <c r="AM43" s="428">
        <f>SUM(AM17:AM42)</f>
        <v>0</v>
      </c>
      <c r="AN43" s="427">
        <f>SUM(AN17:AN42)</f>
        <v>36203</v>
      </c>
    </row>
  </sheetData>
  <mergeCells count="33">
    <mergeCell ref="F25:K25"/>
    <mergeCell ref="Q25:Y25"/>
    <mergeCell ref="F19:J19"/>
    <mergeCell ref="Q19:S19"/>
    <mergeCell ref="Q23:S23"/>
    <mergeCell ref="AM15:AN15"/>
    <mergeCell ref="AM16:AN16"/>
    <mergeCell ref="F24:N24"/>
    <mergeCell ref="Q24:Y24"/>
    <mergeCell ref="AK12:AL12"/>
    <mergeCell ref="F15:N15"/>
    <mergeCell ref="Q15:Y15"/>
    <mergeCell ref="F16:K16"/>
    <mergeCell ref="Q16:Y16"/>
    <mergeCell ref="U12:X12"/>
    <mergeCell ref="AC12:AE12"/>
    <mergeCell ref="AG12:AH12"/>
    <mergeCell ref="F31:K31"/>
    <mergeCell ref="Q31:Y31"/>
    <mergeCell ref="F42:J42"/>
    <mergeCell ref="Q42:S42"/>
    <mergeCell ref="F1:G1"/>
    <mergeCell ref="F2:G2"/>
    <mergeCell ref="Q12:T12"/>
    <mergeCell ref="F30:N30"/>
    <mergeCell ref="Q30:Y30"/>
    <mergeCell ref="F29:J29"/>
    <mergeCell ref="Q29:S29"/>
    <mergeCell ref="F20:N20"/>
    <mergeCell ref="Q20:Y20"/>
    <mergeCell ref="F21:K21"/>
    <mergeCell ref="Q21:Y21"/>
    <mergeCell ref="F23:J23"/>
  </mergeCells>
  <dataValidations count="3">
    <dataValidation type="list" allowBlank="1" showInputMessage="1" showErrorMessage="1" sqref="E26:E28 E20:E23 E17:E18 E32:E41" xr:uid="{574C8A05-7318-488E-B33C-F8575A188437}">
      <formula1>"FAT.OGGI,FAT.CLIENTE"</formula1>
    </dataValidation>
    <dataValidation type="list" allowBlank="1" showInputMessage="1" showErrorMessage="1" sqref="D26:D28 D20:D23 D43 D17:D18 D32:D41" xr:uid="{33D120D6-9DCD-45B0-820A-208698518E8F}">
      <formula1>"INTERNO,OPERACIONAL"</formula1>
    </dataValidation>
    <dataValidation type="list" allowBlank="1" showInputMessage="1" showErrorMessage="1" sqref="E43" xr:uid="{4D9A228B-E013-4441-9619-1938826E5274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FEC2-B209-4E82-9B38-12B21D67D8AD}">
  <sheetPr codeName="Planilha12">
    <pageSetUpPr autoPageBreaks="0"/>
  </sheetPr>
  <dimension ref="A1:AO23"/>
  <sheetViews>
    <sheetView showGridLines="0" topLeftCell="F1" zoomScale="60" zoomScaleNormal="60" workbookViewId="0">
      <pane ySplit="1" topLeftCell="A20" activePane="bottomLeft" state="frozen"/>
      <selection pane="bottomLeft" activeCell="AN21" sqref="AN21"/>
    </sheetView>
  </sheetViews>
  <sheetFormatPr defaultColWidth="8.88671875" defaultRowHeight="21" x14ac:dyDescent="0.4"/>
  <cols>
    <col min="1" max="1" width="3.44140625" style="293" hidden="1" customWidth="1"/>
    <col min="2" max="2" width="9.44140625" style="293" customWidth="1"/>
    <col min="3" max="3" width="8" style="293" hidden="1" customWidth="1"/>
    <col min="4" max="4" width="4.6640625" style="293" hidden="1" customWidth="1"/>
    <col min="5" max="5" width="10.5546875" style="293" hidden="1" customWidth="1"/>
    <col min="6" max="6" width="32.33203125" style="293" customWidth="1"/>
    <col min="7" max="7" width="53.5546875" style="293" customWidth="1"/>
    <col min="8" max="8" width="7.109375" style="296" hidden="1" customWidth="1"/>
    <col min="9" max="9" width="7.6640625" style="296" hidden="1" customWidth="1"/>
    <col min="10" max="10" width="22.44140625" style="293" hidden="1" customWidth="1"/>
    <col min="11" max="11" width="25.44140625" style="293" customWidth="1"/>
    <col min="12" max="12" width="24.5546875" style="293" customWidth="1"/>
    <col min="13" max="13" width="23.5546875" style="293" customWidth="1"/>
    <col min="14" max="14" width="29.88671875" style="293" customWidth="1"/>
    <col min="15" max="15" width="11.44140625" style="293" hidden="1" customWidth="1"/>
    <col min="16" max="16" width="15.5546875" style="293" hidden="1" customWidth="1"/>
    <col min="17" max="17" width="10.5546875" style="296" customWidth="1"/>
    <col min="18" max="18" width="10.44140625" style="296" hidden="1" customWidth="1"/>
    <col min="19" max="19" width="19.5546875" style="293" hidden="1" customWidth="1"/>
    <col min="20" max="20" width="25.6640625" style="293" customWidth="1"/>
    <col min="21" max="21" width="23.6640625" style="293" hidden="1" customWidth="1"/>
    <col min="22" max="22" width="12.109375" style="293" hidden="1" customWidth="1"/>
    <col min="23" max="23" width="19.88671875" style="293" hidden="1" customWidth="1"/>
    <col min="24" max="24" width="27.6640625" style="293" customWidth="1"/>
    <col min="25" max="25" width="39" style="293" hidden="1" customWidth="1"/>
    <col min="26" max="26" width="19.109375" style="293" hidden="1" customWidth="1"/>
    <col min="27" max="27" width="25.6640625" style="293" hidden="1" customWidth="1"/>
    <col min="28" max="28" width="65.5546875" style="293" hidden="1" customWidth="1"/>
    <col min="29" max="29" width="52.33203125" style="293" hidden="1" customWidth="1"/>
    <col min="30" max="30" width="67.88671875" style="293" hidden="1" customWidth="1"/>
    <col min="31" max="31" width="53.88671875" style="293" hidden="1" customWidth="1"/>
    <col min="32" max="32" width="45.6640625" style="293" hidden="1" customWidth="1"/>
    <col min="33" max="33" width="106.88671875" style="293" hidden="1" customWidth="1"/>
    <col min="34" max="34" width="59.44140625" style="293" hidden="1" customWidth="1"/>
    <col min="35" max="35" width="55" style="293" hidden="1" customWidth="1"/>
    <col min="36" max="36" width="79.5546875" style="293" hidden="1" customWidth="1"/>
    <col min="37" max="37" width="55.88671875" style="293" hidden="1" customWidth="1"/>
    <col min="38" max="38" width="23.109375" style="293" hidden="1" customWidth="1"/>
    <col min="39" max="39" width="26.33203125" style="293" customWidth="1"/>
    <col min="40" max="40" width="25.6640625" style="293" customWidth="1"/>
    <col min="41" max="41" width="8.88671875" style="543" customWidth="1"/>
    <col min="42" max="43" width="8.88671875" style="293" customWidth="1"/>
    <col min="44" max="16384" width="8.88671875" style="293"/>
  </cols>
  <sheetData>
    <row r="1" spans="1:40" ht="49.5" customHeight="1" x14ac:dyDescent="0.4">
      <c r="B1" s="294"/>
      <c r="C1" s="295"/>
      <c r="D1" s="295"/>
      <c r="F1" s="554" t="s">
        <v>65</v>
      </c>
      <c r="G1" s="554"/>
    </row>
    <row r="2" spans="1:40" ht="24.75" customHeight="1" x14ac:dyDescent="0.4">
      <c r="B2" s="297"/>
      <c r="D2" s="295"/>
      <c r="F2" s="555" t="s">
        <v>0</v>
      </c>
      <c r="G2" s="555"/>
    </row>
    <row r="3" spans="1:40" ht="22.2" x14ac:dyDescent="0.4">
      <c r="B3" s="298"/>
      <c r="F3" s="299"/>
      <c r="G3" s="299"/>
    </row>
    <row r="4" spans="1:40" ht="22.2" x14ac:dyDescent="0.4">
      <c r="F4" s="429" t="s">
        <v>85</v>
      </c>
      <c r="G4" s="430" t="s">
        <v>106</v>
      </c>
    </row>
    <row r="5" spans="1:40" ht="22.2" x14ac:dyDescent="0.4">
      <c r="F5" s="431" t="s">
        <v>84</v>
      </c>
      <c r="G5" s="432" t="s">
        <v>100</v>
      </c>
    </row>
    <row r="6" spans="1:40" ht="22.2" x14ac:dyDescent="0.4">
      <c r="D6" s="293" t="s">
        <v>63</v>
      </c>
      <c r="F6" s="431" t="s">
        <v>83</v>
      </c>
      <c r="G6" s="433" t="s">
        <v>107</v>
      </c>
    </row>
    <row r="7" spans="1:40" ht="21.75" customHeight="1" x14ac:dyDescent="0.4">
      <c r="F7" s="431" t="s">
        <v>82</v>
      </c>
      <c r="G7" s="433" t="s">
        <v>108</v>
      </c>
      <c r="J7" s="293" t="s">
        <v>64</v>
      </c>
    </row>
    <row r="8" spans="1:40" ht="22.2" x14ac:dyDescent="0.4">
      <c r="F8" s="431" t="s">
        <v>78</v>
      </c>
      <c r="G8" s="434" t="s">
        <v>109</v>
      </c>
    </row>
    <row r="9" spans="1:40" ht="22.2" x14ac:dyDescent="0.4">
      <c r="F9" s="431" t="s">
        <v>79</v>
      </c>
      <c r="G9" s="433" t="s">
        <v>102</v>
      </c>
      <c r="J9" s="293" t="s">
        <v>63</v>
      </c>
    </row>
    <row r="10" spans="1:40" ht="27" customHeight="1" x14ac:dyDescent="0.4">
      <c r="F10" s="431" t="s">
        <v>80</v>
      </c>
      <c r="G10" s="433" t="s">
        <v>110</v>
      </c>
    </row>
    <row r="11" spans="1:40" ht="22.2" x14ac:dyDescent="0.4">
      <c r="F11" s="435" t="s">
        <v>81</v>
      </c>
      <c r="G11" s="436" t="s">
        <v>111</v>
      </c>
    </row>
    <row r="12" spans="1:40" ht="22.8" hidden="1" thickBot="1" x14ac:dyDescent="0.45">
      <c r="B12" s="308"/>
      <c r="M12" s="309"/>
      <c r="Q12" s="556" t="s">
        <v>1</v>
      </c>
      <c r="R12" s="557"/>
      <c r="S12" s="557"/>
      <c r="T12" s="558"/>
      <c r="U12" s="559" t="s">
        <v>2</v>
      </c>
      <c r="V12" s="560"/>
      <c r="W12" s="560"/>
      <c r="X12" s="561"/>
      <c r="Y12" s="310" t="s">
        <v>15</v>
      </c>
      <c r="Z12" s="311">
        <f>(1/(1-M14))-1</f>
        <v>0.24269914253759173</v>
      </c>
      <c r="AC12" s="588" t="s">
        <v>3</v>
      </c>
      <c r="AD12" s="589"/>
      <c r="AE12" s="590"/>
      <c r="AG12" s="579" t="s">
        <v>16</v>
      </c>
      <c r="AH12" s="580"/>
      <c r="AJ12" s="312" t="s">
        <v>18</v>
      </c>
      <c r="AK12" s="609" t="s">
        <v>17</v>
      </c>
      <c r="AL12" s="610"/>
    </row>
    <row r="13" spans="1:40" ht="22.8" thickBot="1" x14ac:dyDescent="0.5">
      <c r="A13" s="313" t="s">
        <v>4</v>
      </c>
      <c r="B13" s="314" t="s">
        <v>5</v>
      </c>
      <c r="C13" s="313" t="s">
        <v>6</v>
      </c>
      <c r="D13" s="313" t="s">
        <v>7</v>
      </c>
      <c r="E13" s="313" t="s">
        <v>8</v>
      </c>
      <c r="M13" s="315">
        <v>0.80469999999999997</v>
      </c>
    </row>
    <row r="14" spans="1:40" ht="35.1" customHeight="1" thickBot="1" x14ac:dyDescent="0.45">
      <c r="A14" s="316">
        <v>0</v>
      </c>
      <c r="B14" s="317"/>
      <c r="C14" s="318"/>
      <c r="D14" s="319"/>
      <c r="E14" s="319"/>
      <c r="F14" s="320" t="s">
        <v>41</v>
      </c>
      <c r="G14" s="321" t="s">
        <v>42</v>
      </c>
      <c r="H14" s="322" t="s">
        <v>43</v>
      </c>
      <c r="I14" s="322" t="s">
        <v>44</v>
      </c>
      <c r="J14" s="323" t="s">
        <v>45</v>
      </c>
      <c r="K14" s="324" t="s">
        <v>9</v>
      </c>
      <c r="L14" s="325">
        <v>0.1</v>
      </c>
      <c r="M14" s="326">
        <f>1-M13</f>
        <v>0.19530000000000003</v>
      </c>
      <c r="N14" s="327" t="s">
        <v>39</v>
      </c>
      <c r="Q14" s="437" t="s">
        <v>46</v>
      </c>
      <c r="R14" s="438" t="s">
        <v>47</v>
      </c>
      <c r="S14" s="330" t="s">
        <v>48</v>
      </c>
      <c r="T14" s="331" t="s">
        <v>49</v>
      </c>
      <c r="U14" s="332" t="s">
        <v>50</v>
      </c>
      <c r="V14" s="333" t="s">
        <v>51</v>
      </c>
      <c r="W14" s="334" t="s">
        <v>52</v>
      </c>
      <c r="X14" s="334" t="s">
        <v>53</v>
      </c>
      <c r="Y14" s="335" t="s">
        <v>54</v>
      </c>
      <c r="Z14" s="336" t="s">
        <v>55</v>
      </c>
      <c r="AA14" s="337" t="s">
        <v>40</v>
      </c>
      <c r="AC14" s="338" t="s">
        <v>56</v>
      </c>
      <c r="AD14" s="339" t="s">
        <v>57</v>
      </c>
      <c r="AE14" s="339" t="s">
        <v>11</v>
      </c>
      <c r="AG14" s="340" t="s">
        <v>58</v>
      </c>
      <c r="AH14" s="341" t="s">
        <v>59</v>
      </c>
      <c r="AK14" s="342" t="s">
        <v>60</v>
      </c>
      <c r="AL14" s="343" t="s">
        <v>61</v>
      </c>
      <c r="AM14" s="424" t="s">
        <v>60</v>
      </c>
      <c r="AN14" s="425" t="s">
        <v>61</v>
      </c>
    </row>
    <row r="15" spans="1:40" ht="35.1" customHeight="1" thickBot="1" x14ac:dyDescent="0.5">
      <c r="A15" s="344">
        <v>1</v>
      </c>
      <c r="B15" s="345">
        <v>1</v>
      </c>
      <c r="C15" s="346" t="s">
        <v>66</v>
      </c>
      <c r="D15" s="344"/>
      <c r="E15" s="344"/>
      <c r="F15" s="581" t="s">
        <v>114</v>
      </c>
      <c r="G15" s="582"/>
      <c r="H15" s="582"/>
      <c r="I15" s="582"/>
      <c r="J15" s="582"/>
      <c r="K15" s="582"/>
      <c r="L15" s="582"/>
      <c r="M15" s="582"/>
      <c r="N15" s="583"/>
      <c r="Q15" s="581" t="str">
        <f>IF(F15&lt;&gt;"",F15,"")</f>
        <v>TAXAS</v>
      </c>
      <c r="R15" s="582"/>
      <c r="S15" s="582"/>
      <c r="T15" s="582"/>
      <c r="U15" s="582"/>
      <c r="V15" s="582"/>
      <c r="W15" s="582"/>
      <c r="X15" s="582"/>
      <c r="Y15" s="583"/>
      <c r="AM15" s="600"/>
      <c r="AN15" s="601"/>
    </row>
    <row r="16" spans="1:40" ht="35.1" customHeight="1" x14ac:dyDescent="0.45">
      <c r="A16" s="319">
        <v>2</v>
      </c>
      <c r="B16" s="345" t="s">
        <v>68</v>
      </c>
      <c r="C16" s="347" t="s">
        <v>67</v>
      </c>
      <c r="D16" s="319"/>
      <c r="E16" s="319"/>
      <c r="F16" s="573" t="s">
        <v>115</v>
      </c>
      <c r="G16" s="574"/>
      <c r="H16" s="574"/>
      <c r="I16" s="574"/>
      <c r="J16" s="574"/>
      <c r="K16" s="575"/>
      <c r="L16" s="410" t="s">
        <v>69</v>
      </c>
      <c r="M16" s="411" t="s">
        <v>70</v>
      </c>
      <c r="N16" s="412" t="s">
        <v>39</v>
      </c>
      <c r="Q16" s="573" t="str">
        <f>IF(F16&lt;&gt;"",F16,"")</f>
        <v>Taxas</v>
      </c>
      <c r="R16" s="574"/>
      <c r="S16" s="574"/>
      <c r="T16" s="574"/>
      <c r="U16" s="574"/>
      <c r="V16" s="574"/>
      <c r="W16" s="574"/>
      <c r="X16" s="574"/>
      <c r="Y16" s="605"/>
      <c r="Z16" s="439" t="s">
        <v>71</v>
      </c>
      <c r="AA16" s="440" t="s">
        <v>40</v>
      </c>
      <c r="AM16" s="602"/>
      <c r="AN16" s="603"/>
    </row>
    <row r="17" spans="1:41" ht="99.9" customHeight="1" x14ac:dyDescent="0.4">
      <c r="A17" s="377">
        <v>7</v>
      </c>
      <c r="B17" s="345" t="s">
        <v>124</v>
      </c>
      <c r="C17" s="378" t="s">
        <v>72</v>
      </c>
      <c r="D17" s="319" t="s">
        <v>74</v>
      </c>
      <c r="E17" s="319" t="s">
        <v>77</v>
      </c>
      <c r="F17" s="529" t="s">
        <v>119</v>
      </c>
      <c r="G17" s="353" t="s">
        <v>191</v>
      </c>
      <c r="H17" s="417">
        <v>12</v>
      </c>
      <c r="I17" s="417">
        <v>1</v>
      </c>
      <c r="J17" s="356">
        <v>75</v>
      </c>
      <c r="K17" s="356">
        <f t="shared" ref="K17:K21" si="0">IF(F17&lt;&gt;"",H17*I17*J17,"")</f>
        <v>900</v>
      </c>
      <c r="L17" s="356">
        <f t="shared" ref="L17:L21" si="1">IF(K17&lt;&gt;"",IF(D17="INTERNO",0,K17*$L$14),"")</f>
        <v>90</v>
      </c>
      <c r="M17" s="356">
        <f t="shared" ref="M17:M21" si="2">IF(K17&lt;&gt;"",IF(E17="FAT.OGGI",SUM(K17:L17)*(1/(1-$M$14)-1),L17*(1/(1-$M$14)-1)),0)</f>
        <v>240.27215111221582</v>
      </c>
      <c r="N17" s="418">
        <f t="shared" ref="N17:N21" si="3">SUM(K17:M17)</f>
        <v>1230.2721511122159</v>
      </c>
      <c r="Q17" s="454">
        <v>1</v>
      </c>
      <c r="R17" s="455">
        <f t="shared" ref="R17" si="4">IF(I17&lt;&gt;"",I17,"")</f>
        <v>1</v>
      </c>
      <c r="S17" s="456">
        <v>844.65</v>
      </c>
      <c r="T17" s="456">
        <f t="shared" ref="T17:T21" si="5">IF(Q17&lt;&gt;"",Q17*R17*S17,"")</f>
        <v>844.65</v>
      </c>
      <c r="U17" s="474">
        <f t="shared" ref="U17:U21" si="6">IF(Q17&lt;&gt;"",K17-T17,"")</f>
        <v>55.350000000000023</v>
      </c>
      <c r="V17" s="458">
        <f t="shared" ref="V17:V21" si="7">IF(Q17&lt;&gt;"",0%,"")</f>
        <v>0</v>
      </c>
      <c r="W17" s="459">
        <f t="shared" ref="W17:W21" si="8">IF(Q17&lt;&gt;"",V17*U17,"")</f>
        <v>0</v>
      </c>
      <c r="X17" s="459">
        <f t="shared" ref="X17:X21" si="9">IF(Q17&lt;&gt;"",W17+T17,"")</f>
        <v>844.65</v>
      </c>
      <c r="Y17" s="475">
        <f t="shared" ref="Y17:Y22" si="10">IF(Q17&lt;&gt;"",X17+M17,"")</f>
        <v>1084.9221511122157</v>
      </c>
      <c r="Z17" s="451">
        <f t="shared" ref="Z17:Z21" si="11">IF(Q17&lt;&gt;"", IFERROR(U17/K17, 0), 0)</f>
        <v>6.1500000000000027E-2</v>
      </c>
      <c r="AA17" s="530"/>
      <c r="AM17" s="428">
        <f>X17-AN17</f>
        <v>0</v>
      </c>
      <c r="AN17" s="427">
        <v>844.65</v>
      </c>
      <c r="AO17" s="543" t="s">
        <v>300</v>
      </c>
    </row>
    <row r="18" spans="1:41" ht="99.9" customHeight="1" x14ac:dyDescent="0.4">
      <c r="A18" s="344">
        <v>8</v>
      </c>
      <c r="B18" s="345" t="s">
        <v>130</v>
      </c>
      <c r="C18" s="346" t="s">
        <v>72</v>
      </c>
      <c r="D18" s="344" t="s">
        <v>74</v>
      </c>
      <c r="E18" s="344" t="s">
        <v>77</v>
      </c>
      <c r="F18" s="531" t="s">
        <v>230</v>
      </c>
      <c r="G18" s="516" t="s">
        <v>192</v>
      </c>
      <c r="H18" s="478">
        <v>6</v>
      </c>
      <c r="I18" s="478">
        <v>1</v>
      </c>
      <c r="J18" s="369">
        <v>693</v>
      </c>
      <c r="K18" s="369">
        <f t="shared" si="0"/>
        <v>4158</v>
      </c>
      <c r="L18" s="369">
        <f t="shared" si="1"/>
        <v>415.8</v>
      </c>
      <c r="M18" s="369">
        <f t="shared" si="2"/>
        <v>1110.057338138437</v>
      </c>
      <c r="N18" s="370">
        <f t="shared" si="3"/>
        <v>5683.8573381384376</v>
      </c>
      <c r="P18" s="532"/>
      <c r="Q18" s="479">
        <v>1</v>
      </c>
      <c r="R18" s="480">
        <v>1</v>
      </c>
      <c r="S18" s="481">
        <v>5378.54</v>
      </c>
      <c r="T18" s="481">
        <f t="shared" si="5"/>
        <v>5378.54</v>
      </c>
      <c r="U18" s="482">
        <f t="shared" si="6"/>
        <v>-1220.54</v>
      </c>
      <c r="V18" s="483">
        <f t="shared" si="7"/>
        <v>0</v>
      </c>
      <c r="W18" s="484">
        <f t="shared" si="8"/>
        <v>0</v>
      </c>
      <c r="X18" s="484">
        <f t="shared" si="9"/>
        <v>5378.54</v>
      </c>
      <c r="Y18" s="485">
        <f t="shared" si="10"/>
        <v>6488.5973381384374</v>
      </c>
      <c r="Z18" s="533">
        <f t="shared" si="11"/>
        <v>-0.29354016354016355</v>
      </c>
      <c r="AA18" s="530"/>
      <c r="AM18" s="428">
        <f t="shared" ref="AM18:AM23" si="12">X18-AN18</f>
        <v>0</v>
      </c>
      <c r="AN18" s="427">
        <v>5378.54</v>
      </c>
      <c r="AO18" s="543" t="s">
        <v>300</v>
      </c>
    </row>
    <row r="19" spans="1:41" ht="99.9" customHeight="1" x14ac:dyDescent="0.4">
      <c r="A19" s="319">
        <v>12</v>
      </c>
      <c r="B19" s="345" t="s">
        <v>180</v>
      </c>
      <c r="C19" s="347" t="s">
        <v>72</v>
      </c>
      <c r="D19" s="319" t="s">
        <v>74</v>
      </c>
      <c r="E19" s="319" t="s">
        <v>77</v>
      </c>
      <c r="F19" s="371" t="s">
        <v>116</v>
      </c>
      <c r="G19" s="372" t="s">
        <v>117</v>
      </c>
      <c r="H19" s="385">
        <v>2</v>
      </c>
      <c r="I19" s="385">
        <v>1</v>
      </c>
      <c r="J19" s="375">
        <v>1133</v>
      </c>
      <c r="K19" s="375">
        <f t="shared" si="0"/>
        <v>2266</v>
      </c>
      <c r="L19" s="375">
        <f t="shared" si="1"/>
        <v>226.60000000000002</v>
      </c>
      <c r="M19" s="375">
        <f t="shared" si="2"/>
        <v>604.95188268920117</v>
      </c>
      <c r="N19" s="376">
        <f t="shared" si="3"/>
        <v>3097.5518826892012</v>
      </c>
      <c r="Q19" s="443">
        <v>1</v>
      </c>
      <c r="R19" s="444">
        <f t="shared" ref="Q19:R21" si="13">IF(I19&lt;&gt;"",I19,"")</f>
        <v>1</v>
      </c>
      <c r="S19" s="445">
        <v>0</v>
      </c>
      <c r="T19" s="445">
        <f t="shared" si="5"/>
        <v>0</v>
      </c>
      <c r="U19" s="505">
        <f t="shared" si="6"/>
        <v>2266</v>
      </c>
      <c r="V19" s="447">
        <f t="shared" si="7"/>
        <v>0</v>
      </c>
      <c r="W19" s="448">
        <f t="shared" si="8"/>
        <v>0</v>
      </c>
      <c r="X19" s="448">
        <f t="shared" si="9"/>
        <v>0</v>
      </c>
      <c r="Y19" s="506">
        <f t="shared" si="10"/>
        <v>604.95188268920117</v>
      </c>
      <c r="Z19" s="451">
        <f t="shared" si="11"/>
        <v>1</v>
      </c>
      <c r="AA19" s="452"/>
      <c r="AM19" s="428">
        <f t="shared" si="12"/>
        <v>0</v>
      </c>
      <c r="AN19" s="427"/>
    </row>
    <row r="20" spans="1:41" ht="99.9" customHeight="1" x14ac:dyDescent="0.4">
      <c r="A20" s="319">
        <v>13</v>
      </c>
      <c r="B20" s="345" t="s">
        <v>181</v>
      </c>
      <c r="C20" s="347" t="s">
        <v>72</v>
      </c>
      <c r="D20" s="319" t="s">
        <v>74</v>
      </c>
      <c r="E20" s="319" t="s">
        <v>77</v>
      </c>
      <c r="F20" s="371" t="s">
        <v>120</v>
      </c>
      <c r="G20" s="372" t="s">
        <v>121</v>
      </c>
      <c r="H20" s="385">
        <v>2</v>
      </c>
      <c r="I20" s="385">
        <v>1</v>
      </c>
      <c r="J20" s="375">
        <v>206</v>
      </c>
      <c r="K20" s="375">
        <f t="shared" si="0"/>
        <v>412</v>
      </c>
      <c r="L20" s="375">
        <f t="shared" si="1"/>
        <v>41.2</v>
      </c>
      <c r="M20" s="375">
        <f t="shared" si="2"/>
        <v>109.99125139803657</v>
      </c>
      <c r="N20" s="376">
        <f t="shared" si="3"/>
        <v>563.19125139803657</v>
      </c>
      <c r="Q20" s="443">
        <v>1</v>
      </c>
      <c r="R20" s="444">
        <f t="shared" si="13"/>
        <v>1</v>
      </c>
      <c r="S20" s="445">
        <v>0</v>
      </c>
      <c r="T20" s="445">
        <f t="shared" si="5"/>
        <v>0</v>
      </c>
      <c r="U20" s="505">
        <f t="shared" si="6"/>
        <v>412</v>
      </c>
      <c r="V20" s="447">
        <f t="shared" si="7"/>
        <v>0</v>
      </c>
      <c r="W20" s="448">
        <f t="shared" si="8"/>
        <v>0</v>
      </c>
      <c r="X20" s="448">
        <f t="shared" si="9"/>
        <v>0</v>
      </c>
      <c r="Y20" s="506">
        <f t="shared" si="10"/>
        <v>109.99125139803657</v>
      </c>
      <c r="Z20" s="451">
        <f t="shared" si="11"/>
        <v>1</v>
      </c>
      <c r="AA20" s="452"/>
      <c r="AM20" s="428">
        <f t="shared" si="12"/>
        <v>0</v>
      </c>
      <c r="AN20" s="427"/>
    </row>
    <row r="21" spans="1:41" ht="99.9" customHeight="1" x14ac:dyDescent="0.4">
      <c r="A21" s="377">
        <v>14</v>
      </c>
      <c r="B21" s="345" t="s">
        <v>182</v>
      </c>
      <c r="C21" s="378" t="s">
        <v>72</v>
      </c>
      <c r="D21" s="319" t="s">
        <v>74</v>
      </c>
      <c r="E21" s="319" t="s">
        <v>77</v>
      </c>
      <c r="F21" s="529" t="s">
        <v>131</v>
      </c>
      <c r="G21" s="353" t="s">
        <v>163</v>
      </c>
      <c r="H21" s="417">
        <v>1</v>
      </c>
      <c r="I21" s="417">
        <v>1</v>
      </c>
      <c r="J21" s="356">
        <v>19941.810000000001</v>
      </c>
      <c r="K21" s="356">
        <f t="shared" si="0"/>
        <v>19941.810000000001</v>
      </c>
      <c r="L21" s="356">
        <f t="shared" si="1"/>
        <v>1994.1810000000003</v>
      </c>
      <c r="M21" s="356">
        <f t="shared" si="2"/>
        <v>5323.8462064123296</v>
      </c>
      <c r="N21" s="418">
        <f t="shared" si="3"/>
        <v>27259.837206412332</v>
      </c>
      <c r="Q21" s="454">
        <f t="shared" si="13"/>
        <v>1</v>
      </c>
      <c r="R21" s="455">
        <f t="shared" si="13"/>
        <v>1</v>
      </c>
      <c r="S21" s="456">
        <v>19941.810000000001</v>
      </c>
      <c r="T21" s="456">
        <f t="shared" si="5"/>
        <v>19941.810000000001</v>
      </c>
      <c r="U21" s="474">
        <f t="shared" si="6"/>
        <v>0</v>
      </c>
      <c r="V21" s="458">
        <f t="shared" si="7"/>
        <v>0</v>
      </c>
      <c r="W21" s="459">
        <f t="shared" si="8"/>
        <v>0</v>
      </c>
      <c r="X21" s="459">
        <f t="shared" si="9"/>
        <v>19941.810000000001</v>
      </c>
      <c r="Y21" s="475">
        <f t="shared" si="10"/>
        <v>25265.656206412332</v>
      </c>
      <c r="Z21" s="451">
        <f t="shared" si="11"/>
        <v>0</v>
      </c>
      <c r="AA21" s="530"/>
      <c r="AM21" s="428">
        <f t="shared" si="12"/>
        <v>0</v>
      </c>
      <c r="AN21" s="427">
        <v>19941.810000000001</v>
      </c>
      <c r="AO21" s="543" t="s">
        <v>295</v>
      </c>
    </row>
    <row r="22" spans="1:41" ht="35.1" customHeight="1" thickBot="1" x14ac:dyDescent="0.5">
      <c r="A22" s="344">
        <v>16</v>
      </c>
      <c r="B22" s="345"/>
      <c r="C22" s="346" t="s">
        <v>75</v>
      </c>
      <c r="D22" s="344"/>
      <c r="E22" s="344"/>
      <c r="F22" s="606" t="s">
        <v>134</v>
      </c>
      <c r="G22" s="607"/>
      <c r="H22" s="607"/>
      <c r="I22" s="607"/>
      <c r="J22" s="607"/>
      <c r="K22" s="402">
        <f>SUM(K17:K21)</f>
        <v>27677.81</v>
      </c>
      <c r="L22" s="402">
        <f>SUM(L17:L21)</f>
        <v>2767.7810000000004</v>
      </c>
      <c r="M22" s="402">
        <f>SUM(M17:M21)</f>
        <v>7389.1188297502204</v>
      </c>
      <c r="N22" s="403">
        <f>SUM(N17:N21)</f>
        <v>37834.709829750223</v>
      </c>
      <c r="Q22" s="562" t="s">
        <v>103</v>
      </c>
      <c r="R22" s="563"/>
      <c r="S22" s="563"/>
      <c r="T22" s="466">
        <f>SUM(T17:T21)</f>
        <v>26165</v>
      </c>
      <c r="U22" s="467">
        <f>SUM(U17:U21)</f>
        <v>1512.81</v>
      </c>
      <c r="V22" s="468"/>
      <c r="W22" s="468"/>
      <c r="X22" s="469">
        <f>SUM(X17:X21)</f>
        <v>26165</v>
      </c>
      <c r="Y22" s="470">
        <f t="shared" si="10"/>
        <v>33554.118829750223</v>
      </c>
      <c r="AM22" s="428"/>
      <c r="AN22" s="427"/>
    </row>
    <row r="23" spans="1:41" ht="35.1" customHeight="1" thickBot="1" x14ac:dyDescent="0.5">
      <c r="A23" s="377">
        <v>17</v>
      </c>
      <c r="B23" s="422"/>
      <c r="C23" s="378" t="s">
        <v>76</v>
      </c>
      <c r="D23" s="377"/>
      <c r="E23" s="377"/>
      <c r="F23" s="40" t="s">
        <v>160</v>
      </c>
      <c r="G23" s="41"/>
      <c r="H23" s="91"/>
      <c r="I23" s="91"/>
      <c r="J23" s="41"/>
      <c r="K23" s="42">
        <f>SUM(K17:K21)</f>
        <v>27677.81</v>
      </c>
      <c r="L23" s="42">
        <f>SUM(L17:L21)</f>
        <v>2767.7810000000004</v>
      </c>
      <c r="M23" s="42">
        <f>SUM(M17:M21)</f>
        <v>7389.1188297502204</v>
      </c>
      <c r="N23" s="80">
        <f>SUM(N17:N21)</f>
        <v>37834.709829750223</v>
      </c>
      <c r="Q23" s="90" t="s">
        <v>13</v>
      </c>
      <c r="R23" s="91"/>
      <c r="S23" s="41"/>
      <c r="T23" s="42">
        <f>SUM(T17:T21)</f>
        <v>26165</v>
      </c>
      <c r="U23" s="42">
        <f>SUM(U17:U21)</f>
        <v>1512.81</v>
      </c>
      <c r="V23" s="41"/>
      <c r="W23" s="41"/>
      <c r="X23" s="42">
        <f>SUM(X17:X21)</f>
        <v>26165</v>
      </c>
      <c r="Y23" s="80">
        <f>SUM(Y17:Y21)</f>
        <v>33554.118829750223</v>
      </c>
      <c r="Z23" s="134">
        <f>IF(Q23&lt;&gt;"",(N23-Y23)/N23,"")</f>
        <v>0.11313925808502123</v>
      </c>
      <c r="AA23" s="81">
        <f>IF(Z23&lt;&gt;"",(N23-Y23),"")</f>
        <v>4280.5910000000003</v>
      </c>
      <c r="AM23" s="428">
        <f t="shared" si="12"/>
        <v>0</v>
      </c>
      <c r="AN23" s="427">
        <f>SUM(AN17:AN22)</f>
        <v>26165</v>
      </c>
    </row>
  </sheetData>
  <mergeCells count="15">
    <mergeCell ref="AM15:AN15"/>
    <mergeCell ref="AM16:AN16"/>
    <mergeCell ref="F15:N15"/>
    <mergeCell ref="Q15:Y15"/>
    <mergeCell ref="F16:K16"/>
    <mergeCell ref="Q16:Y16"/>
    <mergeCell ref="F22:J22"/>
    <mergeCell ref="Q22:S22"/>
    <mergeCell ref="AK12:AL12"/>
    <mergeCell ref="F1:G1"/>
    <mergeCell ref="F2:G2"/>
    <mergeCell ref="Q12:T12"/>
    <mergeCell ref="U12:X12"/>
    <mergeCell ref="AC12:AE12"/>
    <mergeCell ref="AG12:AH12"/>
  </mergeCells>
  <dataValidations count="3">
    <dataValidation type="list" allowBlank="1" showInputMessage="1" showErrorMessage="1" sqref="E23" xr:uid="{CE89F8A0-B540-4DD6-B6D4-8498664C11AE}">
      <formula1>"FAT.OGGI,FAT.CLIENTE "</formula1>
    </dataValidation>
    <dataValidation type="list" allowBlank="1" showInputMessage="1" showErrorMessage="1" sqref="D23 D17:D21" xr:uid="{481B33EE-E4CF-42A4-90E2-EBC58794789F}">
      <formula1>"INTERNO,OPERACIONAL"</formula1>
    </dataValidation>
    <dataValidation type="list" allowBlank="1" showInputMessage="1" showErrorMessage="1" sqref="E17:E21" xr:uid="{2D048005-ACAC-4FB6-B04C-DD2BA8387DFD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92C9-62B7-4A24-8584-50E43B0A8EC1}">
  <dimension ref="G4:J21"/>
  <sheetViews>
    <sheetView topLeftCell="A4" workbookViewId="0">
      <selection activeCell="E18" sqref="E18"/>
    </sheetView>
  </sheetViews>
  <sheetFormatPr defaultRowHeight="14.4" x14ac:dyDescent="0.3"/>
  <cols>
    <col min="7" max="7" width="37.109375" bestFit="1" customWidth="1"/>
    <col min="8" max="8" width="15.5546875" style="544" customWidth="1"/>
    <col min="9" max="9" width="12.109375" bestFit="1" customWidth="1"/>
    <col min="10" max="10" width="10.5546875" bestFit="1" customWidth="1"/>
  </cols>
  <sheetData>
    <row r="4" spans="7:10" x14ac:dyDescent="0.3">
      <c r="G4" t="s">
        <v>293</v>
      </c>
      <c r="H4" s="544" t="s">
        <v>294</v>
      </c>
    </row>
    <row r="5" spans="7:10" x14ac:dyDescent="0.3">
      <c r="G5" t="s">
        <v>303</v>
      </c>
      <c r="H5" s="546">
        <v>34</v>
      </c>
      <c r="I5" s="546"/>
      <c r="J5" s="190"/>
    </row>
    <row r="6" spans="7:10" x14ac:dyDescent="0.3">
      <c r="G6" t="s">
        <v>304</v>
      </c>
      <c r="H6" s="546">
        <v>67.84</v>
      </c>
      <c r="I6" s="546"/>
      <c r="J6" s="190"/>
    </row>
    <row r="7" spans="7:10" x14ac:dyDescent="0.3">
      <c r="G7" t="s">
        <v>305</v>
      </c>
      <c r="H7" s="546">
        <v>160.72999999999999</v>
      </c>
      <c r="I7" s="546"/>
      <c r="J7" s="190"/>
    </row>
    <row r="8" spans="7:10" x14ac:dyDescent="0.3">
      <c r="G8" t="s">
        <v>306</v>
      </c>
      <c r="H8" s="546">
        <v>190</v>
      </c>
      <c r="I8" s="546"/>
      <c r="J8" s="190"/>
    </row>
    <row r="9" spans="7:10" x14ac:dyDescent="0.3">
      <c r="G9" t="s">
        <v>307</v>
      </c>
      <c r="H9" s="546">
        <v>288.55</v>
      </c>
      <c r="I9" s="546"/>
      <c r="J9" s="190"/>
    </row>
    <row r="10" spans="7:10" x14ac:dyDescent="0.3">
      <c r="G10" t="s">
        <v>308</v>
      </c>
      <c r="H10" s="546">
        <v>356.16</v>
      </c>
      <c r="I10" s="546"/>
      <c r="J10" s="190"/>
    </row>
    <row r="11" spans="7:10" x14ac:dyDescent="0.3">
      <c r="G11" t="s">
        <v>309</v>
      </c>
      <c r="H11" s="546">
        <v>484.53</v>
      </c>
      <c r="I11" s="546"/>
      <c r="J11" s="190"/>
    </row>
    <row r="12" spans="7:10" x14ac:dyDescent="0.3">
      <c r="G12" t="s">
        <v>305</v>
      </c>
      <c r="H12" s="546">
        <v>529</v>
      </c>
      <c r="I12" s="546"/>
      <c r="J12" s="190"/>
    </row>
    <row r="13" spans="7:10" x14ac:dyDescent="0.3">
      <c r="G13" t="s">
        <v>304</v>
      </c>
      <c r="H13" s="546">
        <v>1000</v>
      </c>
      <c r="I13" s="546"/>
      <c r="J13" s="190"/>
    </row>
    <row r="14" spans="7:10" x14ac:dyDescent="0.3">
      <c r="G14" t="s">
        <v>310</v>
      </c>
      <c r="H14" s="546">
        <v>1000</v>
      </c>
      <c r="I14" s="546"/>
      <c r="J14" s="190"/>
    </row>
    <row r="15" spans="7:10" x14ac:dyDescent="0.3">
      <c r="G15" t="s">
        <v>304</v>
      </c>
      <c r="H15" s="546">
        <v>1050</v>
      </c>
      <c r="I15" s="546"/>
      <c r="J15" s="190"/>
    </row>
    <row r="16" spans="7:10" x14ac:dyDescent="0.3">
      <c r="G16" t="s">
        <v>306</v>
      </c>
      <c r="H16" s="546">
        <v>1100</v>
      </c>
      <c r="I16" s="546"/>
      <c r="J16" s="190"/>
    </row>
    <row r="17" spans="7:10" x14ac:dyDescent="0.3">
      <c r="G17" t="s">
        <v>304</v>
      </c>
      <c r="H17" s="546">
        <v>1400.83</v>
      </c>
      <c r="I17" s="546"/>
      <c r="J17" s="190"/>
    </row>
    <row r="18" spans="7:10" x14ac:dyDescent="0.3">
      <c r="G18" t="s">
        <v>310</v>
      </c>
      <c r="H18" s="546">
        <v>1771.1</v>
      </c>
      <c r="I18" s="546"/>
      <c r="J18" s="190"/>
    </row>
    <row r="19" spans="7:10" x14ac:dyDescent="0.3">
      <c r="H19" s="546"/>
      <c r="I19" s="546"/>
      <c r="J19" s="190"/>
    </row>
    <row r="20" spans="7:10" x14ac:dyDescent="0.3">
      <c r="H20" s="546"/>
      <c r="I20" s="546"/>
      <c r="J20" s="190"/>
    </row>
    <row r="21" spans="7:10" x14ac:dyDescent="0.3">
      <c r="H21" s="547">
        <f>SUM(H5:H20)</f>
        <v>9432.74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F0EC-F5CE-4440-B0C3-A74EF8841A42}">
  <dimension ref="B5:G18"/>
  <sheetViews>
    <sheetView showGridLines="0" topLeftCell="A4" zoomScaleNormal="100" workbookViewId="0">
      <selection activeCell="A5" sqref="A4:D5"/>
    </sheetView>
  </sheetViews>
  <sheetFormatPr defaultRowHeight="14.4" x14ac:dyDescent="0.3"/>
  <cols>
    <col min="2" max="2" width="50.33203125" bestFit="1" customWidth="1"/>
    <col min="3" max="3" width="19.6640625" customWidth="1"/>
    <col min="4" max="4" width="12.44140625" bestFit="1" customWidth="1"/>
    <col min="5" max="6" width="13.6640625" bestFit="1" customWidth="1"/>
    <col min="7" max="7" width="12.5546875" bestFit="1" customWidth="1"/>
  </cols>
  <sheetData>
    <row r="5" spans="2:7" ht="15" thickBot="1" x14ac:dyDescent="0.35"/>
    <row r="6" spans="2:7" x14ac:dyDescent="0.3">
      <c r="B6" s="183" t="s">
        <v>184</v>
      </c>
      <c r="C6" s="184" t="s">
        <v>185</v>
      </c>
    </row>
    <row r="7" spans="2:7" x14ac:dyDescent="0.3">
      <c r="B7" s="185" t="s">
        <v>186</v>
      </c>
      <c r="C7" s="186">
        <f>PRINCIPAL!N43</f>
        <v>271700.29203429853</v>
      </c>
      <c r="E7" s="169"/>
      <c r="F7" s="244"/>
    </row>
    <row r="8" spans="2:7" ht="17.399999999999999" customHeight="1" x14ac:dyDescent="0.3">
      <c r="B8" s="185" t="s">
        <v>183</v>
      </c>
      <c r="C8" s="186">
        <f>'PEDIDOS EM BRIEFING'!N43</f>
        <v>60683.039323971672</v>
      </c>
      <c r="E8" s="169"/>
      <c r="F8" s="244"/>
    </row>
    <row r="9" spans="2:7" x14ac:dyDescent="0.3">
      <c r="B9" s="185" t="s">
        <v>114</v>
      </c>
      <c r="C9" s="187">
        <f>TAXAS!N23</f>
        <v>37834.709829750223</v>
      </c>
      <c r="E9" s="169"/>
      <c r="F9" s="244"/>
    </row>
    <row r="10" spans="2:7" ht="15" thickBot="1" x14ac:dyDescent="0.35">
      <c r="B10" s="188" t="s">
        <v>13</v>
      </c>
      <c r="C10" s="189">
        <f>SUM(C7:C9)</f>
        <v>370218.04118802043</v>
      </c>
      <c r="E10" s="169"/>
      <c r="F10" s="169"/>
      <c r="G10" s="170"/>
    </row>
    <row r="11" spans="2:7" ht="15" thickBot="1" x14ac:dyDescent="0.35">
      <c r="C11" s="170"/>
      <c r="D11" s="169"/>
      <c r="G11" s="168"/>
    </row>
    <row r="12" spans="2:7" x14ac:dyDescent="0.3">
      <c r="B12" s="181" t="s">
        <v>187</v>
      </c>
      <c r="C12" s="192">
        <f>PRINCIPAL!K24</f>
        <v>181750</v>
      </c>
    </row>
    <row r="13" spans="2:7" ht="15" thickBot="1" x14ac:dyDescent="0.35">
      <c r="B13" s="182" t="s">
        <v>188</v>
      </c>
      <c r="C13" s="191">
        <v>154917.97</v>
      </c>
    </row>
    <row r="14" spans="2:7" x14ac:dyDescent="0.3">
      <c r="E14" s="190"/>
    </row>
    <row r="15" spans="2:7" x14ac:dyDescent="0.3">
      <c r="B15" s="238" t="s">
        <v>244</v>
      </c>
      <c r="C15" s="239">
        <v>336667.97</v>
      </c>
      <c r="E15" s="190"/>
    </row>
    <row r="16" spans="2:7" x14ac:dyDescent="0.3">
      <c r="B16" s="238" t="s">
        <v>243</v>
      </c>
      <c r="C16" s="239">
        <f>[1]TOTAL!$C$17</f>
        <v>27119.786928047775</v>
      </c>
      <c r="E16" s="190"/>
    </row>
    <row r="17" spans="2:5" x14ac:dyDescent="0.3">
      <c r="B17" s="240" t="s">
        <v>242</v>
      </c>
      <c r="C17" s="241">
        <f>C15+C16</f>
        <v>363787.75692804775</v>
      </c>
      <c r="E17" s="190"/>
    </row>
    <row r="18" spans="2:5" x14ac:dyDescent="0.3">
      <c r="B18" s="242" t="s">
        <v>245</v>
      </c>
      <c r="C18" s="243">
        <f>C10-C17</f>
        <v>6430.2842599726864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368F3-88BA-4B1A-AA75-7A99C4A6317D}">
  <sheetPr codeName="Planilha13">
    <pageSetUpPr autoPageBreaks="0"/>
  </sheetPr>
  <dimension ref="A1:AL67"/>
  <sheetViews>
    <sheetView showGridLines="0" topLeftCell="E1" zoomScale="55" zoomScaleNormal="55" workbookViewId="0">
      <pane ySplit="1" topLeftCell="A60" activePane="bottomLeft" state="frozen"/>
      <selection pane="bottomLeft" activeCell="M80" sqref="M80"/>
    </sheetView>
  </sheetViews>
  <sheetFormatPr defaultColWidth="8.88671875" defaultRowHeight="14.4" x14ac:dyDescent="0.3"/>
  <cols>
    <col min="1" max="1" width="3.44140625" customWidth="1"/>
    <col min="2" max="2" width="9.44140625" customWidth="1"/>
    <col min="3" max="3" width="6.44140625" customWidth="1"/>
    <col min="4" max="4" width="6.88671875" customWidth="1"/>
    <col min="5" max="5" width="11.5546875" customWidth="1"/>
    <col min="6" max="6" width="28" customWidth="1"/>
    <col min="7" max="7" width="50.5546875" customWidth="1"/>
    <col min="8" max="8" width="7.109375" style="89" customWidth="1"/>
    <col min="9" max="9" width="7.6640625" style="89" bestFit="1" customWidth="1"/>
    <col min="10" max="10" width="17" bestFit="1" customWidth="1"/>
    <col min="11" max="11" width="27.33203125" customWidth="1"/>
    <col min="12" max="12" width="25.109375" customWidth="1"/>
    <col min="13" max="13" width="23.88671875" customWidth="1"/>
    <col min="14" max="14" width="25.5546875" customWidth="1"/>
    <col min="15" max="15" width="5.5546875" customWidth="1"/>
    <col min="16" max="16" width="10.44140625" customWidth="1"/>
    <col min="17" max="17" width="10.5546875" style="89" customWidth="1"/>
    <col min="18" max="18" width="10.44140625" style="89" customWidth="1"/>
    <col min="19" max="19" width="19.5546875" customWidth="1"/>
    <col min="20" max="20" width="25.6640625" customWidth="1"/>
    <col min="21" max="21" width="23.6640625" customWidth="1"/>
    <col min="22" max="22" width="12.109375" customWidth="1"/>
    <col min="23" max="23" width="19.88671875" customWidth="1"/>
    <col min="24" max="24" width="34.109375" customWidth="1"/>
    <col min="25" max="25" width="29.88671875" bestFit="1" customWidth="1"/>
    <col min="26" max="26" width="19.109375" customWidth="1"/>
    <col min="27" max="27" width="25.6640625" customWidth="1"/>
    <col min="28" max="28" width="65.5546875" customWidth="1"/>
    <col min="29" max="29" width="52.33203125" customWidth="1"/>
    <col min="30" max="30" width="67.88671875" customWidth="1"/>
    <col min="31" max="31" width="53.88671875" customWidth="1"/>
    <col min="32" max="32" width="45.6640625" customWidth="1"/>
    <col min="33" max="33" width="106.88671875" customWidth="1"/>
    <col min="34" max="34" width="59.44140625" customWidth="1"/>
    <col min="35" max="35" width="55" customWidth="1"/>
    <col min="36" max="36" width="79.5546875" customWidth="1"/>
    <col min="37" max="37" width="55.88671875" customWidth="1"/>
    <col min="38" max="38" width="23.109375" customWidth="1"/>
    <col min="39" max="39" width="22.44140625" customWidth="1"/>
    <col min="40" max="40" width="25" customWidth="1"/>
  </cols>
  <sheetData>
    <row r="1" spans="1:38" ht="49.5" customHeight="1" x14ac:dyDescent="0.3">
      <c r="B1" s="16"/>
      <c r="C1" s="17"/>
      <c r="D1" s="17"/>
      <c r="F1" s="662" t="s">
        <v>65</v>
      </c>
      <c r="G1" s="662"/>
    </row>
    <row r="2" spans="1:38" ht="24.75" customHeight="1" x14ac:dyDescent="0.3">
      <c r="B2" s="15"/>
      <c r="D2" s="17"/>
      <c r="F2" s="663" t="s">
        <v>0</v>
      </c>
      <c r="G2" s="663"/>
    </row>
    <row r="3" spans="1:38" ht="18.600000000000001" thickBot="1" x14ac:dyDescent="0.4">
      <c r="B3" s="18"/>
      <c r="F3" s="8"/>
      <c r="G3" s="8"/>
    </row>
    <row r="4" spans="1:38" ht="18" x14ac:dyDescent="0.3">
      <c r="F4" s="172" t="s">
        <v>85</v>
      </c>
      <c r="G4" s="173" t="s">
        <v>106</v>
      </c>
    </row>
    <row r="5" spans="1:38" ht="18" x14ac:dyDescent="0.3">
      <c r="F5" s="174" t="s">
        <v>84</v>
      </c>
      <c r="G5" s="175" t="s">
        <v>100</v>
      </c>
    </row>
    <row r="6" spans="1:38" ht="18" x14ac:dyDescent="0.3">
      <c r="D6" t="s">
        <v>63</v>
      </c>
      <c r="F6" s="174" t="s">
        <v>83</v>
      </c>
      <c r="G6" s="176" t="s">
        <v>107</v>
      </c>
    </row>
    <row r="7" spans="1:38" ht="21.75" customHeight="1" x14ac:dyDescent="0.3">
      <c r="F7" s="174" t="s">
        <v>82</v>
      </c>
      <c r="G7" s="177" t="s">
        <v>108</v>
      </c>
      <c r="J7" t="s">
        <v>64</v>
      </c>
    </row>
    <row r="8" spans="1:38" ht="18" x14ac:dyDescent="0.3">
      <c r="F8" s="174" t="s">
        <v>78</v>
      </c>
      <c r="G8" s="178" t="s">
        <v>109</v>
      </c>
    </row>
    <row r="9" spans="1:38" ht="18" x14ac:dyDescent="0.3">
      <c r="F9" s="174" t="s">
        <v>79</v>
      </c>
      <c r="G9" s="177" t="s">
        <v>102</v>
      </c>
      <c r="J9" t="s">
        <v>63</v>
      </c>
    </row>
    <row r="10" spans="1:38" ht="27" customHeight="1" x14ac:dyDescent="0.3">
      <c r="F10" s="174" t="s">
        <v>80</v>
      </c>
      <c r="G10" s="177" t="s">
        <v>110</v>
      </c>
    </row>
    <row r="11" spans="1:38" ht="18.600000000000001" thickBot="1" x14ac:dyDescent="0.35">
      <c r="F11" s="179" t="s">
        <v>81</v>
      </c>
      <c r="G11" s="180" t="s">
        <v>111</v>
      </c>
    </row>
    <row r="12" spans="1:38" ht="16.8" thickBot="1" x14ac:dyDescent="0.35">
      <c r="B12" s="1"/>
      <c r="M12" s="2"/>
      <c r="Q12" s="664" t="s">
        <v>1</v>
      </c>
      <c r="R12" s="665"/>
      <c r="S12" s="665"/>
      <c r="T12" s="666"/>
      <c r="U12" s="652" t="s">
        <v>2</v>
      </c>
      <c r="V12" s="653"/>
      <c r="W12" s="653"/>
      <c r="X12" s="654"/>
      <c r="Y12" s="4" t="s">
        <v>15</v>
      </c>
      <c r="Z12" s="5">
        <f>(1/(1-M14))-1</f>
        <v>0.24269914253759173</v>
      </c>
      <c r="AC12" s="655" t="s">
        <v>3</v>
      </c>
      <c r="AD12" s="656"/>
      <c r="AE12" s="657"/>
      <c r="AG12" s="658" t="s">
        <v>16</v>
      </c>
      <c r="AH12" s="659"/>
      <c r="AJ12" s="9" t="s">
        <v>18</v>
      </c>
      <c r="AK12" s="646" t="s">
        <v>17</v>
      </c>
      <c r="AL12" s="647"/>
    </row>
    <row r="13" spans="1:38" ht="18.600000000000001" thickBot="1" x14ac:dyDescent="0.4">
      <c r="A13" s="6" t="s">
        <v>4</v>
      </c>
      <c r="B13" s="7" t="s">
        <v>5</v>
      </c>
      <c r="C13" s="6" t="s">
        <v>6</v>
      </c>
      <c r="D13" s="6" t="s">
        <v>7</v>
      </c>
      <c r="E13" s="6" t="s">
        <v>8</v>
      </c>
      <c r="M13" s="3">
        <v>0.80469999999999997</v>
      </c>
    </row>
    <row r="14" spans="1:38" ht="33" thickBot="1" x14ac:dyDescent="0.35">
      <c r="A14" s="20">
        <v>0</v>
      </c>
      <c r="B14" s="21"/>
      <c r="C14" s="22"/>
      <c r="D14" s="19"/>
      <c r="E14" s="19"/>
      <c r="F14" s="46" t="s">
        <v>41</v>
      </c>
      <c r="G14" s="47" t="s">
        <v>42</v>
      </c>
      <c r="H14" s="48" t="s">
        <v>43</v>
      </c>
      <c r="I14" s="48" t="s">
        <v>44</v>
      </c>
      <c r="J14" s="49" t="s">
        <v>45</v>
      </c>
      <c r="K14" s="50" t="s">
        <v>9</v>
      </c>
      <c r="L14" s="51">
        <v>0.1</v>
      </c>
      <c r="M14" s="52">
        <f>1-M13</f>
        <v>0.19530000000000003</v>
      </c>
      <c r="N14" s="82" t="s">
        <v>39</v>
      </c>
      <c r="Q14" s="166" t="s">
        <v>46</v>
      </c>
      <c r="R14" s="167" t="s">
        <v>47</v>
      </c>
      <c r="S14" s="58" t="s">
        <v>48</v>
      </c>
      <c r="T14" s="59" t="s">
        <v>49</v>
      </c>
      <c r="U14" s="60" t="s">
        <v>50</v>
      </c>
      <c r="V14" s="61" t="s">
        <v>51</v>
      </c>
      <c r="W14" s="62" t="s">
        <v>52</v>
      </c>
      <c r="X14" s="62" t="s">
        <v>53</v>
      </c>
      <c r="Y14" s="96" t="s">
        <v>54</v>
      </c>
      <c r="Z14" s="23" t="s">
        <v>55</v>
      </c>
      <c r="AA14" s="24" t="s">
        <v>40</v>
      </c>
      <c r="AC14" s="25" t="s">
        <v>56</v>
      </c>
      <c r="AD14" s="26" t="s">
        <v>57</v>
      </c>
      <c r="AE14" s="26" t="s">
        <v>11</v>
      </c>
      <c r="AG14" s="27" t="s">
        <v>58</v>
      </c>
      <c r="AH14" s="28" t="s">
        <v>59</v>
      </c>
      <c r="AK14" s="29" t="s">
        <v>60</v>
      </c>
      <c r="AL14" s="30" t="s">
        <v>61</v>
      </c>
    </row>
    <row r="15" spans="1:38" ht="33" thickBot="1" x14ac:dyDescent="0.4">
      <c r="A15" s="39">
        <v>1</v>
      </c>
      <c r="B15" s="33">
        <v>1</v>
      </c>
      <c r="C15" s="45" t="s">
        <v>66</v>
      </c>
      <c r="D15" s="39"/>
      <c r="E15" s="39"/>
      <c r="F15" s="619" t="s">
        <v>96</v>
      </c>
      <c r="G15" s="612"/>
      <c r="H15" s="612"/>
      <c r="I15" s="612"/>
      <c r="J15" s="612"/>
      <c r="K15" s="612"/>
      <c r="L15" s="612"/>
      <c r="M15" s="612"/>
      <c r="N15" s="620"/>
      <c r="P15" s="15"/>
      <c r="Q15" s="619" t="str">
        <f>IF(F15&lt;&gt;"",F15,"")</f>
        <v>INTERNOS</v>
      </c>
      <c r="R15" s="612"/>
      <c r="S15" s="612"/>
      <c r="T15" s="612"/>
      <c r="U15" s="612"/>
      <c r="V15" s="612"/>
      <c r="W15" s="612"/>
      <c r="X15" s="612"/>
      <c r="Y15" s="620"/>
    </row>
    <row r="16" spans="1:38" ht="32.4" x14ac:dyDescent="0.35">
      <c r="A16" s="19">
        <v>2</v>
      </c>
      <c r="B16" s="33" t="s">
        <v>68</v>
      </c>
      <c r="C16" s="32" t="s">
        <v>67</v>
      </c>
      <c r="D16" s="19"/>
      <c r="E16" s="19"/>
      <c r="F16" s="648" t="s">
        <v>97</v>
      </c>
      <c r="G16" s="649"/>
      <c r="H16" s="649"/>
      <c r="I16" s="649"/>
      <c r="J16" s="649"/>
      <c r="K16" s="650"/>
      <c r="L16" s="53" t="s">
        <v>69</v>
      </c>
      <c r="M16" s="53" t="s">
        <v>70</v>
      </c>
      <c r="N16" s="72" t="s">
        <v>39</v>
      </c>
      <c r="P16" s="15"/>
      <c r="Q16" s="648" t="str">
        <f>IF(F16&lt;&gt;"",F16,"")</f>
        <v>Internos</v>
      </c>
      <c r="R16" s="649"/>
      <c r="S16" s="649"/>
      <c r="T16" s="649"/>
      <c r="U16" s="649"/>
      <c r="V16" s="649"/>
      <c r="W16" s="649"/>
      <c r="X16" s="649"/>
      <c r="Y16" s="651"/>
      <c r="Z16" s="143" t="s">
        <v>71</v>
      </c>
      <c r="AA16" s="122" t="s">
        <v>40</v>
      </c>
    </row>
    <row r="17" spans="1:34" s="63" customFormat="1" ht="130.5" customHeight="1" x14ac:dyDescent="0.3">
      <c r="A17" s="19">
        <v>3</v>
      </c>
      <c r="B17" s="33" t="s">
        <v>73</v>
      </c>
      <c r="C17" s="32" t="s">
        <v>72</v>
      </c>
      <c r="D17" s="19" t="s">
        <v>86</v>
      </c>
      <c r="E17" s="19" t="s">
        <v>77</v>
      </c>
      <c r="F17" s="229" t="s">
        <v>101</v>
      </c>
      <c r="G17" s="114" t="s">
        <v>125</v>
      </c>
      <c r="H17" s="115">
        <v>1</v>
      </c>
      <c r="I17" s="115">
        <v>1</v>
      </c>
      <c r="J17" s="116">
        <v>6500</v>
      </c>
      <c r="K17" s="86">
        <f t="shared" ref="K17:K20" si="0">IF(F17&lt;&gt;"",H17*I17*J17,"")</f>
        <v>6500</v>
      </c>
      <c r="L17" s="86">
        <f t="shared" ref="L17:L20" si="1">IF(K17&lt;&gt;"",IF(D17="INTERNO",0,K17*$L$14),"")</f>
        <v>0</v>
      </c>
      <c r="M17" s="86">
        <f>IF(K17&lt;&gt;"",IF(E17="FAT.OGGI",SUM(K17:L17)*(1/(1-$M$14)-1),L17*(1/(1-$M$14)-1)),"")</f>
        <v>1577.5444264943462</v>
      </c>
      <c r="N17" s="86">
        <f t="shared" ref="N17:N20" si="2">SUM(K17:M17)</f>
        <v>8077.5444264943462</v>
      </c>
      <c r="P17" s="89"/>
      <c r="Q17" s="64">
        <f t="shared" ref="Q17:Q20" si="3">IF(H17&lt;&gt;"",H17,"")</f>
        <v>1</v>
      </c>
      <c r="R17" s="65">
        <v>1</v>
      </c>
      <c r="S17" s="55">
        <v>0</v>
      </c>
      <c r="T17" s="55">
        <f t="shared" ref="T17:T20" si="4">IF(Q17&lt;&gt;"",Q17*R17*S17,"")</f>
        <v>0</v>
      </c>
      <c r="U17" s="56">
        <f t="shared" ref="U17:U20" si="5">IF(Q17&lt;&gt;"",K17-T17,"")</f>
        <v>6500</v>
      </c>
      <c r="V17" s="57">
        <f t="shared" ref="V17:V20" si="6">IF(Q17&lt;&gt;"",0%,"")</f>
        <v>0</v>
      </c>
      <c r="W17" s="44">
        <f t="shared" ref="W17:W20" si="7">IF(Q17&lt;&gt;"",V17*U17,"")</f>
        <v>0</v>
      </c>
      <c r="X17" s="44">
        <f t="shared" ref="X17:X20" si="8">IF(Q17&lt;&gt;"",W17+T17,"")</f>
        <v>0</v>
      </c>
      <c r="Y17" s="38">
        <f t="shared" ref="Y17:Y21" si="9">IF(Q17&lt;&gt;"",X17+M17,"")</f>
        <v>1577.5444264943462</v>
      </c>
      <c r="Z17" s="144">
        <f>IF(Q17&lt;&gt;"",U17/K17,"")</f>
        <v>1</v>
      </c>
      <c r="AA17" s="142" t="str">
        <f>IFERROR(T17/$T$21, "")</f>
        <v/>
      </c>
    </row>
    <row r="18" spans="1:34" s="63" customFormat="1" ht="107.4" customHeight="1" x14ac:dyDescent="0.3">
      <c r="A18" s="39">
        <v>5</v>
      </c>
      <c r="B18" s="33" t="s">
        <v>62</v>
      </c>
      <c r="C18" s="45" t="s">
        <v>72</v>
      </c>
      <c r="D18" s="39" t="s">
        <v>86</v>
      </c>
      <c r="E18" s="39" t="s">
        <v>77</v>
      </c>
      <c r="F18" s="227" t="s">
        <v>126</v>
      </c>
      <c r="G18" s="228" t="s">
        <v>167</v>
      </c>
      <c r="H18" s="117">
        <v>1</v>
      </c>
      <c r="I18" s="117">
        <v>1</v>
      </c>
      <c r="J18" s="118">
        <v>3500</v>
      </c>
      <c r="K18" s="112">
        <f t="shared" si="0"/>
        <v>3500</v>
      </c>
      <c r="L18" s="112">
        <f t="shared" si="1"/>
        <v>0</v>
      </c>
      <c r="M18" s="112">
        <f>IF(K18&lt;&gt;"",IF(E18="FAT.OGGI",SUM(K18:L18)*(1/(1-$M$14)-1),L18*(1/(1-$M$14)-1)),0)</f>
        <v>849.44699888157106</v>
      </c>
      <c r="N18" s="113">
        <f t="shared" si="2"/>
        <v>4349.4469988815708</v>
      </c>
      <c r="P18" s="89"/>
      <c r="Q18" s="104">
        <f t="shared" si="3"/>
        <v>1</v>
      </c>
      <c r="R18" s="105">
        <f>IF(I18&lt;&gt;"",I18,"")</f>
        <v>1</v>
      </c>
      <c r="S18" s="106"/>
      <c r="T18" s="106">
        <f t="shared" si="4"/>
        <v>0</v>
      </c>
      <c r="U18" s="107">
        <f t="shared" si="5"/>
        <v>3500</v>
      </c>
      <c r="V18" s="108">
        <f t="shared" si="6"/>
        <v>0</v>
      </c>
      <c r="W18" s="109">
        <f t="shared" si="7"/>
        <v>0</v>
      </c>
      <c r="X18" s="109">
        <f t="shared" si="8"/>
        <v>0</v>
      </c>
      <c r="Y18" s="110">
        <f t="shared" si="9"/>
        <v>849.44699888157106</v>
      </c>
      <c r="Z18" s="144">
        <f>IF(Q18&lt;&gt;"", IFERROR(U18/K18, 0), 0)</f>
        <v>1</v>
      </c>
      <c r="AA18" s="142" t="str">
        <f>IFERROR(T18/$T$21, "")</f>
        <v/>
      </c>
    </row>
    <row r="19" spans="1:34" s="63" customFormat="1" ht="62.4" customHeight="1" x14ac:dyDescent="0.3">
      <c r="A19" s="19">
        <v>6</v>
      </c>
      <c r="B19" s="33" t="s">
        <v>122</v>
      </c>
      <c r="C19" s="32" t="s">
        <v>72</v>
      </c>
      <c r="D19" s="19" t="s">
        <v>86</v>
      </c>
      <c r="E19" s="19" t="s">
        <v>77</v>
      </c>
      <c r="F19" s="224" t="s">
        <v>88</v>
      </c>
      <c r="G19" s="225" t="s">
        <v>127</v>
      </c>
      <c r="H19" s="119">
        <v>1</v>
      </c>
      <c r="I19" s="119">
        <v>1</v>
      </c>
      <c r="J19" s="120">
        <v>6500</v>
      </c>
      <c r="K19" s="102">
        <f t="shared" si="0"/>
        <v>6500</v>
      </c>
      <c r="L19" s="102">
        <f t="shared" si="1"/>
        <v>0</v>
      </c>
      <c r="M19" s="102">
        <f>IF(K19&lt;&gt;"",IF(E19="FAT.OGGI",SUM(K19:L19)*(1/(1-$M$14)-1),L19*(1/(1-$M$14)-1)),0)</f>
        <v>1577.5444264943462</v>
      </c>
      <c r="N19" s="103">
        <f t="shared" si="2"/>
        <v>8077.5444264943462</v>
      </c>
      <c r="P19" s="89"/>
      <c r="Q19" s="92">
        <f t="shared" si="3"/>
        <v>1</v>
      </c>
      <c r="R19" s="93">
        <f>IF(I19&lt;&gt;"",I19,"")</f>
        <v>1</v>
      </c>
      <c r="S19" s="34"/>
      <c r="T19" s="34">
        <f t="shared" si="4"/>
        <v>0</v>
      </c>
      <c r="U19" s="35">
        <f t="shared" si="5"/>
        <v>6500</v>
      </c>
      <c r="V19" s="36">
        <f t="shared" si="6"/>
        <v>0</v>
      </c>
      <c r="W19" s="37">
        <f t="shared" si="7"/>
        <v>0</v>
      </c>
      <c r="X19" s="37">
        <f t="shared" si="8"/>
        <v>0</v>
      </c>
      <c r="Y19" s="38">
        <f t="shared" si="9"/>
        <v>1577.5444264943462</v>
      </c>
      <c r="Z19" s="144">
        <f>IF(Q19&lt;&gt;"", IFERROR(U19/K19, 0), 0)</f>
        <v>1</v>
      </c>
      <c r="AA19" s="142" t="str">
        <f>IFERROR(T19/$T$21, "")</f>
        <v/>
      </c>
    </row>
    <row r="20" spans="1:34" s="63" customFormat="1" ht="143.1" customHeight="1" x14ac:dyDescent="0.3">
      <c r="A20" s="19">
        <v>7</v>
      </c>
      <c r="B20" s="33" t="s">
        <v>123</v>
      </c>
      <c r="C20" s="32" t="s">
        <v>72</v>
      </c>
      <c r="D20" s="19" t="s">
        <v>86</v>
      </c>
      <c r="E20" s="19" t="s">
        <v>77</v>
      </c>
      <c r="F20" s="224" t="s">
        <v>128</v>
      </c>
      <c r="G20" s="225" t="s">
        <v>129</v>
      </c>
      <c r="H20" s="119">
        <v>1</v>
      </c>
      <c r="I20" s="119">
        <v>1</v>
      </c>
      <c r="J20" s="120">
        <v>2200</v>
      </c>
      <c r="K20" s="102">
        <f t="shared" si="0"/>
        <v>2200</v>
      </c>
      <c r="L20" s="102">
        <f t="shared" si="1"/>
        <v>0</v>
      </c>
      <c r="M20" s="102">
        <f>IF(K20&lt;&gt;"",IF(E20="FAT.OGGI",SUM(K20:L20)*(1/(1-$M$14)-1),L20*(1/(1-$M$14)-1)),0)</f>
        <v>533.93811358270182</v>
      </c>
      <c r="N20" s="103">
        <f t="shared" si="2"/>
        <v>2733.9381135827016</v>
      </c>
      <c r="P20" s="89"/>
      <c r="Q20" s="92">
        <f t="shared" si="3"/>
        <v>1</v>
      </c>
      <c r="R20" s="93">
        <f>IF(I20&lt;&gt;"",I20,"")</f>
        <v>1</v>
      </c>
      <c r="S20" s="34"/>
      <c r="T20" s="34">
        <f t="shared" si="4"/>
        <v>0</v>
      </c>
      <c r="U20" s="35">
        <f t="shared" si="5"/>
        <v>2200</v>
      </c>
      <c r="V20" s="36">
        <f t="shared" si="6"/>
        <v>0</v>
      </c>
      <c r="W20" s="37">
        <f t="shared" si="7"/>
        <v>0</v>
      </c>
      <c r="X20" s="37">
        <f t="shared" si="8"/>
        <v>0</v>
      </c>
      <c r="Y20" s="38">
        <f t="shared" si="9"/>
        <v>533.93811358270182</v>
      </c>
      <c r="Z20" s="144">
        <f>IF(Q20&lt;&gt;"", IFERROR(U20/K20, 0), 0)</f>
        <v>1</v>
      </c>
      <c r="AA20" s="142" t="str">
        <f>IFERROR(T20/$T$21, "")</f>
        <v/>
      </c>
    </row>
    <row r="21" spans="1:34" s="63" customFormat="1" ht="27.6" customHeight="1" thickBot="1" x14ac:dyDescent="0.4">
      <c r="A21" s="31">
        <v>9</v>
      </c>
      <c r="B21" s="33"/>
      <c r="C21" s="85" t="s">
        <v>75</v>
      </c>
      <c r="D21" s="31"/>
      <c r="E21" s="31"/>
      <c r="F21" s="622" t="s">
        <v>171</v>
      </c>
      <c r="G21" s="623"/>
      <c r="H21" s="623"/>
      <c r="I21" s="623"/>
      <c r="J21" s="660"/>
      <c r="K21" s="154">
        <f>SUM(K17:K20)</f>
        <v>18700</v>
      </c>
      <c r="L21" s="154">
        <f>SUM(L17:L20)</f>
        <v>0</v>
      </c>
      <c r="M21" s="154">
        <f>SUM(M17:M20)</f>
        <v>4538.4739654529649</v>
      </c>
      <c r="N21" s="155">
        <f>SUM(N17:N20)</f>
        <v>23238.473965452966</v>
      </c>
      <c r="P21" s="89"/>
      <c r="Q21" s="627" t="s">
        <v>171</v>
      </c>
      <c r="R21" s="628"/>
      <c r="S21" s="661"/>
      <c r="T21" s="156">
        <f>SUM(T17:T20)</f>
        <v>0</v>
      </c>
      <c r="U21" s="157">
        <f>SUM(U17:U20)</f>
        <v>18700</v>
      </c>
      <c r="V21" s="158"/>
      <c r="W21" s="159"/>
      <c r="X21" s="160">
        <f>SUM(X17:X20)</f>
        <v>0</v>
      </c>
      <c r="Y21" s="121">
        <f t="shared" si="9"/>
        <v>4538.4739654529649</v>
      </c>
      <c r="Z21" s="141"/>
      <c r="AA21" s="141"/>
    </row>
    <row r="22" spans="1:34" s="63" customFormat="1" ht="33" thickBot="1" x14ac:dyDescent="0.35">
      <c r="A22" s="39">
        <v>10</v>
      </c>
      <c r="B22" s="33">
        <v>2</v>
      </c>
      <c r="C22" s="45" t="s">
        <v>66</v>
      </c>
      <c r="D22" s="39"/>
      <c r="E22" s="39"/>
      <c r="F22" s="634" t="s">
        <v>118</v>
      </c>
      <c r="G22" s="635"/>
      <c r="H22" s="635"/>
      <c r="I22" s="635"/>
      <c r="J22" s="635"/>
      <c r="K22" s="635"/>
      <c r="L22" s="635"/>
      <c r="M22" s="635"/>
      <c r="N22" s="636"/>
      <c r="P22" s="89"/>
      <c r="Q22" s="637" t="str">
        <f>IF(F22&lt;&gt;"",F22,"")</f>
        <v xml:space="preserve">ESTANDE | 88m² - PRAZO DE ENVIO DOS PROJETOS: 15/05/2026 </v>
      </c>
      <c r="R22" s="638"/>
      <c r="S22" s="638"/>
      <c r="T22" s="638"/>
      <c r="U22" s="638"/>
      <c r="V22" s="638"/>
      <c r="W22" s="638"/>
      <c r="X22" s="638"/>
      <c r="Y22" s="639"/>
    </row>
    <row r="23" spans="1:34" s="63" customFormat="1" ht="32.4" x14ac:dyDescent="0.3">
      <c r="A23" s="19">
        <v>11</v>
      </c>
      <c r="B23" s="33" t="s">
        <v>87</v>
      </c>
      <c r="C23" s="32" t="s">
        <v>67</v>
      </c>
      <c r="D23" s="19"/>
      <c r="E23" s="19"/>
      <c r="F23" s="640" t="s">
        <v>112</v>
      </c>
      <c r="G23" s="641"/>
      <c r="H23" s="641"/>
      <c r="I23" s="641"/>
      <c r="J23" s="641"/>
      <c r="K23" s="642"/>
      <c r="L23" s="53" t="s">
        <v>69</v>
      </c>
      <c r="M23" s="53" t="s">
        <v>70</v>
      </c>
      <c r="N23" s="72" t="s">
        <v>39</v>
      </c>
      <c r="P23" s="89"/>
      <c r="Q23" s="640" t="str">
        <f>IF(F23&lt;&gt;"",F23,"")</f>
        <v xml:space="preserve">Estande </v>
      </c>
      <c r="R23" s="641"/>
      <c r="S23" s="641"/>
      <c r="T23" s="641"/>
      <c r="U23" s="641"/>
      <c r="V23" s="641"/>
      <c r="W23" s="641"/>
      <c r="X23" s="641"/>
      <c r="Y23" s="643"/>
      <c r="Z23" s="143" t="s">
        <v>71</v>
      </c>
      <c r="AA23" s="122" t="s">
        <v>40</v>
      </c>
    </row>
    <row r="24" spans="1:34" s="63" customFormat="1" ht="34.5" customHeight="1" x14ac:dyDescent="0.3">
      <c r="A24" s="19">
        <v>12</v>
      </c>
      <c r="B24" s="33" t="s">
        <v>95</v>
      </c>
      <c r="C24" s="32" t="s">
        <v>72</v>
      </c>
      <c r="D24" s="19" t="s">
        <v>74</v>
      </c>
      <c r="E24" s="19" t="s">
        <v>174</v>
      </c>
      <c r="F24" s="224" t="s">
        <v>113</v>
      </c>
      <c r="G24" s="225" t="s">
        <v>162</v>
      </c>
      <c r="H24" s="101">
        <v>1</v>
      </c>
      <c r="I24" s="101">
        <v>1</v>
      </c>
      <c r="J24" s="102">
        <v>181750</v>
      </c>
      <c r="K24" s="102">
        <f t="shared" ref="K24" si="10">IF(F24&lt;&gt;"",H24*I24*J24,"")</f>
        <v>181750</v>
      </c>
      <c r="L24" s="102">
        <f t="shared" ref="L24" si="11">IF(K24&lt;&gt;"",IF(D24="INTERNO",0,K24*$L$14),"")</f>
        <v>18175</v>
      </c>
      <c r="M24" s="102">
        <f>IF(K24&lt;&gt;"",IF(E24="FAT.OGGI",SUM(K24:L24)*(1/(1-$M$14)-1),L24*(1/(1-$M$14)-1)),"")</f>
        <v>4411.0569156207293</v>
      </c>
      <c r="N24" s="103">
        <f t="shared" ref="N24" si="12">SUM(K24:M24)</f>
        <v>204336.05691562072</v>
      </c>
      <c r="O24" s="67"/>
      <c r="P24" s="201" t="s">
        <v>168</v>
      </c>
      <c r="Q24" s="64">
        <f t="shared" ref="Q24:R24" si="13">IF(H24&lt;&gt;"",H24,"")</f>
        <v>1</v>
      </c>
      <c r="R24" s="65">
        <f t="shared" si="13"/>
        <v>1</v>
      </c>
      <c r="S24" s="55">
        <v>168000</v>
      </c>
      <c r="T24" s="55">
        <f t="shared" ref="T24" si="14">IF(Q24&lt;&gt;"",Q24*R24*S24,"")</f>
        <v>168000</v>
      </c>
      <c r="U24" s="56">
        <f t="shared" ref="U24" si="15">IF(Q24&lt;&gt;"",K24-T24,"")</f>
        <v>13750</v>
      </c>
      <c r="V24" s="57">
        <f t="shared" ref="V24" si="16">IF(Q24&lt;&gt;"",0%,"")</f>
        <v>0</v>
      </c>
      <c r="W24" s="44">
        <f t="shared" ref="W24" si="17">IF(Q24&lt;&gt;"",V24*U24,"")</f>
        <v>0</v>
      </c>
      <c r="X24" s="44">
        <f t="shared" ref="X24" si="18">IF(Q24&lt;&gt;"",W24+T24,"")</f>
        <v>168000</v>
      </c>
      <c r="Y24" s="38">
        <f t="shared" ref="Y24" si="19">IF(Q24&lt;&gt;"",X24+M24,"")</f>
        <v>172411.05691562072</v>
      </c>
      <c r="Z24" s="145">
        <f>IF(Q24&lt;&gt;"",U24/K24,"")</f>
        <v>7.5653370013755161E-2</v>
      </c>
      <c r="AA24" s="142">
        <f>IFERROR(T24/$T$25, "")</f>
        <v>1</v>
      </c>
    </row>
    <row r="25" spans="1:34" s="63" customFormat="1" ht="34.5" customHeight="1" thickBot="1" x14ac:dyDescent="0.4">
      <c r="A25" s="31">
        <v>13</v>
      </c>
      <c r="B25" s="33"/>
      <c r="C25" s="85" t="s">
        <v>75</v>
      </c>
      <c r="D25" s="31"/>
      <c r="E25" s="31"/>
      <c r="F25" s="622" t="s">
        <v>170</v>
      </c>
      <c r="G25" s="623"/>
      <c r="H25" s="623"/>
      <c r="I25" s="623"/>
      <c r="J25" s="623"/>
      <c r="K25" s="147">
        <f>SUM(K24:K24)</f>
        <v>181750</v>
      </c>
      <c r="L25" s="147">
        <f>SUM(L24:L24)</f>
        <v>18175</v>
      </c>
      <c r="M25" s="147">
        <f>SUM(M24:M24)</f>
        <v>4411.0569156207293</v>
      </c>
      <c r="N25" s="148">
        <f>SUM(N24:N24)</f>
        <v>204336.05691562072</v>
      </c>
      <c r="O25" s="67"/>
      <c r="P25" s="201"/>
      <c r="Q25" s="644" t="s">
        <v>170</v>
      </c>
      <c r="R25" s="645"/>
      <c r="S25" s="645"/>
      <c r="T25" s="146">
        <f>SUM(T24:T24)</f>
        <v>168000</v>
      </c>
      <c r="U25" s="149">
        <f>SUM(U24:U24)</f>
        <v>13750</v>
      </c>
      <c r="V25" s="150"/>
      <c r="W25" s="151"/>
      <c r="X25" s="152">
        <f>SUM(X24:X24)</f>
        <v>168000</v>
      </c>
      <c r="Y25" s="153">
        <f>IF(Q25&lt;&gt;"",X25+M25,"")</f>
        <v>172411.05691562072</v>
      </c>
      <c r="Z25" s="141"/>
      <c r="AA25" s="141"/>
    </row>
    <row r="26" spans="1:34" ht="22.5" customHeight="1" thickBot="1" x14ac:dyDescent="0.4">
      <c r="A26" s="19">
        <v>14</v>
      </c>
      <c r="B26" s="33">
        <v>3</v>
      </c>
      <c r="C26" s="32" t="s">
        <v>66</v>
      </c>
      <c r="D26" s="19"/>
      <c r="E26" s="19"/>
      <c r="F26" s="629" t="s">
        <v>104</v>
      </c>
      <c r="G26" s="630"/>
      <c r="H26" s="630"/>
      <c r="I26" s="630"/>
      <c r="J26" s="630"/>
      <c r="K26" s="630"/>
      <c r="L26" s="630"/>
      <c r="M26" s="630"/>
      <c r="N26" s="631"/>
      <c r="P26" s="15"/>
      <c r="Q26" s="624" t="str">
        <f>IF(F26&lt;&gt;"",F26,"")</f>
        <v>SEGURO</v>
      </c>
      <c r="R26" s="625"/>
      <c r="S26" s="625"/>
      <c r="T26" s="625"/>
      <c r="U26" s="625"/>
      <c r="V26" s="625"/>
      <c r="W26" s="625"/>
      <c r="X26" s="625"/>
      <c r="Y26" s="626"/>
    </row>
    <row r="27" spans="1:34" ht="22.5" customHeight="1" x14ac:dyDescent="0.35">
      <c r="A27" s="19">
        <v>15</v>
      </c>
      <c r="B27" s="33" t="s">
        <v>92</v>
      </c>
      <c r="C27" s="32" t="s">
        <v>67</v>
      </c>
      <c r="D27" s="19"/>
      <c r="E27" s="19"/>
      <c r="F27" s="613" t="s">
        <v>139</v>
      </c>
      <c r="G27" s="614"/>
      <c r="H27" s="614"/>
      <c r="I27" s="614"/>
      <c r="J27" s="614"/>
      <c r="K27" s="615"/>
      <c r="L27" s="125" t="s">
        <v>69</v>
      </c>
      <c r="M27" s="126" t="s">
        <v>70</v>
      </c>
      <c r="N27" s="127" t="s">
        <v>39</v>
      </c>
      <c r="P27" s="15"/>
      <c r="Q27" s="613" t="str">
        <f>IF(F27&lt;&gt;"",F27,"")</f>
        <v>Seguro</v>
      </c>
      <c r="R27" s="614"/>
      <c r="S27" s="614"/>
      <c r="T27" s="614"/>
      <c r="U27" s="614"/>
      <c r="V27" s="614"/>
      <c r="W27" s="614"/>
      <c r="X27" s="614"/>
      <c r="Y27" s="621"/>
      <c r="Z27" s="143" t="s">
        <v>71</v>
      </c>
      <c r="AA27" s="122" t="s">
        <v>40</v>
      </c>
    </row>
    <row r="28" spans="1:34" ht="47.1" customHeight="1" x14ac:dyDescent="0.35">
      <c r="A28" s="31">
        <v>16</v>
      </c>
      <c r="B28" s="33" t="s">
        <v>93</v>
      </c>
      <c r="C28" s="85" t="s">
        <v>72</v>
      </c>
      <c r="D28" s="31" t="s">
        <v>74</v>
      </c>
      <c r="E28" s="31" t="s">
        <v>77</v>
      </c>
      <c r="F28" s="227" t="s">
        <v>139</v>
      </c>
      <c r="G28" s="228" t="s">
        <v>172</v>
      </c>
      <c r="H28" s="164">
        <v>1</v>
      </c>
      <c r="I28" s="164">
        <v>1</v>
      </c>
      <c r="J28" s="165">
        <v>1850</v>
      </c>
      <c r="K28" s="118">
        <v>1800</v>
      </c>
      <c r="L28" s="116">
        <f>IF(K28&lt;&gt;"",IF(D28="INTERNO",0,K28*$L$14),"")</f>
        <v>180</v>
      </c>
      <c r="M28" s="116">
        <f>IF(K28&lt;&gt;"",IF(E28="FAT.OGGI",SUM(K28:L28)*(1/(1-$M$14)-1),L28*(1/(1-$M$14)-1)),0)</f>
        <v>480.54430222443165</v>
      </c>
      <c r="N28" s="130">
        <f>SUM(K28:M28)</f>
        <v>2460.5443022244317</v>
      </c>
      <c r="P28" s="15"/>
      <c r="Q28" s="95">
        <f>IF(H28&lt;&gt;"",H28,"")</f>
        <v>1</v>
      </c>
      <c r="R28" s="94">
        <f>IF(I28&lt;&gt;"",I28,"")</f>
        <v>1</v>
      </c>
      <c r="S28" s="68">
        <v>4093.93</v>
      </c>
      <c r="T28" s="68">
        <f>IF(Q28&lt;&gt;"",Q28*R28*S28,"")</f>
        <v>4093.93</v>
      </c>
      <c r="U28" s="71">
        <f>IF(Q28&lt;&gt;"",K28-T28,"")</f>
        <v>-2293.9299999999998</v>
      </c>
      <c r="V28" s="69">
        <f>IF(Q28&lt;&gt;"",0%,"")</f>
        <v>0</v>
      </c>
      <c r="W28" s="70">
        <f>IF(Q28&lt;&gt;"",V28*U28,"")</f>
        <v>0</v>
      </c>
      <c r="X28" s="70">
        <f>IF(Q28&lt;&gt;"",W28+T28,"")</f>
        <v>4093.93</v>
      </c>
      <c r="Y28" s="43">
        <f>IF(Q28&lt;&gt;"",X28+M28,"")</f>
        <v>4574.4743022244311</v>
      </c>
      <c r="Z28" s="193">
        <f>IF(Q28&lt;&gt;"", IFERROR(U28/K28, 0), 0)</f>
        <v>-1.2744055555555556</v>
      </c>
      <c r="AA28" s="163"/>
      <c r="AC28" s="216">
        <v>2203.9299999999998</v>
      </c>
      <c r="AD28" s="217">
        <f>T28-AC28</f>
        <v>1890</v>
      </c>
      <c r="AE28" s="218">
        <v>46203</v>
      </c>
      <c r="AG28" s="219" t="s">
        <v>214</v>
      </c>
      <c r="AH28" s="220" t="s">
        <v>215</v>
      </c>
    </row>
    <row r="29" spans="1:34" ht="22.5" customHeight="1" thickBot="1" x14ac:dyDescent="0.4">
      <c r="A29" s="19">
        <v>17</v>
      </c>
      <c r="B29" s="33"/>
      <c r="C29" s="32" t="s">
        <v>75</v>
      </c>
      <c r="D29" s="19"/>
      <c r="E29" s="19"/>
      <c r="F29" s="617" t="s">
        <v>140</v>
      </c>
      <c r="G29" s="618"/>
      <c r="H29" s="618"/>
      <c r="I29" s="618"/>
      <c r="J29" s="618"/>
      <c r="K29" s="140">
        <f>SUM(K28:K28)</f>
        <v>1800</v>
      </c>
      <c r="L29" s="140">
        <f>SUM(L28:L28)</f>
        <v>180</v>
      </c>
      <c r="M29" s="140">
        <f>SUM(M28:M28)</f>
        <v>480.54430222443165</v>
      </c>
      <c r="N29" s="54">
        <f>SUM(N28:N28)</f>
        <v>2460.5443022244317</v>
      </c>
      <c r="P29" s="15"/>
      <c r="Q29" s="632" t="s">
        <v>89</v>
      </c>
      <c r="R29" s="633"/>
      <c r="S29" s="633"/>
      <c r="T29" s="73">
        <f>SUM(T28:T28)</f>
        <v>4093.93</v>
      </c>
      <c r="U29" s="75">
        <f>SUM(U28:U28)</f>
        <v>-2293.9299999999998</v>
      </c>
      <c r="V29" s="76"/>
      <c r="W29" s="76"/>
      <c r="X29" s="77">
        <f>SUM(X28:X28)</f>
        <v>4093.93</v>
      </c>
      <c r="Y29" s="97">
        <f>IF(Q29&lt;&gt;"",X29+M29,"")</f>
        <v>4574.4743022244311</v>
      </c>
    </row>
    <row r="30" spans="1:34" ht="29.4" customHeight="1" thickBot="1" x14ac:dyDescent="0.4">
      <c r="A30" s="19">
        <v>18</v>
      </c>
      <c r="B30" s="33">
        <v>4</v>
      </c>
      <c r="C30" s="32" t="s">
        <v>66</v>
      </c>
      <c r="D30" s="19"/>
      <c r="E30" s="19"/>
      <c r="F30" s="624" t="s">
        <v>145</v>
      </c>
      <c r="G30" s="625"/>
      <c r="H30" s="625"/>
      <c r="I30" s="625"/>
      <c r="J30" s="625"/>
      <c r="K30" s="625"/>
      <c r="L30" s="625"/>
      <c r="M30" s="625"/>
      <c r="N30" s="626"/>
      <c r="P30" s="15"/>
      <c r="Q30" s="624" t="str">
        <f>IF(F30&lt;&gt;"",F30,"")</f>
        <v>ITENS (LOCAÇÃO)</v>
      </c>
      <c r="R30" s="625"/>
      <c r="S30" s="625"/>
      <c r="T30" s="625"/>
      <c r="U30" s="625"/>
      <c r="V30" s="625"/>
      <c r="W30" s="625"/>
      <c r="X30" s="625"/>
      <c r="Y30" s="626"/>
    </row>
    <row r="31" spans="1:34" ht="29.4" customHeight="1" x14ac:dyDescent="0.35">
      <c r="A31" s="19">
        <v>19</v>
      </c>
      <c r="B31" s="33" t="s">
        <v>98</v>
      </c>
      <c r="C31" s="32" t="s">
        <v>67</v>
      </c>
      <c r="D31" s="19"/>
      <c r="E31" s="19"/>
      <c r="F31" s="613" t="s">
        <v>148</v>
      </c>
      <c r="G31" s="614"/>
      <c r="H31" s="614"/>
      <c r="I31" s="614"/>
      <c r="J31" s="614"/>
      <c r="K31" s="615"/>
      <c r="L31" s="125" t="s">
        <v>69</v>
      </c>
      <c r="M31" s="126" t="s">
        <v>70</v>
      </c>
      <c r="N31" s="127" t="s">
        <v>39</v>
      </c>
      <c r="P31" s="15"/>
      <c r="Q31" s="613" t="str">
        <f>IF(F31&lt;&gt;"",F31,"")</f>
        <v>Itens (Locação)</v>
      </c>
      <c r="R31" s="614"/>
      <c r="S31" s="614"/>
      <c r="T31" s="614"/>
      <c r="U31" s="614"/>
      <c r="V31" s="614"/>
      <c r="W31" s="614"/>
      <c r="X31" s="614"/>
      <c r="Y31" s="621"/>
      <c r="Z31" s="143" t="s">
        <v>71</v>
      </c>
      <c r="AA31" s="122" t="s">
        <v>40</v>
      </c>
    </row>
    <row r="32" spans="1:34" ht="29.4" customHeight="1" x14ac:dyDescent="0.3">
      <c r="A32" s="19">
        <v>22</v>
      </c>
      <c r="B32" s="33" t="s">
        <v>99</v>
      </c>
      <c r="C32" s="32" t="s">
        <v>72</v>
      </c>
      <c r="D32" s="19" t="s">
        <v>74</v>
      </c>
      <c r="E32" s="19" t="s">
        <v>77</v>
      </c>
      <c r="F32" s="224" t="s">
        <v>147</v>
      </c>
      <c r="G32" s="226" t="s">
        <v>146</v>
      </c>
      <c r="H32" s="101">
        <v>1</v>
      </c>
      <c r="I32" s="101">
        <v>4</v>
      </c>
      <c r="J32" s="102">
        <v>550</v>
      </c>
      <c r="K32" s="102">
        <f t="shared" ref="K32" si="20">IF(F32&lt;&gt;"",H32*I32*J32,"")</f>
        <v>2200</v>
      </c>
      <c r="L32" s="102">
        <f t="shared" ref="L32" si="21">IF(K32&lt;&gt;"",IF(D32="INTERNO",0,K32*$L$14),"")</f>
        <v>220</v>
      </c>
      <c r="M32" s="102">
        <f t="shared" ref="M32" si="22">IF(K32&lt;&gt;"",IF(E32="FAT.OGGI",SUM(K32:L32)*(1/(1-$M$14)-1),L32*(1/(1-$M$14)-1)),0)</f>
        <v>587.33192494097193</v>
      </c>
      <c r="N32" s="103">
        <f t="shared" ref="N32" si="23">SUM(K32:M32)</f>
        <v>3007.3319249409719</v>
      </c>
      <c r="P32" s="15"/>
      <c r="Q32" s="92">
        <f t="shared" ref="Q32" si="24">IF(H32&lt;&gt;"",H32,"")</f>
        <v>1</v>
      </c>
      <c r="R32" s="93">
        <v>0</v>
      </c>
      <c r="S32" s="34">
        <v>0</v>
      </c>
      <c r="T32" s="34">
        <f t="shared" ref="T32" si="25">IF(Q32&lt;&gt;"",Q32*R32*S32,"")</f>
        <v>0</v>
      </c>
      <c r="U32" s="131">
        <f t="shared" ref="U32" si="26">IF(Q32&lt;&gt;"",K32-T32,"")</f>
        <v>2200</v>
      </c>
      <c r="V32" s="36">
        <f t="shared" ref="V32" si="27">IF(Q32&lt;&gt;"",0%,"")</f>
        <v>0</v>
      </c>
      <c r="W32" s="37">
        <f t="shared" ref="W32" si="28">IF(Q32&lt;&gt;"",V32*U32,"")</f>
        <v>0</v>
      </c>
      <c r="X32" s="132">
        <f t="shared" ref="X32" si="29">IF(Q32&lt;&gt;"",W32+T32,"")</f>
        <v>0</v>
      </c>
      <c r="Y32" s="133">
        <f t="shared" ref="Y32" si="30">IF(Q32&lt;&gt;"",X32+M32,"")</f>
        <v>587.33192494097193</v>
      </c>
      <c r="Z32" s="144">
        <f t="shared" ref="Z32" si="31">IF(Q32&lt;&gt;"", IFERROR(U32/K32, 0), 0)</f>
        <v>1</v>
      </c>
      <c r="AA32" s="142" t="str">
        <f>IFERROR(T32/$T$33, "")</f>
        <v/>
      </c>
    </row>
    <row r="33" spans="1:34" ht="29.4" customHeight="1" thickBot="1" x14ac:dyDescent="0.4">
      <c r="A33" s="31">
        <v>23</v>
      </c>
      <c r="B33" s="33"/>
      <c r="C33" s="85" t="s">
        <v>75</v>
      </c>
      <c r="D33" s="31"/>
      <c r="E33" s="31"/>
      <c r="F33" s="622" t="s">
        <v>169</v>
      </c>
      <c r="G33" s="623"/>
      <c r="H33" s="623"/>
      <c r="I33" s="623"/>
      <c r="J33" s="623"/>
      <c r="K33" s="147">
        <f>SUM(K32:K32)</f>
        <v>2200</v>
      </c>
      <c r="L33" s="147">
        <f>SUM(L32:L32)</f>
        <v>220</v>
      </c>
      <c r="M33" s="147">
        <f>SUM(M32:M32)</f>
        <v>587.33192494097193</v>
      </c>
      <c r="N33" s="148">
        <f>SUM(N32:N32)</f>
        <v>3007.3319249409719</v>
      </c>
      <c r="P33" s="15"/>
      <c r="Q33" s="627" t="s">
        <v>169</v>
      </c>
      <c r="R33" s="628"/>
      <c r="S33" s="628"/>
      <c r="T33" s="146">
        <f>SUM(T32:T32)</f>
        <v>0</v>
      </c>
      <c r="U33" s="149">
        <f>SUM(U32:U32)</f>
        <v>2200</v>
      </c>
      <c r="V33" s="150"/>
      <c r="W33" s="151"/>
      <c r="X33" s="152">
        <f>SUM(X32:X32)</f>
        <v>0</v>
      </c>
      <c r="Y33" s="153">
        <f>IF(Q33&lt;&gt;"",X33+M33,"")</f>
        <v>587.33192494097193</v>
      </c>
      <c r="Z33" s="141"/>
      <c r="AA33" s="141"/>
    </row>
    <row r="34" spans="1:34" ht="33" thickBot="1" x14ac:dyDescent="0.4">
      <c r="A34" s="39">
        <v>24</v>
      </c>
      <c r="B34" s="33">
        <v>5</v>
      </c>
      <c r="C34" s="45" t="s">
        <v>66</v>
      </c>
      <c r="D34" s="39"/>
      <c r="E34" s="39"/>
      <c r="F34" s="619" t="s">
        <v>132</v>
      </c>
      <c r="G34" s="612"/>
      <c r="H34" s="612"/>
      <c r="I34" s="612"/>
      <c r="J34" s="612"/>
      <c r="K34" s="612"/>
      <c r="L34" s="612"/>
      <c r="M34" s="612"/>
      <c r="N34" s="620"/>
      <c r="P34" s="15"/>
      <c r="Q34" s="619" t="str">
        <f>IF(F34&lt;&gt;"",F34,"")</f>
        <v>STAFF</v>
      </c>
      <c r="R34" s="612"/>
      <c r="S34" s="612"/>
      <c r="T34" s="612"/>
      <c r="U34" s="612"/>
      <c r="V34" s="612"/>
      <c r="W34" s="612"/>
      <c r="X34" s="612"/>
      <c r="Y34" s="620"/>
    </row>
    <row r="35" spans="1:34" ht="32.4" x14ac:dyDescent="0.35">
      <c r="A35" s="19">
        <v>25</v>
      </c>
      <c r="B35" s="33" t="s">
        <v>143</v>
      </c>
      <c r="C35" s="32" t="s">
        <v>67</v>
      </c>
      <c r="D35" s="19"/>
      <c r="E35" s="19"/>
      <c r="F35" s="613" t="s">
        <v>133</v>
      </c>
      <c r="G35" s="614"/>
      <c r="H35" s="614"/>
      <c r="I35" s="614"/>
      <c r="J35" s="614"/>
      <c r="K35" s="615"/>
      <c r="L35" s="78" t="s">
        <v>69</v>
      </c>
      <c r="M35" s="79" t="s">
        <v>70</v>
      </c>
      <c r="N35" s="84" t="s">
        <v>39</v>
      </c>
      <c r="P35" s="15"/>
      <c r="Q35" s="613" t="str">
        <f>IF(F35&lt;&gt;"",F35,"")</f>
        <v>Staff</v>
      </c>
      <c r="R35" s="614"/>
      <c r="S35" s="614"/>
      <c r="T35" s="614"/>
      <c r="U35" s="614"/>
      <c r="V35" s="614"/>
      <c r="W35" s="614"/>
      <c r="X35" s="614"/>
      <c r="Y35" s="621"/>
      <c r="Z35" s="194" t="s">
        <v>71</v>
      </c>
      <c r="AA35" s="137" t="s">
        <v>40</v>
      </c>
    </row>
    <row r="36" spans="1:34" ht="117.9" customHeight="1" x14ac:dyDescent="0.35">
      <c r="A36" s="19">
        <v>26</v>
      </c>
      <c r="B36" s="33" t="s">
        <v>144</v>
      </c>
      <c r="C36" s="32" t="s">
        <v>72</v>
      </c>
      <c r="D36" s="19" t="s">
        <v>74</v>
      </c>
      <c r="E36" s="19" t="s">
        <v>77</v>
      </c>
      <c r="F36" s="235" t="s">
        <v>150</v>
      </c>
      <c r="G36" s="236" t="s">
        <v>152</v>
      </c>
      <c r="H36" s="101">
        <v>1</v>
      </c>
      <c r="I36" s="101">
        <v>6</v>
      </c>
      <c r="J36" s="102">
        <v>950</v>
      </c>
      <c r="K36" s="102">
        <f>IF(F36&lt;&gt;"",H36*I36*J36,"")</f>
        <v>5700</v>
      </c>
      <c r="L36" s="102">
        <f>IF(K36&lt;&gt;"",IF(D36="INTERNO",0,K36*$L$14),"")</f>
        <v>570</v>
      </c>
      <c r="M36" s="102">
        <f>IF(K36&lt;&gt;"",IF(E36="FAT.OGGI",SUM(K36:L36)*(1/(1-$M$14)-1),L36*(1/(1-$M$14)-1)),0)</f>
        <v>1521.7236237107002</v>
      </c>
      <c r="N36" s="103">
        <f>SUM(K36:M36)</f>
        <v>7791.7236237106999</v>
      </c>
      <c r="P36" s="201" t="s">
        <v>189</v>
      </c>
      <c r="Q36" s="92">
        <f>IF(H36&lt;&gt;"",H36,"")</f>
        <v>1</v>
      </c>
      <c r="R36" s="93">
        <v>1</v>
      </c>
      <c r="S36" s="34">
        <v>6500</v>
      </c>
      <c r="T36" s="34">
        <f>IF(Q36&lt;&gt;"",Q36*R36*S36,"")</f>
        <v>6500</v>
      </c>
      <c r="U36" s="35">
        <f>IF(Q36&lt;&gt;"",K36-T36,"")</f>
        <v>-800</v>
      </c>
      <c r="V36" s="36">
        <f>IF(Q36&lt;&gt;"",0%,"")</f>
        <v>0</v>
      </c>
      <c r="W36" s="37">
        <f>IF(Q36&lt;&gt;"",V36*U36,"")</f>
        <v>0</v>
      </c>
      <c r="X36" s="37">
        <f>IF(Q36&lt;&gt;"",W36+T36,"")</f>
        <v>6500</v>
      </c>
      <c r="Y36" s="38">
        <f>IF(Q36&lt;&gt;"",X36+M36,"")</f>
        <v>8021.7236237106999</v>
      </c>
      <c r="Z36" s="144">
        <f>IF(Q36&lt;&gt;"", IFERROR(U36/K36, 0), 0)</f>
        <v>-0.14035087719298245</v>
      </c>
      <c r="AA36" s="66"/>
      <c r="AC36" s="216">
        <v>6500</v>
      </c>
      <c r="AD36" s="217">
        <f>T36-AC36</f>
        <v>0</v>
      </c>
      <c r="AE36" s="218">
        <v>46204</v>
      </c>
      <c r="AG36" s="219" t="s">
        <v>220</v>
      </c>
      <c r="AH36" s="220" t="s">
        <v>221</v>
      </c>
    </row>
    <row r="37" spans="1:34" ht="73.5" customHeight="1" thickBot="1" x14ac:dyDescent="0.4">
      <c r="A37" s="19">
        <v>27</v>
      </c>
      <c r="B37" s="33" t="s">
        <v>175</v>
      </c>
      <c r="C37" s="32" t="s">
        <v>72</v>
      </c>
      <c r="D37" s="19" t="s">
        <v>74</v>
      </c>
      <c r="E37" s="19" t="s">
        <v>77</v>
      </c>
      <c r="F37" s="224" t="s">
        <v>165</v>
      </c>
      <c r="G37" s="225" t="s">
        <v>151</v>
      </c>
      <c r="H37" s="101">
        <v>1</v>
      </c>
      <c r="I37" s="101">
        <v>5</v>
      </c>
      <c r="J37" s="102">
        <v>900</v>
      </c>
      <c r="K37" s="102">
        <f>IF(F37&lt;&gt;"",H37*I37*J37,"")</f>
        <v>4500</v>
      </c>
      <c r="L37" s="102">
        <f>IF(K37&lt;&gt;"",IF(D37="INTERNO",0,K37*$L$14),"")</f>
        <v>450</v>
      </c>
      <c r="M37" s="102">
        <f>IF(K37&lt;&gt;"",IF(E37="FAT.OGGI",SUM(K37:L37)*(1/(1-$M$14)-1),L37*(1/(1-$M$14)-1)),0)</f>
        <v>1201.360755561079</v>
      </c>
      <c r="N37" s="103">
        <f>SUM(K37:M37)</f>
        <v>6151.3607555610788</v>
      </c>
      <c r="P37" s="15"/>
      <c r="Q37" s="92">
        <f>IF(H37&lt;&gt;"",H37,"")</f>
        <v>1</v>
      </c>
      <c r="R37" s="93">
        <v>1</v>
      </c>
      <c r="S37" s="34">
        <v>3250</v>
      </c>
      <c r="T37" s="34">
        <f>IF(Q37&lt;&gt;"",Q37*R37*S37,"")</f>
        <v>3250</v>
      </c>
      <c r="U37" s="35">
        <f>IF(Q37&lt;&gt;"",K37-T37,"")</f>
        <v>1250</v>
      </c>
      <c r="V37" s="36">
        <f>IF(Q37&lt;&gt;"",0%,"")</f>
        <v>0</v>
      </c>
      <c r="W37" s="37">
        <f>IF(Q37&lt;&gt;"",V37*U37,"")</f>
        <v>0</v>
      </c>
      <c r="X37" s="37">
        <f>IF(Q37&lt;&gt;"",W37+T37,"")</f>
        <v>3250</v>
      </c>
      <c r="Y37" s="38">
        <f>IF(Q37&lt;&gt;"",X37+M37,"")</f>
        <v>4451.3607555610788</v>
      </c>
      <c r="Z37" s="144">
        <f>IF(Q37&lt;&gt;"", IFERROR(U37/K37, 0), 0)</f>
        <v>0.27777777777777779</v>
      </c>
      <c r="AA37" s="66"/>
      <c r="AC37" s="216">
        <v>3250</v>
      </c>
      <c r="AD37" s="217">
        <f>T37-AC37</f>
        <v>0</v>
      </c>
      <c r="AE37" s="218">
        <v>46203</v>
      </c>
      <c r="AG37" s="219" t="s">
        <v>216</v>
      </c>
      <c r="AH37" s="220" t="s">
        <v>217</v>
      </c>
    </row>
    <row r="38" spans="1:34" ht="185.1" customHeight="1" x14ac:dyDescent="0.3">
      <c r="A38" s="19">
        <v>28</v>
      </c>
      <c r="B38" s="33" t="s">
        <v>176</v>
      </c>
      <c r="C38" s="32" t="s">
        <v>72</v>
      </c>
      <c r="D38" s="19" t="s">
        <v>74</v>
      </c>
      <c r="E38" s="19" t="s">
        <v>77</v>
      </c>
      <c r="F38" s="224" t="s">
        <v>136</v>
      </c>
      <c r="G38" s="225" t="s">
        <v>193</v>
      </c>
      <c r="H38" s="101">
        <v>1</v>
      </c>
      <c r="I38" s="101">
        <v>1</v>
      </c>
      <c r="J38" s="102">
        <v>2400</v>
      </c>
      <c r="K38" s="102">
        <f t="shared" ref="K38:K41" si="32">IF(F38&lt;&gt;"",H38*I38*J38,"")</f>
        <v>2400</v>
      </c>
      <c r="L38" s="102">
        <f>IF(K38&lt;&gt;"",IF(D38="INTERNO",0,K38*$L$14),"")</f>
        <v>240</v>
      </c>
      <c r="M38" s="102">
        <f>IF(K38&lt;&gt;"",IF(E38="FAT.OGGI",SUM(K38:L38)*(1/(1-$M$14)-1),L38*(1/(1-$M$14)-1)),0)</f>
        <v>640.72573629924216</v>
      </c>
      <c r="N38" s="103">
        <f t="shared" ref="N38:N41" si="33">SUM(K38:M38)</f>
        <v>3280.7257362992423</v>
      </c>
      <c r="P38" s="15"/>
      <c r="Q38" s="92">
        <f t="shared" ref="Q38:R41" si="34">IF(H38&lt;&gt;"",H38,"")</f>
        <v>1</v>
      </c>
      <c r="R38" s="93">
        <f t="shared" si="34"/>
        <v>1</v>
      </c>
      <c r="S38" s="34">
        <v>2058</v>
      </c>
      <c r="T38" s="34">
        <f t="shared" ref="T38:T41" si="35">IF(Q38&lt;&gt;"",Q38*R38*S38,"")</f>
        <v>2058</v>
      </c>
      <c r="U38" s="35">
        <f t="shared" ref="U38:U41" si="36">IF(Q38&lt;&gt;"",K38-T38,"")</f>
        <v>342</v>
      </c>
      <c r="V38" s="36">
        <f t="shared" ref="V38:V41" si="37">IF(Q38&lt;&gt;"",0%,"")</f>
        <v>0</v>
      </c>
      <c r="W38" s="37">
        <f t="shared" ref="W38:W41" si="38">IF(Q38&lt;&gt;"",V38*U38,"")</f>
        <v>0</v>
      </c>
      <c r="X38" s="37">
        <f t="shared" ref="X38:X41" si="39">IF(Q38&lt;&gt;"",W38+T38,"")</f>
        <v>2058</v>
      </c>
      <c r="Y38" s="38">
        <f t="shared" ref="Y38:Y42" si="40">IF(Q38&lt;&gt;"",X38+M38,"")</f>
        <v>2698.7257362992423</v>
      </c>
      <c r="Z38" s="195">
        <f>IF(Q38&lt;&gt;"",U38/K38,"")</f>
        <v>0.14249999999999999</v>
      </c>
      <c r="AA38" s="138">
        <f>T38/$T$42</f>
        <v>8.2444491181684343E-2</v>
      </c>
    </row>
    <row r="39" spans="1:34" ht="66" customHeight="1" x14ac:dyDescent="0.35">
      <c r="A39" s="19">
        <v>29</v>
      </c>
      <c r="B39" s="33" t="s">
        <v>177</v>
      </c>
      <c r="C39" s="32" t="s">
        <v>72</v>
      </c>
      <c r="D39" s="19" t="s">
        <v>74</v>
      </c>
      <c r="E39" s="19" t="s">
        <v>77</v>
      </c>
      <c r="F39" s="224" t="s">
        <v>141</v>
      </c>
      <c r="G39" s="225" t="s">
        <v>164</v>
      </c>
      <c r="H39" s="101">
        <v>1</v>
      </c>
      <c r="I39" s="101">
        <v>1</v>
      </c>
      <c r="J39" s="102">
        <v>880</v>
      </c>
      <c r="K39" s="102">
        <f t="shared" si="32"/>
        <v>880</v>
      </c>
      <c r="L39" s="102">
        <f t="shared" ref="L39:L41" si="41">IF(K39&lt;&gt;"",IF(D39="INTERNO",0,K39*$L$14),"")</f>
        <v>88</v>
      </c>
      <c r="M39" s="102">
        <f t="shared" ref="M39:M41" si="42">IF(K39&lt;&gt;"",IF(E39="FAT.OGGI",SUM(K39:L39)*(1/(1-$M$14)-1),L39*(1/(1-$M$14)-1)),0)</f>
        <v>234.93276997638878</v>
      </c>
      <c r="N39" s="103">
        <f t="shared" si="33"/>
        <v>1202.9327699763887</v>
      </c>
      <c r="P39" s="15"/>
      <c r="Q39" s="92">
        <f t="shared" si="34"/>
        <v>1</v>
      </c>
      <c r="R39" s="93">
        <f t="shared" si="34"/>
        <v>1</v>
      </c>
      <c r="S39" s="34">
        <v>1245.42</v>
      </c>
      <c r="T39" s="34">
        <f t="shared" si="35"/>
        <v>1245.42</v>
      </c>
      <c r="U39" s="35">
        <f t="shared" si="36"/>
        <v>-365.42000000000007</v>
      </c>
      <c r="V39" s="36">
        <f t="shared" si="37"/>
        <v>0</v>
      </c>
      <c r="W39" s="37">
        <f t="shared" si="38"/>
        <v>0</v>
      </c>
      <c r="X39" s="37">
        <f t="shared" si="39"/>
        <v>1245.42</v>
      </c>
      <c r="Y39" s="38">
        <f t="shared" si="40"/>
        <v>1480.3527699763888</v>
      </c>
      <c r="Z39" s="144">
        <f t="shared" ref="Z39:Z41" si="43">IF(Q39&lt;&gt;"", IFERROR(U39/K39, 0), 0)</f>
        <v>-0.41525000000000006</v>
      </c>
      <c r="AA39" s="66"/>
      <c r="AC39" s="216">
        <v>419.54</v>
      </c>
      <c r="AD39" s="217">
        <f>T39-AC39</f>
        <v>825.88000000000011</v>
      </c>
      <c r="AE39" s="218">
        <v>46191</v>
      </c>
      <c r="AG39" s="219" t="s">
        <v>208</v>
      </c>
      <c r="AH39" s="220" t="s">
        <v>209</v>
      </c>
    </row>
    <row r="40" spans="1:34" ht="63.6" customHeight="1" x14ac:dyDescent="0.35">
      <c r="A40" s="19">
        <v>31</v>
      </c>
      <c r="B40" s="33" t="s">
        <v>251</v>
      </c>
      <c r="C40" s="32" t="s">
        <v>72</v>
      </c>
      <c r="D40" s="19" t="s">
        <v>74</v>
      </c>
      <c r="E40" s="19" t="s">
        <v>77</v>
      </c>
      <c r="F40" s="224" t="s">
        <v>149</v>
      </c>
      <c r="G40" s="225" t="s">
        <v>190</v>
      </c>
      <c r="H40" s="101">
        <v>4</v>
      </c>
      <c r="I40" s="101">
        <v>4</v>
      </c>
      <c r="J40" s="102">
        <v>800</v>
      </c>
      <c r="K40" s="102">
        <f t="shared" si="32"/>
        <v>12800</v>
      </c>
      <c r="L40" s="102">
        <f t="shared" si="41"/>
        <v>1280</v>
      </c>
      <c r="M40" s="102">
        <f t="shared" si="42"/>
        <v>3417.2039269292914</v>
      </c>
      <c r="N40" s="103">
        <f t="shared" si="33"/>
        <v>17497.203926929291</v>
      </c>
      <c r="P40" s="15"/>
      <c r="Q40" s="92">
        <v>1</v>
      </c>
      <c r="R40" s="93">
        <v>1</v>
      </c>
      <c r="S40" s="34">
        <v>8000</v>
      </c>
      <c r="T40" s="34">
        <f t="shared" si="35"/>
        <v>8000</v>
      </c>
      <c r="U40" s="35">
        <f t="shared" si="36"/>
        <v>4800</v>
      </c>
      <c r="V40" s="36">
        <f t="shared" si="37"/>
        <v>0</v>
      </c>
      <c r="W40" s="37">
        <f t="shared" si="38"/>
        <v>0</v>
      </c>
      <c r="X40" s="37">
        <f t="shared" si="39"/>
        <v>8000</v>
      </c>
      <c r="Y40" s="38">
        <f t="shared" si="40"/>
        <v>11417.203926929291</v>
      </c>
      <c r="Z40" s="144">
        <f t="shared" si="43"/>
        <v>0.375</v>
      </c>
      <c r="AA40" s="66"/>
      <c r="AC40" s="216">
        <v>8000</v>
      </c>
      <c r="AD40" s="217">
        <f>T40-AC40</f>
        <v>0</v>
      </c>
      <c r="AE40" s="218">
        <v>46204</v>
      </c>
      <c r="AG40" s="219" t="s">
        <v>224</v>
      </c>
      <c r="AH40" s="220" t="s">
        <v>225</v>
      </c>
    </row>
    <row r="41" spans="1:34" ht="51" customHeight="1" thickBot="1" x14ac:dyDescent="0.4">
      <c r="A41" s="19">
        <v>32</v>
      </c>
      <c r="B41" s="33" t="s">
        <v>178</v>
      </c>
      <c r="C41" s="32" t="s">
        <v>72</v>
      </c>
      <c r="D41" s="19" t="s">
        <v>74</v>
      </c>
      <c r="E41" s="19" t="s">
        <v>77</v>
      </c>
      <c r="F41" s="171" t="s">
        <v>157</v>
      </c>
      <c r="G41" s="139" t="s">
        <v>158</v>
      </c>
      <c r="H41" s="88">
        <v>1</v>
      </c>
      <c r="I41" s="88">
        <v>1</v>
      </c>
      <c r="J41" s="86">
        <v>2000</v>
      </c>
      <c r="K41" s="86">
        <f t="shared" si="32"/>
        <v>2000</v>
      </c>
      <c r="L41" s="86">
        <f t="shared" si="41"/>
        <v>200</v>
      </c>
      <c r="M41" s="86">
        <f t="shared" si="42"/>
        <v>533.93811358270182</v>
      </c>
      <c r="N41" s="87">
        <f t="shared" si="33"/>
        <v>2733.9381135827016</v>
      </c>
      <c r="P41" s="15"/>
      <c r="Q41" s="92">
        <f t="shared" si="34"/>
        <v>1</v>
      </c>
      <c r="R41" s="93">
        <f t="shared" si="34"/>
        <v>1</v>
      </c>
      <c r="S41" s="34">
        <v>3908.83</v>
      </c>
      <c r="T41" s="34">
        <f t="shared" si="35"/>
        <v>3908.83</v>
      </c>
      <c r="U41" s="35">
        <f t="shared" si="36"/>
        <v>-1908.83</v>
      </c>
      <c r="V41" s="36">
        <f t="shared" si="37"/>
        <v>0</v>
      </c>
      <c r="W41" s="37">
        <f t="shared" si="38"/>
        <v>0</v>
      </c>
      <c r="X41" s="37">
        <f t="shared" si="39"/>
        <v>3908.83</v>
      </c>
      <c r="Y41" s="38">
        <f t="shared" si="40"/>
        <v>4442.7681135827015</v>
      </c>
      <c r="Z41" s="161">
        <f t="shared" si="43"/>
        <v>-0.95441500000000001</v>
      </c>
      <c r="AA41" s="135"/>
      <c r="AC41" s="216">
        <v>2000</v>
      </c>
      <c r="AD41" s="217">
        <f>T41-AC41</f>
        <v>1908.83</v>
      </c>
      <c r="AE41" s="218">
        <v>46191</v>
      </c>
      <c r="AG41" s="219" t="s">
        <v>206</v>
      </c>
      <c r="AH41" s="220" t="s">
        <v>207</v>
      </c>
    </row>
    <row r="42" spans="1:34" ht="32.1" customHeight="1" thickBot="1" x14ac:dyDescent="0.4">
      <c r="A42" s="19">
        <v>33</v>
      </c>
      <c r="B42" s="33"/>
      <c r="C42" s="32" t="s">
        <v>75</v>
      </c>
      <c r="D42" s="19"/>
      <c r="E42" s="19"/>
      <c r="F42" s="622" t="s">
        <v>159</v>
      </c>
      <c r="G42" s="623"/>
      <c r="H42" s="623"/>
      <c r="I42" s="623"/>
      <c r="J42" s="623"/>
      <c r="K42" s="74">
        <f>SUM(K36:K41)</f>
        <v>28280</v>
      </c>
      <c r="L42" s="140">
        <f>SUM(L36:L41)</f>
        <v>2828</v>
      </c>
      <c r="M42" s="140">
        <f>SUM(M36:M41)</f>
        <v>7549.8849260594034</v>
      </c>
      <c r="N42" s="83">
        <f>SUM(N36:N41)</f>
        <v>38657.8849260594</v>
      </c>
      <c r="P42" s="15"/>
      <c r="Q42" s="617" t="s">
        <v>105</v>
      </c>
      <c r="R42" s="618"/>
      <c r="S42" s="618"/>
      <c r="T42" s="197">
        <f>SUM(T36:T41)</f>
        <v>24962.25</v>
      </c>
      <c r="U42" s="198">
        <f>SUM(U36:U41)</f>
        <v>3317.75</v>
      </c>
      <c r="V42" s="199"/>
      <c r="W42" s="199"/>
      <c r="X42" s="200">
        <f>SUM(X36:X41)</f>
        <v>24962.25</v>
      </c>
      <c r="Y42" s="98">
        <f t="shared" si="40"/>
        <v>32512.134926059403</v>
      </c>
      <c r="Z42" s="196" t="s">
        <v>90</v>
      </c>
      <c r="AA42" s="136" t="s">
        <v>91</v>
      </c>
    </row>
    <row r="43" spans="1:34" ht="33" thickBot="1" x14ac:dyDescent="0.4">
      <c r="A43" s="19">
        <v>34</v>
      </c>
      <c r="B43" s="33">
        <v>6</v>
      </c>
      <c r="C43" s="32" t="s">
        <v>66</v>
      </c>
      <c r="D43" s="19"/>
      <c r="E43" s="204"/>
      <c r="F43" s="611"/>
      <c r="G43" s="612"/>
      <c r="H43" s="612"/>
      <c r="I43" s="612"/>
      <c r="J43" s="612"/>
      <c r="K43" s="612"/>
      <c r="L43" s="612"/>
      <c r="M43" s="612"/>
      <c r="N43" s="612"/>
      <c r="Q43" s="612" t="str">
        <f>IF(F43&lt;&gt;"",F43,"")</f>
        <v/>
      </c>
      <c r="R43" s="612"/>
      <c r="S43" s="612"/>
      <c r="T43" s="612"/>
      <c r="U43" s="612"/>
      <c r="V43" s="612"/>
      <c r="W43" s="612"/>
      <c r="X43" s="612"/>
      <c r="Y43" s="612"/>
    </row>
    <row r="44" spans="1:34" ht="32.4" x14ac:dyDescent="0.35">
      <c r="A44" s="19">
        <v>35</v>
      </c>
      <c r="B44" s="33" t="s">
        <v>252</v>
      </c>
      <c r="C44" s="32" t="s">
        <v>67</v>
      </c>
      <c r="D44" s="19"/>
      <c r="E44" s="19"/>
      <c r="F44" s="613"/>
      <c r="G44" s="614"/>
      <c r="H44" s="614"/>
      <c r="I44" s="614"/>
      <c r="J44" s="614"/>
      <c r="K44" s="615"/>
      <c r="L44" s="78" t="s">
        <v>69</v>
      </c>
      <c r="M44" s="79" t="s">
        <v>70</v>
      </c>
      <c r="N44" s="247" t="s">
        <v>39</v>
      </c>
      <c r="Q44" s="613" t="str">
        <f>IF(F44&lt;&gt;"",F44,"")</f>
        <v/>
      </c>
      <c r="R44" s="614"/>
      <c r="S44" s="614"/>
      <c r="T44" s="614"/>
      <c r="U44" s="614"/>
      <c r="V44" s="614"/>
      <c r="W44" s="614"/>
      <c r="X44" s="614"/>
      <c r="Y44" s="616"/>
      <c r="Z44" s="212" t="s">
        <v>71</v>
      </c>
      <c r="AA44" s="205" t="s">
        <v>40</v>
      </c>
    </row>
    <row r="45" spans="1:34" ht="32.4" customHeight="1" x14ac:dyDescent="0.3">
      <c r="A45" s="19">
        <v>4</v>
      </c>
      <c r="B45" s="33" t="s">
        <v>253</v>
      </c>
      <c r="C45" s="32" t="s">
        <v>72</v>
      </c>
      <c r="D45" s="19" t="s">
        <v>74</v>
      </c>
      <c r="E45" s="19" t="s">
        <v>77</v>
      </c>
      <c r="F45" s="162" t="s">
        <v>135</v>
      </c>
      <c r="G45" s="100" t="s">
        <v>161</v>
      </c>
      <c r="H45" s="101">
        <v>10</v>
      </c>
      <c r="I45" s="101">
        <v>4</v>
      </c>
      <c r="J45" s="102">
        <v>200</v>
      </c>
      <c r="K45" s="102">
        <f>IF(F45&lt;&gt;"",H45*I45*J45,"")</f>
        <v>8000</v>
      </c>
      <c r="L45" s="102">
        <f>IF(K45&lt;&gt;"",IF(D45="INTERNO",0,K45*$L$14),"")</f>
        <v>800</v>
      </c>
      <c r="M45" s="102">
        <f>IF(K45&lt;&gt;"",IF(E45="FAT.OGGI",SUM(K45:L45)*(1/(1-$M$14)-1),L45*(1/(1-$M$14)-1)),0)</f>
        <v>2135.7524543308073</v>
      </c>
      <c r="N45" s="103">
        <f>SUM(K45:M45)</f>
        <v>10935.752454330806</v>
      </c>
      <c r="Q45" s="92">
        <v>1</v>
      </c>
      <c r="R45" s="93">
        <v>1</v>
      </c>
      <c r="S45" s="34">
        <v>5920</v>
      </c>
      <c r="T45" s="34">
        <f>IF(Q45&lt;&gt;"",Q45*R45*S45,"")</f>
        <v>5920</v>
      </c>
      <c r="U45" s="131">
        <f>IF(Q45&lt;&gt;"",K45-T45,"")</f>
        <v>2080</v>
      </c>
      <c r="V45" s="36">
        <f>IF(Q45&lt;&gt;"",0%,"")</f>
        <v>0</v>
      </c>
      <c r="W45" s="37">
        <f>IF(Q45&lt;&gt;"",V45*U45,"")</f>
        <v>0</v>
      </c>
      <c r="X45" s="132">
        <f>IF(Q45&lt;&gt;"",W45+T45,"")</f>
        <v>5920</v>
      </c>
      <c r="Y45" s="133">
        <f>IF(Q45&lt;&gt;"",X45+M45,"")</f>
        <v>8055.7524543308073</v>
      </c>
      <c r="Z45" s="144">
        <f>IF(Q45&lt;&gt;"", IFERROR(U45/K45, 0), 0)</f>
        <v>0.26</v>
      </c>
      <c r="AA45" s="142">
        <f t="shared" ref="AA45:AA65" si="44">T45/$T$66</f>
        <v>8.8016651798989001E-2</v>
      </c>
    </row>
    <row r="46" spans="1:34" ht="39.6" customHeight="1" thickBot="1" x14ac:dyDescent="0.35">
      <c r="A46" s="31">
        <v>5</v>
      </c>
      <c r="B46" s="33" t="s">
        <v>254</v>
      </c>
      <c r="C46" s="85" t="s">
        <v>72</v>
      </c>
      <c r="D46" s="19" t="s">
        <v>74</v>
      </c>
      <c r="E46" s="19" t="s">
        <v>77</v>
      </c>
      <c r="F46" s="162" t="s">
        <v>204</v>
      </c>
      <c r="G46" s="99" t="s">
        <v>205</v>
      </c>
      <c r="H46" s="88">
        <v>4</v>
      </c>
      <c r="I46" s="88">
        <v>4</v>
      </c>
      <c r="J46" s="86">
        <v>75</v>
      </c>
      <c r="K46" s="86">
        <f>IF(F46&lt;&gt;"",H46*I46*J46,"")</f>
        <v>1200</v>
      </c>
      <c r="L46" s="86">
        <f>IF(K46&lt;&gt;"",IF(D46="INTERNO",0,K46*$L$14),"")</f>
        <v>120</v>
      </c>
      <c r="M46" s="86">
        <f>IF(K46&lt;&gt;"",IF(E46="FAT.OGGI",SUM(K46:L46)*(1/(1-$M$14)-1),L46*(1/(1-$M$14)-1)),0)</f>
        <v>320.36286814962108</v>
      </c>
      <c r="N46" s="87">
        <f>SUM(K46:M46)</f>
        <v>1640.3628681496211</v>
      </c>
      <c r="Q46" s="95">
        <v>1</v>
      </c>
      <c r="R46" s="94">
        <v>1</v>
      </c>
      <c r="S46" s="68">
        <v>0</v>
      </c>
      <c r="T46" s="68">
        <f>IF(Q46&lt;&gt;"",Q46*R46*S46,"")</f>
        <v>0</v>
      </c>
      <c r="U46" s="123">
        <f>IF(Q46&lt;&gt;"",K46-T46,"")</f>
        <v>1200</v>
      </c>
      <c r="V46" s="69">
        <f>IF(Q46&lt;&gt;"",0%,"")</f>
        <v>0</v>
      </c>
      <c r="W46" s="70">
        <f>IF(Q46&lt;&gt;"",V46*U46,"")</f>
        <v>0</v>
      </c>
      <c r="X46" s="124">
        <f>IF(Q46&lt;&gt;"",W46+T46,"")</f>
        <v>0</v>
      </c>
      <c r="Y46" s="202">
        <f>IF(Q46&lt;&gt;"",X46+M46,"")</f>
        <v>320.36286814962108</v>
      </c>
      <c r="Z46" s="161">
        <f>IF(Q46&lt;&gt;"", IFERROR(U46/K46, 0), 0)</f>
        <v>1</v>
      </c>
      <c r="AA46" s="142">
        <f t="shared" si="44"/>
        <v>0</v>
      </c>
    </row>
    <row r="47" spans="1:34" ht="42.9" customHeight="1" x14ac:dyDescent="0.3">
      <c r="A47" s="19">
        <v>9</v>
      </c>
      <c r="B47" s="33" t="s">
        <v>255</v>
      </c>
      <c r="C47" s="32" t="s">
        <v>72</v>
      </c>
      <c r="D47" s="19" t="s">
        <v>74</v>
      </c>
      <c r="E47" s="19" t="s">
        <v>77</v>
      </c>
      <c r="F47" s="162" t="s">
        <v>155</v>
      </c>
      <c r="G47" s="114" t="s">
        <v>194</v>
      </c>
      <c r="H47" s="128">
        <v>200</v>
      </c>
      <c r="I47" s="128">
        <v>1</v>
      </c>
      <c r="J47" s="129">
        <v>95</v>
      </c>
      <c r="K47" s="116">
        <f t="shared" ref="K47:K49" si="45">IF(F47&lt;&gt;"",H47*I47*J47,"")</f>
        <v>19000</v>
      </c>
      <c r="L47" s="116">
        <f t="shared" ref="L47:L49" si="46">IF(K47&lt;&gt;"",IF(D47="INTERNO",0,K47*$L$14),"")</f>
        <v>1900</v>
      </c>
      <c r="M47" s="116">
        <f t="shared" ref="M47:M49" si="47">IF(K47&lt;&gt;"",IF(E47="FAT.OGGI",SUM(K47:L47)*(1/(1-$M$14)-1),L47*(1/(1-$M$14)-1)),0)</f>
        <v>5072.4120790356674</v>
      </c>
      <c r="N47" s="130">
        <f t="shared" ref="N47:N49" si="48">SUM(K47:M47)</f>
        <v>25972.412079035668</v>
      </c>
      <c r="Q47" s="92">
        <v>1</v>
      </c>
      <c r="R47" s="93">
        <f t="shared" ref="R47" si="49">IF(I47&lt;&gt;"",I47,"")</f>
        <v>1</v>
      </c>
      <c r="S47" s="34">
        <v>15200</v>
      </c>
      <c r="T47" s="34">
        <f>IF(Q47&lt;&gt;"",Q47*R47*S47,"")</f>
        <v>15200</v>
      </c>
      <c r="U47" s="131">
        <f>IF(Q47&lt;&gt;"",K47-T47,"")</f>
        <v>3800</v>
      </c>
      <c r="V47" s="36">
        <f>IF(Q47&lt;&gt;"",0%,"")</f>
        <v>0</v>
      </c>
      <c r="W47" s="37">
        <f>IF(Q47&lt;&gt;"",V47*U47,"")</f>
        <v>0</v>
      </c>
      <c r="X47" s="132">
        <f>IF(Q47&lt;&gt;"",W47+T47,"")</f>
        <v>15200</v>
      </c>
      <c r="Y47" s="133">
        <f>IF(Q47&lt;&gt;"",X47+M47,"")</f>
        <v>20272.412079035668</v>
      </c>
      <c r="Z47" s="144">
        <f>IF(Q47&lt;&gt;"", IFERROR(U47/K47, 0), 0)</f>
        <v>0.2</v>
      </c>
      <c r="AA47" s="142">
        <f t="shared" si="44"/>
        <v>0.22598870056497175</v>
      </c>
    </row>
    <row r="48" spans="1:34" ht="41.4" customHeight="1" x14ac:dyDescent="0.3">
      <c r="A48" s="31">
        <v>14</v>
      </c>
      <c r="B48" s="33" t="s">
        <v>256</v>
      </c>
      <c r="C48" s="85" t="s">
        <v>72</v>
      </c>
      <c r="D48" s="19" t="s">
        <v>74</v>
      </c>
      <c r="E48" s="19" t="s">
        <v>77</v>
      </c>
      <c r="F48" s="162" t="s">
        <v>173</v>
      </c>
      <c r="G48" s="114" t="s">
        <v>195</v>
      </c>
      <c r="H48" s="88">
        <v>1</v>
      </c>
      <c r="I48" s="88">
        <v>1</v>
      </c>
      <c r="J48" s="86">
        <v>1500</v>
      </c>
      <c r="K48" s="86">
        <f t="shared" si="45"/>
        <v>1500</v>
      </c>
      <c r="L48" s="86">
        <f t="shared" si="46"/>
        <v>150</v>
      </c>
      <c r="M48" s="86">
        <f t="shared" si="47"/>
        <v>400.45358518702636</v>
      </c>
      <c r="N48" s="87">
        <f t="shared" si="48"/>
        <v>2050.4535851870264</v>
      </c>
      <c r="Q48" s="95">
        <f t="shared" ref="Q48:R49" si="50">IF(H48&lt;&gt;"",H48,"")</f>
        <v>1</v>
      </c>
      <c r="R48" s="94">
        <f t="shared" si="50"/>
        <v>1</v>
      </c>
      <c r="S48" s="68">
        <v>0</v>
      </c>
      <c r="T48" s="68">
        <f t="shared" ref="T48:T49" si="51">IF(Q48&lt;&gt;"",Q48*R48*S48,"")</f>
        <v>0</v>
      </c>
      <c r="U48" s="71">
        <f t="shared" ref="U48:U49" si="52">IF(Q48&lt;&gt;"",K48-T48,"")</f>
        <v>1500</v>
      </c>
      <c r="V48" s="69">
        <f t="shared" ref="V48:V49" si="53">IF(Q48&lt;&gt;"",0%,"")</f>
        <v>0</v>
      </c>
      <c r="W48" s="70">
        <f t="shared" ref="W48:W49" si="54">IF(Q48&lt;&gt;"",V48*U48,"")</f>
        <v>0</v>
      </c>
      <c r="X48" s="70">
        <f t="shared" ref="X48:X49" si="55">IF(Q48&lt;&gt;"",W48+T48,"")</f>
        <v>0</v>
      </c>
      <c r="Y48" s="43">
        <f t="shared" ref="Y48:Y49" si="56">IF(Q48&lt;&gt;"",X48+M48,"")</f>
        <v>400.45358518702636</v>
      </c>
      <c r="Z48" s="144">
        <f t="shared" ref="Z48:Z49" si="57">IF(Q48&lt;&gt;"", IFERROR(U48/K48, 0), 0)</f>
        <v>1</v>
      </c>
      <c r="AA48" s="142">
        <f t="shared" si="44"/>
        <v>0</v>
      </c>
    </row>
    <row r="49" spans="1:34" ht="30.6" customHeight="1" x14ac:dyDescent="0.3">
      <c r="A49" s="39">
        <v>15</v>
      </c>
      <c r="B49" s="33" t="s">
        <v>257</v>
      </c>
      <c r="C49" s="45" t="s">
        <v>72</v>
      </c>
      <c r="D49" s="39" t="s">
        <v>74</v>
      </c>
      <c r="E49" s="39" t="s">
        <v>77</v>
      </c>
      <c r="F49" s="208" t="s">
        <v>156</v>
      </c>
      <c r="G49" s="209" t="s">
        <v>166</v>
      </c>
      <c r="H49" s="111">
        <v>1</v>
      </c>
      <c r="I49" s="111">
        <v>1</v>
      </c>
      <c r="J49" s="112">
        <v>3300</v>
      </c>
      <c r="K49" s="112">
        <f t="shared" si="45"/>
        <v>3300</v>
      </c>
      <c r="L49" s="112">
        <f t="shared" si="46"/>
        <v>330</v>
      </c>
      <c r="M49" s="112">
        <f t="shared" si="47"/>
        <v>880.99788741145801</v>
      </c>
      <c r="N49" s="113">
        <f t="shared" si="48"/>
        <v>4510.9978874114577</v>
      </c>
      <c r="Q49" s="104">
        <f t="shared" si="50"/>
        <v>1</v>
      </c>
      <c r="R49" s="105">
        <f t="shared" si="50"/>
        <v>1</v>
      </c>
      <c r="S49" s="106">
        <v>2200</v>
      </c>
      <c r="T49" s="106">
        <f t="shared" si="51"/>
        <v>2200</v>
      </c>
      <c r="U49" s="107">
        <f t="shared" si="52"/>
        <v>1100</v>
      </c>
      <c r="V49" s="108">
        <f t="shared" si="53"/>
        <v>0</v>
      </c>
      <c r="W49" s="109">
        <f t="shared" si="54"/>
        <v>0</v>
      </c>
      <c r="X49" s="109">
        <f t="shared" si="55"/>
        <v>2200</v>
      </c>
      <c r="Y49" s="110">
        <f t="shared" si="56"/>
        <v>3080.9978874114581</v>
      </c>
      <c r="Z49" s="144">
        <f t="shared" si="57"/>
        <v>0.33333333333333331</v>
      </c>
      <c r="AA49" s="142">
        <f t="shared" si="44"/>
        <v>3.2708890871245913E-2</v>
      </c>
    </row>
    <row r="50" spans="1:34" ht="30.6" customHeight="1" x14ac:dyDescent="0.35">
      <c r="A50" s="31">
        <v>16</v>
      </c>
      <c r="B50" s="33" t="s">
        <v>258</v>
      </c>
      <c r="C50" s="85" t="s">
        <v>72</v>
      </c>
      <c r="D50" s="39" t="s">
        <v>74</v>
      </c>
      <c r="E50" s="39" t="s">
        <v>77</v>
      </c>
      <c r="F50" s="162" t="s">
        <v>197</v>
      </c>
      <c r="G50" s="114" t="s">
        <v>198</v>
      </c>
      <c r="H50" s="88">
        <v>2</v>
      </c>
      <c r="I50" s="88">
        <v>3</v>
      </c>
      <c r="J50" s="86">
        <v>380</v>
      </c>
      <c r="K50" s="86">
        <f>IF(F50&lt;&gt;"",H50*I50*J50,"")</f>
        <v>2280</v>
      </c>
      <c r="L50" s="86">
        <f>IF(K50&lt;&gt;"",IF(D50="INTERNO",0,K50*$L$14),"")</f>
        <v>228</v>
      </c>
      <c r="M50" s="86">
        <f>IF(K50&lt;&gt;"",IF(E50="FAT.OGGI",SUM(K50:L50)*(1/(1-$M$14)-1),L50*(1/(1-$M$14)-1)),"")</f>
        <v>608.68944948428009</v>
      </c>
      <c r="N50" s="87">
        <f>SUM(K50:M50)</f>
        <v>3116.68944948428</v>
      </c>
      <c r="Q50" s="248">
        <v>1</v>
      </c>
      <c r="R50" s="206">
        <v>1</v>
      </c>
      <c r="S50" s="68">
        <v>2282</v>
      </c>
      <c r="T50" s="68">
        <f>IF(Q50&lt;&gt;"",Q50*R50*S50,"")</f>
        <v>2282</v>
      </c>
      <c r="U50" s="71">
        <f>IF(Q50&lt;&gt;"",K50-T50,"")</f>
        <v>-2</v>
      </c>
      <c r="V50" s="69">
        <f>IF(Q50&lt;&gt;"",0%,"")</f>
        <v>0</v>
      </c>
      <c r="W50" s="70">
        <f>IF(Q50&lt;&gt;"",V50*U50,"")</f>
        <v>0</v>
      </c>
      <c r="X50" s="70">
        <f>IF(Q50&lt;&gt;"",W50+T50,"")</f>
        <v>2282</v>
      </c>
      <c r="Y50" s="43">
        <f>IF(Q50&lt;&gt;"",X50+M50,"")</f>
        <v>2890.68944948428</v>
      </c>
      <c r="Z50" s="144">
        <f>IF(Q50&lt;&gt;"",U50/K50,"")</f>
        <v>-8.7719298245614037E-4</v>
      </c>
      <c r="AA50" s="142">
        <f t="shared" si="44"/>
        <v>3.3928040440083261E-2</v>
      </c>
      <c r="AC50" s="216">
        <v>2282</v>
      </c>
      <c r="AD50" s="217">
        <f>T50-AC50</f>
        <v>0</v>
      </c>
      <c r="AE50" s="218">
        <v>46204</v>
      </c>
      <c r="AG50" s="219" t="s">
        <v>222</v>
      </c>
      <c r="AH50" s="220" t="s">
        <v>223</v>
      </c>
    </row>
    <row r="51" spans="1:34" ht="40.5" customHeight="1" x14ac:dyDescent="0.35">
      <c r="A51" s="19">
        <v>19</v>
      </c>
      <c r="B51" s="33" t="s">
        <v>259</v>
      </c>
      <c r="C51" s="32" t="s">
        <v>72</v>
      </c>
      <c r="D51" s="19" t="s">
        <v>74</v>
      </c>
      <c r="E51" s="19" t="s">
        <v>174</v>
      </c>
      <c r="F51" s="234" t="s">
        <v>199</v>
      </c>
      <c r="G51" s="225" t="s">
        <v>200</v>
      </c>
      <c r="H51" s="101">
        <v>100</v>
      </c>
      <c r="I51" s="101">
        <v>1</v>
      </c>
      <c r="J51" s="102">
        <v>30</v>
      </c>
      <c r="K51" s="102">
        <f t="shared" ref="K51:K65" si="58">IF(F51&lt;&gt;"",H51*I51*J51,"")</f>
        <v>3000</v>
      </c>
      <c r="L51" s="102">
        <f t="shared" ref="L51:L65" si="59">IF(K51&lt;&gt;"",IF(D51="INTERNO",0,K51*$L$14),"")</f>
        <v>300</v>
      </c>
      <c r="M51" s="102">
        <f t="shared" ref="M51:M60" si="60">IF(K51&lt;&gt;"",IF(E51="FAT.OGGI",SUM(K51:L51)*(1/(1-$M$14)-1),L51*(1/(1-$M$14)-1)),"")</f>
        <v>72.809742761277519</v>
      </c>
      <c r="N51" s="103">
        <f t="shared" ref="N51:N65" si="61">SUM(K51:M51)</f>
        <v>3372.8097427612774</v>
      </c>
      <c r="Q51" s="211">
        <v>1</v>
      </c>
      <c r="R51" s="207">
        <f t="shared" ref="Q51:R61" si="62">IF(I51&lt;&gt;"",I51,"")</f>
        <v>1</v>
      </c>
      <c r="S51" s="34">
        <v>3069</v>
      </c>
      <c r="T51" s="34">
        <f t="shared" ref="T51:T65" si="63">IF(Q51&lt;&gt;"",Q51*R51*S51,"")</f>
        <v>3069</v>
      </c>
      <c r="U51" s="35">
        <f t="shared" ref="U51:U65" si="64">IF(Q51&lt;&gt;"",K51-T51,"")</f>
        <v>-69</v>
      </c>
      <c r="V51" s="36">
        <f t="shared" ref="V51:V65" si="65">IF(Q51&lt;&gt;"",0%,"")</f>
        <v>0</v>
      </c>
      <c r="W51" s="37">
        <f t="shared" ref="W51:W65" si="66">IF(Q51&lt;&gt;"",V51*U51,"")</f>
        <v>0</v>
      </c>
      <c r="X51" s="37">
        <f t="shared" ref="X51:X65" si="67">IF(Q51&lt;&gt;"",W51+T51,"")</f>
        <v>3069</v>
      </c>
      <c r="Y51" s="38">
        <f t="shared" ref="Y51:Y65" si="68">IF(Q51&lt;&gt;"",X51+M51,"")</f>
        <v>3141.8097427612774</v>
      </c>
      <c r="Z51" s="144">
        <f t="shared" ref="Z51:Z60" si="69">IF(Q51&lt;&gt;"",U51/K51,"")</f>
        <v>-2.3E-2</v>
      </c>
      <c r="AA51" s="142">
        <f t="shared" si="44"/>
        <v>4.5628902765388044E-2</v>
      </c>
      <c r="AC51" s="216">
        <v>1534.5</v>
      </c>
      <c r="AD51" s="217">
        <f>T51-AC51</f>
        <v>1534.5</v>
      </c>
      <c r="AE51" s="218">
        <v>46195</v>
      </c>
      <c r="AG51" s="219" t="s">
        <v>212</v>
      </c>
      <c r="AH51" s="220" t="s">
        <v>213</v>
      </c>
    </row>
    <row r="52" spans="1:34" ht="39.9" customHeight="1" x14ac:dyDescent="0.35">
      <c r="A52" s="19">
        <v>20</v>
      </c>
      <c r="B52" s="33" t="s">
        <v>260</v>
      </c>
      <c r="C52" s="32" t="s">
        <v>72</v>
      </c>
      <c r="D52" s="19" t="s">
        <v>74</v>
      </c>
      <c r="E52" s="19" t="s">
        <v>174</v>
      </c>
      <c r="F52" s="234" t="s">
        <v>201</v>
      </c>
      <c r="G52" s="225" t="s">
        <v>202</v>
      </c>
      <c r="H52" s="101">
        <v>60</v>
      </c>
      <c r="I52" s="101">
        <v>1</v>
      </c>
      <c r="J52" s="102">
        <v>6</v>
      </c>
      <c r="K52" s="102">
        <f t="shared" si="58"/>
        <v>360</v>
      </c>
      <c r="L52" s="102">
        <f t="shared" si="59"/>
        <v>36</v>
      </c>
      <c r="M52" s="102">
        <f t="shared" si="60"/>
        <v>8.7371691313533013</v>
      </c>
      <c r="N52" s="103">
        <f t="shared" si="61"/>
        <v>404.73716913135331</v>
      </c>
      <c r="Q52" s="211">
        <f t="shared" si="62"/>
        <v>60</v>
      </c>
      <c r="R52" s="207">
        <f t="shared" si="62"/>
        <v>1</v>
      </c>
      <c r="S52" s="34">
        <v>4.9000000000000004</v>
      </c>
      <c r="T52" s="34">
        <f t="shared" si="63"/>
        <v>294</v>
      </c>
      <c r="U52" s="35">
        <f t="shared" si="64"/>
        <v>66</v>
      </c>
      <c r="V52" s="36">
        <f t="shared" si="65"/>
        <v>0</v>
      </c>
      <c r="W52" s="37">
        <f t="shared" si="66"/>
        <v>0</v>
      </c>
      <c r="X52" s="37">
        <f t="shared" si="67"/>
        <v>294</v>
      </c>
      <c r="Y52" s="38">
        <f t="shared" si="68"/>
        <v>302.73716913135331</v>
      </c>
      <c r="Z52" s="145">
        <f t="shared" si="69"/>
        <v>0.18333333333333332</v>
      </c>
      <c r="AA52" s="142">
        <f t="shared" si="44"/>
        <v>4.371097234611954E-3</v>
      </c>
      <c r="AC52" s="216">
        <v>322</v>
      </c>
      <c r="AD52" s="217">
        <f>T52-AC52</f>
        <v>-28</v>
      </c>
      <c r="AE52" s="218">
        <v>46203</v>
      </c>
      <c r="AG52" s="219" t="s">
        <v>218</v>
      </c>
      <c r="AH52" s="220" t="s">
        <v>219</v>
      </c>
    </row>
    <row r="53" spans="1:34" ht="39.9" customHeight="1" x14ac:dyDescent="0.35">
      <c r="A53" s="19">
        <v>21</v>
      </c>
      <c r="B53" s="33" t="s">
        <v>261</v>
      </c>
      <c r="C53" s="32" t="s">
        <v>72</v>
      </c>
      <c r="D53" s="19" t="s">
        <v>74</v>
      </c>
      <c r="E53" s="19" t="s">
        <v>174</v>
      </c>
      <c r="F53" s="234" t="s">
        <v>210</v>
      </c>
      <c r="G53" s="225" t="s">
        <v>211</v>
      </c>
      <c r="H53" s="101">
        <v>1</v>
      </c>
      <c r="I53" s="101">
        <v>1</v>
      </c>
      <c r="J53" s="102">
        <v>2000</v>
      </c>
      <c r="K53" s="102">
        <f t="shared" si="58"/>
        <v>2000</v>
      </c>
      <c r="L53" s="102">
        <f t="shared" si="59"/>
        <v>200</v>
      </c>
      <c r="M53" s="102">
        <f t="shared" si="60"/>
        <v>48.539828507518344</v>
      </c>
      <c r="N53" s="103">
        <f t="shared" si="61"/>
        <v>2248.5398285075185</v>
      </c>
      <c r="Q53" s="211">
        <f t="shared" si="62"/>
        <v>1</v>
      </c>
      <c r="R53" s="207">
        <f t="shared" si="62"/>
        <v>1</v>
      </c>
      <c r="S53" s="34">
        <v>2380</v>
      </c>
      <c r="T53" s="34">
        <f t="shared" si="63"/>
        <v>2380</v>
      </c>
      <c r="U53" s="35">
        <f t="shared" si="64"/>
        <v>-380</v>
      </c>
      <c r="V53" s="36">
        <f t="shared" si="65"/>
        <v>0</v>
      </c>
      <c r="W53" s="37">
        <f t="shared" si="66"/>
        <v>0</v>
      </c>
      <c r="X53" s="37">
        <f t="shared" si="67"/>
        <v>2380</v>
      </c>
      <c r="Y53" s="38">
        <f t="shared" si="68"/>
        <v>2428.5398285075185</v>
      </c>
      <c r="Z53" s="144">
        <f t="shared" si="69"/>
        <v>-0.19</v>
      </c>
      <c r="AA53" s="142">
        <f t="shared" si="44"/>
        <v>3.5385072851620576E-2</v>
      </c>
      <c r="AC53" s="216">
        <v>2380</v>
      </c>
      <c r="AD53" s="217">
        <f>T53-AC53</f>
        <v>0</v>
      </c>
      <c r="AE53" s="218">
        <v>46204</v>
      </c>
      <c r="AG53" s="219" t="s">
        <v>226</v>
      </c>
      <c r="AH53" s="220" t="s">
        <v>227</v>
      </c>
    </row>
    <row r="54" spans="1:34" ht="39.9" customHeight="1" x14ac:dyDescent="0.35">
      <c r="A54" s="19">
        <v>22</v>
      </c>
      <c r="B54" s="33" t="s">
        <v>262</v>
      </c>
      <c r="C54" s="32" t="s">
        <v>72</v>
      </c>
      <c r="D54" s="19" t="s">
        <v>74</v>
      </c>
      <c r="E54" s="19" t="s">
        <v>174</v>
      </c>
      <c r="F54" s="234" t="s">
        <v>232</v>
      </c>
      <c r="G54" s="225" t="s">
        <v>233</v>
      </c>
      <c r="H54" s="101">
        <v>1</v>
      </c>
      <c r="I54" s="101">
        <v>1</v>
      </c>
      <c r="J54" s="102">
        <v>400</v>
      </c>
      <c r="K54" s="102">
        <f t="shared" si="58"/>
        <v>400</v>
      </c>
      <c r="L54" s="102">
        <f t="shared" si="59"/>
        <v>40</v>
      </c>
      <c r="M54" s="102">
        <f t="shared" si="60"/>
        <v>9.7079657015036691</v>
      </c>
      <c r="N54" s="103">
        <f t="shared" si="61"/>
        <v>449.70796570150367</v>
      </c>
      <c r="Q54" s="211">
        <f t="shared" si="62"/>
        <v>1</v>
      </c>
      <c r="R54" s="207">
        <f t="shared" si="62"/>
        <v>1</v>
      </c>
      <c r="S54" s="34">
        <v>0</v>
      </c>
      <c r="T54" s="34">
        <f t="shared" si="63"/>
        <v>0</v>
      </c>
      <c r="U54" s="35">
        <f t="shared" si="64"/>
        <v>400</v>
      </c>
      <c r="V54" s="36">
        <f t="shared" si="65"/>
        <v>0</v>
      </c>
      <c r="W54" s="37">
        <f t="shared" si="66"/>
        <v>0</v>
      </c>
      <c r="X54" s="37">
        <f t="shared" si="67"/>
        <v>0</v>
      </c>
      <c r="Y54" s="38">
        <f t="shared" si="68"/>
        <v>9.7079657015036691</v>
      </c>
      <c r="Z54" s="144">
        <f t="shared" si="69"/>
        <v>1</v>
      </c>
      <c r="AA54" s="142">
        <f t="shared" si="44"/>
        <v>0</v>
      </c>
      <c r="AC54" s="230"/>
      <c r="AD54" s="231"/>
      <c r="AE54" s="232"/>
      <c r="AG54" s="233"/>
      <c r="AH54" s="233"/>
    </row>
    <row r="55" spans="1:34" ht="39.9" customHeight="1" x14ac:dyDescent="0.35">
      <c r="A55" s="31">
        <v>23</v>
      </c>
      <c r="B55" s="33" t="s">
        <v>263</v>
      </c>
      <c r="C55" s="85" t="s">
        <v>72</v>
      </c>
      <c r="D55" s="19" t="s">
        <v>74</v>
      </c>
      <c r="E55" s="19" t="s">
        <v>174</v>
      </c>
      <c r="F55" s="162" t="s">
        <v>197</v>
      </c>
      <c r="G55" s="114" t="s">
        <v>247</v>
      </c>
      <c r="H55" s="88">
        <v>2</v>
      </c>
      <c r="I55" s="88">
        <v>1</v>
      </c>
      <c r="J55" s="86">
        <v>380</v>
      </c>
      <c r="K55" s="86">
        <f>IF(F55&lt;&gt;"",H55*I55*J55,"")</f>
        <v>760</v>
      </c>
      <c r="L55" s="86">
        <f>IF(K55&lt;&gt;"",IF(D55="INTERNO",0,K55*$L$14),"")</f>
        <v>76</v>
      </c>
      <c r="M55" s="86">
        <f>IF(K55&lt;&gt;"",IF(E55="FAT.OGGI",SUM(K55:L55)*(1/(1-$M$14)-1),L55*(1/(1-$M$14)-1)),"")</f>
        <v>18.445134832856972</v>
      </c>
      <c r="N55" s="87">
        <f>SUM(K55:M55)</f>
        <v>854.44513483285698</v>
      </c>
      <c r="Q55" s="248">
        <f>IF(H55&lt;&gt;"",H55,"")</f>
        <v>2</v>
      </c>
      <c r="R55" s="206">
        <f>IF(I55&lt;&gt;"",I55,"")</f>
        <v>1</v>
      </c>
      <c r="S55" s="68">
        <v>0</v>
      </c>
      <c r="T55" s="68">
        <f>IF(Q55&lt;&gt;"",Q55*R55*S55,"")</f>
        <v>0</v>
      </c>
      <c r="U55" s="71">
        <f>IF(Q55&lt;&gt;"",K55-T55,"")</f>
        <v>760</v>
      </c>
      <c r="V55" s="69">
        <f>IF(Q55&lt;&gt;"",0%,"")</f>
        <v>0</v>
      </c>
      <c r="W55" s="70">
        <f>IF(Q55&lt;&gt;"",V55*U55,"")</f>
        <v>0</v>
      </c>
      <c r="X55" s="70">
        <f>IF(Q55&lt;&gt;"",W55+T55,"")</f>
        <v>0</v>
      </c>
      <c r="Y55" s="43">
        <f>IF(Q55&lt;&gt;"",X55+M55,"")</f>
        <v>18.445134832856972</v>
      </c>
      <c r="Z55" s="144">
        <f>IF(Q55&lt;&gt;"",U55/K55,"")</f>
        <v>1</v>
      </c>
      <c r="AA55" s="142">
        <f t="shared" si="44"/>
        <v>0</v>
      </c>
      <c r="AC55" s="230"/>
      <c r="AD55" s="231"/>
      <c r="AE55" s="232"/>
      <c r="AG55" s="233"/>
      <c r="AH55" s="233"/>
    </row>
    <row r="56" spans="1:34" ht="39.9" customHeight="1" x14ac:dyDescent="0.35">
      <c r="A56" s="39">
        <v>22</v>
      </c>
      <c r="B56" s="33" t="s">
        <v>264</v>
      </c>
      <c r="C56" s="45" t="s">
        <v>72</v>
      </c>
      <c r="D56" s="39" t="s">
        <v>74</v>
      </c>
      <c r="E56" s="39" t="s">
        <v>174</v>
      </c>
      <c r="F56" s="246" t="s">
        <v>235</v>
      </c>
      <c r="G56" s="223" t="s">
        <v>234</v>
      </c>
      <c r="H56" s="111">
        <v>1</v>
      </c>
      <c r="I56" s="111">
        <v>1</v>
      </c>
      <c r="J56" s="112">
        <v>4559.5200000000004</v>
      </c>
      <c r="K56" s="112">
        <f t="shared" si="58"/>
        <v>4559.5200000000004</v>
      </c>
      <c r="L56" s="112">
        <f t="shared" si="59"/>
        <v>455.95200000000006</v>
      </c>
      <c r="M56" s="112">
        <f t="shared" si="60"/>
        <v>110.65915943830004</v>
      </c>
      <c r="N56" s="113">
        <f t="shared" si="61"/>
        <v>5126.1311594383005</v>
      </c>
      <c r="Q56" s="249">
        <f t="shared" si="62"/>
        <v>1</v>
      </c>
      <c r="R56" s="237">
        <f t="shared" si="62"/>
        <v>1</v>
      </c>
      <c r="S56" s="106">
        <v>9750</v>
      </c>
      <c r="T56" s="106">
        <f t="shared" si="63"/>
        <v>9750</v>
      </c>
      <c r="U56" s="107">
        <f t="shared" si="64"/>
        <v>-5190.4799999999996</v>
      </c>
      <c r="V56" s="108">
        <f t="shared" si="65"/>
        <v>0</v>
      </c>
      <c r="W56" s="109">
        <f t="shared" si="66"/>
        <v>0</v>
      </c>
      <c r="X56" s="109">
        <f t="shared" si="67"/>
        <v>9750</v>
      </c>
      <c r="Y56" s="110">
        <f t="shared" si="68"/>
        <v>9860.6591594383008</v>
      </c>
      <c r="Z56" s="144">
        <f t="shared" si="69"/>
        <v>-1.1383829876829137</v>
      </c>
      <c r="AA56" s="142">
        <f t="shared" si="44"/>
        <v>0.14495985727029437</v>
      </c>
      <c r="AC56" s="230"/>
      <c r="AD56" s="231"/>
      <c r="AE56" s="232"/>
      <c r="AG56" s="233"/>
      <c r="AH56" s="233"/>
    </row>
    <row r="57" spans="1:34" ht="39.9" customHeight="1" x14ac:dyDescent="0.35">
      <c r="A57" s="19">
        <v>23</v>
      </c>
      <c r="B57" s="33" t="s">
        <v>265</v>
      </c>
      <c r="C57" s="32" t="s">
        <v>72</v>
      </c>
      <c r="D57" s="39" t="s">
        <v>74</v>
      </c>
      <c r="E57" s="39" t="s">
        <v>174</v>
      </c>
      <c r="F57" s="234" t="s">
        <v>239</v>
      </c>
      <c r="G57" s="225" t="s">
        <v>240</v>
      </c>
      <c r="H57" s="101">
        <v>1</v>
      </c>
      <c r="I57" s="101">
        <v>0</v>
      </c>
      <c r="J57" s="102">
        <v>0</v>
      </c>
      <c r="K57" s="102">
        <f t="shared" si="58"/>
        <v>0</v>
      </c>
      <c r="L57" s="102">
        <f t="shared" si="59"/>
        <v>0</v>
      </c>
      <c r="M57" s="102">
        <f t="shared" si="60"/>
        <v>0</v>
      </c>
      <c r="N57" s="103">
        <f t="shared" si="61"/>
        <v>0</v>
      </c>
      <c r="Q57" s="211">
        <f t="shared" si="62"/>
        <v>1</v>
      </c>
      <c r="R57" s="207">
        <f t="shared" si="62"/>
        <v>0</v>
      </c>
      <c r="S57" s="34"/>
      <c r="T57" s="34">
        <f t="shared" si="63"/>
        <v>0</v>
      </c>
      <c r="U57" s="35">
        <f t="shared" si="64"/>
        <v>0</v>
      </c>
      <c r="V57" s="36">
        <f t="shared" si="65"/>
        <v>0</v>
      </c>
      <c r="W57" s="37">
        <f t="shared" si="66"/>
        <v>0</v>
      </c>
      <c r="X57" s="37">
        <f t="shared" si="67"/>
        <v>0</v>
      </c>
      <c r="Y57" s="38">
        <f t="shared" si="68"/>
        <v>0</v>
      </c>
      <c r="Z57" s="144" t="e">
        <f t="shared" si="69"/>
        <v>#DIV/0!</v>
      </c>
      <c r="AA57" s="142">
        <f t="shared" si="44"/>
        <v>0</v>
      </c>
      <c r="AC57" s="230"/>
      <c r="AD57" s="231"/>
      <c r="AE57" s="232"/>
      <c r="AG57" s="233"/>
      <c r="AH57" s="233"/>
    </row>
    <row r="58" spans="1:34" ht="39.9" customHeight="1" x14ac:dyDescent="0.35">
      <c r="A58" s="19">
        <v>24</v>
      </c>
      <c r="B58" s="33" t="s">
        <v>266</v>
      </c>
      <c r="C58" s="32" t="s">
        <v>72</v>
      </c>
      <c r="D58" s="39" t="s">
        <v>74</v>
      </c>
      <c r="E58" s="39" t="s">
        <v>174</v>
      </c>
      <c r="F58" s="234" t="s">
        <v>249</v>
      </c>
      <c r="G58" s="225" t="s">
        <v>240</v>
      </c>
      <c r="H58" s="101">
        <v>1</v>
      </c>
      <c r="I58" s="101">
        <v>0</v>
      </c>
      <c r="J58" s="102">
        <v>0</v>
      </c>
      <c r="K58" s="102">
        <f t="shared" si="58"/>
        <v>0</v>
      </c>
      <c r="L58" s="102">
        <f t="shared" si="59"/>
        <v>0</v>
      </c>
      <c r="M58" s="102">
        <f t="shared" si="60"/>
        <v>0</v>
      </c>
      <c r="N58" s="103">
        <f t="shared" si="61"/>
        <v>0</v>
      </c>
      <c r="Q58" s="211">
        <f t="shared" si="62"/>
        <v>1</v>
      </c>
      <c r="R58" s="207">
        <f t="shared" si="62"/>
        <v>0</v>
      </c>
      <c r="S58" s="34"/>
      <c r="T58" s="34">
        <f t="shared" si="63"/>
        <v>0</v>
      </c>
      <c r="U58" s="35">
        <f t="shared" si="64"/>
        <v>0</v>
      </c>
      <c r="V58" s="36">
        <f t="shared" si="65"/>
        <v>0</v>
      </c>
      <c r="W58" s="37">
        <f t="shared" si="66"/>
        <v>0</v>
      </c>
      <c r="X58" s="37">
        <f t="shared" si="67"/>
        <v>0</v>
      </c>
      <c r="Y58" s="38">
        <f t="shared" si="68"/>
        <v>0</v>
      </c>
      <c r="Z58" s="144" t="e">
        <f t="shared" si="69"/>
        <v>#DIV/0!</v>
      </c>
      <c r="AA58" s="142">
        <f t="shared" si="44"/>
        <v>0</v>
      </c>
      <c r="AC58" s="230"/>
      <c r="AD58" s="231"/>
      <c r="AE58" s="232"/>
      <c r="AG58" s="233"/>
      <c r="AH58" s="233"/>
    </row>
    <row r="59" spans="1:34" ht="39.9" customHeight="1" x14ac:dyDescent="0.35">
      <c r="A59" s="31">
        <v>25</v>
      </c>
      <c r="B59" s="33" t="s">
        <v>267</v>
      </c>
      <c r="C59" s="85" t="s">
        <v>72</v>
      </c>
      <c r="D59" s="39" t="s">
        <v>74</v>
      </c>
      <c r="E59" s="39" t="s">
        <v>174</v>
      </c>
      <c r="F59" s="162" t="s">
        <v>250</v>
      </c>
      <c r="G59" s="114" t="s">
        <v>240</v>
      </c>
      <c r="H59" s="88">
        <v>1</v>
      </c>
      <c r="I59" s="88">
        <v>0</v>
      </c>
      <c r="J59" s="86"/>
      <c r="K59" s="86">
        <f>IF(F59&lt;&gt;"",H59*I59*J59,"")</f>
        <v>0</v>
      </c>
      <c r="L59" s="86">
        <f>IF(K59&lt;&gt;"",IF(D59="INTERNO",0,K59*$L$14),"")</f>
        <v>0</v>
      </c>
      <c r="M59" s="86">
        <f>IF(K59&lt;&gt;"",IF(E59="FAT.OGGI",SUM(K59:L59)*(1/(1-$M$14)-1),L59*(1/(1-$M$14)-1)),"")</f>
        <v>0</v>
      </c>
      <c r="N59" s="87">
        <f>SUM(K59:M59)</f>
        <v>0</v>
      </c>
      <c r="Q59" s="248">
        <f>IF(H59&lt;&gt;"",H59,"")</f>
        <v>1</v>
      </c>
      <c r="R59" s="206">
        <f>IF(I59&lt;&gt;"",I59,"")</f>
        <v>0</v>
      </c>
      <c r="S59" s="68"/>
      <c r="T59" s="68">
        <f>IF(Q59&lt;&gt;"",Q59*R59*S59,"")</f>
        <v>0</v>
      </c>
      <c r="U59" s="71">
        <f>IF(Q59&lt;&gt;"",K59-T59,"")</f>
        <v>0</v>
      </c>
      <c r="V59" s="69">
        <f>IF(Q59&lt;&gt;"",0%,"")</f>
        <v>0</v>
      </c>
      <c r="W59" s="70">
        <f>IF(Q59&lt;&gt;"",V59*U59,"")</f>
        <v>0</v>
      </c>
      <c r="X59" s="70">
        <f>IF(Q59&lt;&gt;"",W59+T59,"")</f>
        <v>0</v>
      </c>
      <c r="Y59" s="43">
        <f>IF(Q59&lt;&gt;"",X59+M59,"")</f>
        <v>0</v>
      </c>
      <c r="Z59" s="144" t="e">
        <f>IF(Q59&lt;&gt;"",U59/K59,"")</f>
        <v>#DIV/0!</v>
      </c>
      <c r="AA59" s="142">
        <f t="shared" si="44"/>
        <v>0</v>
      </c>
      <c r="AC59" s="230"/>
      <c r="AD59" s="231"/>
      <c r="AE59" s="232"/>
      <c r="AG59" s="233"/>
      <c r="AH59" s="233"/>
    </row>
    <row r="60" spans="1:34" ht="39.9" customHeight="1" x14ac:dyDescent="0.35">
      <c r="A60" s="39">
        <v>25</v>
      </c>
      <c r="B60" s="33" t="s">
        <v>268</v>
      </c>
      <c r="C60" s="45" t="s">
        <v>72</v>
      </c>
      <c r="D60" s="39" t="s">
        <v>74</v>
      </c>
      <c r="E60" s="39" t="s">
        <v>174</v>
      </c>
      <c r="F60" s="246" t="s">
        <v>241</v>
      </c>
      <c r="G60" s="223" t="s">
        <v>240</v>
      </c>
      <c r="H60" s="111">
        <v>1</v>
      </c>
      <c r="I60" s="111">
        <v>0</v>
      </c>
      <c r="J60" s="112">
        <v>0</v>
      </c>
      <c r="K60" s="112">
        <f t="shared" si="58"/>
        <v>0</v>
      </c>
      <c r="L60" s="112">
        <f t="shared" si="59"/>
        <v>0</v>
      </c>
      <c r="M60" s="112">
        <f t="shared" si="60"/>
        <v>0</v>
      </c>
      <c r="N60" s="113">
        <f t="shared" si="61"/>
        <v>0</v>
      </c>
      <c r="Q60" s="249">
        <f t="shared" si="62"/>
        <v>1</v>
      </c>
      <c r="R60" s="237">
        <f t="shared" si="62"/>
        <v>0</v>
      </c>
      <c r="S60" s="106"/>
      <c r="T60" s="106">
        <f t="shared" si="63"/>
        <v>0</v>
      </c>
      <c r="U60" s="107">
        <f t="shared" si="64"/>
        <v>0</v>
      </c>
      <c r="V60" s="108">
        <f t="shared" si="65"/>
        <v>0</v>
      </c>
      <c r="W60" s="109">
        <f t="shared" si="66"/>
        <v>0</v>
      </c>
      <c r="X60" s="109">
        <f t="shared" si="67"/>
        <v>0</v>
      </c>
      <c r="Y60" s="110">
        <f t="shared" si="68"/>
        <v>0</v>
      </c>
      <c r="Z60" s="144" t="e">
        <f t="shared" si="69"/>
        <v>#DIV/0!</v>
      </c>
      <c r="AA60" s="142">
        <f t="shared" si="44"/>
        <v>0</v>
      </c>
      <c r="AC60" s="230"/>
      <c r="AD60" s="231"/>
      <c r="AE60" s="232"/>
      <c r="AG60" s="233"/>
      <c r="AH60" s="233"/>
    </row>
    <row r="61" spans="1:34" ht="33.9" customHeight="1" x14ac:dyDescent="0.3">
      <c r="A61" s="31">
        <v>7</v>
      </c>
      <c r="B61" s="33" t="s">
        <v>124</v>
      </c>
      <c r="C61" s="85" t="s">
        <v>72</v>
      </c>
      <c r="D61" s="19" t="s">
        <v>74</v>
      </c>
      <c r="E61" s="19" t="s">
        <v>77</v>
      </c>
      <c r="F61" s="221" t="s">
        <v>119</v>
      </c>
      <c r="G61" s="114" t="s">
        <v>191</v>
      </c>
      <c r="H61" s="88">
        <v>12</v>
      </c>
      <c r="I61" s="88">
        <v>1</v>
      </c>
      <c r="J61" s="86">
        <v>75</v>
      </c>
      <c r="K61" s="86">
        <f t="shared" si="58"/>
        <v>900</v>
      </c>
      <c r="L61" s="86">
        <f t="shared" si="59"/>
        <v>90</v>
      </c>
      <c r="M61" s="86">
        <f t="shared" ref="M61:M65" si="70">IF(K61&lt;&gt;"",IF(E61="FAT.OGGI",SUM(K61:L61)*(1/(1-$M$14)-1),L61*(1/(1-$M$14)-1)),0)</f>
        <v>240.27215111221582</v>
      </c>
      <c r="N61" s="87">
        <f t="shared" si="61"/>
        <v>1230.2721511122159</v>
      </c>
      <c r="Q61" s="95">
        <v>1</v>
      </c>
      <c r="R61" s="94">
        <f t="shared" si="62"/>
        <v>1</v>
      </c>
      <c r="S61" s="68">
        <v>844.65</v>
      </c>
      <c r="T61" s="68">
        <f t="shared" si="63"/>
        <v>844.65</v>
      </c>
      <c r="U61" s="71">
        <f t="shared" si="64"/>
        <v>55.350000000000023</v>
      </c>
      <c r="V61" s="69">
        <f t="shared" si="65"/>
        <v>0</v>
      </c>
      <c r="W61" s="70">
        <f t="shared" si="66"/>
        <v>0</v>
      </c>
      <c r="X61" s="70">
        <f t="shared" si="67"/>
        <v>844.65</v>
      </c>
      <c r="Y61" s="43">
        <f t="shared" si="68"/>
        <v>1084.9221511122157</v>
      </c>
      <c r="Z61" s="144">
        <f t="shared" ref="Z61:Z65" si="71">IF(Q61&lt;&gt;"", IFERROR(U61/K61, 0), 0)</f>
        <v>6.1500000000000027E-2</v>
      </c>
      <c r="AA61" s="142">
        <f t="shared" si="44"/>
        <v>1.2557983942908118E-2</v>
      </c>
    </row>
    <row r="62" spans="1:34" ht="48.9" customHeight="1" x14ac:dyDescent="0.3">
      <c r="A62" s="39">
        <v>8</v>
      </c>
      <c r="B62" s="33" t="s">
        <v>130</v>
      </c>
      <c r="C62" s="45" t="s">
        <v>72</v>
      </c>
      <c r="D62" s="39" t="s">
        <v>74</v>
      </c>
      <c r="E62" s="39" t="s">
        <v>77</v>
      </c>
      <c r="F62" s="222" t="s">
        <v>230</v>
      </c>
      <c r="G62" s="223" t="s">
        <v>192</v>
      </c>
      <c r="H62" s="111">
        <v>6</v>
      </c>
      <c r="I62" s="111">
        <v>1</v>
      </c>
      <c r="J62" s="112">
        <v>693</v>
      </c>
      <c r="K62" s="112">
        <f t="shared" si="58"/>
        <v>4158</v>
      </c>
      <c r="L62" s="112">
        <f t="shared" si="59"/>
        <v>415.8</v>
      </c>
      <c r="M62" s="112">
        <f t="shared" si="70"/>
        <v>1110.057338138437</v>
      </c>
      <c r="N62" s="113">
        <f t="shared" si="61"/>
        <v>5683.8573381384376</v>
      </c>
      <c r="P62" s="203"/>
      <c r="Q62" s="104">
        <v>1</v>
      </c>
      <c r="R62" s="105">
        <v>1</v>
      </c>
      <c r="S62" s="106">
        <v>5378.54</v>
      </c>
      <c r="T62" s="106">
        <f t="shared" si="63"/>
        <v>5378.54</v>
      </c>
      <c r="U62" s="107">
        <f t="shared" si="64"/>
        <v>-1220.54</v>
      </c>
      <c r="V62" s="108">
        <f t="shared" si="65"/>
        <v>0</v>
      </c>
      <c r="W62" s="109">
        <f t="shared" si="66"/>
        <v>0</v>
      </c>
      <c r="X62" s="109">
        <f t="shared" si="67"/>
        <v>5378.54</v>
      </c>
      <c r="Y62" s="110">
        <f t="shared" si="68"/>
        <v>6488.5973381384374</v>
      </c>
      <c r="Z62" s="250">
        <f t="shared" si="71"/>
        <v>-0.29354016354016355</v>
      </c>
      <c r="AA62" s="142">
        <f t="shared" si="44"/>
        <v>7.9966399048468625E-2</v>
      </c>
    </row>
    <row r="63" spans="1:34" ht="38.4" customHeight="1" x14ac:dyDescent="0.3">
      <c r="A63" s="19">
        <v>12</v>
      </c>
      <c r="B63" s="33" t="s">
        <v>180</v>
      </c>
      <c r="C63" s="32" t="s">
        <v>72</v>
      </c>
      <c r="D63" s="19" t="s">
        <v>74</v>
      </c>
      <c r="E63" s="19" t="s">
        <v>77</v>
      </c>
      <c r="F63" s="224" t="s">
        <v>116</v>
      </c>
      <c r="G63" s="225" t="s">
        <v>117</v>
      </c>
      <c r="H63" s="101">
        <v>2</v>
      </c>
      <c r="I63" s="101">
        <v>1</v>
      </c>
      <c r="J63" s="102">
        <v>1133</v>
      </c>
      <c r="K63" s="102">
        <f t="shared" si="58"/>
        <v>2266</v>
      </c>
      <c r="L63" s="102">
        <f t="shared" si="59"/>
        <v>226.60000000000002</v>
      </c>
      <c r="M63" s="102">
        <f t="shared" si="70"/>
        <v>604.95188268920117</v>
      </c>
      <c r="N63" s="103">
        <f t="shared" si="61"/>
        <v>3097.5518826892012</v>
      </c>
      <c r="Q63" s="92">
        <v>1</v>
      </c>
      <c r="R63" s="93">
        <f t="shared" ref="Q63:R65" si="72">IF(I63&lt;&gt;"",I63,"")</f>
        <v>1</v>
      </c>
      <c r="S63" s="34">
        <v>0</v>
      </c>
      <c r="T63" s="34">
        <f t="shared" si="63"/>
        <v>0</v>
      </c>
      <c r="U63" s="35">
        <f t="shared" si="64"/>
        <v>2266</v>
      </c>
      <c r="V63" s="36">
        <f t="shared" si="65"/>
        <v>0</v>
      </c>
      <c r="W63" s="37">
        <f t="shared" si="66"/>
        <v>0</v>
      </c>
      <c r="X63" s="37">
        <f t="shared" si="67"/>
        <v>0</v>
      </c>
      <c r="Y63" s="38">
        <f t="shared" si="68"/>
        <v>604.95188268920117</v>
      </c>
      <c r="Z63" s="144">
        <f t="shared" si="71"/>
        <v>1</v>
      </c>
      <c r="AA63" s="142">
        <f t="shared" si="44"/>
        <v>0</v>
      </c>
    </row>
    <row r="64" spans="1:34" ht="45.9" customHeight="1" x14ac:dyDescent="0.3">
      <c r="A64" s="19">
        <v>13</v>
      </c>
      <c r="B64" s="33" t="s">
        <v>181</v>
      </c>
      <c r="C64" s="32" t="s">
        <v>72</v>
      </c>
      <c r="D64" s="19" t="s">
        <v>74</v>
      </c>
      <c r="E64" s="19" t="s">
        <v>77</v>
      </c>
      <c r="F64" s="224" t="s">
        <v>120</v>
      </c>
      <c r="G64" s="225" t="s">
        <v>121</v>
      </c>
      <c r="H64" s="101">
        <v>2</v>
      </c>
      <c r="I64" s="101">
        <v>1</v>
      </c>
      <c r="J64" s="102">
        <v>206</v>
      </c>
      <c r="K64" s="102">
        <f t="shared" si="58"/>
        <v>412</v>
      </c>
      <c r="L64" s="102">
        <f t="shared" si="59"/>
        <v>41.2</v>
      </c>
      <c r="M64" s="102">
        <f t="shared" si="70"/>
        <v>109.99125139803657</v>
      </c>
      <c r="N64" s="103">
        <f t="shared" si="61"/>
        <v>563.19125139803657</v>
      </c>
      <c r="Q64" s="92">
        <v>1</v>
      </c>
      <c r="R64" s="93">
        <f t="shared" si="72"/>
        <v>1</v>
      </c>
      <c r="S64" s="34">
        <v>0</v>
      </c>
      <c r="T64" s="34">
        <f t="shared" si="63"/>
        <v>0</v>
      </c>
      <c r="U64" s="35">
        <f t="shared" si="64"/>
        <v>412</v>
      </c>
      <c r="V64" s="36">
        <f t="shared" si="65"/>
        <v>0</v>
      </c>
      <c r="W64" s="37">
        <f t="shared" si="66"/>
        <v>0</v>
      </c>
      <c r="X64" s="37">
        <f t="shared" si="67"/>
        <v>0</v>
      </c>
      <c r="Y64" s="38">
        <f t="shared" si="68"/>
        <v>109.99125139803657</v>
      </c>
      <c r="Z64" s="144">
        <f t="shared" si="71"/>
        <v>1</v>
      </c>
      <c r="AA64" s="142">
        <f t="shared" si="44"/>
        <v>0</v>
      </c>
    </row>
    <row r="65" spans="1:27" ht="37.5" customHeight="1" thickBot="1" x14ac:dyDescent="0.35">
      <c r="A65" s="19">
        <v>14</v>
      </c>
      <c r="B65" s="33" t="s">
        <v>182</v>
      </c>
      <c r="C65" s="32" t="s">
        <v>72</v>
      </c>
      <c r="D65" s="19" t="s">
        <v>74</v>
      </c>
      <c r="E65" s="19" t="s">
        <v>77</v>
      </c>
      <c r="F65" s="221" t="s">
        <v>131</v>
      </c>
      <c r="G65" s="114" t="s">
        <v>163</v>
      </c>
      <c r="H65" s="88">
        <v>1</v>
      </c>
      <c r="I65" s="88">
        <v>1</v>
      </c>
      <c r="J65" s="86">
        <v>19941.810000000001</v>
      </c>
      <c r="K65" s="86">
        <f t="shared" si="58"/>
        <v>19941.810000000001</v>
      </c>
      <c r="L65" s="86">
        <f t="shared" si="59"/>
        <v>1994.1810000000003</v>
      </c>
      <c r="M65" s="86">
        <f t="shared" si="70"/>
        <v>5323.8462064123296</v>
      </c>
      <c r="N65" s="87">
        <f t="shared" si="61"/>
        <v>27259.837206412332</v>
      </c>
      <c r="Q65" s="95">
        <f t="shared" si="72"/>
        <v>1</v>
      </c>
      <c r="R65" s="94">
        <f t="shared" si="72"/>
        <v>1</v>
      </c>
      <c r="S65" s="68">
        <v>19941.810000000001</v>
      </c>
      <c r="T65" s="68">
        <f t="shared" si="63"/>
        <v>19941.810000000001</v>
      </c>
      <c r="U65" s="71">
        <f t="shared" si="64"/>
        <v>0</v>
      </c>
      <c r="V65" s="69">
        <f t="shared" si="65"/>
        <v>0</v>
      </c>
      <c r="W65" s="70">
        <f t="shared" si="66"/>
        <v>0</v>
      </c>
      <c r="X65" s="70">
        <f t="shared" si="67"/>
        <v>19941.810000000001</v>
      </c>
      <c r="Y65" s="43">
        <f t="shared" si="68"/>
        <v>25265.656206412332</v>
      </c>
      <c r="Z65" s="145">
        <f t="shared" si="71"/>
        <v>0</v>
      </c>
      <c r="AA65" s="213">
        <f t="shared" si="44"/>
        <v>0.29648840321141839</v>
      </c>
    </row>
    <row r="66" spans="1:27" ht="65.400000000000006" thickBot="1" x14ac:dyDescent="0.4">
      <c r="A66" s="19">
        <v>15</v>
      </c>
      <c r="B66" s="31"/>
      <c r="C66" s="19" t="s">
        <v>75</v>
      </c>
      <c r="D66" s="19"/>
      <c r="E66" s="19"/>
      <c r="F66" s="617" t="s">
        <v>89</v>
      </c>
      <c r="G66" s="618"/>
      <c r="H66" s="618"/>
      <c r="I66" s="618"/>
      <c r="J66" s="618"/>
      <c r="K66" s="140">
        <f>SUM(K45:K65)</f>
        <v>74037.33</v>
      </c>
      <c r="L66" s="140">
        <f>SUM(L45:L65)</f>
        <v>7403.7330000000011</v>
      </c>
      <c r="M66" s="140">
        <f>SUM(M45:M65)</f>
        <v>17076.68615372189</v>
      </c>
      <c r="N66" s="54">
        <f>SUM(N45:N65)</f>
        <v>98517.749153721903</v>
      </c>
      <c r="Q66" s="617" t="s">
        <v>89</v>
      </c>
      <c r="R66" s="618"/>
      <c r="S66" s="618"/>
      <c r="T66" s="197">
        <f>SUM(T45:T65)</f>
        <v>67260</v>
      </c>
      <c r="U66" s="198">
        <f>SUM(U45:U65)</f>
        <v>6777.3300000000008</v>
      </c>
      <c r="V66" s="199"/>
      <c r="W66" s="199"/>
      <c r="X66" s="200">
        <f>SUM(X45:X65)</f>
        <v>67260</v>
      </c>
      <c r="Y66" s="210">
        <f>IF(Q66&lt;&gt;"",X66+M66,"")</f>
        <v>84336.686153721894</v>
      </c>
      <c r="Z66" s="252" t="s">
        <v>90</v>
      </c>
      <c r="AA66" s="253" t="s">
        <v>91</v>
      </c>
    </row>
    <row r="67" spans="1:27" ht="65.400000000000006" thickBot="1" x14ac:dyDescent="0.5">
      <c r="A67" s="245">
        <v>16</v>
      </c>
      <c r="C67" s="31" t="s">
        <v>76</v>
      </c>
      <c r="D67" s="31"/>
      <c r="E67" s="31"/>
      <c r="F67" s="40" t="s">
        <v>160</v>
      </c>
      <c r="G67" s="41"/>
      <c r="H67" s="91"/>
      <c r="I67" s="91"/>
      <c r="J67" s="41"/>
      <c r="K67" s="42">
        <f>SUM(K17:K20)+SUM(K24:K24)+SUM(K28:K28)+SUM(K32:K32)+SUM(K36:K41)+SUM(K45:K65)</f>
        <v>306767.33</v>
      </c>
      <c r="L67" s="42">
        <f>SUM(L17:L20)+SUM(L24:L24)+SUM(L28:L28)+SUM(L32:L32)+SUM(L36:L41)+SUM(L45:L65)</f>
        <v>28806.733</v>
      </c>
      <c r="M67" s="42">
        <f>SUM(M17:M20)+SUM(M24:M24)+SUM(M28:M28)+SUM(M32:M32)+SUM(M36:M41)+SUM(M45:M65)</f>
        <v>34643.978188020395</v>
      </c>
      <c r="N67" s="251">
        <f>SUM(N17:N20)+SUM(N24:N24)+SUM(N28:N28)+SUM(N32:N32)+SUM(N36:N41)+SUM(N45:N65)</f>
        <v>370218.04118802043</v>
      </c>
      <c r="Q67" s="90" t="s">
        <v>13</v>
      </c>
      <c r="R67" s="91"/>
      <c r="S67" s="41"/>
      <c r="T67" s="42">
        <f>SUM(T17:T20)+SUM(T24:T24)+SUM(T28:T28)+SUM(T32:T32)+SUM(T36:T41)+SUM(T45:T65)</f>
        <v>264316.18</v>
      </c>
      <c r="U67" s="42">
        <f>SUM(U17:U20)+SUM(U24:U24)+SUM(U28:U28)+SUM(U32:U32)+SUM(U36:U41)+SUM(U45:U65)</f>
        <v>42451.15</v>
      </c>
      <c r="V67" s="41"/>
      <c r="W67" s="41"/>
      <c r="X67" s="42">
        <f>SUM(X17:X20)+SUM(X24:X24)+SUM(X28:X28)+SUM(X32:X32)+SUM(X36:X41)+SUM(X45:X65)</f>
        <v>264316.18</v>
      </c>
      <c r="Y67" s="251">
        <f>SUM(Y17:Y20)+SUM(Y24:Y24)+SUM(Y28:Y28)+SUM(Y32:Y32)+SUM(Y36:Y41)+SUM(Y45:Y65)</f>
        <v>298960.1581880204</v>
      </c>
      <c r="Z67" s="134">
        <f>IF(Q67&lt;&gt;"",(N67-Y67)/N67,"")</f>
        <v>0.19247544709419148</v>
      </c>
      <c r="AA67" s="254">
        <f>IF(Z67&lt;&gt;"",(N67-Y67),"")</f>
        <v>71257.883000000031</v>
      </c>
    </row>
  </sheetData>
  <mergeCells count="43">
    <mergeCell ref="F21:J21"/>
    <mergeCell ref="Q21:S21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  <mergeCell ref="F22:N22"/>
    <mergeCell ref="Q22:Y22"/>
    <mergeCell ref="F23:K23"/>
    <mergeCell ref="Q23:Y23"/>
    <mergeCell ref="F25:J25"/>
    <mergeCell ref="Q25:S25"/>
    <mergeCell ref="F26:N26"/>
    <mergeCell ref="Q26:Y26"/>
    <mergeCell ref="F27:K27"/>
    <mergeCell ref="Q27:Y27"/>
    <mergeCell ref="F29:J29"/>
    <mergeCell ref="Q29:S29"/>
    <mergeCell ref="F30:N30"/>
    <mergeCell ref="Q30:Y30"/>
    <mergeCell ref="F31:K31"/>
    <mergeCell ref="Q31:Y31"/>
    <mergeCell ref="F33:J33"/>
    <mergeCell ref="Q33:S33"/>
    <mergeCell ref="F34:N34"/>
    <mergeCell ref="Q34:Y34"/>
    <mergeCell ref="F35:K35"/>
    <mergeCell ref="Q35:Y35"/>
    <mergeCell ref="F42:J42"/>
    <mergeCell ref="Q42:S42"/>
    <mergeCell ref="F43:N43"/>
    <mergeCell ref="Q43:Y43"/>
    <mergeCell ref="F44:K44"/>
    <mergeCell ref="Q44:Y44"/>
    <mergeCell ref="F66:J66"/>
    <mergeCell ref="Q66:S66"/>
  </mergeCells>
  <dataValidations count="3">
    <dataValidation type="list" allowBlank="1" showInputMessage="1" showErrorMessage="1" sqref="E28:E29 E24:E25 E17:E21 E32:E33 E36:E41 E45:E65" xr:uid="{431C299C-C4DC-4773-A176-E09DE09CCC9E}">
      <formula1>"FAT.OGGI,FAT.CLIENTE"</formula1>
    </dataValidation>
    <dataValidation type="list" allowBlank="1" showInputMessage="1" showErrorMessage="1" sqref="D28:D29 D24:D25 D17:D21 D32:D33 D36:D41 D45:D65 D67" xr:uid="{9BCB118B-AA12-41AA-865C-2C4E6A0F312B}">
      <formula1>"INTERNO,OPERACIONAL"</formula1>
    </dataValidation>
    <dataValidation type="list" allowBlank="1" showInputMessage="1" showErrorMessage="1" sqref="E67" xr:uid="{A168CE41-DF11-4AC3-B579-B71EC5982C82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668" t="s">
        <v>10</v>
      </c>
      <c r="B1" s="668"/>
      <c r="C1" s="668"/>
      <c r="D1" s="670" t="s">
        <v>19</v>
      </c>
      <c r="E1" s="670"/>
      <c r="F1" s="670"/>
      <c r="G1" s="670"/>
      <c r="H1" s="670"/>
      <c r="I1" s="670"/>
      <c r="J1" s="10" t="s">
        <v>10</v>
      </c>
      <c r="K1" s="10" t="s">
        <v>10</v>
      </c>
      <c r="L1" s="10" t="s">
        <v>10</v>
      </c>
      <c r="M1" s="10" t="s">
        <v>10</v>
      </c>
      <c r="N1" s="10" t="s">
        <v>10</v>
      </c>
      <c r="O1" s="11" t="s">
        <v>10</v>
      </c>
    </row>
    <row r="2" spans="1:15" x14ac:dyDescent="0.3">
      <c r="A2" s="669"/>
      <c r="B2" s="669"/>
      <c r="C2" s="669"/>
      <c r="D2" s="668" t="s">
        <v>20</v>
      </c>
      <c r="E2" s="668"/>
      <c r="F2" s="668"/>
      <c r="G2" s="668"/>
      <c r="H2" s="668"/>
      <c r="I2" s="668"/>
      <c r="J2" s="10"/>
      <c r="K2" s="10"/>
      <c r="L2" s="10"/>
      <c r="M2" s="10"/>
      <c r="N2" s="10"/>
      <c r="O2" s="671" t="s">
        <v>21</v>
      </c>
    </row>
    <row r="3" spans="1:15" x14ac:dyDescent="0.3">
      <c r="A3" s="669"/>
      <c r="B3" s="669"/>
      <c r="C3" s="669"/>
      <c r="D3" s="668" t="s">
        <v>22</v>
      </c>
      <c r="E3" s="668"/>
      <c r="F3" s="668"/>
      <c r="G3" s="668"/>
      <c r="H3" s="668"/>
      <c r="I3" s="668"/>
      <c r="J3" s="10"/>
      <c r="K3" s="10"/>
      <c r="L3" s="10"/>
      <c r="M3" s="10"/>
      <c r="N3" s="10"/>
      <c r="O3" s="672"/>
    </row>
    <row r="4" spans="1:15" x14ac:dyDescent="0.3">
      <c r="A4" s="669"/>
      <c r="B4" s="669"/>
      <c r="C4" s="669"/>
      <c r="D4" s="668" t="s">
        <v>23</v>
      </c>
      <c r="E4" s="668"/>
      <c r="F4" s="668"/>
      <c r="G4" s="668"/>
      <c r="H4" s="668"/>
      <c r="I4" s="668"/>
      <c r="J4" s="10"/>
      <c r="K4" s="10"/>
      <c r="L4" s="10"/>
      <c r="M4" s="10"/>
      <c r="N4" s="10"/>
      <c r="O4" s="672"/>
    </row>
    <row r="5" spans="1:15" x14ac:dyDescent="0.3">
      <c r="A5" s="669"/>
      <c r="B5" s="669"/>
      <c r="C5" s="669"/>
      <c r="D5" s="668" t="s">
        <v>24</v>
      </c>
      <c r="E5" s="668"/>
      <c r="F5" s="668"/>
      <c r="G5" s="668"/>
      <c r="H5" s="668"/>
      <c r="I5" s="668"/>
      <c r="J5" s="10"/>
      <c r="K5" s="10"/>
      <c r="L5" s="10"/>
      <c r="M5" s="10"/>
      <c r="N5" s="10"/>
      <c r="O5" s="672"/>
    </row>
    <row r="6" spans="1:15" x14ac:dyDescent="0.3">
      <c r="A6" s="669"/>
      <c r="B6" s="669"/>
      <c r="C6" s="669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672"/>
    </row>
    <row r="7" spans="1:15" x14ac:dyDescent="0.3">
      <c r="A7" s="669"/>
      <c r="B7" s="669"/>
      <c r="C7" s="669"/>
      <c r="D7" s="668" t="s">
        <v>25</v>
      </c>
      <c r="E7" s="668"/>
      <c r="F7" s="668"/>
      <c r="G7" s="668"/>
      <c r="H7" s="668"/>
      <c r="I7" s="668"/>
      <c r="J7" s="10"/>
      <c r="K7" s="10"/>
      <c r="L7" s="10"/>
      <c r="M7" s="10"/>
      <c r="N7" s="10"/>
      <c r="O7" s="12">
        <v>45264.482613275461</v>
      </c>
    </row>
    <row r="8" spans="1:15" x14ac:dyDescent="0.3">
      <c r="A8" s="667" t="s">
        <v>26</v>
      </c>
      <c r="B8" s="667"/>
      <c r="C8" s="667"/>
      <c r="D8" s="667"/>
      <c r="E8" s="667"/>
      <c r="F8" s="667"/>
      <c r="G8" s="667"/>
      <c r="H8" s="667"/>
      <c r="I8" s="667"/>
      <c r="J8" s="667"/>
      <c r="K8" s="667"/>
      <c r="L8" s="667"/>
      <c r="M8" s="667"/>
      <c r="N8" s="667"/>
      <c r="O8" s="667"/>
    </row>
    <row r="9" spans="1:15" ht="27.6" x14ac:dyDescent="0.3">
      <c r="A9" s="13" t="s">
        <v>27</v>
      </c>
      <c r="B9" s="13" t="s">
        <v>28</v>
      </c>
      <c r="C9" s="13" t="s">
        <v>29</v>
      </c>
      <c r="D9" s="13" t="s">
        <v>14</v>
      </c>
      <c r="E9" s="13" t="s">
        <v>30</v>
      </c>
      <c r="F9" s="13" t="s">
        <v>31</v>
      </c>
      <c r="G9" s="13" t="s">
        <v>12</v>
      </c>
      <c r="H9" s="13" t="s">
        <v>32</v>
      </c>
      <c r="I9" s="13" t="s">
        <v>33</v>
      </c>
      <c r="J9" s="13" t="s">
        <v>31</v>
      </c>
      <c r="K9" s="13" t="s">
        <v>34</v>
      </c>
      <c r="L9" s="13" t="s">
        <v>35</v>
      </c>
      <c r="M9" s="13" t="s">
        <v>36</v>
      </c>
      <c r="N9" s="13" t="s">
        <v>37</v>
      </c>
      <c r="O9" s="14" t="s">
        <v>38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RESUMO</vt:lpstr>
      <vt:lpstr>PRINCIPAL</vt:lpstr>
      <vt:lpstr>PEDIDOS EM BRIEFING</vt:lpstr>
      <vt:lpstr>TAXAS</vt:lpstr>
      <vt:lpstr>CUSTOS OP.</vt:lpstr>
      <vt:lpstr>TOTAL</vt:lpstr>
      <vt:lpstr>FINAL </vt:lpstr>
      <vt:lpstr>ItensOrc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2026-08-17T19:00:10Z</cp:lastPrinted>
  <dcterms:created xsi:type="dcterms:W3CDTF">2023-09-21T21:02:20Z</dcterms:created>
  <dcterms:modified xsi:type="dcterms:W3CDTF">2026-08-31T15:50:36Z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