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7 julho\"/>
    </mc:Choice>
  </mc:AlternateContent>
  <xr:revisionPtr revIDLastSave="0" documentId="13_ncr:1_{8D3F8F25-A421-46BF-A038-9F8306F1509D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6" r:id="rId1"/>
    <sheet name="PRINCIPAL" sheetId="94" r:id="rId2"/>
    <sheet name="ItensOrc" sheetId="76" state="hidden" r:id="rId3"/>
    <sheet name="Template SP" sheetId="3" state="hidden" r:id="rId4"/>
  </sheets>
  <definedNames>
    <definedName name="_xlnm._FilterDatabase" localSheetId="1" hidden="1">PRINCIPAL!$A$1:$AK$14</definedName>
    <definedName name="_xleta.N" hidden="1" xlm="1">#NAME?</definedName>
    <definedName name="_xleta.SUM" hidden="1" xlm="1">#NAME?</definedName>
    <definedName name="itensorc_desconto" localSheetId="2">ItensOrc!$M:$M</definedName>
    <definedName name="itensorc_desconto">#REF!</definedName>
    <definedName name="itensorc_descricao" localSheetId="2">ItensOrc!$D:$D</definedName>
    <definedName name="itensorc_descricao">#REF!</definedName>
    <definedName name="itensorc_encargos" localSheetId="2">ItensOrc!$N:$N</definedName>
    <definedName name="itensorc_encargos">#REF!</definedName>
    <definedName name="itensorc_especifica" localSheetId="2">ItensOrc!$O:$O</definedName>
    <definedName name="itensorc_especifica">#REF!</definedName>
    <definedName name="itensorc_item" localSheetId="2">ItensOrc!$C:$C</definedName>
    <definedName name="itensorc_item">#REF!</definedName>
    <definedName name="itensorc_lancamento" localSheetId="2">ItensOrc!$B:$B</definedName>
    <definedName name="itensorc_lancamento">#REF!</definedName>
    <definedName name="itensorc_percentualhonorarios" localSheetId="2">ItensOrc!$L:$L</definedName>
    <definedName name="itensorc_percentualhonorarios">#REF!</definedName>
    <definedName name="itensorc_quantidade" localSheetId="2">ItensOrc!$E:$E</definedName>
    <definedName name="itensorc_quantidade">#REF!</definedName>
    <definedName name="itensorc_situacao" localSheetId="2">ItensOrc!$H:$H</definedName>
    <definedName name="itensorc_situacao">#REF!</definedName>
    <definedName name="itensorc_subtipo" localSheetId="2">ItensOrc!$K:$K</definedName>
    <definedName name="itensorc_subtipo">#REF!</definedName>
    <definedName name="itensorc_tiporeceita" localSheetId="2">ItensOrc!$A:$A</definedName>
    <definedName name="itensorc_tiporeceita">#REF!</definedName>
    <definedName name="itensorc_valor" localSheetId="2">ItensOrc!$G:$G</definedName>
    <definedName name="itensorc_valor">#REF!</definedName>
    <definedName name="itensorc_valorfornecedor" localSheetId="2">ItensOrc!$I:$I</definedName>
    <definedName name="itensorc_valorfornecedor">#REF!</definedName>
    <definedName name="itensorc_valorfornecedorunitario" localSheetId="2">ItensOrc!$J:$J</definedName>
    <definedName name="itensorc_valorfornecedorunitario">#REF!</definedName>
    <definedName name="itensorc_valorunitario" localSheetId="2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96" l="1"/>
  <c r="E29" i="96"/>
  <c r="D31" i="96"/>
  <c r="E28" i="96"/>
  <c r="D28" i="96"/>
  <c r="C31" i="96"/>
  <c r="D30" i="96"/>
  <c r="D29" i="96"/>
  <c r="F30" i="96"/>
  <c r="F29" i="96"/>
  <c r="D22" i="96"/>
  <c r="C22" i="96"/>
  <c r="E31" i="96" l="1"/>
  <c r="AM41" i="94"/>
  <c r="AM40" i="94"/>
  <c r="AM39" i="94"/>
  <c r="AM25" i="94" l="1"/>
  <c r="AM24" i="94"/>
  <c r="AM23" i="94"/>
  <c r="AM26" i="94"/>
  <c r="AM34" i="94" l="1"/>
  <c r="D23" i="96" l="1"/>
  <c r="E22" i="96"/>
  <c r="F22" i="96" s="1"/>
  <c r="E3" i="96"/>
  <c r="F28" i="96" l="1"/>
  <c r="F31" i="96"/>
  <c r="C23" i="96"/>
  <c r="E23" i="96" s="1"/>
  <c r="F23" i="96" s="1"/>
  <c r="R26" i="94" l="1"/>
  <c r="Q26" i="94"/>
  <c r="K26" i="94"/>
  <c r="Q27" i="94"/>
  <c r="V27" i="94" s="1"/>
  <c r="K27" i="94"/>
  <c r="R25" i="94"/>
  <c r="K25" i="94"/>
  <c r="L25" i="94" s="1"/>
  <c r="R18" i="94"/>
  <c r="Q18" i="94"/>
  <c r="V18" i="94" s="1"/>
  <c r="K18" i="94"/>
  <c r="L26" i="94" l="1"/>
  <c r="U26" i="94"/>
  <c r="V26" i="94"/>
  <c r="U27" i="94"/>
  <c r="Z27" i="94" s="1"/>
  <c r="L27" i="94"/>
  <c r="M27" i="94" s="1"/>
  <c r="N27" i="94" s="1"/>
  <c r="V25" i="94"/>
  <c r="U25" i="94"/>
  <c r="M25" i="94"/>
  <c r="N25" i="94" s="1"/>
  <c r="U18" i="94"/>
  <c r="L18" i="94"/>
  <c r="M18" i="94" s="1"/>
  <c r="K23" i="94"/>
  <c r="R24" i="94"/>
  <c r="K24" i="94"/>
  <c r="R32" i="94"/>
  <c r="Q32" i="94"/>
  <c r="K32" i="94"/>
  <c r="R31" i="94"/>
  <c r="Q31" i="94"/>
  <c r="K31" i="94"/>
  <c r="Q30" i="94"/>
  <c r="Q29" i="94"/>
  <c r="Q22" i="94"/>
  <c r="Q21" i="94"/>
  <c r="R19" i="94"/>
  <c r="Q19" i="94"/>
  <c r="K19" i="94"/>
  <c r="R17" i="94"/>
  <c r="Q17" i="94"/>
  <c r="K17" i="94"/>
  <c r="K20" i="94" s="1"/>
  <c r="Q16" i="94"/>
  <c r="Q15" i="94"/>
  <c r="Z12" i="94"/>
  <c r="K33" i="94" l="1"/>
  <c r="W26" i="94"/>
  <c r="X26" i="94" s="1"/>
  <c r="AL26" i="94" s="1"/>
  <c r="K28" i="94"/>
  <c r="K34" i="94"/>
  <c r="Z26" i="94"/>
  <c r="M26" i="94"/>
  <c r="W27" i="94"/>
  <c r="X27" i="94" s="1"/>
  <c r="Z25" i="94"/>
  <c r="W25" i="94"/>
  <c r="X25" i="94" s="1"/>
  <c r="Z18" i="94"/>
  <c r="W18" i="94"/>
  <c r="X18" i="94" s="1"/>
  <c r="N18" i="94"/>
  <c r="L23" i="94"/>
  <c r="V24" i="94"/>
  <c r="U24" i="94"/>
  <c r="L24" i="94"/>
  <c r="V31" i="94"/>
  <c r="L17" i="94"/>
  <c r="V32" i="94"/>
  <c r="L32" i="94"/>
  <c r="L31" i="94"/>
  <c r="L33" i="94" s="1"/>
  <c r="T28" i="94"/>
  <c r="V23" i="94"/>
  <c r="V19" i="94"/>
  <c r="L19" i="94"/>
  <c r="V17" i="94"/>
  <c r="Y27" i="94" l="1"/>
  <c r="AL27" i="94"/>
  <c r="Y25" i="94"/>
  <c r="AL25" i="94"/>
  <c r="Y18" i="94"/>
  <c r="AL18" i="94"/>
  <c r="L20" i="94"/>
  <c r="T20" i="94"/>
  <c r="AA17" i="94" s="1"/>
  <c r="T33" i="94"/>
  <c r="T34" i="94"/>
  <c r="L28" i="94"/>
  <c r="L34" i="94"/>
  <c r="Y26" i="94"/>
  <c r="M24" i="94"/>
  <c r="N26" i="94"/>
  <c r="U19" i="94"/>
  <c r="W24" i="94"/>
  <c r="X24" i="94" s="1"/>
  <c r="AL24" i="94" s="1"/>
  <c r="Z24" i="94"/>
  <c r="U31" i="94"/>
  <c r="M23" i="94"/>
  <c r="U17" i="94"/>
  <c r="U23" i="94"/>
  <c r="M17" i="94"/>
  <c r="U32" i="94"/>
  <c r="M32" i="94"/>
  <c r="M31" i="94"/>
  <c r="M33" i="94" s="1"/>
  <c r="M19" i="94"/>
  <c r="U33" i="94" l="1"/>
  <c r="M20" i="94"/>
  <c r="U20" i="94"/>
  <c r="M28" i="94"/>
  <c r="M34" i="94"/>
  <c r="U28" i="94"/>
  <c r="U34" i="94"/>
  <c r="Y24" i="94"/>
  <c r="N24" i="94"/>
  <c r="W19" i="94"/>
  <c r="X19" i="94" s="1"/>
  <c r="AL19" i="94" s="1"/>
  <c r="Z19" i="94"/>
  <c r="AA31" i="94"/>
  <c r="AA32" i="94"/>
  <c r="W23" i="94"/>
  <c r="X23" i="94" s="1"/>
  <c r="AL23" i="94" s="1"/>
  <c r="W17" i="94"/>
  <c r="X17" i="94" s="1"/>
  <c r="AL17" i="94" s="1"/>
  <c r="Z17" i="94"/>
  <c r="W31" i="94"/>
  <c r="X31" i="94" s="1"/>
  <c r="AL31" i="94" s="1"/>
  <c r="Z31" i="94"/>
  <c r="N23" i="94"/>
  <c r="Z23" i="94"/>
  <c r="Z32" i="94"/>
  <c r="W32" i="94"/>
  <c r="X32" i="94" s="1"/>
  <c r="AL32" i="94" s="1"/>
  <c r="N32" i="94"/>
  <c r="N19" i="94"/>
  <c r="N17" i="94"/>
  <c r="AA23" i="94"/>
  <c r="AA19" i="94"/>
  <c r="N31" i="94"/>
  <c r="AL34" i="94" l="1"/>
  <c r="X20" i="94"/>
  <c r="Y20" i="94" s="1"/>
  <c r="N33" i="94"/>
  <c r="X33" i="94"/>
  <c r="N34" i="94"/>
  <c r="N20" i="94"/>
  <c r="N28" i="94"/>
  <c r="N37" i="94"/>
  <c r="X34" i="94"/>
  <c r="X28" i="94"/>
  <c r="Y28" i="94" s="1"/>
  <c r="Y19" i="94"/>
  <c r="Y33" i="94"/>
  <c r="Y17" i="94"/>
  <c r="Y31" i="94"/>
  <c r="Y23" i="94"/>
  <c r="Y32" i="94"/>
  <c r="Y34" i="94" l="1"/>
  <c r="Z34" i="94" s="1"/>
  <c r="AA34" i="94" s="1"/>
</calcChain>
</file>

<file path=xl/sharedStrings.xml><?xml version="1.0" encoding="utf-8"?>
<sst xmlns="http://schemas.openxmlformats.org/spreadsheetml/2006/main" count="301" uniqueCount="197">
  <si>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</si>
  <si>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</si>
  <si>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</si>
  <si>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</si>
  <si>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</si>
  <si>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</si>
  <si>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</si>
  <si>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</si>
  <si>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</si>
  <si>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</si>
  <si>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</si>
  <si>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</si>
  <si>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</si>
  <si>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</si>
  <si>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</si>
  <si>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</si>
  <si>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</si>
  <si>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</si>
  <si>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</si>
  <si>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</si>
  <si>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</si>
  <si>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</si>
  <si>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</si>
  <si>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</si>
  <si>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</si>
  <si>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</si>
  <si>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</si>
  <si>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</si>
  <si>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</si>
  <si>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</si>
  <si>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</si>
  <si>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</si>
  <si>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</si>
  <si>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</si>
  <si>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</si>
  <si>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</si>
  <si>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</si>
  <si>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</si>
  <si>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</si>
  <si>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</si>
  <si>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</si>
  <si>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</si>
  <si>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</si>
  <si>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</si>
  <si>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</si>
  <si>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</si>
  <si>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</si>
  <si>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</si>
  <si>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</si>
  <si>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</si>
  <si>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</si>
  <si>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</si>
  <si>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</si>
  <si>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</si>
  <si>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</si>
  <si>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</si>
  <si>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</si>
  <si>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</si>
  <si>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</si>
  <si>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</si>
  <si>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</si>
  <si>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</si>
  <si>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</si>
  <si>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</si>
  <si>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</si>
  <si>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</si>
  <si>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</si>
  <si>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</si>
  <si>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</si>
  <si>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</si>
  <si>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</si>
  <si>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</si>
  <si>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</si>
  <si>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</si>
  <si>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</si>
  <si>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</si>
  <si>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</si>
  <si>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</si>
  <si>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</si>
  <si>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</si>
  <si>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</si>
  <si>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</si>
  <si>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</si>
  <si>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</si>
  <si>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</si>
  <si>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</si>
  <si>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</si>
  <si>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</si>
  <si>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</si>
  <si>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</si>
  <si>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</si>
  <si>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</si>
  <si>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</si>
  <si>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</si>
  <si>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</si>
  <si>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</si>
  <si>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</si>
  <si>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</si>
  <si>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</si>
  <si>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</si>
  <si>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</si>
  <si>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</si>
  <si>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</si>
  <si>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</si>
  <si>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</si>
  <si>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</si>
  <si>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</si>
  <si>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</si>
  <si>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</si>
  <si>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</si>
  <si>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</si>
  <si>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</si>
  <si>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</si>
  <si>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</si>
  <si>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</si>
  <si>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</si>
  <si>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</si>
  <si>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</si>
  <si>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</si>
  <si>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</si>
  <si>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1.1.3</t>
  </si>
  <si>
    <t>FERNANDA PINHEIRO</t>
  </si>
  <si>
    <t>INTERNO</t>
  </si>
  <si>
    <t>FAT.OGGI</t>
  </si>
  <si>
    <t>SUBTOTAL SUBGRUPO</t>
  </si>
  <si>
    <t>2.1</t>
  </si>
  <si>
    <t>INTERNOS</t>
  </si>
  <si>
    <t>2.1.1</t>
  </si>
  <si>
    <t>OPERACIONAL</t>
  </si>
  <si>
    <t>FAT.CLIENTE</t>
  </si>
  <si>
    <t>SUBTOTAL PLANILHA</t>
  </si>
  <si>
    <t>Marg. Lucro</t>
  </si>
  <si>
    <t>Lucro</t>
  </si>
  <si>
    <t>Produtor financeiro</t>
  </si>
  <si>
    <t>BRINDES</t>
  </si>
  <si>
    <t>Subtotal BRINDES</t>
  </si>
  <si>
    <t>Subtotal INTERNOS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</si>
  <si>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</si>
  <si>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</si>
  <si>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</si>
  <si>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</si>
  <si>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</si>
  <si>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</si>
  <si>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</si>
  <si>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</si>
  <si>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</si>
  <si>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</si>
  <si>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 xml:space="preserve">LOGISTICA / OPERACIONAL </t>
  </si>
  <si>
    <t xml:space="preserve">Custos operacionais </t>
  </si>
  <si>
    <t xml:space="preserve">Subtotal LOGISTICA / OPERACIONAL </t>
  </si>
  <si>
    <t>1.1.1</t>
  </si>
  <si>
    <t>Logística</t>
  </si>
  <si>
    <t>Resp. pela interface de atendimento junto ao cliente, elaboração de plano estratégico para briefing interno da agencia após reunião de Brainstorming,  alinhamentos gerais, fluxo interno, alterações e condução de pauta.</t>
  </si>
  <si>
    <t>Produtor responsável por fechamento de contratos, pagamentos, emissão de notas e recibos;</t>
  </si>
  <si>
    <t>Verba prevista para custos internos, testes de brindes, alimentação equepie, dentre outros;</t>
  </si>
  <si>
    <t>SÃO PAULO</t>
  </si>
  <si>
    <t>2.1.2</t>
  </si>
  <si>
    <t>3.1</t>
  </si>
  <si>
    <t>3.1.1</t>
  </si>
  <si>
    <t>3.1.2</t>
  </si>
  <si>
    <t>Produção Executiva</t>
  </si>
  <si>
    <t>Atendimento</t>
  </si>
  <si>
    <t>Responsável pela concepção, orçamento, cronograma macro, viabilidade financeira e negociação com clientes e/ou stakeholders;</t>
  </si>
  <si>
    <t>2.1.3</t>
  </si>
  <si>
    <t>Copos</t>
  </si>
  <si>
    <t>Copos de 550 mls in mold labe;</t>
  </si>
  <si>
    <t>Cordão 20 mm x 120 cm Personalizado com silicone;</t>
  </si>
  <si>
    <t>TOTAL BRINDES</t>
  </si>
  <si>
    <t>2.1.4</t>
  </si>
  <si>
    <t>Cordão Celular</t>
  </si>
  <si>
    <t>Cordão Copo</t>
  </si>
  <si>
    <t>Suporte/Cordão para celular;</t>
  </si>
  <si>
    <t>2.1.5</t>
  </si>
  <si>
    <t>Mini Bola</t>
  </si>
  <si>
    <t>Mini Bola Trionda Tamanho 1| Não precisa encher, já vem pronta para jogar ou deixar de enfeite;</t>
  </si>
  <si>
    <t>LE_239</t>
  </si>
  <si>
    <t xml:space="preserve">LE_239_COMPRA DE BRINDES </t>
  </si>
  <si>
    <t>.</t>
  </si>
  <si>
    <t>CUSTO</t>
  </si>
  <si>
    <t>LUCRO 25%</t>
  </si>
  <si>
    <r>
      <t xml:space="preserve">Entrega do material </t>
    </r>
    <r>
      <rPr>
        <b/>
        <sz val="18"/>
        <color theme="1"/>
        <rFont val="Trebuchet MS"/>
        <family val="2"/>
      </rPr>
      <t>num único endereço dentro da capita de SP</t>
    </r>
    <r>
      <rPr>
        <sz val="18"/>
        <color theme="1"/>
        <rFont val="Trebuchet MS"/>
        <family val="2"/>
      </rPr>
      <t>;</t>
    </r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</si>
  <si>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</si>
  <si>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</si>
  <si>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</si>
  <si>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</si>
  <si>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</si>
  <si>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</si>
  <si>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</si>
  <si>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ADIDAS</t>
  </si>
  <si>
    <t>JIM.COM - BADGESET</t>
  </si>
  <si>
    <t>AVANCE</t>
  </si>
  <si>
    <t>MANANCIAL</t>
  </si>
  <si>
    <t>IMPOSTO</t>
  </si>
  <si>
    <t>CUSTO TOTAL</t>
  </si>
  <si>
    <t>NOTA FISCAL 2896</t>
  </si>
  <si>
    <t>NOTA DE DÉBITO 267</t>
  </si>
  <si>
    <t>NOTA FISCAL 3004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</si>
</sst>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theme="0"/>
      <name val="Trebuchet MS"/>
      <family val="2"/>
    </font>
    <font>
      <b/>
      <sz val="12"/>
      <color theme="0"/>
      <name val="Trebuchet MS"/>
      <family val="2"/>
    </font>
    <font>
      <b/>
      <sz val="20"/>
      <color rgb="FFFF0000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sz val="18"/>
      <name val="Calibri"/>
      <family val="2"/>
      <scheme val="minor"/>
    </font>
    <font>
      <b/>
      <sz val="1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3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0" fillId="8" borderId="38" xfId="0" applyFont="1" applyFill="1" applyBorder="1" applyAlignment="1">
      <alignment vertical="center"/>
    </xf>
    <xf numFmtId="0" fontId="12" fillId="8" borderId="38" xfId="0" applyFont="1" applyFill="1" applyBorder="1" applyAlignment="1">
      <alignment horizontal="center" vertical="center"/>
    </xf>
    <xf numFmtId="22" fontId="10" fillId="8" borderId="38" xfId="0" applyNumberFormat="1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 wrapText="1"/>
    </xf>
    <xf numFmtId="0" fontId="14" fillId="8" borderId="40" xfId="0" applyFont="1" applyFill="1" applyBorder="1" applyAlignment="1">
      <alignment horizontal="center" vertical="center" wrapText="1"/>
    </xf>
    <xf numFmtId="0" fontId="18" fillId="0" borderId="0" xfId="0" applyFont="1"/>
    <xf numFmtId="49" fontId="19" fillId="0" borderId="0" xfId="2" applyNumberFormat="1" applyFont="1" applyAlignment="1">
      <alignment horizontal="left" vertical="center" wrapText="1"/>
    </xf>
    <xf numFmtId="0" fontId="19" fillId="0" borderId="0" xfId="2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2" applyNumberFormat="1" applyFont="1" applyAlignment="1">
      <alignment horizontal="left" vertical="center"/>
    </xf>
    <xf numFmtId="164" fontId="19" fillId="0" borderId="67" xfId="2" applyNumberFormat="1" applyFont="1" applyBorder="1" applyAlignment="1" applyProtection="1">
      <alignment horizontal="left" vertical="center"/>
      <protection locked="0"/>
    </xf>
    <xf numFmtId="164" fontId="19" fillId="0" borderId="68" xfId="2" applyNumberFormat="1" applyFont="1" applyBorder="1" applyAlignment="1" applyProtection="1">
      <alignment horizontal="left" vertical="center"/>
      <protection locked="0"/>
    </xf>
    <xf numFmtId="164" fontId="19" fillId="0" borderId="69" xfId="2" applyNumberFormat="1" applyFont="1" applyBorder="1" applyAlignment="1" applyProtection="1">
      <alignment horizontal="left" vertical="center"/>
      <protection locked="0"/>
    </xf>
    <xf numFmtId="164" fontId="19" fillId="0" borderId="70" xfId="2" applyNumberFormat="1" applyFont="1" applyBorder="1" applyAlignment="1" applyProtection="1">
      <alignment horizontal="left" vertical="center"/>
      <protection locked="0"/>
    </xf>
    <xf numFmtId="14" fontId="19" fillId="0" borderId="70" xfId="2" applyNumberFormat="1" applyFont="1" applyBorder="1" applyAlignment="1" applyProtection="1">
      <alignment horizontal="left" vertical="center"/>
      <protection locked="0"/>
    </xf>
    <xf numFmtId="164" fontId="19" fillId="0" borderId="14" xfId="2" applyNumberFormat="1" applyFont="1" applyBorder="1" applyAlignment="1" applyProtection="1">
      <alignment horizontal="left" vertical="center"/>
      <protection locked="0"/>
    </xf>
    <xf numFmtId="164" fontId="19" fillId="0" borderId="66" xfId="2" applyNumberFormat="1" applyFont="1" applyBorder="1" applyAlignment="1" applyProtection="1">
      <alignment horizontal="left" vertical="center"/>
      <protection locked="0"/>
    </xf>
    <xf numFmtId="49" fontId="18" fillId="0" borderId="0" xfId="0" applyNumberFormat="1" applyFont="1"/>
    <xf numFmtId="0" fontId="18" fillId="0" borderId="0" xfId="1" applyNumberFormat="1" applyFont="1"/>
    <xf numFmtId="165" fontId="21" fillId="6" borderId="36" xfId="4" applyFont="1" applyFill="1" applyBorder="1" applyAlignment="1">
      <alignment horizontal="center" vertical="center" wrapText="1"/>
    </xf>
    <xf numFmtId="168" fontId="22" fillId="0" borderId="5" xfId="1" applyNumberFormat="1" applyFont="1" applyBorder="1"/>
    <xf numFmtId="166" fontId="21" fillId="0" borderId="37" xfId="4" applyNumberFormat="1" applyFont="1" applyBorder="1" applyAlignment="1">
      <alignment horizontal="center" vertical="center" wrapText="1"/>
    </xf>
    <xf numFmtId="0" fontId="23" fillId="5" borderId="0" xfId="0" applyFont="1" applyFill="1"/>
    <xf numFmtId="49" fontId="23" fillId="5" borderId="0" xfId="0" applyNumberFormat="1" applyFont="1" applyFill="1"/>
    <xf numFmtId="0" fontId="24" fillId="0" borderId="0" xfId="0" applyFont="1"/>
    <xf numFmtId="0" fontId="25" fillId="0" borderId="41" xfId="0" applyFont="1" applyBorder="1" applyAlignment="1">
      <alignment horizontal="left" vertical="center"/>
    </xf>
    <xf numFmtId="49" fontId="25" fillId="0" borderId="42" xfId="0" applyNumberFormat="1" applyFont="1" applyBorder="1" applyAlignment="1">
      <alignment horizontal="left" vertical="center"/>
    </xf>
    <xf numFmtId="0" fontId="25" fillId="0" borderId="43" xfId="0" applyFont="1" applyBorder="1" applyAlignment="1">
      <alignment horizontal="left" vertical="center"/>
    </xf>
    <xf numFmtId="0" fontId="25" fillId="0" borderId="41" xfId="0" applyFont="1" applyBorder="1" applyAlignment="1">
      <alignment horizontal="left" vertical="center" wrapText="1"/>
    </xf>
    <xf numFmtId="0" fontId="19" fillId="6" borderId="50" xfId="3" applyFont="1" applyFill="1" applyBorder="1" applyAlignment="1">
      <alignment horizontal="left" vertical="center"/>
    </xf>
    <xf numFmtId="0" fontId="19" fillId="6" borderId="51" xfId="3" applyFont="1" applyFill="1" applyBorder="1" applyAlignment="1">
      <alignment horizontal="center" vertical="center"/>
    </xf>
    <xf numFmtId="0" fontId="23" fillId="6" borderId="51" xfId="3" applyFont="1" applyFill="1" applyBorder="1" applyAlignment="1">
      <alignment horizontal="center" vertical="center"/>
    </xf>
    <xf numFmtId="169" fontId="23" fillId="6" borderId="51" xfId="3" applyNumberFormat="1" applyFont="1" applyFill="1" applyBorder="1" applyAlignment="1">
      <alignment horizontal="center" vertical="center" wrapText="1"/>
    </xf>
    <xf numFmtId="0" fontId="23" fillId="6" borderId="51" xfId="3" applyFont="1" applyFill="1" applyBorder="1" applyAlignment="1">
      <alignment horizontal="center" vertical="center" wrapText="1"/>
    </xf>
    <xf numFmtId="9" fontId="23" fillId="6" borderId="51" xfId="1" applyFont="1" applyFill="1" applyBorder="1" applyAlignment="1">
      <alignment horizontal="center" vertical="center" wrapText="1"/>
    </xf>
    <xf numFmtId="10" fontId="23" fillId="6" borderId="51" xfId="1" applyNumberFormat="1" applyFont="1" applyFill="1" applyBorder="1" applyAlignment="1">
      <alignment horizontal="center" vertical="center" wrapText="1"/>
    </xf>
    <xf numFmtId="0" fontId="23" fillId="6" borderId="52" xfId="3" applyFont="1" applyFill="1" applyBorder="1" applyAlignment="1">
      <alignment horizontal="center" vertical="center" wrapText="1"/>
    </xf>
    <xf numFmtId="37" fontId="21" fillId="6" borderId="50" xfId="3" applyNumberFormat="1" applyFont="1" applyFill="1" applyBorder="1" applyAlignment="1">
      <alignment horizontal="center" vertical="center"/>
    </xf>
    <xf numFmtId="37" fontId="21" fillId="6" borderId="51" xfId="3" applyNumberFormat="1" applyFont="1" applyFill="1" applyBorder="1" applyAlignment="1">
      <alignment horizontal="center" vertical="center"/>
    </xf>
    <xf numFmtId="40" fontId="21" fillId="6" borderId="51" xfId="4" applyNumberFormat="1" applyFont="1" applyFill="1" applyBorder="1" applyAlignment="1">
      <alignment horizontal="center" vertical="center"/>
    </xf>
    <xf numFmtId="165" fontId="21" fillId="6" borderId="51" xfId="4" applyFont="1" applyFill="1" applyBorder="1" applyAlignment="1">
      <alignment horizontal="right" vertical="center"/>
    </xf>
    <xf numFmtId="40" fontId="21" fillId="6" borderId="51" xfId="4" applyNumberFormat="1" applyFont="1" applyFill="1" applyBorder="1" applyAlignment="1">
      <alignment horizontal="center" vertical="center" wrapText="1"/>
    </xf>
    <xf numFmtId="10" fontId="21" fillId="6" borderId="51" xfId="5" applyNumberFormat="1" applyFont="1" applyFill="1" applyBorder="1" applyAlignment="1">
      <alignment horizontal="center" vertical="center" wrapText="1"/>
    </xf>
    <xf numFmtId="165" fontId="21" fillId="6" borderId="51" xfId="4" applyFont="1" applyFill="1" applyBorder="1" applyAlignment="1">
      <alignment horizontal="center" vertical="center" wrapText="1"/>
    </xf>
    <xf numFmtId="165" fontId="21" fillId="6" borderId="52" xfId="4" applyFont="1" applyFill="1" applyBorder="1" applyAlignment="1">
      <alignment horizontal="center" vertical="center" wrapText="1"/>
    </xf>
    <xf numFmtId="10" fontId="21" fillId="6" borderId="44" xfId="5" applyNumberFormat="1" applyFont="1" applyFill="1" applyBorder="1" applyAlignment="1">
      <alignment horizontal="center" vertical="center" wrapText="1"/>
    </xf>
    <xf numFmtId="10" fontId="21" fillId="6" borderId="45" xfId="5" applyNumberFormat="1" applyFont="1" applyFill="1" applyBorder="1" applyAlignment="1">
      <alignment horizontal="center" vertical="center" wrapText="1"/>
    </xf>
    <xf numFmtId="165" fontId="21" fillId="6" borderId="46" xfId="4" applyFont="1" applyFill="1" applyBorder="1" applyAlignment="1">
      <alignment horizontal="center" vertical="center" wrapText="1"/>
    </xf>
    <xf numFmtId="165" fontId="21" fillId="6" borderId="45" xfId="4" applyFont="1" applyFill="1" applyBorder="1" applyAlignment="1">
      <alignment horizontal="center" vertical="center" wrapText="1"/>
    </xf>
    <xf numFmtId="37" fontId="21" fillId="6" borderId="3" xfId="3" applyNumberFormat="1" applyFont="1" applyFill="1" applyBorder="1" applyAlignment="1">
      <alignment horizontal="center" vertical="center"/>
    </xf>
    <xf numFmtId="40" fontId="21" fillId="6" borderId="47" xfId="4" applyNumberFormat="1" applyFont="1" applyFill="1" applyBorder="1" applyAlignment="1">
      <alignment horizontal="center" vertical="center"/>
    </xf>
    <xf numFmtId="166" fontId="26" fillId="6" borderId="48" xfId="4" applyNumberFormat="1" applyFont="1" applyFill="1" applyBorder="1" applyAlignment="1">
      <alignment horizontal="center" vertical="center" wrapText="1"/>
    </xf>
    <xf numFmtId="49" fontId="25" fillId="0" borderId="42" xfId="0" applyNumberFormat="1" applyFont="1" applyBorder="1" applyAlignment="1">
      <alignment horizontal="left" vertical="center" wrapText="1"/>
    </xf>
    <xf numFmtId="0" fontId="25" fillId="0" borderId="43" xfId="0" applyFont="1" applyBorder="1" applyAlignment="1">
      <alignment horizontal="left" vertical="center" wrapText="1"/>
    </xf>
    <xf numFmtId="10" fontId="25" fillId="14" borderId="10" xfId="0" applyNumberFormat="1" applyFont="1" applyFill="1" applyBorder="1" applyAlignment="1">
      <alignment horizontal="center" vertical="center"/>
    </xf>
    <xf numFmtId="0" fontId="23" fillId="11" borderId="89" xfId="0" applyFont="1" applyFill="1" applyBorder="1" applyAlignment="1">
      <alignment horizontal="center" vertical="center"/>
    </xf>
    <xf numFmtId="0" fontId="23" fillId="11" borderId="94" xfId="0" applyFont="1" applyFill="1" applyBorder="1" applyAlignment="1">
      <alignment horizontal="center" vertical="center"/>
    </xf>
    <xf numFmtId="0" fontId="22" fillId="11" borderId="10" xfId="0" applyFont="1" applyFill="1" applyBorder="1" applyAlignment="1">
      <alignment horizontal="center" vertical="center"/>
    </xf>
    <xf numFmtId="0" fontId="22" fillId="11" borderId="57" xfId="0" applyFont="1" applyFill="1" applyBorder="1" applyAlignment="1">
      <alignment horizontal="center" vertical="center"/>
    </xf>
    <xf numFmtId="0" fontId="25" fillId="16" borderId="48" xfId="0" applyFont="1" applyFill="1" applyBorder="1" applyAlignment="1">
      <alignment horizontal="left" vertical="center" wrapText="1"/>
    </xf>
    <xf numFmtId="0" fontId="25" fillId="0" borderId="58" xfId="0" applyFont="1" applyBorder="1" applyAlignment="1">
      <alignment horizontal="left" vertical="center" wrapText="1"/>
    </xf>
    <xf numFmtId="0" fontId="25" fillId="0" borderId="58" xfId="0" applyFont="1" applyBorder="1" applyAlignment="1">
      <alignment horizontal="center" vertical="center"/>
    </xf>
    <xf numFmtId="44" fontId="25" fillId="0" borderId="58" xfId="8" applyFont="1" applyBorder="1" applyAlignment="1">
      <alignment vertical="center"/>
    </xf>
    <xf numFmtId="44" fontId="25" fillId="0" borderId="49" xfId="8" applyFont="1" applyBorder="1" applyAlignment="1">
      <alignment vertical="center"/>
    </xf>
    <xf numFmtId="1" fontId="25" fillId="12" borderId="48" xfId="0" applyNumberFormat="1" applyFont="1" applyFill="1" applyBorder="1" applyAlignment="1">
      <alignment horizontal="center" vertical="center"/>
    </xf>
    <xf numFmtId="1" fontId="25" fillId="12" borderId="58" xfId="0" applyNumberFormat="1" applyFont="1" applyFill="1" applyBorder="1" applyAlignment="1">
      <alignment horizontal="center" vertical="center"/>
    </xf>
    <xf numFmtId="44" fontId="25" fillId="12" borderId="58" xfId="8" applyFont="1" applyFill="1" applyBorder="1" applyAlignment="1">
      <alignment vertical="center"/>
    </xf>
    <xf numFmtId="44" fontId="25" fillId="14" borderId="58" xfId="8" applyFont="1" applyFill="1" applyBorder="1" applyAlignment="1">
      <alignment vertical="center"/>
    </xf>
    <xf numFmtId="9" fontId="25" fillId="13" borderId="58" xfId="1" applyFont="1" applyFill="1" applyBorder="1" applyAlignment="1">
      <alignment vertical="center"/>
    </xf>
    <xf numFmtId="44" fontId="25" fillId="13" borderId="58" xfId="8" applyFont="1" applyFill="1" applyBorder="1" applyAlignment="1">
      <alignment vertical="center"/>
    </xf>
    <xf numFmtId="44" fontId="25" fillId="13" borderId="49" xfId="8" applyFont="1" applyFill="1" applyBorder="1" applyAlignment="1">
      <alignment vertical="center"/>
    </xf>
    <xf numFmtId="10" fontId="25" fillId="14" borderId="57" xfId="0" applyNumberFormat="1" applyFont="1" applyFill="1" applyBorder="1" applyAlignment="1">
      <alignment horizontal="center" vertical="center"/>
    </xf>
    <xf numFmtId="0" fontId="25" fillId="0" borderId="54" xfId="0" applyFont="1" applyBorder="1" applyAlignment="1">
      <alignment horizontal="left" vertical="center" wrapText="1"/>
    </xf>
    <xf numFmtId="0" fontId="25" fillId="0" borderId="56" xfId="0" applyFont="1" applyBorder="1" applyAlignment="1">
      <alignment horizontal="left" vertical="center" wrapText="1"/>
    </xf>
    <xf numFmtId="0" fontId="25" fillId="16" borderId="61" xfId="0" applyFont="1" applyFill="1" applyBorder="1" applyAlignment="1">
      <alignment horizontal="left" vertical="center" wrapText="1"/>
    </xf>
    <xf numFmtId="0" fontId="25" fillId="0" borderId="57" xfId="0" applyFont="1" applyBorder="1" applyAlignment="1">
      <alignment horizontal="left" vertical="center" wrapText="1"/>
    </xf>
    <xf numFmtId="0" fontId="25" fillId="0" borderId="57" xfId="0" applyFont="1" applyBorder="1" applyAlignment="1">
      <alignment horizontal="center" vertical="center"/>
    </xf>
    <xf numFmtId="44" fontId="25" fillId="0" borderId="57" xfId="8" applyFont="1" applyBorder="1" applyAlignment="1">
      <alignment vertical="center"/>
    </xf>
    <xf numFmtId="44" fontId="25" fillId="0" borderId="62" xfId="8" applyFont="1" applyBorder="1" applyAlignment="1">
      <alignment vertical="center"/>
    </xf>
    <xf numFmtId="1" fontId="25" fillId="12" borderId="79" xfId="0" applyNumberFormat="1" applyFont="1" applyFill="1" applyBorder="1" applyAlignment="1">
      <alignment horizontal="center" vertical="center"/>
    </xf>
    <xf numFmtId="1" fontId="25" fillId="12" borderId="7" xfId="0" applyNumberFormat="1" applyFont="1" applyFill="1" applyBorder="1" applyAlignment="1">
      <alignment horizontal="center" vertical="center"/>
    </xf>
    <xf numFmtId="44" fontId="25" fillId="12" borderId="7" xfId="8" applyFont="1" applyFill="1" applyBorder="1" applyAlignment="1">
      <alignment vertical="center"/>
    </xf>
    <xf numFmtId="44" fontId="25" fillId="14" borderId="7" xfId="8" applyFont="1" applyFill="1" applyBorder="1" applyAlignment="1">
      <alignment vertical="center"/>
    </xf>
    <xf numFmtId="9" fontId="25" fillId="13" borderId="7" xfId="1" applyFont="1" applyFill="1" applyBorder="1" applyAlignment="1">
      <alignment vertical="center"/>
    </xf>
    <xf numFmtId="44" fontId="25" fillId="13" borderId="7" xfId="8" applyFont="1" applyFill="1" applyBorder="1" applyAlignment="1">
      <alignment vertical="center"/>
    </xf>
    <xf numFmtId="44" fontId="25" fillId="13" borderId="62" xfId="8" applyFont="1" applyFill="1" applyBorder="1" applyAlignment="1">
      <alignment vertical="center"/>
    </xf>
    <xf numFmtId="1" fontId="25" fillId="12" borderId="61" xfId="0" applyNumberFormat="1" applyFont="1" applyFill="1" applyBorder="1" applyAlignment="1">
      <alignment horizontal="center" vertical="center"/>
    </xf>
    <xf numFmtId="1" fontId="25" fillId="12" borderId="57" xfId="0" applyNumberFormat="1" applyFont="1" applyFill="1" applyBorder="1" applyAlignment="1">
      <alignment horizontal="center" vertical="center"/>
    </xf>
    <xf numFmtId="44" fontId="25" fillId="12" borderId="57" xfId="8" applyFont="1" applyFill="1" applyBorder="1" applyAlignment="1">
      <alignment vertical="center"/>
    </xf>
    <xf numFmtId="44" fontId="25" fillId="14" borderId="57" xfId="8" applyFont="1" applyFill="1" applyBorder="1" applyAlignment="1">
      <alignment vertical="center"/>
    </xf>
    <xf numFmtId="9" fontId="25" fillId="13" borderId="57" xfId="1" applyFont="1" applyFill="1" applyBorder="1" applyAlignment="1">
      <alignment vertical="center"/>
    </xf>
    <xf numFmtId="44" fontId="25" fillId="13" borderId="57" xfId="8" applyFont="1" applyFill="1" applyBorder="1" applyAlignment="1">
      <alignment vertical="center"/>
    </xf>
    <xf numFmtId="170" fontId="27" fillId="10" borderId="96" xfId="8" applyNumberFormat="1" applyFont="1" applyFill="1" applyBorder="1" applyAlignment="1">
      <alignment horizontal="right"/>
    </xf>
    <xf numFmtId="170" fontId="27" fillId="10" borderId="66" xfId="8" applyNumberFormat="1" applyFont="1" applyFill="1" applyBorder="1" applyAlignment="1">
      <alignment horizontal="right"/>
    </xf>
    <xf numFmtId="44" fontId="27" fillId="10" borderId="58" xfId="8" applyFont="1" applyFill="1" applyBorder="1" applyAlignment="1">
      <alignment horizontal="right"/>
    </xf>
    <xf numFmtId="44" fontId="23" fillId="14" borderId="58" xfId="8" applyFont="1" applyFill="1" applyBorder="1" applyAlignment="1">
      <alignment vertical="center"/>
    </xf>
    <xf numFmtId="44" fontId="23" fillId="13" borderId="58" xfId="8" applyFont="1" applyFill="1" applyBorder="1" applyAlignment="1">
      <alignment vertical="center"/>
    </xf>
    <xf numFmtId="44" fontId="23" fillId="13" borderId="49" xfId="8" applyFont="1" applyFill="1" applyBorder="1" applyAlignment="1">
      <alignment vertical="center"/>
    </xf>
    <xf numFmtId="10" fontId="25" fillId="14" borderId="0" xfId="0" applyNumberFormat="1" applyFont="1" applyFill="1" applyAlignment="1">
      <alignment horizontal="center" vertical="center"/>
    </xf>
    <xf numFmtId="0" fontId="23" fillId="11" borderId="88" xfId="0" applyFont="1" applyFill="1" applyBorder="1" applyAlignment="1">
      <alignment horizontal="center" vertical="center"/>
    </xf>
    <xf numFmtId="0" fontId="23" fillId="11" borderId="90" xfId="0" applyFont="1" applyFill="1" applyBorder="1" applyAlignment="1">
      <alignment horizontal="center" vertical="center"/>
    </xf>
    <xf numFmtId="0" fontId="25" fillId="0" borderId="53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3" fillId="16" borderId="61" xfId="0" applyFont="1" applyFill="1" applyBorder="1" applyAlignment="1">
      <alignment horizontal="left" vertical="center" wrapText="1"/>
    </xf>
    <xf numFmtId="0" fontId="25" fillId="16" borderId="57" xfId="0" applyFont="1" applyFill="1" applyBorder="1" applyAlignment="1">
      <alignment horizontal="left" vertical="center" wrapText="1"/>
    </xf>
    <xf numFmtId="0" fontId="25" fillId="0" borderId="59" xfId="0" applyFont="1" applyBorder="1" applyAlignment="1">
      <alignment horizontal="center" vertical="center"/>
    </xf>
    <xf numFmtId="44" fontId="25" fillId="0" borderId="59" xfId="8" applyFont="1" applyBorder="1" applyAlignment="1">
      <alignment vertical="center"/>
    </xf>
    <xf numFmtId="44" fontId="25" fillId="0" borderId="60" xfId="8" applyFont="1" applyBorder="1" applyAlignment="1">
      <alignment vertical="center"/>
    </xf>
    <xf numFmtId="44" fontId="25" fillId="0" borderId="63" xfId="8" applyFont="1" applyBorder="1" applyAlignment="1">
      <alignment vertical="center"/>
    </xf>
    <xf numFmtId="1" fontId="25" fillId="12" borderId="17" xfId="0" applyNumberFormat="1" applyFont="1" applyFill="1" applyBorder="1" applyAlignment="1">
      <alignment horizontal="center" vertical="center"/>
    </xf>
    <xf numFmtId="1" fontId="25" fillId="12" borderId="75" xfId="0" applyNumberFormat="1" applyFont="1" applyFill="1" applyBorder="1" applyAlignment="1">
      <alignment horizontal="center" vertical="center"/>
    </xf>
    <xf numFmtId="44" fontId="25" fillId="12" borderId="75" xfId="8" applyFont="1" applyFill="1" applyBorder="1" applyAlignment="1">
      <alignment vertical="center"/>
    </xf>
    <xf numFmtId="44" fontId="25" fillId="14" borderId="75" xfId="8" applyFont="1" applyFill="1" applyBorder="1" applyAlignment="1">
      <alignment vertical="center"/>
    </xf>
    <xf numFmtId="9" fontId="25" fillId="13" borderId="75" xfId="1" applyFont="1" applyFill="1" applyBorder="1" applyAlignment="1">
      <alignment vertical="center"/>
    </xf>
    <xf numFmtId="44" fontId="25" fillId="13" borderId="59" xfId="8" applyFont="1" applyFill="1" applyBorder="1" applyAlignment="1">
      <alignment vertical="center"/>
    </xf>
    <xf numFmtId="44" fontId="25" fillId="13" borderId="75" xfId="8" applyFont="1" applyFill="1" applyBorder="1" applyAlignment="1">
      <alignment vertical="center"/>
    </xf>
    <xf numFmtId="44" fontId="25" fillId="13" borderId="63" xfId="8" applyFont="1" applyFill="1" applyBorder="1" applyAlignment="1">
      <alignment vertical="center"/>
    </xf>
    <xf numFmtId="10" fontId="25" fillId="14" borderId="84" xfId="0" applyNumberFormat="1" applyFont="1" applyFill="1" applyBorder="1" applyAlignment="1">
      <alignment horizontal="center" vertical="center"/>
    </xf>
    <xf numFmtId="10" fontId="25" fillId="14" borderId="60" xfId="0" applyNumberFormat="1" applyFont="1" applyFill="1" applyBorder="1" applyAlignment="1">
      <alignment horizontal="center" vertical="center"/>
    </xf>
    <xf numFmtId="1" fontId="25" fillId="12" borderId="76" xfId="0" applyNumberFormat="1" applyFont="1" applyFill="1" applyBorder="1" applyAlignment="1">
      <alignment horizontal="center" vertical="center"/>
    </xf>
    <xf numFmtId="1" fontId="25" fillId="12" borderId="74" xfId="0" applyNumberFormat="1" applyFont="1" applyFill="1" applyBorder="1" applyAlignment="1">
      <alignment horizontal="center" vertical="center"/>
    </xf>
    <xf numFmtId="44" fontId="25" fillId="12" borderId="74" xfId="8" applyFont="1" applyFill="1" applyBorder="1" applyAlignment="1">
      <alignment vertical="center"/>
    </xf>
    <xf numFmtId="44" fontId="25" fillId="14" borderId="74" xfId="8" applyFont="1" applyFill="1" applyBorder="1" applyAlignment="1">
      <alignment vertical="center"/>
    </xf>
    <xf numFmtId="9" fontId="25" fillId="13" borderId="74" xfId="1" applyFont="1" applyFill="1" applyBorder="1" applyAlignment="1">
      <alignment vertical="center"/>
    </xf>
    <xf numFmtId="44" fontId="25" fillId="13" borderId="74" xfId="8" applyFont="1" applyFill="1" applyBorder="1" applyAlignment="1">
      <alignment vertical="center"/>
    </xf>
    <xf numFmtId="0" fontId="25" fillId="0" borderId="97" xfId="0" applyFont="1" applyBorder="1" applyAlignment="1">
      <alignment horizontal="left" vertical="center" wrapText="1"/>
    </xf>
    <xf numFmtId="0" fontId="25" fillId="0" borderId="98" xfId="0" applyFont="1" applyBorder="1" applyAlignment="1">
      <alignment horizontal="left" vertical="center" wrapText="1"/>
    </xf>
    <xf numFmtId="0" fontId="25" fillId="16" borderId="72" xfId="0" applyFont="1" applyFill="1" applyBorder="1" applyAlignment="1">
      <alignment horizontal="left" vertical="center" wrapText="1"/>
    </xf>
    <xf numFmtId="0" fontId="25" fillId="0" borderId="60" xfId="0" applyFont="1" applyBorder="1" applyAlignment="1">
      <alignment horizontal="left" vertical="center" wrapText="1"/>
    </xf>
    <xf numFmtId="0" fontId="25" fillId="0" borderId="60" xfId="0" applyFont="1" applyBorder="1" applyAlignment="1">
      <alignment horizontal="center" vertical="center"/>
    </xf>
    <xf numFmtId="44" fontId="25" fillId="0" borderId="65" xfId="8" applyFont="1" applyBorder="1" applyAlignment="1">
      <alignment vertical="center"/>
    </xf>
    <xf numFmtId="1" fontId="25" fillId="12" borderId="99" xfId="0" applyNumberFormat="1" applyFont="1" applyFill="1" applyBorder="1" applyAlignment="1">
      <alignment horizontal="center" vertical="center"/>
    </xf>
    <xf numFmtId="1" fontId="25" fillId="12" borderId="100" xfId="0" applyNumberFormat="1" applyFont="1" applyFill="1" applyBorder="1" applyAlignment="1">
      <alignment horizontal="center" vertical="center"/>
    </xf>
    <xf numFmtId="44" fontId="25" fillId="12" borderId="100" xfId="8" applyFont="1" applyFill="1" applyBorder="1" applyAlignment="1">
      <alignment vertical="center"/>
    </xf>
    <xf numFmtId="44" fontId="25" fillId="14" borderId="100" xfId="8" applyFont="1" applyFill="1" applyBorder="1" applyAlignment="1">
      <alignment vertical="center"/>
    </xf>
    <xf numFmtId="9" fontId="25" fillId="13" borderId="100" xfId="1" applyFont="1" applyFill="1" applyBorder="1" applyAlignment="1">
      <alignment vertical="center"/>
    </xf>
    <xf numFmtId="44" fontId="25" fillId="13" borderId="100" xfId="8" applyFont="1" applyFill="1" applyBorder="1" applyAlignment="1">
      <alignment vertical="center"/>
    </xf>
    <xf numFmtId="44" fontId="25" fillId="13" borderId="65" xfId="8" applyFont="1" applyFill="1" applyBorder="1" applyAlignment="1">
      <alignment vertical="center"/>
    </xf>
    <xf numFmtId="170" fontId="27" fillId="10" borderId="0" xfId="0" applyNumberFormat="1" applyFont="1" applyFill="1" applyAlignment="1">
      <alignment horizontal="right"/>
    </xf>
    <xf numFmtId="170" fontId="27" fillId="10" borderId="18" xfId="0" applyNumberFormat="1" applyFont="1" applyFill="1" applyBorder="1" applyAlignment="1">
      <alignment horizontal="right"/>
    </xf>
    <xf numFmtId="44" fontId="27" fillId="10" borderId="15" xfId="0" applyNumberFormat="1" applyFont="1" applyFill="1" applyBorder="1" applyAlignment="1">
      <alignment horizontal="right"/>
    </xf>
    <xf numFmtId="44" fontId="23" fillId="14" borderId="15" xfId="0" applyNumberFormat="1" applyFont="1" applyFill="1" applyBorder="1"/>
    <xf numFmtId="0" fontId="18" fillId="13" borderId="15" xfId="0" applyFont="1" applyFill="1" applyBorder="1"/>
    <xf numFmtId="44" fontId="23" fillId="13" borderId="15" xfId="0" applyNumberFormat="1" applyFont="1" applyFill="1" applyBorder="1"/>
    <xf numFmtId="44" fontId="23" fillId="13" borderId="83" xfId="8" applyFont="1" applyFill="1" applyBorder="1"/>
    <xf numFmtId="0" fontId="23" fillId="11" borderId="78" xfId="0" applyFont="1" applyFill="1" applyBorder="1" applyAlignment="1">
      <alignment horizontal="center" vertical="center"/>
    </xf>
    <xf numFmtId="0" fontId="23" fillId="11" borderId="51" xfId="0" applyFont="1" applyFill="1" applyBorder="1" applyAlignment="1">
      <alignment horizontal="center" vertical="center"/>
    </xf>
    <xf numFmtId="0" fontId="23" fillId="11" borderId="82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left" vertical="center" wrapText="1"/>
    </xf>
    <xf numFmtId="10" fontId="25" fillId="14" borderId="33" xfId="0" applyNumberFormat="1" applyFont="1" applyFill="1" applyBorder="1" applyAlignment="1">
      <alignment horizontal="center" vertical="center"/>
    </xf>
    <xf numFmtId="10" fontId="25" fillId="14" borderId="58" xfId="0" applyNumberFormat="1" applyFont="1" applyFill="1" applyBorder="1" applyAlignment="1">
      <alignment horizontal="center" vertical="center"/>
    </xf>
    <xf numFmtId="170" fontId="27" fillId="10" borderId="15" xfId="0" applyNumberFormat="1" applyFont="1" applyFill="1" applyBorder="1" applyAlignment="1">
      <alignment horizontal="right"/>
    </xf>
    <xf numFmtId="170" fontId="27" fillId="10" borderId="83" xfId="0" applyNumberFormat="1" applyFont="1" applyFill="1" applyBorder="1" applyAlignment="1">
      <alignment horizontal="right"/>
    </xf>
    <xf numFmtId="44" fontId="27" fillId="10" borderId="0" xfId="0" applyNumberFormat="1" applyFont="1" applyFill="1" applyAlignment="1">
      <alignment horizontal="right"/>
    </xf>
    <xf numFmtId="44" fontId="23" fillId="14" borderId="0" xfId="0" applyNumberFormat="1" applyFont="1" applyFill="1"/>
    <xf numFmtId="0" fontId="18" fillId="13" borderId="0" xfId="0" applyFont="1" applyFill="1"/>
    <xf numFmtId="44" fontId="23" fillId="13" borderId="0" xfId="0" applyNumberFormat="1" applyFont="1" applyFill="1"/>
    <xf numFmtId="44" fontId="23" fillId="13" borderId="18" xfId="8" applyFont="1" applyFill="1" applyBorder="1"/>
    <xf numFmtId="44" fontId="27" fillId="15" borderId="12" xfId="8" applyFont="1" applyFill="1" applyBorder="1" applyAlignment="1">
      <alignment horizontal="center"/>
    </xf>
    <xf numFmtId="44" fontId="27" fillId="15" borderId="80" xfId="8" applyFont="1" applyFill="1" applyBorder="1" applyAlignment="1">
      <alignment horizontal="center"/>
    </xf>
    <xf numFmtId="49" fontId="25" fillId="0" borderId="55" xfId="0" applyNumberFormat="1" applyFont="1" applyBorder="1" applyAlignment="1">
      <alignment horizontal="left" vertical="center" wrapText="1"/>
    </xf>
    <xf numFmtId="0" fontId="27" fillId="15" borderId="71" xfId="0" applyFont="1" applyFill="1" applyBorder="1"/>
    <xf numFmtId="0" fontId="27" fillId="15" borderId="35" xfId="0" applyFont="1" applyFill="1" applyBorder="1"/>
    <xf numFmtId="0" fontId="27" fillId="15" borderId="35" xfId="0" applyFont="1" applyFill="1" applyBorder="1" applyAlignment="1">
      <alignment horizontal="center" vertical="center"/>
    </xf>
    <xf numFmtId="44" fontId="27" fillId="15" borderId="35" xfId="0" applyNumberFormat="1" applyFont="1" applyFill="1" applyBorder="1"/>
    <xf numFmtId="44" fontId="27" fillId="15" borderId="81" xfId="0" applyNumberFormat="1" applyFont="1" applyFill="1" applyBorder="1"/>
    <xf numFmtId="0" fontId="27" fillId="15" borderId="71" xfId="0" applyFont="1" applyFill="1" applyBorder="1" applyAlignment="1">
      <alignment horizontal="center" vertical="center"/>
    </xf>
    <xf numFmtId="9" fontId="27" fillId="15" borderId="15" xfId="1" applyFont="1" applyFill="1" applyBorder="1"/>
    <xf numFmtId="44" fontId="27" fillId="15" borderId="83" xfId="8" applyFont="1" applyFill="1" applyBorder="1"/>
    <xf numFmtId="44" fontId="18" fillId="0" borderId="0" xfId="0" applyNumberFormat="1" applyFont="1"/>
    <xf numFmtId="170" fontId="18" fillId="0" borderId="0" xfId="0" applyNumberFormat="1" applyFont="1"/>
    <xf numFmtId="1" fontId="27" fillId="9" borderId="46" xfId="0" applyNumberFormat="1" applyFont="1" applyFill="1" applyBorder="1" applyAlignment="1">
      <alignment horizontal="center"/>
    </xf>
    <xf numFmtId="0" fontId="27" fillId="10" borderId="73" xfId="0" applyFont="1" applyFill="1" applyBorder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center"/>
    </xf>
    <xf numFmtId="16" fontId="16" fillId="17" borderId="11" xfId="0" applyNumberFormat="1" applyFont="1" applyFill="1" applyBorder="1"/>
    <xf numFmtId="16" fontId="16" fillId="17" borderId="12" xfId="0" applyNumberFormat="1" applyFont="1" applyFill="1" applyBorder="1"/>
    <xf numFmtId="16" fontId="16" fillId="18" borderId="14" xfId="0" applyNumberFormat="1" applyFont="1" applyFill="1" applyBorder="1"/>
    <xf numFmtId="16" fontId="16" fillId="18" borderId="15" xfId="0" applyNumberFormat="1" applyFont="1" applyFill="1" applyBorder="1"/>
    <xf numFmtId="0" fontId="16" fillId="19" borderId="17" xfId="0" applyFont="1" applyFill="1" applyBorder="1" applyAlignment="1">
      <alignment horizontal="right"/>
    </xf>
    <xf numFmtId="0" fontId="16" fillId="19" borderId="0" xfId="0" applyFont="1" applyFill="1" applyAlignment="1">
      <alignment horizontal="right"/>
    </xf>
    <xf numFmtId="0" fontId="28" fillId="20" borderId="14" xfId="0" applyFont="1" applyFill="1" applyBorder="1"/>
    <xf numFmtId="0" fontId="28" fillId="20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7" fillId="21" borderId="57" xfId="0" applyFont="1" applyFill="1" applyBorder="1" applyAlignment="1">
      <alignment horizontal="center"/>
    </xf>
    <xf numFmtId="164" fontId="4" fillId="0" borderId="57" xfId="2" applyNumberFormat="1" applyFont="1" applyBorder="1" applyAlignment="1" applyProtection="1">
      <alignment horizontal="left" vertical="center"/>
      <protection locked="0"/>
    </xf>
    <xf numFmtId="44" fontId="17" fillId="0" borderId="57" xfId="0" applyNumberFormat="1" applyFont="1" applyBorder="1"/>
    <xf numFmtId="9" fontId="17" fillId="0" borderId="57" xfId="1" applyFont="1" applyBorder="1" applyAlignment="1">
      <alignment horizontal="center"/>
    </xf>
    <xf numFmtId="44" fontId="17" fillId="21" borderId="57" xfId="0" applyNumberFormat="1" applyFont="1" applyFill="1" applyBorder="1" applyAlignment="1">
      <alignment horizontal="center"/>
    </xf>
    <xf numFmtId="0" fontId="17" fillId="0" borderId="46" xfId="0" applyFont="1" applyBorder="1"/>
    <xf numFmtId="170" fontId="17" fillId="0" borderId="64" xfId="0" applyNumberFormat="1" applyFont="1" applyBorder="1" applyAlignment="1">
      <alignment horizontal="center"/>
    </xf>
    <xf numFmtId="44" fontId="17" fillId="0" borderId="64" xfId="0" applyNumberFormat="1" applyFont="1" applyBorder="1"/>
    <xf numFmtId="170" fontId="17" fillId="0" borderId="64" xfId="0" applyNumberFormat="1" applyFont="1" applyBorder="1"/>
    <xf numFmtId="9" fontId="17" fillId="0" borderId="45" xfId="1" applyFont="1" applyBorder="1" applyAlignment="1">
      <alignment horizontal="center"/>
    </xf>
    <xf numFmtId="0" fontId="17" fillId="0" borderId="0" xfId="0" applyFont="1"/>
    <xf numFmtId="170" fontId="17" fillId="21" borderId="60" xfId="0" applyNumberFormat="1" applyFont="1" applyFill="1" applyBorder="1" applyAlignment="1">
      <alignment horizontal="center"/>
    </xf>
    <xf numFmtId="44" fontId="17" fillId="21" borderId="57" xfId="0" applyNumberFormat="1" applyFont="1" applyFill="1" applyBorder="1"/>
    <xf numFmtId="170" fontId="17" fillId="21" borderId="57" xfId="0" applyNumberFormat="1" applyFont="1" applyFill="1" applyBorder="1"/>
    <xf numFmtId="9" fontId="17" fillId="0" borderId="101" xfId="1" applyFont="1" applyBorder="1" applyAlignment="1">
      <alignment horizontal="center"/>
    </xf>
    <xf numFmtId="164" fontId="4" fillId="0" borderId="67" xfId="2" applyNumberFormat="1" applyFont="1" applyBorder="1" applyAlignment="1" applyProtection="1">
      <alignment horizontal="left" vertical="center"/>
      <protection locked="0"/>
    </xf>
    <xf numFmtId="164" fontId="4" fillId="0" borderId="68" xfId="2" applyNumberFormat="1" applyFont="1" applyBorder="1" applyAlignment="1" applyProtection="1">
      <alignment horizontal="left" vertical="center"/>
      <protection locked="0"/>
    </xf>
    <xf numFmtId="164" fontId="4" fillId="0" borderId="69" xfId="2" applyNumberFormat="1" applyFont="1" applyBorder="1" applyAlignment="1" applyProtection="1">
      <alignment horizontal="left" vertical="center"/>
      <protection locked="0"/>
    </xf>
    <xf numFmtId="164" fontId="4" fillId="0" borderId="70" xfId="2" applyNumberFormat="1" applyFont="1" applyBorder="1" applyAlignment="1" applyProtection="1">
      <alignment horizontal="left" vertical="center"/>
      <protection locked="0"/>
    </xf>
    <xf numFmtId="14" fontId="4" fillId="0" borderId="70" xfId="2" applyNumberFormat="1" applyFont="1" applyBorder="1" applyAlignment="1" applyProtection="1">
      <alignment horizontal="left" vertical="center"/>
      <protection locked="0"/>
    </xf>
    <xf numFmtId="164" fontId="4" fillId="0" borderId="14" xfId="2" applyNumberFormat="1" applyFont="1" applyBorder="1" applyAlignment="1" applyProtection="1">
      <alignment horizontal="left" vertical="center"/>
      <protection locked="0"/>
    </xf>
    <xf numFmtId="164" fontId="4" fillId="0" borderId="66" xfId="2" applyNumberFormat="1" applyFont="1" applyBorder="1" applyAlignment="1" applyProtection="1">
      <alignment horizontal="left" vertical="center"/>
      <protection locked="0"/>
    </xf>
    <xf numFmtId="166" fontId="29" fillId="6" borderId="48" xfId="4" applyNumberFormat="1" applyFont="1" applyFill="1" applyBorder="1" applyAlignment="1">
      <alignment horizontal="center" vertical="center" wrapText="1"/>
    </xf>
    <xf numFmtId="166" fontId="30" fillId="6" borderId="49" xfId="4" applyNumberFormat="1" applyFont="1" applyFill="1" applyBorder="1" applyAlignment="1">
      <alignment horizontal="center" vertical="center" wrapText="1"/>
    </xf>
    <xf numFmtId="44" fontId="32" fillId="0" borderId="57" xfId="0" applyNumberFormat="1" applyFont="1" applyBorder="1"/>
    <xf numFmtId="44" fontId="33" fillId="0" borderId="57" xfId="8" applyFont="1" applyBorder="1"/>
    <xf numFmtId="0" fontId="22" fillId="0" borderId="0" xfId="0" applyFont="1"/>
    <xf numFmtId="0" fontId="34" fillId="0" borderId="0" xfId="0" applyFont="1"/>
    <xf numFmtId="0" fontId="19" fillId="0" borderId="0" xfId="0" applyFont="1" applyAlignment="1">
      <alignment horizontal="left"/>
    </xf>
    <xf numFmtId="44" fontId="34" fillId="0" borderId="0" xfId="0" applyNumberFormat="1" applyFont="1"/>
    <xf numFmtId="9" fontId="35" fillId="0" borderId="0" xfId="1" applyFont="1"/>
    <xf numFmtId="0" fontId="35" fillId="0" borderId="0" xfId="0" applyFont="1"/>
    <xf numFmtId="44" fontId="16" fillId="0" borderId="82" xfId="0" applyNumberFormat="1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0" fontId="17" fillId="21" borderId="71" xfId="0" applyFont="1" applyFill="1" applyBorder="1" applyAlignment="1">
      <alignment horizontal="center"/>
    </xf>
    <xf numFmtId="0" fontId="17" fillId="21" borderId="35" xfId="0" applyFont="1" applyFill="1" applyBorder="1" applyAlignment="1">
      <alignment horizontal="center"/>
    </xf>
    <xf numFmtId="0" fontId="17" fillId="21" borderId="81" xfId="0" applyFont="1" applyFill="1" applyBorder="1" applyAlignment="1">
      <alignment horizontal="center"/>
    </xf>
    <xf numFmtId="0" fontId="27" fillId="10" borderId="91" xfId="0" applyFont="1" applyFill="1" applyBorder="1" applyAlignment="1">
      <alignment horizontal="left"/>
    </xf>
    <xf numFmtId="0" fontId="27" fillId="10" borderId="92" xfId="0" applyFont="1" applyFill="1" applyBorder="1" applyAlignment="1">
      <alignment horizontal="left"/>
    </xf>
    <xf numFmtId="0" fontId="27" fillId="10" borderId="76" xfId="0" applyFont="1" applyFill="1" applyBorder="1" applyAlignment="1">
      <alignment horizontal="left"/>
    </xf>
    <xf numFmtId="0" fontId="27" fillId="10" borderId="8" xfId="0" applyFont="1" applyFill="1" applyBorder="1" applyAlignment="1">
      <alignment horizontal="left"/>
    </xf>
    <xf numFmtId="0" fontId="27" fillId="10" borderId="17" xfId="0" applyFont="1" applyFill="1" applyBorder="1" applyAlignment="1">
      <alignment horizontal="left"/>
    </xf>
    <xf numFmtId="0" fontId="27" fillId="10" borderId="0" xfId="0" applyFont="1" applyFill="1" applyAlignment="1">
      <alignment horizontal="left"/>
    </xf>
    <xf numFmtId="0" fontId="27" fillId="10" borderId="14" xfId="0" applyFont="1" applyFill="1" applyBorder="1" applyAlignment="1">
      <alignment horizontal="left"/>
    </xf>
    <xf numFmtId="0" fontId="27" fillId="10" borderId="15" xfId="0" applyFont="1" applyFill="1" applyBorder="1" applyAlignment="1">
      <alignment horizontal="left"/>
    </xf>
    <xf numFmtId="0" fontId="27" fillId="9" borderId="71" xfId="0" applyFont="1" applyFill="1" applyBorder="1" applyAlignment="1">
      <alignment horizontal="center"/>
    </xf>
    <xf numFmtId="0" fontId="27" fillId="9" borderId="35" xfId="0" applyFont="1" applyFill="1" applyBorder="1" applyAlignment="1">
      <alignment horizontal="center"/>
    </xf>
    <xf numFmtId="0" fontId="27" fillId="9" borderId="81" xfId="0" applyFont="1" applyFill="1" applyBorder="1" applyAlignment="1">
      <alignment horizontal="center"/>
    </xf>
    <xf numFmtId="0" fontId="27" fillId="9" borderId="11" xfId="0" applyFont="1" applyFill="1" applyBorder="1" applyAlignment="1">
      <alignment horizontal="center"/>
    </xf>
    <xf numFmtId="0" fontId="27" fillId="9" borderId="12" xfId="0" applyFont="1" applyFill="1" applyBorder="1" applyAlignment="1">
      <alignment horizontal="center"/>
    </xf>
    <xf numFmtId="0" fontId="27" fillId="9" borderId="82" xfId="0" applyFont="1" applyFill="1" applyBorder="1" applyAlignment="1">
      <alignment horizontal="center"/>
    </xf>
    <xf numFmtId="0" fontId="27" fillId="10" borderId="11" xfId="0" applyFont="1" applyFill="1" applyBorder="1" applyAlignment="1">
      <alignment horizontal="left"/>
    </xf>
    <xf numFmtId="0" fontId="27" fillId="10" borderId="12" xfId="0" applyFont="1" applyFill="1" applyBorder="1" applyAlignment="1">
      <alignment horizontal="left"/>
    </xf>
    <xf numFmtId="0" fontId="27" fillId="10" borderId="77" xfId="0" applyFont="1" applyFill="1" applyBorder="1" applyAlignment="1">
      <alignment horizontal="left"/>
    </xf>
    <xf numFmtId="0" fontId="27" fillId="10" borderId="82" xfId="0" applyFont="1" applyFill="1" applyBorder="1" applyAlignment="1">
      <alignment horizontal="left"/>
    </xf>
    <xf numFmtId="0" fontId="27" fillId="9" borderId="17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27" fillId="9" borderId="18" xfId="0" applyFont="1" applyFill="1" applyBorder="1" applyAlignment="1">
      <alignment horizontal="center"/>
    </xf>
    <xf numFmtId="0" fontId="27" fillId="10" borderId="85" xfId="0" applyFont="1" applyFill="1" applyBorder="1" applyAlignment="1">
      <alignment horizontal="left"/>
    </xf>
    <xf numFmtId="0" fontId="27" fillId="10" borderId="86" xfId="0" applyFont="1" applyFill="1" applyBorder="1" applyAlignment="1">
      <alignment horizontal="left"/>
    </xf>
    <xf numFmtId="0" fontId="27" fillId="10" borderId="87" xfId="0" applyFont="1" applyFill="1" applyBorder="1" applyAlignment="1">
      <alignment horizontal="left"/>
    </xf>
    <xf numFmtId="0" fontId="27" fillId="9" borderId="46" xfId="0" applyFont="1" applyFill="1" applyBorder="1" applyAlignment="1">
      <alignment horizontal="center"/>
    </xf>
    <xf numFmtId="0" fontId="27" fillId="9" borderId="64" xfId="0" applyFont="1" applyFill="1" applyBorder="1" applyAlignment="1">
      <alignment horizontal="center"/>
    </xf>
    <xf numFmtId="0" fontId="27" fillId="9" borderId="45" xfId="0" applyFont="1" applyFill="1" applyBorder="1" applyAlignment="1">
      <alignment horizontal="center"/>
    </xf>
    <xf numFmtId="1" fontId="27" fillId="9" borderId="46" xfId="0" applyNumberFormat="1" applyFont="1" applyFill="1" applyBorder="1" applyAlignment="1">
      <alignment horizontal="center"/>
    </xf>
    <xf numFmtId="1" fontId="27" fillId="9" borderId="64" xfId="0" applyNumberFormat="1" applyFont="1" applyFill="1" applyBorder="1" applyAlignment="1">
      <alignment horizontal="center"/>
    </xf>
    <xf numFmtId="1" fontId="27" fillId="9" borderId="45" xfId="0" applyNumberFormat="1" applyFont="1" applyFill="1" applyBorder="1" applyAlignment="1">
      <alignment horizontal="center"/>
    </xf>
    <xf numFmtId="0" fontId="27" fillId="10" borderId="93" xfId="0" applyFont="1" applyFill="1" applyBorder="1" applyAlignment="1">
      <alignment horizontal="left"/>
    </xf>
    <xf numFmtId="0" fontId="27" fillId="10" borderId="89" xfId="0" applyFont="1" applyFill="1" applyBorder="1" applyAlignment="1">
      <alignment horizontal="left"/>
    </xf>
    <xf numFmtId="0" fontId="27" fillId="10" borderId="73" xfId="0" applyFont="1" applyFill="1" applyBorder="1" applyAlignment="1">
      <alignment horizontal="left"/>
    </xf>
    <xf numFmtId="0" fontId="27" fillId="10" borderId="60" xfId="0" applyFont="1" applyFill="1" applyBorder="1" applyAlignment="1">
      <alignment horizontal="left"/>
    </xf>
    <xf numFmtId="0" fontId="27" fillId="10" borderId="65" xfId="0" applyFont="1" applyFill="1" applyBorder="1" applyAlignment="1">
      <alignment horizontal="left"/>
    </xf>
    <xf numFmtId="0" fontId="27" fillId="10" borderId="95" xfId="0" applyFont="1" applyFill="1" applyBorder="1" applyAlignment="1">
      <alignment horizontal="left"/>
    </xf>
    <xf numFmtId="0" fontId="27" fillId="10" borderId="96" xfId="0" applyFont="1" applyFill="1" applyBorder="1" applyAlignment="1">
      <alignment horizontal="left"/>
    </xf>
    <xf numFmtId="1" fontId="27" fillId="10" borderId="48" xfId="0" applyNumberFormat="1" applyFont="1" applyFill="1" applyBorder="1" applyAlignment="1">
      <alignment horizontal="left"/>
    </xf>
    <xf numFmtId="1" fontId="27" fillId="10" borderId="58" xfId="0" applyNumberFormat="1" applyFont="1" applyFill="1" applyBorder="1" applyAlignment="1">
      <alignment horizontal="left"/>
    </xf>
    <xf numFmtId="0" fontId="31" fillId="9" borderId="50" xfId="0" applyFont="1" applyFill="1" applyBorder="1" applyAlignment="1">
      <alignment horizontal="center"/>
    </xf>
    <xf numFmtId="0" fontId="31" fillId="9" borderId="51" xfId="0" applyFont="1" applyFill="1" applyBorder="1" applyAlignment="1">
      <alignment horizontal="center"/>
    </xf>
    <xf numFmtId="0" fontId="31" fillId="10" borderId="93" xfId="0" applyFont="1" applyFill="1" applyBorder="1" applyAlignment="1">
      <alignment horizontal="left"/>
    </xf>
    <xf numFmtId="0" fontId="31" fillId="10" borderId="89" xfId="0" applyFont="1" applyFill="1" applyBorder="1" applyAlignment="1">
      <alignment horizontal="left"/>
    </xf>
    <xf numFmtId="0" fontId="19" fillId="0" borderId="0" xfId="2" applyFont="1" applyAlignment="1">
      <alignment horizontal="left" vertical="center" wrapText="1"/>
    </xf>
    <xf numFmtId="0" fontId="19" fillId="0" borderId="0" xfId="2" applyFont="1" applyAlignment="1">
      <alignment horizontal="left" vertical="top"/>
    </xf>
    <xf numFmtId="0" fontId="21" fillId="2" borderId="3" xfId="3" applyFont="1" applyFill="1" applyBorder="1" applyAlignment="1">
      <alignment horizontal="center" vertical="center"/>
    </xf>
    <xf numFmtId="0" fontId="21" fillId="2" borderId="4" xfId="3" applyFont="1" applyFill="1" applyBorder="1" applyAlignment="1">
      <alignment horizontal="center" vertical="center"/>
    </xf>
    <xf numFmtId="0" fontId="21" fillId="2" borderId="5" xfId="3" applyFont="1" applyFill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 wrapText="1"/>
    </xf>
    <xf numFmtId="0" fontId="21" fillId="3" borderId="35" xfId="0" applyFont="1" applyFill="1" applyBorder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center" wrapText="1"/>
    </xf>
    <xf numFmtId="166" fontId="21" fillId="4" borderId="6" xfId="4" applyNumberFormat="1" applyFont="1" applyFill="1" applyBorder="1" applyAlignment="1">
      <alignment horizontal="center" vertical="center" wrapText="1"/>
    </xf>
    <xf numFmtId="166" fontId="21" fillId="4" borderId="35" xfId="4" applyNumberFormat="1" applyFont="1" applyFill="1" applyBorder="1" applyAlignment="1">
      <alignment horizontal="center" vertical="center" wrapText="1"/>
    </xf>
    <xf numFmtId="166" fontId="21" fillId="4" borderId="5" xfId="4" applyNumberFormat="1" applyFont="1" applyFill="1" applyBorder="1" applyAlignment="1">
      <alignment horizontal="center" vertical="center" wrapText="1"/>
    </xf>
    <xf numFmtId="166" fontId="21" fillId="4" borderId="1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0" fillId="8" borderId="38" xfId="0" applyFont="1" applyFill="1" applyBorder="1" applyAlignment="1">
      <alignment horizontal="left" vertical="center"/>
    </xf>
    <xf numFmtId="0" fontId="10" fillId="8" borderId="38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38" xfId="0" applyFont="1" applyFill="1" applyBorder="1" applyAlignment="1">
      <alignment horizontal="left" vertical="top"/>
    </xf>
    <xf numFmtId="0" fontId="13" fillId="8" borderId="38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687601</xdr:colOff>
      <xdr:row>0</xdr:row>
      <xdr:rowOff>152400</xdr:rowOff>
    </xdr:from>
    <xdr:to>
      <xdr:col>5</xdr:col>
      <xdr:colOff>689439</xdr:colOff>
      <xdr:row>1</xdr:row>
      <xdr:rowOff>63500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601583</xdr:colOff>
      <xdr:row>0</xdr:row>
      <xdr:rowOff>503238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40</xdr:col>
      <xdr:colOff>106322</xdr:colOff>
      <xdr:row>0</xdr:row>
      <xdr:rowOff>190500</xdr:rowOff>
    </xdr:from>
    <xdr:to>
      <xdr:col>41</xdr:col>
      <xdr:colOff>471164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195543</xdr:colOff>
      <xdr:row>0</xdr:row>
      <xdr:rowOff>179391</xdr:rowOff>
    </xdr:from>
    <xdr:to>
      <xdr:col>40</xdr:col>
      <xdr:colOff>30119</xdr:colOff>
      <xdr:row>0</xdr:row>
      <xdr:rowOff>542133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687601</xdr:colOff>
      <xdr:row>0</xdr:row>
      <xdr:rowOff>152400</xdr:rowOff>
    </xdr:from>
    <xdr:to>
      <xdr:col>5</xdr:col>
      <xdr:colOff>689439</xdr:colOff>
      <xdr:row>1</xdr:row>
      <xdr:rowOff>63500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40</xdr:col>
      <xdr:colOff>106322</xdr:colOff>
      <xdr:row>0</xdr:row>
      <xdr:rowOff>190500</xdr:rowOff>
    </xdr:from>
    <xdr:to>
      <xdr:col>41</xdr:col>
      <xdr:colOff>471164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68690</xdr:colOff>
      <xdr:row>4</xdr:row>
      <xdr:rowOff>103909</xdr:rowOff>
    </xdr:from>
    <xdr:to>
      <xdr:col>10</xdr:col>
      <xdr:colOff>2446748</xdr:colOff>
      <xdr:row>9</xdr:row>
      <xdr:rowOff>201438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3826" y="1714500"/>
          <a:ext cx="2380224" cy="1760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7DF3E-9AC1-4377-8596-34C02700DA21}">
  <dimension ref="A1:F31"/>
  <sheetViews>
    <sheetView showGridLines="0" tabSelected="1" topLeftCell="A13" zoomScaleNormal="100" workbookViewId="0">
      <selection activeCell="C31" sqref="C31:D31"/>
    </sheetView>
  </sheetViews>
  <sheetFormatPr defaultColWidth="8.6640625" defaultRowHeight="16.2" x14ac:dyDescent="0.35"/>
  <cols>
    <col min="1" max="1" width="8.6640625" style="199"/>
    <col min="2" max="2" width="26.109375" style="199" customWidth="1"/>
    <col min="3" max="3" width="35.88671875" style="199" customWidth="1"/>
    <col min="4" max="4" width="20.44140625" style="199" customWidth="1"/>
    <col min="5" max="5" width="18.44140625" style="199" customWidth="1"/>
    <col min="6" max="6" width="11.88671875" style="200" bestFit="1" customWidth="1"/>
    <col min="7" max="7" width="12.88671875" style="199" bestFit="1" customWidth="1"/>
    <col min="8" max="8" width="12.5546875" style="199" bestFit="1" customWidth="1"/>
    <col min="9" max="16384" width="8.6640625" style="199"/>
  </cols>
  <sheetData>
    <row r="1" spans="1:5" s="200" customFormat="1" hidden="1" x14ac:dyDescent="0.35">
      <c r="A1" s="199"/>
      <c r="B1" s="199"/>
      <c r="C1" s="199"/>
      <c r="D1" s="199"/>
      <c r="E1" s="199"/>
    </row>
    <row r="2" spans="1:5" s="200" customFormat="1" hidden="1" x14ac:dyDescent="0.35">
      <c r="A2" s="199"/>
      <c r="B2" s="199"/>
      <c r="C2" s="199"/>
      <c r="D2" s="199"/>
      <c r="E2" s="199"/>
    </row>
    <row r="3" spans="1:5" s="200" customFormat="1" hidden="1" x14ac:dyDescent="0.35">
      <c r="A3" s="199"/>
      <c r="B3" s="199"/>
      <c r="C3" s="201">
        <v>45866</v>
      </c>
      <c r="D3" s="202"/>
      <c r="E3" s="244" t="e">
        <f>SUM(#REF!)</f>
        <v>#REF!</v>
      </c>
    </row>
    <row r="4" spans="1:5" s="200" customFormat="1" ht="15.6" hidden="1" customHeight="1" thickBot="1" x14ac:dyDescent="0.4">
      <c r="A4" s="199"/>
      <c r="B4" s="199"/>
      <c r="C4" s="203">
        <v>45867</v>
      </c>
      <c r="D4" s="204"/>
      <c r="E4" s="245"/>
    </row>
    <row r="5" spans="1:5" s="200" customFormat="1" hidden="1" x14ac:dyDescent="0.35">
      <c r="A5" s="199"/>
      <c r="B5" s="199"/>
      <c r="C5" s="205" t="s">
        <v>181</v>
      </c>
      <c r="D5" s="206"/>
      <c r="E5" s="199"/>
    </row>
    <row r="6" spans="1:5" s="200" customFormat="1" hidden="1" x14ac:dyDescent="0.35">
      <c r="A6" s="199"/>
      <c r="B6" s="199"/>
      <c r="C6" s="205" t="s">
        <v>182</v>
      </c>
      <c r="D6" s="206"/>
      <c r="E6" s="199"/>
    </row>
    <row r="7" spans="1:5" s="200" customFormat="1" ht="16.8" hidden="1" thickBot="1" x14ac:dyDescent="0.4">
      <c r="A7" s="199"/>
      <c r="B7" s="199"/>
      <c r="C7" s="207" t="s">
        <v>42</v>
      </c>
      <c r="D7" s="208"/>
      <c r="E7" s="199"/>
    </row>
    <row r="9" spans="1:5" s="200" customFormat="1" x14ac:dyDescent="0.35">
      <c r="A9" s="199" t="s">
        <v>99</v>
      </c>
      <c r="B9" s="199"/>
      <c r="C9" s="199"/>
      <c r="D9" s="199"/>
      <c r="E9" s="199"/>
    </row>
    <row r="10" spans="1:5" s="200" customFormat="1" ht="24" customHeight="1" x14ac:dyDescent="0.35">
      <c r="A10" s="199"/>
      <c r="B10" s="199"/>
      <c r="C10" s="199"/>
      <c r="D10" s="199"/>
      <c r="E10" s="199"/>
    </row>
    <row r="11" spans="1:5" ht="16.8" thickBot="1" x14ac:dyDescent="0.4"/>
    <row r="12" spans="1:5" s="200" customFormat="1" ht="15" customHeight="1" x14ac:dyDescent="0.35">
      <c r="A12" s="199"/>
      <c r="B12" s="227" t="s">
        <v>138</v>
      </c>
      <c r="C12" s="228" t="s">
        <v>175</v>
      </c>
      <c r="D12" s="209"/>
      <c r="E12" s="199"/>
    </row>
    <row r="13" spans="1:5" s="200" customFormat="1" ht="15" customHeight="1" x14ac:dyDescent="0.35">
      <c r="A13" s="199"/>
      <c r="B13" s="229" t="s">
        <v>139</v>
      </c>
      <c r="C13" s="230" t="s">
        <v>137</v>
      </c>
      <c r="D13" s="209"/>
      <c r="E13" s="199"/>
    </row>
    <row r="14" spans="1:5" s="200" customFormat="1" ht="15" customHeight="1" x14ac:dyDescent="0.35">
      <c r="A14" s="199"/>
      <c r="B14" s="229" t="s">
        <v>140</v>
      </c>
      <c r="C14" s="230" t="s">
        <v>134</v>
      </c>
      <c r="D14" s="210"/>
      <c r="E14" s="199"/>
    </row>
    <row r="15" spans="1:5" s="200" customFormat="1" ht="15" customHeight="1" x14ac:dyDescent="0.35">
      <c r="A15" s="199"/>
      <c r="B15" s="229" t="s">
        <v>141</v>
      </c>
      <c r="C15" s="230" t="s">
        <v>155</v>
      </c>
      <c r="D15" s="210"/>
      <c r="E15" s="199"/>
    </row>
    <row r="16" spans="1:5" s="200" customFormat="1" ht="15" customHeight="1" x14ac:dyDescent="0.35">
      <c r="A16" s="199"/>
      <c r="B16" s="229" t="s">
        <v>142</v>
      </c>
      <c r="C16" s="231">
        <v>46104</v>
      </c>
      <c r="D16" s="211"/>
      <c r="E16" s="199"/>
    </row>
    <row r="17" spans="2:6" ht="15" customHeight="1" x14ac:dyDescent="0.35">
      <c r="B17" s="229" t="s">
        <v>143</v>
      </c>
      <c r="C17" s="230" t="s">
        <v>121</v>
      </c>
      <c r="D17" s="210"/>
    </row>
    <row r="18" spans="2:6" ht="15" customHeight="1" x14ac:dyDescent="0.35">
      <c r="B18" s="229" t="s">
        <v>144</v>
      </c>
      <c r="C18" s="230" t="s">
        <v>146</v>
      </c>
      <c r="D18" s="210"/>
    </row>
    <row r="19" spans="2:6" ht="15" customHeight="1" thickBot="1" x14ac:dyDescent="0.4">
      <c r="B19" s="232" t="s">
        <v>145</v>
      </c>
      <c r="C19" s="233" t="s">
        <v>176</v>
      </c>
      <c r="D19" s="210"/>
    </row>
    <row r="21" spans="2:6" ht="15.6" customHeight="1" x14ac:dyDescent="0.35">
      <c r="B21" s="212"/>
      <c r="C21" s="212" t="s">
        <v>183</v>
      </c>
      <c r="D21" s="212" t="s">
        <v>184</v>
      </c>
      <c r="E21" s="212" t="s">
        <v>185</v>
      </c>
    </row>
    <row r="22" spans="2:6" x14ac:dyDescent="0.35">
      <c r="B22" s="213" t="s">
        <v>186</v>
      </c>
      <c r="C22" s="214">
        <f>PRINCIPAL!N34</f>
        <v>579997.50064371806</v>
      </c>
      <c r="D22" s="214">
        <f>PRINCIPAL!X34</f>
        <v>239113.9</v>
      </c>
      <c r="E22" s="214">
        <f>C22-D22</f>
        <v>340883.60064371803</v>
      </c>
      <c r="F22" s="215">
        <f>E22*100%/C22</f>
        <v>0.5877328786165178</v>
      </c>
    </row>
    <row r="23" spans="2:6" x14ac:dyDescent="0.35">
      <c r="B23" s="212" t="s">
        <v>42</v>
      </c>
      <c r="C23" s="216">
        <f>SUM(C22:C22)</f>
        <v>579997.50064371806</v>
      </c>
      <c r="D23" s="216">
        <f>SUM(D22:D22)</f>
        <v>239113.9</v>
      </c>
      <c r="E23" s="216">
        <f>C23-D23</f>
        <v>340883.60064371803</v>
      </c>
      <c r="F23" s="215">
        <f t="shared" ref="F23" si="0">E23*100%/C23</f>
        <v>0.5877328786165178</v>
      </c>
    </row>
    <row r="25" spans="2:6" ht="200.1" hidden="1" customHeight="1" x14ac:dyDescent="0.35"/>
    <row r="26" spans="2:6" ht="16.8" thickBot="1" x14ac:dyDescent="0.4"/>
    <row r="27" spans="2:6" ht="21.9" customHeight="1" thickBot="1" x14ac:dyDescent="0.4">
      <c r="B27" s="246" t="s">
        <v>187</v>
      </c>
      <c r="C27" s="247"/>
      <c r="D27" s="247"/>
      <c r="E27" s="247"/>
      <c r="F27" s="248"/>
    </row>
    <row r="28" spans="2:6" ht="24.9" customHeight="1" thickBot="1" x14ac:dyDescent="0.4">
      <c r="B28" s="217" t="s">
        <v>195</v>
      </c>
      <c r="C28" s="218">
        <v>529237.43999999994</v>
      </c>
      <c r="D28" s="219">
        <f>D23</f>
        <v>239113.9</v>
      </c>
      <c r="E28" s="220">
        <f>C28-D28</f>
        <v>290123.53999999992</v>
      </c>
      <c r="F28" s="221">
        <f>E28*100%/C28</f>
        <v>0.54819163965421636</v>
      </c>
    </row>
    <row r="29" spans="2:6" ht="24.9" customHeight="1" thickBot="1" x14ac:dyDescent="0.4">
      <c r="B29" s="217" t="s">
        <v>194</v>
      </c>
      <c r="C29" s="218">
        <v>4000</v>
      </c>
      <c r="D29" s="219">
        <f>C29*0.15</f>
        <v>600</v>
      </c>
      <c r="E29" s="220">
        <f>C29-D29</f>
        <v>3400</v>
      </c>
      <c r="F29" s="221">
        <f t="shared" ref="F29:F30" si="1">E29*100%/C29</f>
        <v>0.85</v>
      </c>
    </row>
    <row r="30" spans="2:6" ht="24.9" customHeight="1" thickBot="1" x14ac:dyDescent="0.4">
      <c r="B30" s="217" t="s">
        <v>196</v>
      </c>
      <c r="C30" s="218">
        <v>50760.06</v>
      </c>
      <c r="D30" s="219">
        <f>C30*0.15</f>
        <v>7614.0089999999991</v>
      </c>
      <c r="E30" s="220">
        <f>C30-D30</f>
        <v>43146.050999999999</v>
      </c>
      <c r="F30" s="221">
        <f t="shared" si="1"/>
        <v>0.85</v>
      </c>
    </row>
    <row r="31" spans="2:6" ht="20.25" customHeight="1" thickBot="1" x14ac:dyDescent="0.4">
      <c r="B31" s="222"/>
      <c r="C31" s="223">
        <f>SUM(C28:C30)</f>
        <v>583997.5</v>
      </c>
      <c r="D31" s="224">
        <f>SUM(D28:D30)</f>
        <v>247327.90899999999</v>
      </c>
      <c r="E31" s="225">
        <f>C31-D31</f>
        <v>336669.59100000001</v>
      </c>
      <c r="F31" s="226">
        <f>E31*100%/C31</f>
        <v>0.57649149354235252</v>
      </c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N41"/>
  <sheetViews>
    <sheetView showGridLines="0" topLeftCell="B1" zoomScale="40" zoomScaleNormal="40" workbookViewId="0">
      <pane ySplit="1" topLeftCell="A31" activePane="bottomLeft" state="frozen"/>
      <selection pane="bottomLeft" activeCell="M14" sqref="M14"/>
    </sheetView>
  </sheetViews>
  <sheetFormatPr defaultColWidth="8.88671875" defaultRowHeight="23.4" x14ac:dyDescent="0.45"/>
  <cols>
    <col min="1" max="1" width="5.88671875" style="29" hidden="1" customWidth="1"/>
    <col min="2" max="2" width="12.44140625" style="29" customWidth="1"/>
    <col min="3" max="3" width="9.88671875" style="29" hidden="1" customWidth="1"/>
    <col min="4" max="4" width="6.5546875" style="29" hidden="1" customWidth="1"/>
    <col min="5" max="5" width="10.109375" style="29" hidden="1" customWidth="1"/>
    <col min="6" max="6" width="29" style="29" customWidth="1"/>
    <col min="7" max="7" width="76.109375" style="29" customWidth="1"/>
    <col min="8" max="8" width="8.5546875" style="32" hidden="1" customWidth="1"/>
    <col min="9" max="9" width="9.88671875" style="32" hidden="1" customWidth="1"/>
    <col min="10" max="10" width="16.44140625" style="29" hidden="1" customWidth="1"/>
    <col min="11" max="11" width="38.44140625" style="29" bestFit="1" customWidth="1"/>
    <col min="12" max="12" width="37.33203125" style="29" bestFit="1" customWidth="1"/>
    <col min="13" max="13" width="32.33203125" style="29" bestFit="1" customWidth="1"/>
    <col min="14" max="14" width="38.44140625" style="29" bestFit="1" customWidth="1"/>
    <col min="15" max="15" width="9.6640625" style="29" hidden="1" customWidth="1"/>
    <col min="16" max="16" width="1.88671875" style="29" hidden="1" customWidth="1"/>
    <col min="17" max="17" width="11.44140625" style="32" bestFit="1" customWidth="1"/>
    <col min="18" max="18" width="8.44140625" style="32" hidden="1" customWidth="1"/>
    <col min="19" max="19" width="17.88671875" style="29" hidden="1" customWidth="1"/>
    <col min="20" max="20" width="38.44140625" style="29" bestFit="1" customWidth="1"/>
    <col min="21" max="21" width="30.109375" style="29" hidden="1" customWidth="1"/>
    <col min="22" max="22" width="9.6640625" style="29" hidden="1" customWidth="1"/>
    <col min="23" max="23" width="16.109375" style="29" hidden="1" customWidth="1"/>
    <col min="24" max="24" width="38.44140625" style="29" bestFit="1" customWidth="1"/>
    <col min="25" max="25" width="30.33203125" style="29" hidden="1" customWidth="1"/>
    <col min="26" max="26" width="18.88671875" style="29" hidden="1" customWidth="1"/>
    <col min="27" max="27" width="31.44140625" style="29" hidden="1" customWidth="1"/>
    <col min="28" max="28" width="38.109375" style="29" hidden="1" customWidth="1"/>
    <col min="29" max="29" width="14.109375" style="29" hidden="1" customWidth="1"/>
    <col min="30" max="30" width="7.6640625" style="29" hidden="1" customWidth="1"/>
    <col min="31" max="31" width="6.88671875" style="29" hidden="1" customWidth="1"/>
    <col min="32" max="32" width="1.33203125" style="29" hidden="1" customWidth="1"/>
    <col min="33" max="33" width="14" style="29" hidden="1" customWidth="1"/>
    <col min="34" max="34" width="11.6640625" style="29" hidden="1" customWidth="1"/>
    <col min="35" max="35" width="6.33203125" style="29" hidden="1" customWidth="1"/>
    <col min="36" max="36" width="12.6640625" style="29" hidden="1" customWidth="1"/>
    <col min="37" max="37" width="17.109375" style="29" hidden="1" customWidth="1"/>
    <col min="38" max="38" width="30.6640625" style="29" customWidth="1"/>
    <col min="39" max="39" width="31.33203125" style="29" customWidth="1"/>
    <col min="40" max="40" width="8.88671875" style="238"/>
    <col min="41" max="16384" width="8.88671875" style="29"/>
  </cols>
  <sheetData>
    <row r="1" spans="1:39" ht="49.5" customHeight="1" x14ac:dyDescent="0.45">
      <c r="B1" s="30"/>
      <c r="C1" s="31"/>
      <c r="D1" s="31"/>
      <c r="F1" s="292" t="s">
        <v>112</v>
      </c>
      <c r="G1" s="292"/>
    </row>
    <row r="2" spans="1:39" ht="24.75" customHeight="1" x14ac:dyDescent="0.45">
      <c r="B2" s="33"/>
      <c r="D2" s="31"/>
      <c r="F2" s="293" t="s">
        <v>0</v>
      </c>
      <c r="G2" s="293"/>
    </row>
    <row r="3" spans="1:39" ht="24" thickBot="1" x14ac:dyDescent="0.5">
      <c r="B3" s="34"/>
      <c r="F3" s="35"/>
      <c r="G3" s="35"/>
    </row>
    <row r="4" spans="1:39" ht="29.1" customHeight="1" x14ac:dyDescent="0.45">
      <c r="F4" s="36" t="s">
        <v>138</v>
      </c>
      <c r="G4" s="37" t="s">
        <v>175</v>
      </c>
    </row>
    <row r="5" spans="1:39" ht="27.6" customHeight="1" x14ac:dyDescent="0.45">
      <c r="F5" s="38" t="s">
        <v>139</v>
      </c>
      <c r="G5" s="39" t="s">
        <v>137</v>
      </c>
    </row>
    <row r="6" spans="1:39" ht="24.9" customHeight="1" x14ac:dyDescent="0.45">
      <c r="D6" s="29" t="s">
        <v>99</v>
      </c>
      <c r="F6" s="38" t="s">
        <v>140</v>
      </c>
      <c r="G6" s="39" t="s">
        <v>134</v>
      </c>
    </row>
    <row r="7" spans="1:39" ht="25.5" customHeight="1" x14ac:dyDescent="0.45">
      <c r="F7" s="38" t="s">
        <v>141</v>
      </c>
      <c r="G7" s="39" t="s">
        <v>155</v>
      </c>
      <c r="J7" s="29" t="s">
        <v>111</v>
      </c>
    </row>
    <row r="8" spans="1:39" ht="26.1" customHeight="1" x14ac:dyDescent="0.45">
      <c r="F8" s="38" t="s">
        <v>142</v>
      </c>
      <c r="G8" s="40">
        <v>46104</v>
      </c>
    </row>
    <row r="9" spans="1:39" ht="27.6" customHeight="1" x14ac:dyDescent="0.45">
      <c r="F9" s="38" t="s">
        <v>143</v>
      </c>
      <c r="G9" s="39" t="s">
        <v>121</v>
      </c>
      <c r="J9" s="29" t="s">
        <v>99</v>
      </c>
    </row>
    <row r="10" spans="1:39" ht="27" customHeight="1" x14ac:dyDescent="0.45">
      <c r="F10" s="38" t="s">
        <v>144</v>
      </c>
      <c r="G10" s="39" t="s">
        <v>146</v>
      </c>
    </row>
    <row r="11" spans="1:39" ht="24" thickBot="1" x14ac:dyDescent="0.5">
      <c r="F11" s="41" t="s">
        <v>145</v>
      </c>
      <c r="G11" s="42" t="s">
        <v>176</v>
      </c>
    </row>
    <row r="12" spans="1:39" ht="70.8" hidden="1" thickBot="1" x14ac:dyDescent="0.5">
      <c r="B12" s="43"/>
      <c r="M12" s="44"/>
      <c r="Q12" s="294" t="s">
        <v>1</v>
      </c>
      <c r="R12" s="295"/>
      <c r="S12" s="295"/>
      <c r="T12" s="296"/>
      <c r="U12" s="297" t="s">
        <v>2</v>
      </c>
      <c r="V12" s="298"/>
      <c r="W12" s="298"/>
      <c r="X12" s="299"/>
      <c r="Y12" s="45" t="s">
        <v>48</v>
      </c>
      <c r="Z12" s="46">
        <f>(1/(1-M14))-1</f>
        <v>0.24269914253759173</v>
      </c>
      <c r="AC12" s="300" t="s">
        <v>3</v>
      </c>
      <c r="AD12" s="301"/>
      <c r="AE12" s="302"/>
      <c r="AG12" s="303" t="s">
        <v>50</v>
      </c>
      <c r="AH12" s="304"/>
      <c r="AJ12" s="47" t="s">
        <v>52</v>
      </c>
      <c r="AK12" s="47" t="s">
        <v>51</v>
      </c>
    </row>
    <row r="13" spans="1:39" ht="24" thickBot="1" x14ac:dyDescent="0.5">
      <c r="A13" s="48" t="s">
        <v>4</v>
      </c>
      <c r="B13" s="49" t="s">
        <v>5</v>
      </c>
      <c r="C13" s="48" t="s">
        <v>6</v>
      </c>
      <c r="D13" s="48" t="s">
        <v>7</v>
      </c>
      <c r="E13" s="48" t="s">
        <v>8</v>
      </c>
      <c r="M13" s="50">
        <v>0.81</v>
      </c>
    </row>
    <row r="14" spans="1:39" ht="53.25" customHeight="1" thickBot="1" x14ac:dyDescent="0.5">
      <c r="A14" s="51">
        <v>0</v>
      </c>
      <c r="B14" s="52"/>
      <c r="C14" s="53"/>
      <c r="D14" s="54"/>
      <c r="E14" s="54"/>
      <c r="F14" s="55" t="s">
        <v>76</v>
      </c>
      <c r="G14" s="56" t="s">
        <v>77</v>
      </c>
      <c r="H14" s="57" t="s">
        <v>78</v>
      </c>
      <c r="I14" s="57" t="s">
        <v>79</v>
      </c>
      <c r="J14" s="58" t="s">
        <v>80</v>
      </c>
      <c r="K14" s="59" t="s">
        <v>9</v>
      </c>
      <c r="L14" s="60">
        <v>7.0000000000000007E-2</v>
      </c>
      <c r="M14" s="61">
        <v>0.1953</v>
      </c>
      <c r="N14" s="62" t="s">
        <v>74</v>
      </c>
      <c r="Q14" s="63" t="s">
        <v>81</v>
      </c>
      <c r="R14" s="64" t="s">
        <v>82</v>
      </c>
      <c r="S14" s="65" t="s">
        <v>83</v>
      </c>
      <c r="T14" s="66" t="s">
        <v>84</v>
      </c>
      <c r="U14" s="67" t="s">
        <v>85</v>
      </c>
      <c r="V14" s="68" t="s">
        <v>86</v>
      </c>
      <c r="W14" s="69" t="s">
        <v>87</v>
      </c>
      <c r="X14" s="69" t="s">
        <v>88</v>
      </c>
      <c r="Y14" s="70" t="s">
        <v>89</v>
      </c>
      <c r="Z14" s="71" t="s">
        <v>90</v>
      </c>
      <c r="AA14" s="72" t="s">
        <v>75</v>
      </c>
      <c r="AC14" s="73" t="s">
        <v>91</v>
      </c>
      <c r="AD14" s="74" t="s">
        <v>92</v>
      </c>
      <c r="AE14" s="74" t="s">
        <v>32</v>
      </c>
      <c r="AG14" s="75" t="s">
        <v>93</v>
      </c>
      <c r="AH14" s="76" t="s">
        <v>94</v>
      </c>
      <c r="AK14" s="77" t="s">
        <v>95</v>
      </c>
      <c r="AL14" s="234" t="s">
        <v>95</v>
      </c>
      <c r="AM14" s="235" t="s">
        <v>96</v>
      </c>
    </row>
    <row r="15" spans="1:39" ht="30" customHeight="1" thickBot="1" x14ac:dyDescent="0.55000000000000004">
      <c r="A15" s="54">
        <v>1</v>
      </c>
      <c r="B15" s="78">
        <v>1</v>
      </c>
      <c r="C15" s="79" t="s">
        <v>113</v>
      </c>
      <c r="D15" s="54"/>
      <c r="E15" s="54"/>
      <c r="F15" s="273" t="s">
        <v>126</v>
      </c>
      <c r="G15" s="274"/>
      <c r="H15" s="274"/>
      <c r="I15" s="274"/>
      <c r="J15" s="274"/>
      <c r="K15" s="274"/>
      <c r="L15" s="274"/>
      <c r="M15" s="274"/>
      <c r="N15" s="275"/>
      <c r="Q15" s="276" t="str">
        <f>IF(F15&lt;&gt;"",F15,"")</f>
        <v>INTERNOS</v>
      </c>
      <c r="R15" s="277"/>
      <c r="S15" s="277"/>
      <c r="T15" s="277"/>
      <c r="U15" s="277"/>
      <c r="V15" s="277"/>
      <c r="W15" s="277"/>
      <c r="X15" s="277"/>
      <c r="Y15" s="278"/>
      <c r="Z15" s="80"/>
      <c r="AK15" s="197"/>
      <c r="AL15" s="288"/>
      <c r="AM15" s="289"/>
    </row>
    <row r="16" spans="1:39" ht="30" customHeight="1" x14ac:dyDescent="0.5">
      <c r="A16" s="54">
        <v>2</v>
      </c>
      <c r="B16" s="78" t="s">
        <v>115</v>
      </c>
      <c r="C16" s="79" t="s">
        <v>114</v>
      </c>
      <c r="D16" s="54"/>
      <c r="E16" s="54"/>
      <c r="F16" s="279" t="s">
        <v>126</v>
      </c>
      <c r="G16" s="280"/>
      <c r="H16" s="280"/>
      <c r="I16" s="280"/>
      <c r="J16" s="280"/>
      <c r="K16" s="280"/>
      <c r="L16" s="81" t="s">
        <v>116</v>
      </c>
      <c r="M16" s="81" t="s">
        <v>117</v>
      </c>
      <c r="N16" s="82" t="s">
        <v>74</v>
      </c>
      <c r="Q16" s="281" t="str">
        <f>IF(F16&lt;&gt;"",F16,"")</f>
        <v>INTERNOS</v>
      </c>
      <c r="R16" s="282"/>
      <c r="S16" s="282"/>
      <c r="T16" s="282"/>
      <c r="U16" s="282"/>
      <c r="V16" s="282"/>
      <c r="W16" s="282"/>
      <c r="X16" s="282"/>
      <c r="Y16" s="283"/>
      <c r="Z16" s="83" t="s">
        <v>118</v>
      </c>
      <c r="AA16" s="84" t="s">
        <v>75</v>
      </c>
      <c r="AK16" s="198"/>
      <c r="AL16" s="290"/>
      <c r="AM16" s="291"/>
    </row>
    <row r="17" spans="1:40" ht="159.9" customHeight="1" x14ac:dyDescent="0.5">
      <c r="A17" s="54">
        <v>3</v>
      </c>
      <c r="B17" s="78" t="s">
        <v>150</v>
      </c>
      <c r="C17" s="79" t="s">
        <v>119</v>
      </c>
      <c r="D17" s="54" t="s">
        <v>122</v>
      </c>
      <c r="E17" s="54" t="s">
        <v>123</v>
      </c>
      <c r="F17" s="85" t="s">
        <v>161</v>
      </c>
      <c r="G17" s="86" t="s">
        <v>152</v>
      </c>
      <c r="H17" s="87">
        <v>1</v>
      </c>
      <c r="I17" s="87">
        <v>1</v>
      </c>
      <c r="J17" s="88">
        <v>1500</v>
      </c>
      <c r="K17" s="88">
        <f>IF(F17&lt;&gt;"",H17*I17*J17,"")</f>
        <v>1500</v>
      </c>
      <c r="L17" s="88">
        <f>IF(K17&lt;&gt;"",IF(D17="INTERNO",0,K17*$L$14),"")</f>
        <v>0</v>
      </c>
      <c r="M17" s="88">
        <f>IF(K17&lt;&gt;"",IF(E17="FAT.OGGI",SUM(K17:L17)*(1/(1-$M$14)-1),L17*(1/(1-$M$14)-1)),0)</f>
        <v>364.04871380638758</v>
      </c>
      <c r="N17" s="89">
        <f>SUM(K17:M17)</f>
        <v>1864.0487138063877</v>
      </c>
      <c r="Q17" s="90">
        <f t="shared" ref="Q17:R17" si="0">IF(H17&lt;&gt;"",H17,"")</f>
        <v>1</v>
      </c>
      <c r="R17" s="91">
        <f t="shared" si="0"/>
        <v>1</v>
      </c>
      <c r="S17" s="92">
        <v>1500</v>
      </c>
      <c r="T17" s="92">
        <v>0</v>
      </c>
      <c r="U17" s="93">
        <f>IF(Q17&lt;&gt;"",K17-T17,"")</f>
        <v>1500</v>
      </c>
      <c r="V17" s="94">
        <f>IF(Q17&lt;&gt;"",0%,"")</f>
        <v>0</v>
      </c>
      <c r="W17" s="95">
        <f>IF(Q17&lt;&gt;"",V17*U17,"")</f>
        <v>0</v>
      </c>
      <c r="X17" s="95">
        <f>IF(Q17&lt;&gt;"",W17+T17,"")</f>
        <v>0</v>
      </c>
      <c r="Y17" s="96">
        <f t="shared" ref="Y17:Y20" si="1">IF(Q17&lt;&gt;"",X17+M17,"")</f>
        <v>364.04871380638758</v>
      </c>
      <c r="Z17" s="80">
        <f>IF(Q17&lt;&gt;"", IFERROR(U17/K17, 0), 0)</f>
        <v>1</v>
      </c>
      <c r="AA17" s="97" t="str">
        <f>IFERROR(T17/$T$20, "")</f>
        <v/>
      </c>
      <c r="AL17" s="236">
        <f>X17-AM17</f>
        <v>0</v>
      </c>
      <c r="AM17" s="237"/>
    </row>
    <row r="18" spans="1:40" ht="159.9" customHeight="1" x14ac:dyDescent="0.5">
      <c r="A18" s="98">
        <v>4</v>
      </c>
      <c r="B18" s="78" t="s">
        <v>97</v>
      </c>
      <c r="C18" s="99" t="s">
        <v>119</v>
      </c>
      <c r="D18" s="54" t="s">
        <v>122</v>
      </c>
      <c r="E18" s="54" t="s">
        <v>123</v>
      </c>
      <c r="F18" s="100" t="s">
        <v>160</v>
      </c>
      <c r="G18" s="101" t="s">
        <v>162</v>
      </c>
      <c r="H18" s="102">
        <v>1</v>
      </c>
      <c r="I18" s="102">
        <v>1</v>
      </c>
      <c r="J18" s="103">
        <v>1500</v>
      </c>
      <c r="K18" s="103">
        <f>IF(F18&lt;&gt;"",H18*I18*J18,"")</f>
        <v>1500</v>
      </c>
      <c r="L18" s="103">
        <f>IF(K18&lt;&gt;"",IF(D18="INTERNO",0,K18*$L$14),"")</f>
        <v>0</v>
      </c>
      <c r="M18" s="103">
        <f>IF(K18&lt;&gt;"",IF(E18="FAT.OGGI",SUM(K18:L18)*(1/(1-$M$14)-1),L18*(1/(1-$M$14)-1)),0)</f>
        <v>364.04871380638758</v>
      </c>
      <c r="N18" s="104">
        <f>SUM(K18:M18)</f>
        <v>1864.0487138063877</v>
      </c>
      <c r="Q18" s="105">
        <f>IF(H18&lt;&gt;"",H18,"")</f>
        <v>1</v>
      </c>
      <c r="R18" s="106">
        <f>IF(I18&lt;&gt;"",I18,"")</f>
        <v>1</v>
      </c>
      <c r="S18" s="107">
        <v>1500</v>
      </c>
      <c r="T18" s="107">
        <v>0</v>
      </c>
      <c r="U18" s="108">
        <f>IF(Q18&lt;&gt;"",K18-T18,"")</f>
        <v>1500</v>
      </c>
      <c r="V18" s="109">
        <f>IF(Q18&lt;&gt;"",0%,"")</f>
        <v>0</v>
      </c>
      <c r="W18" s="110">
        <f>IF(Q18&lt;&gt;"",V18*U18,"")</f>
        <v>0</v>
      </c>
      <c r="X18" s="110">
        <f>IF(Q18&lt;&gt;"",W18+T18,"")</f>
        <v>0</v>
      </c>
      <c r="Y18" s="111">
        <f>IF(Q18&lt;&gt;"",X18+M18,"")</f>
        <v>364.04871380638758</v>
      </c>
      <c r="Z18" s="80">
        <f>IF(Q18&lt;&gt;"", IFERROR(U18/K18, 0), 0)</f>
        <v>1</v>
      </c>
      <c r="AA18" s="97"/>
      <c r="AL18" s="236">
        <f t="shared" ref="AL18:AL32" si="2">X18-AM18</f>
        <v>0</v>
      </c>
      <c r="AM18" s="237"/>
    </row>
    <row r="19" spans="1:40" ht="159.9" customHeight="1" x14ac:dyDescent="0.5">
      <c r="A19" s="54">
        <v>5</v>
      </c>
      <c r="B19" s="78" t="s">
        <v>120</v>
      </c>
      <c r="C19" s="79" t="s">
        <v>119</v>
      </c>
      <c r="D19" s="54" t="s">
        <v>122</v>
      </c>
      <c r="E19" s="54" t="s">
        <v>123</v>
      </c>
      <c r="F19" s="100" t="s">
        <v>133</v>
      </c>
      <c r="G19" s="101" t="s">
        <v>153</v>
      </c>
      <c r="H19" s="102">
        <v>1</v>
      </c>
      <c r="I19" s="102">
        <v>1</v>
      </c>
      <c r="J19" s="103">
        <v>800</v>
      </c>
      <c r="K19" s="103">
        <f>IF(F19&lt;&gt;"",H19*I19*J19,"")</f>
        <v>800</v>
      </c>
      <c r="L19" s="103">
        <f>IF(K19&lt;&gt;"",IF(D19="INTERNO",0,K19*$L$14),"")</f>
        <v>0</v>
      </c>
      <c r="M19" s="103">
        <f>IF(K19&lt;&gt;"",IF(E19="FAT.OGGI",SUM(K19:L19)*(1/(1-$M$14)-1),L19*(1/(1-$M$14)-1)),0)</f>
        <v>194.15931403007338</v>
      </c>
      <c r="N19" s="104">
        <f>SUM(K19:M19)</f>
        <v>994.15931403007335</v>
      </c>
      <c r="Q19" s="112">
        <f>IF(H19&lt;&gt;"",H19,"")</f>
        <v>1</v>
      </c>
      <c r="R19" s="113">
        <f>IF(I19&lt;&gt;"",I19,"")</f>
        <v>1</v>
      </c>
      <c r="S19" s="114">
        <v>800</v>
      </c>
      <c r="T19" s="114">
        <v>0</v>
      </c>
      <c r="U19" s="115">
        <f>IF(Q19&lt;&gt;"",K19-T19,"")</f>
        <v>800</v>
      </c>
      <c r="V19" s="116">
        <f>IF(Q19&lt;&gt;"",0%,"")</f>
        <v>0</v>
      </c>
      <c r="W19" s="117">
        <f>IF(Q19&lt;&gt;"",V19*U19,"")</f>
        <v>0</v>
      </c>
      <c r="X19" s="117">
        <f>IF(Q19&lt;&gt;"",W19+T19,"")</f>
        <v>0</v>
      </c>
      <c r="Y19" s="111">
        <f t="shared" si="1"/>
        <v>194.15931403007338</v>
      </c>
      <c r="Z19" s="80">
        <f>IF(Q19&lt;&gt;"", IFERROR(U19/K19, 0), 0)</f>
        <v>1</v>
      </c>
      <c r="AA19" s="97" t="str">
        <f>IFERROR(T19/$T$20, "")</f>
        <v/>
      </c>
      <c r="AL19" s="236">
        <f t="shared" si="2"/>
        <v>0</v>
      </c>
      <c r="AM19" s="237"/>
    </row>
    <row r="20" spans="1:40" ht="30" customHeight="1" thickBot="1" x14ac:dyDescent="0.55000000000000004">
      <c r="A20" s="54">
        <v>6</v>
      </c>
      <c r="B20" s="78"/>
      <c r="C20" s="79" t="s">
        <v>124</v>
      </c>
      <c r="D20" s="54"/>
      <c r="E20" s="54"/>
      <c r="F20" s="284" t="s">
        <v>136</v>
      </c>
      <c r="G20" s="285"/>
      <c r="H20" s="285"/>
      <c r="I20" s="285"/>
      <c r="J20" s="285"/>
      <c r="K20" s="118">
        <f>SUM(K17:K19)</f>
        <v>3800</v>
      </c>
      <c r="L20" s="118">
        <f>SUM(L17:L19)</f>
        <v>0</v>
      </c>
      <c r="M20" s="118">
        <f>SUM(M17:M19)</f>
        <v>922.25674164284851</v>
      </c>
      <c r="N20" s="119">
        <f>SUM(N17:N19)</f>
        <v>4722.2567416428483</v>
      </c>
      <c r="Q20" s="286" t="s">
        <v>136</v>
      </c>
      <c r="R20" s="287"/>
      <c r="S20" s="287"/>
      <c r="T20" s="120">
        <f>SUM(T17:T19)</f>
        <v>0</v>
      </c>
      <c r="U20" s="121">
        <f>SUM(U17:U19)</f>
        <v>3800</v>
      </c>
      <c r="V20" s="94"/>
      <c r="W20" s="95"/>
      <c r="X20" s="122">
        <f>SUM(X17:X19)</f>
        <v>0</v>
      </c>
      <c r="Y20" s="123">
        <f t="shared" si="1"/>
        <v>922.25674164284851</v>
      </c>
      <c r="Z20" s="80"/>
      <c r="AA20" s="124"/>
      <c r="AL20" s="236"/>
      <c r="AM20" s="237"/>
    </row>
    <row r="21" spans="1:40" ht="30" customHeight="1" thickBot="1" x14ac:dyDescent="0.55000000000000004">
      <c r="A21" s="54">
        <v>7</v>
      </c>
      <c r="B21" s="78">
        <v>2</v>
      </c>
      <c r="C21" s="79" t="s">
        <v>113</v>
      </c>
      <c r="D21" s="54"/>
      <c r="E21" s="54"/>
      <c r="F21" s="267" t="s">
        <v>134</v>
      </c>
      <c r="G21" s="268"/>
      <c r="H21" s="268"/>
      <c r="I21" s="268"/>
      <c r="J21" s="268"/>
      <c r="K21" s="268"/>
      <c r="L21" s="268"/>
      <c r="M21" s="268"/>
      <c r="N21" s="269"/>
      <c r="Q21" s="260" t="str">
        <f>IF(F21&lt;&gt;"",F21,"")</f>
        <v>BRINDES</v>
      </c>
      <c r="R21" s="261"/>
      <c r="S21" s="261"/>
      <c r="T21" s="261"/>
      <c r="U21" s="261"/>
      <c r="V21" s="261"/>
      <c r="W21" s="261"/>
      <c r="X21" s="261"/>
      <c r="Y21" s="262"/>
      <c r="AL21" s="236"/>
      <c r="AM21" s="237"/>
    </row>
    <row r="22" spans="1:40" ht="30" customHeight="1" x14ac:dyDescent="0.5">
      <c r="A22" s="54">
        <v>8</v>
      </c>
      <c r="B22" s="78" t="s">
        <v>125</v>
      </c>
      <c r="C22" s="79" t="s">
        <v>114</v>
      </c>
      <c r="D22" s="54"/>
      <c r="E22" s="54"/>
      <c r="F22" s="270" t="s">
        <v>134</v>
      </c>
      <c r="G22" s="271"/>
      <c r="H22" s="271"/>
      <c r="I22" s="271"/>
      <c r="J22" s="271"/>
      <c r="K22" s="272"/>
      <c r="L22" s="125" t="s">
        <v>116</v>
      </c>
      <c r="M22" s="81" t="s">
        <v>117</v>
      </c>
      <c r="N22" s="126" t="s">
        <v>74</v>
      </c>
      <c r="Q22" s="263" t="str">
        <f>IF(F22&lt;&gt;"",F22,"")</f>
        <v>BRINDES</v>
      </c>
      <c r="R22" s="264"/>
      <c r="S22" s="264"/>
      <c r="T22" s="264"/>
      <c r="U22" s="264"/>
      <c r="V22" s="264"/>
      <c r="W22" s="264"/>
      <c r="X22" s="264"/>
      <c r="Y22" s="266"/>
      <c r="Z22" s="83" t="s">
        <v>118</v>
      </c>
      <c r="AA22" s="84" t="s">
        <v>75</v>
      </c>
      <c r="AL22" s="236"/>
      <c r="AM22" s="237"/>
    </row>
    <row r="23" spans="1:40" ht="159.9" customHeight="1" x14ac:dyDescent="0.5">
      <c r="A23" s="127">
        <v>9</v>
      </c>
      <c r="B23" s="78" t="s">
        <v>127</v>
      </c>
      <c r="C23" s="128" t="s">
        <v>119</v>
      </c>
      <c r="D23" s="127" t="s">
        <v>128</v>
      </c>
      <c r="E23" s="127" t="s">
        <v>129</v>
      </c>
      <c r="F23" s="129" t="s">
        <v>169</v>
      </c>
      <c r="G23" s="130" t="s">
        <v>171</v>
      </c>
      <c r="H23" s="131">
        <v>18050</v>
      </c>
      <c r="I23" s="131">
        <v>1</v>
      </c>
      <c r="J23" s="132">
        <v>6.5</v>
      </c>
      <c r="K23" s="133">
        <f>IF(F23&lt;&gt;"",H23*I23*J23,"")</f>
        <v>117325</v>
      </c>
      <c r="L23" s="133">
        <f>IF(K23&lt;&gt;"",IF(D23="INTERNO",0,K23*$L$14),"")</f>
        <v>8212.75</v>
      </c>
      <c r="M23" s="132">
        <f t="shared" ref="M23" si="3">IF(K23&lt;&gt;"",IF(E23="FAT.OGGI",SUM(K23:L23)*(1/(1-$M$14)-1),L23*(1/(1-$M$14)-1)),"")</f>
        <v>1993.2273828756065</v>
      </c>
      <c r="N23" s="134">
        <f t="shared" ref="N23" si="4">SUM(K23:M23)</f>
        <v>127530.9773828756</v>
      </c>
      <c r="Q23" s="135">
        <v>12500</v>
      </c>
      <c r="R23" s="136">
        <v>1</v>
      </c>
      <c r="S23" s="137">
        <v>5.8</v>
      </c>
      <c r="T23" s="137">
        <v>36530</v>
      </c>
      <c r="U23" s="138">
        <f t="shared" ref="U23" si="5">IF(Q23&lt;&gt;"",K23-T23,"")</f>
        <v>80795</v>
      </c>
      <c r="V23" s="139">
        <f t="shared" ref="V23" si="6">IF(Q23&lt;&gt;"",0%,"")</f>
        <v>0</v>
      </c>
      <c r="W23" s="140">
        <f t="shared" ref="W23" si="7">IF(Q23&lt;&gt;"",V23*U23,"")</f>
        <v>0</v>
      </c>
      <c r="X23" s="141">
        <f t="shared" ref="X23" si="8">IF(Q23&lt;&gt;"",W23+T23,"")</f>
        <v>36530</v>
      </c>
      <c r="Y23" s="142">
        <f t="shared" ref="Y23:Y28" si="9">IF(Q23&lt;&gt;"",X23+M23,"")</f>
        <v>38523.227382875608</v>
      </c>
      <c r="Z23" s="143">
        <f t="shared" ref="Z23" si="10">IF(Q23&lt;&gt;"",U23/K23,"")</f>
        <v>0.68864265927977841</v>
      </c>
      <c r="AA23" s="144">
        <f>T23/$T$28</f>
        <v>0.15277238169759266</v>
      </c>
      <c r="AL23" s="236">
        <f t="shared" si="2"/>
        <v>0</v>
      </c>
      <c r="AM23" s="237">
        <f>35690+840</f>
        <v>36530</v>
      </c>
      <c r="AN23" s="238" t="s">
        <v>189</v>
      </c>
    </row>
    <row r="24" spans="1:40" ht="159.9" customHeight="1" x14ac:dyDescent="0.5">
      <c r="A24" s="54">
        <v>10</v>
      </c>
      <c r="B24" s="78" t="s">
        <v>156</v>
      </c>
      <c r="C24" s="79" t="s">
        <v>119</v>
      </c>
      <c r="D24" s="127" t="s">
        <v>128</v>
      </c>
      <c r="E24" s="127" t="s">
        <v>129</v>
      </c>
      <c r="F24" s="85" t="s">
        <v>164</v>
      </c>
      <c r="G24" s="86" t="s">
        <v>165</v>
      </c>
      <c r="H24" s="87">
        <v>13000</v>
      </c>
      <c r="I24" s="87">
        <v>1</v>
      </c>
      <c r="J24" s="88">
        <v>9.5</v>
      </c>
      <c r="K24" s="88">
        <f>IF(F24&lt;&gt;"",H24*I24*J24,"")</f>
        <v>123500</v>
      </c>
      <c r="L24" s="88">
        <f>IF(K24&lt;&gt;"",IF(D24="INTERNO",0,K24*$L$14),"")</f>
        <v>8645</v>
      </c>
      <c r="M24" s="88">
        <f>IF(K24&lt;&gt;"",IF(E24="FAT.OGGI",SUM(K24:L24)*(1/(1-$M$14)-1),L24*(1/(1-$M$14)-1)),"")</f>
        <v>2098.1340872374803</v>
      </c>
      <c r="N24" s="89">
        <f>SUM(K24:M24)</f>
        <v>134243.13408723747</v>
      </c>
      <c r="Q24" s="145">
        <v>9000</v>
      </c>
      <c r="R24" s="146">
        <f>IF(I24&lt;&gt;"",I24,"")</f>
        <v>1</v>
      </c>
      <c r="S24" s="147">
        <v>2.89</v>
      </c>
      <c r="T24" s="147">
        <v>20000</v>
      </c>
      <c r="U24" s="148">
        <f>IF(Q24&lt;&gt;"",K24-T24,"")</f>
        <v>103500</v>
      </c>
      <c r="V24" s="149">
        <f>IF(Q24&lt;&gt;"",0%,"")</f>
        <v>0</v>
      </c>
      <c r="W24" s="150">
        <f>IF(Q24&lt;&gt;"",V24*U24,"")</f>
        <v>0</v>
      </c>
      <c r="X24" s="150">
        <f>IF(Q24&lt;&gt;"",W24+T24,"")</f>
        <v>20000</v>
      </c>
      <c r="Y24" s="96">
        <f>IF(Q24&lt;&gt;"",X24+M24,"")</f>
        <v>22098.134087237479</v>
      </c>
      <c r="Z24" s="80">
        <f>IF(Q24&lt;&gt;"",U24/K24,"")</f>
        <v>0.83805668016194335</v>
      </c>
      <c r="AA24" s="124"/>
      <c r="AL24" s="236">
        <f t="shared" si="2"/>
        <v>0</v>
      </c>
      <c r="AM24" s="237">
        <f>10000+10000</f>
        <v>20000</v>
      </c>
      <c r="AN24" s="238" t="s">
        <v>190</v>
      </c>
    </row>
    <row r="25" spans="1:40" ht="159.9" customHeight="1" x14ac:dyDescent="0.5">
      <c r="A25" s="54">
        <v>11</v>
      </c>
      <c r="B25" s="78" t="s">
        <v>163</v>
      </c>
      <c r="C25" s="79" t="s">
        <v>119</v>
      </c>
      <c r="D25" s="127" t="s">
        <v>128</v>
      </c>
      <c r="E25" s="127" t="s">
        <v>129</v>
      </c>
      <c r="F25" s="85" t="s">
        <v>170</v>
      </c>
      <c r="G25" s="86" t="s">
        <v>166</v>
      </c>
      <c r="H25" s="87">
        <v>13000</v>
      </c>
      <c r="I25" s="87">
        <v>1</v>
      </c>
      <c r="J25" s="88">
        <v>13</v>
      </c>
      <c r="K25" s="88">
        <f>IF(F25&lt;&gt;"",H25*I25*J25,"")</f>
        <v>169000</v>
      </c>
      <c r="L25" s="88">
        <f>IF(K25&lt;&gt;"",IF(D25="INTERNO",0,K25*$L$14),"")</f>
        <v>11830.000000000002</v>
      </c>
      <c r="M25" s="88">
        <f>IF(K25&lt;&gt;"",IF(E25="FAT.OGGI",SUM(K25:L25)*(1/(1-$M$14)-1),L25*(1/(1-$M$14)-1)),0)</f>
        <v>2871.1308562197105</v>
      </c>
      <c r="N25" s="89">
        <f>SUM(K25:M25)</f>
        <v>183701.13085621971</v>
      </c>
      <c r="Q25" s="145">
        <v>9000</v>
      </c>
      <c r="R25" s="146">
        <f>IF(I25&lt;&gt;"",I25,"")</f>
        <v>1</v>
      </c>
      <c r="S25" s="147">
        <v>2.79</v>
      </c>
      <c r="T25" s="147">
        <v>82584</v>
      </c>
      <c r="U25" s="148">
        <f>IF(Q25&lt;&gt;"",K25-T25,"")</f>
        <v>86416</v>
      </c>
      <c r="V25" s="149">
        <f>IF(Q25&lt;&gt;"",0%,"")</f>
        <v>0</v>
      </c>
      <c r="W25" s="150">
        <f>IF(Q25&lt;&gt;"",V25*U25,"")</f>
        <v>0</v>
      </c>
      <c r="X25" s="150">
        <f>IF(Q25&lt;&gt;"",W25+T25,"")</f>
        <v>82584</v>
      </c>
      <c r="Y25" s="96">
        <f>IF(Q25&lt;&gt;"",X25+M25,"")</f>
        <v>85455.130856219708</v>
      </c>
      <c r="Z25" s="80">
        <f>IF(Q25&lt;&gt;"", IFERROR(U25/K25, 0), 0)</f>
        <v>0.51133727810650886</v>
      </c>
      <c r="AA25" s="124"/>
      <c r="AL25" s="236">
        <f t="shared" si="2"/>
        <v>0</v>
      </c>
      <c r="AM25" s="237">
        <f>20160+18754.6+43669.4</f>
        <v>82584</v>
      </c>
      <c r="AN25" s="238" t="s">
        <v>191</v>
      </c>
    </row>
    <row r="26" spans="1:40" ht="159.9" customHeight="1" x14ac:dyDescent="0.5">
      <c r="A26" s="98">
        <v>12</v>
      </c>
      <c r="B26" s="78" t="s">
        <v>168</v>
      </c>
      <c r="C26" s="99" t="s">
        <v>119</v>
      </c>
      <c r="D26" s="127" t="s">
        <v>128</v>
      </c>
      <c r="E26" s="127" t="s">
        <v>129</v>
      </c>
      <c r="F26" s="100" t="s">
        <v>173</v>
      </c>
      <c r="G26" s="101" t="s">
        <v>174</v>
      </c>
      <c r="H26" s="102">
        <v>1156</v>
      </c>
      <c r="I26" s="102">
        <v>1</v>
      </c>
      <c r="J26" s="103">
        <v>99.99</v>
      </c>
      <c r="K26" s="103">
        <f>IF(F26&lt;&gt;"",H26*I26*J26,"")</f>
        <v>115588.43999999999</v>
      </c>
      <c r="L26" s="103">
        <f>IF(K26&lt;&gt;"",IF(D26="INTERNO",0,K26*$L$14),"")</f>
        <v>8091.1908000000003</v>
      </c>
      <c r="M26" s="103">
        <f>IF(K26&lt;&gt;"",IF(E26="FAT.OGGI",SUM(K26:L26)*(1/(1-$M$14)-1),L26*(1/(1-$M$14)-1)),0)</f>
        <v>1963.7250692680509</v>
      </c>
      <c r="N26" s="104">
        <f>SUM(K26:M26)</f>
        <v>125643.35586926804</v>
      </c>
      <c r="Q26" s="112">
        <f>IF(H26&lt;&gt;"",H26,"")</f>
        <v>1156</v>
      </c>
      <c r="R26" s="106">
        <f>IF(I26&lt;&gt;"",I26,"")</f>
        <v>1</v>
      </c>
      <c r="S26" s="107">
        <v>99.99</v>
      </c>
      <c r="T26" s="107">
        <v>99999.9</v>
      </c>
      <c r="U26" s="108">
        <f>IF(Q26&lt;&gt;"",K26-T26,"")</f>
        <v>15588.539999999994</v>
      </c>
      <c r="V26" s="109">
        <f>IF(Q26&lt;&gt;"",0%,"")</f>
        <v>0</v>
      </c>
      <c r="W26" s="110">
        <f>IF(Q26&lt;&gt;"",V26*U26,"")</f>
        <v>0</v>
      </c>
      <c r="X26" s="110">
        <f>IF(Q26&lt;&gt;"",W26+T26,"")</f>
        <v>99999.9</v>
      </c>
      <c r="Y26" s="117">
        <f>IF(Q26&lt;&gt;"",X26+M26,"")</f>
        <v>101963.62506926805</v>
      </c>
      <c r="Z26" s="97">
        <f>IF(Q26&lt;&gt;"", IFERROR(U26/K26, 0), 0)</f>
        <v>0.13486244818253448</v>
      </c>
      <c r="AA26" s="124"/>
      <c r="AL26" s="236">
        <f t="shared" si="2"/>
        <v>0</v>
      </c>
      <c r="AM26" s="237">
        <f>30000+69999.9</f>
        <v>99999.9</v>
      </c>
      <c r="AN26" s="238" t="s">
        <v>188</v>
      </c>
    </row>
    <row r="27" spans="1:40" ht="159.9" customHeight="1" x14ac:dyDescent="0.5">
      <c r="A27" s="151">
        <v>13</v>
      </c>
      <c r="B27" s="78" t="s">
        <v>172</v>
      </c>
      <c r="C27" s="152" t="s">
        <v>119</v>
      </c>
      <c r="D27" s="127" t="s">
        <v>128</v>
      </c>
      <c r="E27" s="127" t="s">
        <v>129</v>
      </c>
      <c r="F27" s="153" t="s">
        <v>177</v>
      </c>
      <c r="G27" s="154" t="s">
        <v>177</v>
      </c>
      <c r="H27" s="155">
        <v>1</v>
      </c>
      <c r="I27" s="155">
        <v>0</v>
      </c>
      <c r="J27" s="133">
        <v>0</v>
      </c>
      <c r="K27" s="133">
        <f>IF(F27&lt;&gt;"",H27*I27*J27,"")</f>
        <v>0</v>
      </c>
      <c r="L27" s="133">
        <f>IF(K27&lt;&gt;"",IF(D27="INTERNO",0,K27*$L$14),"")</f>
        <v>0</v>
      </c>
      <c r="M27" s="133">
        <f>IF(K27&lt;&gt;"",IF(E27="FAT.OGGI",SUM(K27:L27)*(1/(1-$M$14)-1),L27*(1/(1-$M$14)-1)),0)</f>
        <v>0</v>
      </c>
      <c r="N27" s="156">
        <f>SUM(K27:M27)</f>
        <v>0</v>
      </c>
      <c r="Q27" s="157">
        <f>IF(H27&lt;&gt;"",H27,"")</f>
        <v>1</v>
      </c>
      <c r="R27" s="158">
        <v>1</v>
      </c>
      <c r="S27" s="159">
        <v>57111</v>
      </c>
      <c r="T27" s="159">
        <v>0</v>
      </c>
      <c r="U27" s="160">
        <f>IF(Q27&lt;&gt;"",K27-T27,"")</f>
        <v>0</v>
      </c>
      <c r="V27" s="161">
        <f>IF(Q27&lt;&gt;"",0%,"")</f>
        <v>0</v>
      </c>
      <c r="W27" s="162">
        <f>IF(Q27&lt;&gt;"",V27*U27,"")</f>
        <v>0</v>
      </c>
      <c r="X27" s="162">
        <f>IF(Q27&lt;&gt;"",W27+T27,"")</f>
        <v>0</v>
      </c>
      <c r="Y27" s="163">
        <f>IF(Q27&lt;&gt;"",X27+M27,"")</f>
        <v>0</v>
      </c>
      <c r="Z27" s="80">
        <f>IF(Q27&lt;&gt;"", IFERROR(U27/K27, 0), 0)</f>
        <v>0</v>
      </c>
      <c r="AA27" s="124"/>
      <c r="AL27" s="236">
        <f t="shared" si="2"/>
        <v>0</v>
      </c>
      <c r="AM27" s="237"/>
    </row>
    <row r="28" spans="1:40" ht="30" customHeight="1" thickBot="1" x14ac:dyDescent="0.55000000000000004">
      <c r="A28" s="127">
        <v>14</v>
      </c>
      <c r="B28" s="78"/>
      <c r="C28" s="128" t="s">
        <v>124</v>
      </c>
      <c r="D28" s="127"/>
      <c r="E28" s="127"/>
      <c r="F28" s="253" t="s">
        <v>135</v>
      </c>
      <c r="G28" s="254"/>
      <c r="H28" s="254"/>
      <c r="I28" s="254"/>
      <c r="J28" s="254"/>
      <c r="K28" s="164">
        <f>SUM(K23:K27)</f>
        <v>525413.43999999994</v>
      </c>
      <c r="L28" s="164">
        <f>SUM(L23:L27)</f>
        <v>36778.940799999997</v>
      </c>
      <c r="M28" s="164">
        <f>SUM(M23:M27)</f>
        <v>8926.2173956008482</v>
      </c>
      <c r="N28" s="165">
        <f>SUM(N23:N27)</f>
        <v>571118.59819560079</v>
      </c>
      <c r="Q28" s="255" t="s">
        <v>135</v>
      </c>
      <c r="R28" s="256"/>
      <c r="S28" s="256"/>
      <c r="T28" s="166">
        <f>SUM(T23:T27)</f>
        <v>239113.9</v>
      </c>
      <c r="U28" s="167">
        <f>SUM(U23:U27)</f>
        <v>286299.53999999998</v>
      </c>
      <c r="V28" s="168"/>
      <c r="W28" s="168"/>
      <c r="X28" s="169">
        <f>SUM(X23:X27)</f>
        <v>239113.9</v>
      </c>
      <c r="Y28" s="170">
        <f t="shared" si="9"/>
        <v>248040.11739560083</v>
      </c>
      <c r="AL28" s="236"/>
      <c r="AM28" s="237"/>
    </row>
    <row r="29" spans="1:40" ht="30" customHeight="1" thickBot="1" x14ac:dyDescent="0.55000000000000004">
      <c r="A29" s="54">
        <v>15</v>
      </c>
      <c r="B29" s="78">
        <v>3</v>
      </c>
      <c r="C29" s="79" t="s">
        <v>113</v>
      </c>
      <c r="D29" s="54"/>
      <c r="E29" s="54"/>
      <c r="F29" s="257" t="s">
        <v>147</v>
      </c>
      <c r="G29" s="258"/>
      <c r="H29" s="258"/>
      <c r="I29" s="258"/>
      <c r="J29" s="258"/>
      <c r="K29" s="258"/>
      <c r="L29" s="258"/>
      <c r="M29" s="258"/>
      <c r="N29" s="259"/>
      <c r="Q29" s="260" t="str">
        <f>IF(F29&lt;&gt;"",F29,"")</f>
        <v xml:space="preserve">LOGISTICA / OPERACIONAL </v>
      </c>
      <c r="R29" s="261"/>
      <c r="S29" s="261"/>
      <c r="T29" s="261"/>
      <c r="U29" s="261"/>
      <c r="V29" s="261"/>
      <c r="W29" s="261"/>
      <c r="X29" s="261"/>
      <c r="Y29" s="262"/>
      <c r="AL29" s="236"/>
      <c r="AM29" s="237"/>
    </row>
    <row r="30" spans="1:40" ht="30" customHeight="1" x14ac:dyDescent="0.5">
      <c r="A30" s="54">
        <v>16</v>
      </c>
      <c r="B30" s="78" t="s">
        <v>157</v>
      </c>
      <c r="C30" s="79" t="s">
        <v>114</v>
      </c>
      <c r="D30" s="54"/>
      <c r="E30" s="54"/>
      <c r="F30" s="263" t="s">
        <v>147</v>
      </c>
      <c r="G30" s="264"/>
      <c r="H30" s="264"/>
      <c r="I30" s="264"/>
      <c r="J30" s="264"/>
      <c r="K30" s="265"/>
      <c r="L30" s="171" t="s">
        <v>116</v>
      </c>
      <c r="M30" s="172" t="s">
        <v>117</v>
      </c>
      <c r="N30" s="173" t="s">
        <v>74</v>
      </c>
      <c r="Q30" s="263" t="str">
        <f>IF(F30&lt;&gt;"",F30,"")</f>
        <v xml:space="preserve">LOGISTICA / OPERACIONAL </v>
      </c>
      <c r="R30" s="264"/>
      <c r="S30" s="264"/>
      <c r="T30" s="264"/>
      <c r="U30" s="264"/>
      <c r="V30" s="264"/>
      <c r="W30" s="264"/>
      <c r="X30" s="264"/>
      <c r="Y30" s="266"/>
      <c r="Z30" s="83" t="s">
        <v>118</v>
      </c>
      <c r="AA30" s="84" t="s">
        <v>75</v>
      </c>
      <c r="AL30" s="236"/>
      <c r="AM30" s="237"/>
    </row>
    <row r="31" spans="1:40" ht="159.9" customHeight="1" x14ac:dyDescent="0.5">
      <c r="A31" s="127">
        <v>17</v>
      </c>
      <c r="B31" s="78" t="s">
        <v>158</v>
      </c>
      <c r="C31" s="128" t="s">
        <v>119</v>
      </c>
      <c r="D31" s="127" t="s">
        <v>128</v>
      </c>
      <c r="E31" s="127" t="s">
        <v>129</v>
      </c>
      <c r="F31" s="153" t="s">
        <v>151</v>
      </c>
      <c r="G31" s="174" t="s">
        <v>180</v>
      </c>
      <c r="H31" s="131">
        <v>1</v>
      </c>
      <c r="I31" s="131">
        <v>1</v>
      </c>
      <c r="J31" s="132">
        <v>2200</v>
      </c>
      <c r="K31" s="132">
        <f t="shared" ref="K31:K32" si="11">IF(F31&lt;&gt;"",H31*I31*J31,"")</f>
        <v>2200</v>
      </c>
      <c r="L31" s="132">
        <f t="shared" ref="L31:L32" si="12">IF(K31&lt;&gt;"",IF(D31="INTERNO",0,K31*$L$14),"")</f>
        <v>154.00000000000003</v>
      </c>
      <c r="M31" s="132">
        <f t="shared" ref="M31:M32" si="13">IF(K31&lt;&gt;"",IF(E31="FAT.OGGI",SUM(K31:L31)*(1/(1-$M$14)-1),L31*(1/(1-$M$14)-1)),"")</f>
        <v>37.375667950789136</v>
      </c>
      <c r="N31" s="134">
        <f t="shared" ref="N31:N32" si="14">SUM(K31:M31)</f>
        <v>2391.3756679507892</v>
      </c>
      <c r="Q31" s="135">
        <f t="shared" ref="Q31:R32" si="15">IF(H31&lt;&gt;"",H31,"")</f>
        <v>1</v>
      </c>
      <c r="R31" s="136">
        <f t="shared" si="15"/>
        <v>1</v>
      </c>
      <c r="S31" s="137">
        <v>2200</v>
      </c>
      <c r="T31" s="137">
        <v>0</v>
      </c>
      <c r="U31" s="138">
        <f t="shared" ref="U31:U32" si="16">IF(Q31&lt;&gt;"",K31-T31,"")</f>
        <v>2200</v>
      </c>
      <c r="V31" s="139">
        <f t="shared" ref="V31:V32" si="17">IF(Q31&lt;&gt;"",0%,"")</f>
        <v>0</v>
      </c>
      <c r="W31" s="141">
        <f t="shared" ref="W31:W32" si="18">IF(Q31&lt;&gt;"",V31*U31,"")</f>
        <v>0</v>
      </c>
      <c r="X31" s="141">
        <f t="shared" ref="X31:X32" si="19">IF(Q31&lt;&gt;"",W31+T31,"")</f>
        <v>0</v>
      </c>
      <c r="Y31" s="142">
        <f t="shared" ref="Y31:Y33" si="20">IF(Q31&lt;&gt;"",X31+M31,"")</f>
        <v>37.375667950789136</v>
      </c>
      <c r="Z31" s="80">
        <f t="shared" ref="Z31:Z32" si="21">IF(Q31&lt;&gt;"",U31/K31,"")</f>
        <v>1</v>
      </c>
      <c r="AA31" s="97" t="e">
        <f>T31/$T$33</f>
        <v>#DIV/0!</v>
      </c>
      <c r="AL31" s="236">
        <f t="shared" si="2"/>
        <v>0</v>
      </c>
      <c r="AM31" s="237"/>
    </row>
    <row r="32" spans="1:40" ht="159.9" customHeight="1" thickBot="1" x14ac:dyDescent="0.55000000000000004">
      <c r="A32" s="54">
        <v>18</v>
      </c>
      <c r="B32" s="78" t="s">
        <v>159</v>
      </c>
      <c r="C32" s="79" t="s">
        <v>119</v>
      </c>
      <c r="D32" s="54" t="s">
        <v>128</v>
      </c>
      <c r="E32" s="54" t="s">
        <v>129</v>
      </c>
      <c r="F32" s="100" t="s">
        <v>148</v>
      </c>
      <c r="G32" s="130" t="s">
        <v>154</v>
      </c>
      <c r="H32" s="102">
        <v>1</v>
      </c>
      <c r="I32" s="102">
        <v>1</v>
      </c>
      <c r="J32" s="103">
        <v>1624</v>
      </c>
      <c r="K32" s="103">
        <f t="shared" si="11"/>
        <v>1624</v>
      </c>
      <c r="L32" s="103">
        <f t="shared" si="12"/>
        <v>113.68</v>
      </c>
      <c r="M32" s="103">
        <f t="shared" si="13"/>
        <v>27.590038523673428</v>
      </c>
      <c r="N32" s="104">
        <f t="shared" si="14"/>
        <v>1765.2700385236735</v>
      </c>
      <c r="Q32" s="105">
        <f t="shared" si="15"/>
        <v>1</v>
      </c>
      <c r="R32" s="106">
        <f t="shared" si="15"/>
        <v>1</v>
      </c>
      <c r="S32" s="107">
        <v>1624</v>
      </c>
      <c r="T32" s="107">
        <v>0</v>
      </c>
      <c r="U32" s="108">
        <f t="shared" si="16"/>
        <v>1624</v>
      </c>
      <c r="V32" s="109">
        <f t="shared" si="17"/>
        <v>0</v>
      </c>
      <c r="W32" s="110">
        <f t="shared" si="18"/>
        <v>0</v>
      </c>
      <c r="X32" s="110">
        <f t="shared" si="19"/>
        <v>0</v>
      </c>
      <c r="Y32" s="111">
        <f t="shared" si="20"/>
        <v>27.590038523673428</v>
      </c>
      <c r="Z32" s="175">
        <f t="shared" si="21"/>
        <v>1</v>
      </c>
      <c r="AA32" s="176" t="e">
        <f>T32/$T$33</f>
        <v>#DIV/0!</v>
      </c>
      <c r="AL32" s="236">
        <f t="shared" si="2"/>
        <v>0</v>
      </c>
      <c r="AM32" s="237"/>
    </row>
    <row r="33" spans="1:40" ht="30" customHeight="1" thickBot="1" x14ac:dyDescent="0.55000000000000004">
      <c r="A33" s="54">
        <v>19</v>
      </c>
      <c r="B33" s="78"/>
      <c r="C33" s="79" t="s">
        <v>124</v>
      </c>
      <c r="D33" s="54"/>
      <c r="E33" s="54"/>
      <c r="F33" s="249" t="s">
        <v>149</v>
      </c>
      <c r="G33" s="250"/>
      <c r="H33" s="250"/>
      <c r="I33" s="250"/>
      <c r="J33" s="250"/>
      <c r="K33" s="177">
        <f>SUM(K31:K32)</f>
        <v>3824</v>
      </c>
      <c r="L33" s="177">
        <f>SUM(L31:L32)</f>
        <v>267.68000000000006</v>
      </c>
      <c r="M33" s="177">
        <f>SUM(M31:M32)</f>
        <v>64.965706474462564</v>
      </c>
      <c r="N33" s="178">
        <f>SUM(N31:N32)</f>
        <v>4156.6457064744627</v>
      </c>
      <c r="Q33" s="251" t="s">
        <v>149</v>
      </c>
      <c r="R33" s="252"/>
      <c r="S33" s="252"/>
      <c r="T33" s="179">
        <f>SUM(T31:T32)</f>
        <v>0</v>
      </c>
      <c r="U33" s="180">
        <f>SUM(U31:U32)</f>
        <v>3824</v>
      </c>
      <c r="V33" s="181"/>
      <c r="W33" s="181"/>
      <c r="X33" s="182">
        <f>SUM(X31:X32)</f>
        <v>0</v>
      </c>
      <c r="Y33" s="183">
        <f t="shared" si="20"/>
        <v>64.965706474462564</v>
      </c>
      <c r="Z33" s="184" t="s">
        <v>131</v>
      </c>
      <c r="AA33" s="185" t="s">
        <v>132</v>
      </c>
      <c r="AL33" s="236"/>
      <c r="AM33" s="237"/>
    </row>
    <row r="34" spans="1:40" ht="30" customHeight="1" thickBot="1" x14ac:dyDescent="0.55000000000000004">
      <c r="A34" s="98">
        <v>20</v>
      </c>
      <c r="B34" s="186"/>
      <c r="C34" s="99" t="s">
        <v>130</v>
      </c>
      <c r="D34" s="98"/>
      <c r="E34" s="98"/>
      <c r="F34" s="187" t="s">
        <v>167</v>
      </c>
      <c r="G34" s="188"/>
      <c r="H34" s="189"/>
      <c r="I34" s="189"/>
      <c r="J34" s="188"/>
      <c r="K34" s="190">
        <f>SUM(K17:K19)+SUM(K23:K27)+SUM(K31:K32)</f>
        <v>533037.43999999994</v>
      </c>
      <c r="L34" s="190">
        <f>SUM(L17:L19)+SUM(L23:L27)+SUM(L31:L32)</f>
        <v>37046.620799999997</v>
      </c>
      <c r="M34" s="190">
        <f>SUM(M17:M19)+SUM(M23:M27)+SUM(M31:M32)</f>
        <v>9913.439843718159</v>
      </c>
      <c r="N34" s="191">
        <f>SUM(N17:N19)+SUM(N23:N27)+SUM(N31:N32)</f>
        <v>579997.50064371806</v>
      </c>
      <c r="Q34" s="192" t="s">
        <v>42</v>
      </c>
      <c r="R34" s="189"/>
      <c r="S34" s="188"/>
      <c r="T34" s="190">
        <f>SUM(T17:T19)+SUM(T23:T27)+SUM(T31:T32)</f>
        <v>239113.9</v>
      </c>
      <c r="U34" s="190">
        <f>SUM(U17:U19)+SUM(U23:U27)+SUM(U31:U32)</f>
        <v>293923.53999999998</v>
      </c>
      <c r="V34" s="188"/>
      <c r="W34" s="188"/>
      <c r="X34" s="190">
        <f>SUM(X17:X19)+SUM(X23:X27)+SUM(X31:X32)</f>
        <v>239113.9</v>
      </c>
      <c r="Y34" s="191">
        <f>SUM(Y17:Y19)+SUM(Y23:Y27)+SUM(Y31:Y32)</f>
        <v>249027.33984371813</v>
      </c>
      <c r="Z34" s="193">
        <f>IF(Q34&lt;&gt;"",(N34-Y34)/N34,"")</f>
        <v>0.57064066730058016</v>
      </c>
      <c r="AA34" s="194">
        <f>IF(Z34&lt;&gt;"",(N34-Y34),"")</f>
        <v>330970.16079999995</v>
      </c>
      <c r="AL34" s="236">
        <f>SUM(AL17:AL32)</f>
        <v>0</v>
      </c>
      <c r="AM34" s="237">
        <f>SUM(AM17:AM32)</f>
        <v>239113.9</v>
      </c>
    </row>
    <row r="36" spans="1:40" x14ac:dyDescent="0.45">
      <c r="N36" s="29">
        <v>580000</v>
      </c>
    </row>
    <row r="37" spans="1:40" x14ac:dyDescent="0.45">
      <c r="N37" s="195">
        <f>N36-N34</f>
        <v>2.4993562819436193</v>
      </c>
      <c r="Y37" s="196">
        <v>434998.12</v>
      </c>
      <c r="Z37" s="29" t="s">
        <v>178</v>
      </c>
    </row>
    <row r="38" spans="1:40" x14ac:dyDescent="0.45">
      <c r="Y38" s="196">
        <v>144999.38</v>
      </c>
      <c r="Z38" s="29" t="s">
        <v>179</v>
      </c>
      <c r="AM38" s="239"/>
      <c r="AN38" s="240" t="s">
        <v>192</v>
      </c>
    </row>
    <row r="39" spans="1:40" x14ac:dyDescent="0.45">
      <c r="AM39" s="241">
        <f>X34</f>
        <v>239113.9</v>
      </c>
      <c r="AN39" s="240" t="s">
        <v>193</v>
      </c>
    </row>
    <row r="40" spans="1:40" x14ac:dyDescent="0.45">
      <c r="AM40" s="241">
        <f>N34-T34</f>
        <v>340883.60064371803</v>
      </c>
      <c r="AN40" s="240" t="s">
        <v>185</v>
      </c>
    </row>
    <row r="41" spans="1:40" x14ac:dyDescent="0.45">
      <c r="AM41" s="242">
        <f>AM40*100%/N34</f>
        <v>0.5877328786165178</v>
      </c>
      <c r="AN41" s="243"/>
    </row>
  </sheetData>
  <autoFilter ref="A1:AK14" xr:uid="{107B9E09-8154-459A-AE62-6A4242823A27}">
    <filterColumn colId="5" showButton="0"/>
  </autoFilter>
  <mergeCells count="26">
    <mergeCell ref="AL15:AM15"/>
    <mergeCell ref="AL16:AM16"/>
    <mergeCell ref="F1:G1"/>
    <mergeCell ref="F2:G2"/>
    <mergeCell ref="Q12:T12"/>
    <mergeCell ref="U12:X12"/>
    <mergeCell ref="AC12:AE12"/>
    <mergeCell ref="AG12:AH12"/>
    <mergeCell ref="F21:N21"/>
    <mergeCell ref="Q21:Y21"/>
    <mergeCell ref="F22:K22"/>
    <mergeCell ref="Q22:Y22"/>
    <mergeCell ref="F15:N15"/>
    <mergeCell ref="Q15:Y15"/>
    <mergeCell ref="F16:K16"/>
    <mergeCell ref="Q16:Y16"/>
    <mergeCell ref="F20:J20"/>
    <mergeCell ref="Q20:S20"/>
    <mergeCell ref="F33:J33"/>
    <mergeCell ref="Q33:S33"/>
    <mergeCell ref="F28:J28"/>
    <mergeCell ref="Q28:S28"/>
    <mergeCell ref="F29:N29"/>
    <mergeCell ref="Q29:Y29"/>
    <mergeCell ref="F30:K30"/>
    <mergeCell ref="Q30:Y30"/>
  </mergeCells>
  <dataValidations count="3">
    <dataValidation type="list" allowBlank="1" showInputMessage="1" showErrorMessage="1" sqref="E17:E20 E31:E32 E23:E27" xr:uid="{929887DC-7D05-4145-B5ED-C6DF97AE69FC}">
      <formula1>"FAT.OGGI,FAT.CLIENTE"</formula1>
    </dataValidation>
    <dataValidation type="list" allowBlank="1" showInputMessage="1" showErrorMessage="1" sqref="D34 D17:D20 D31:D32 D23:D27" xr:uid="{0EF484B7-F620-4084-88A1-BEE4D2C001C9}">
      <formula1>"INTERNO,OPERACIONAL"</formula1>
    </dataValidation>
    <dataValidation type="list" allowBlank="1" showInputMessage="1" showErrorMessage="1" sqref="E34" xr:uid="{1B483F8C-E003-4FCD-B777-1D033DF819C8}">
      <formula1>"FAT.OGGI,FAT.CLIENTE "</formula1>
    </dataValidation>
  </dataValidations>
  <pageMargins left="0" right="0" top="0.39370078740157483" bottom="0.19685039370078741" header="0" footer="0"/>
  <pageSetup paperSize="9" scale="31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306" t="s">
        <v>10</v>
      </c>
      <c r="B1" s="306"/>
      <c r="C1" s="306"/>
      <c r="D1" s="308" t="s">
        <v>53</v>
      </c>
      <c r="E1" s="308"/>
      <c r="F1" s="308"/>
      <c r="G1" s="308"/>
      <c r="H1" s="308"/>
      <c r="I1" s="308"/>
      <c r="J1" s="24" t="s">
        <v>10</v>
      </c>
      <c r="K1" s="24" t="s">
        <v>10</v>
      </c>
      <c r="L1" s="24" t="s">
        <v>10</v>
      </c>
      <c r="M1" s="24" t="s">
        <v>10</v>
      </c>
      <c r="N1" s="24" t="s">
        <v>10</v>
      </c>
      <c r="O1" s="25" t="s">
        <v>10</v>
      </c>
    </row>
    <row r="2" spans="1:15" x14ac:dyDescent="0.3">
      <c r="A2" s="307"/>
      <c r="B2" s="307"/>
      <c r="C2" s="307"/>
      <c r="D2" s="306" t="s">
        <v>54</v>
      </c>
      <c r="E2" s="306"/>
      <c r="F2" s="306"/>
      <c r="G2" s="306"/>
      <c r="H2" s="306"/>
      <c r="I2" s="306"/>
      <c r="J2" s="24"/>
      <c r="K2" s="24"/>
      <c r="L2" s="24"/>
      <c r="M2" s="24"/>
      <c r="N2" s="24"/>
      <c r="O2" s="309" t="s">
        <v>55</v>
      </c>
    </row>
    <row r="3" spans="1:15" x14ac:dyDescent="0.3">
      <c r="A3" s="307"/>
      <c r="B3" s="307"/>
      <c r="C3" s="307"/>
      <c r="D3" s="306" t="s">
        <v>56</v>
      </c>
      <c r="E3" s="306"/>
      <c r="F3" s="306"/>
      <c r="G3" s="306"/>
      <c r="H3" s="306"/>
      <c r="I3" s="306"/>
      <c r="J3" s="24"/>
      <c r="K3" s="24"/>
      <c r="L3" s="24"/>
      <c r="M3" s="24"/>
      <c r="N3" s="24"/>
      <c r="O3" s="310"/>
    </row>
    <row r="4" spans="1:15" x14ac:dyDescent="0.3">
      <c r="A4" s="307"/>
      <c r="B4" s="307"/>
      <c r="C4" s="307"/>
      <c r="D4" s="306" t="s">
        <v>57</v>
      </c>
      <c r="E4" s="306"/>
      <c r="F4" s="306"/>
      <c r="G4" s="306"/>
      <c r="H4" s="306"/>
      <c r="I4" s="306"/>
      <c r="J4" s="24"/>
      <c r="K4" s="24"/>
      <c r="L4" s="24"/>
      <c r="M4" s="24"/>
      <c r="N4" s="24"/>
      <c r="O4" s="310"/>
    </row>
    <row r="5" spans="1:15" x14ac:dyDescent="0.3">
      <c r="A5" s="307"/>
      <c r="B5" s="307"/>
      <c r="C5" s="307"/>
      <c r="D5" s="306" t="s">
        <v>58</v>
      </c>
      <c r="E5" s="306"/>
      <c r="F5" s="306"/>
      <c r="G5" s="306"/>
      <c r="H5" s="306"/>
      <c r="I5" s="306"/>
      <c r="J5" s="24"/>
      <c r="K5" s="24"/>
      <c r="L5" s="24"/>
      <c r="M5" s="24"/>
      <c r="N5" s="24"/>
      <c r="O5" s="310"/>
    </row>
    <row r="6" spans="1:15" x14ac:dyDescent="0.3">
      <c r="A6" s="307"/>
      <c r="B6" s="307"/>
      <c r="C6" s="30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310"/>
    </row>
    <row r="7" spans="1:15" x14ac:dyDescent="0.3">
      <c r="A7" s="307"/>
      <c r="B7" s="307"/>
      <c r="C7" s="307"/>
      <c r="D7" s="306" t="s">
        <v>59</v>
      </c>
      <c r="E7" s="306"/>
      <c r="F7" s="306"/>
      <c r="G7" s="306"/>
      <c r="H7" s="306"/>
      <c r="I7" s="306"/>
      <c r="J7" s="24"/>
      <c r="K7" s="24"/>
      <c r="L7" s="24"/>
      <c r="M7" s="24"/>
      <c r="N7" s="24"/>
      <c r="O7" s="26">
        <v>45264.482613275461</v>
      </c>
    </row>
    <row r="8" spans="1:15" x14ac:dyDescent="0.3">
      <c r="A8" s="305" t="s">
        <v>60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</row>
    <row r="9" spans="1:15" ht="27.6" x14ac:dyDescent="0.3">
      <c r="A9" s="27" t="s">
        <v>61</v>
      </c>
      <c r="B9" s="27" t="s">
        <v>62</v>
      </c>
      <c r="C9" s="27" t="s">
        <v>63</v>
      </c>
      <c r="D9" s="27" t="s">
        <v>47</v>
      </c>
      <c r="E9" s="27" t="s">
        <v>64</v>
      </c>
      <c r="F9" s="27" t="s">
        <v>65</v>
      </c>
      <c r="G9" s="27" t="s">
        <v>33</v>
      </c>
      <c r="H9" s="27" t="s">
        <v>66</v>
      </c>
      <c r="I9" s="27" t="s">
        <v>67</v>
      </c>
      <c r="J9" s="27" t="s">
        <v>65</v>
      </c>
      <c r="K9" s="27" t="s">
        <v>68</v>
      </c>
      <c r="L9" s="27" t="s">
        <v>69</v>
      </c>
      <c r="M9" s="27" t="s">
        <v>70</v>
      </c>
      <c r="N9" s="27" t="s">
        <v>71</v>
      </c>
      <c r="O9" s="28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344" t="s">
        <v>3</v>
      </c>
      <c r="C2" s="345"/>
      <c r="D2" s="345"/>
      <c r="E2" s="345"/>
      <c r="F2" s="345"/>
      <c r="G2" s="345"/>
      <c r="H2" s="345"/>
      <c r="I2" s="345"/>
      <c r="J2" s="345"/>
      <c r="K2" s="345"/>
      <c r="L2" s="346"/>
    </row>
    <row r="3" spans="2:12" ht="47.4" customHeight="1" thickBot="1" x14ac:dyDescent="0.35">
      <c r="B3" s="347" t="s">
        <v>11</v>
      </c>
      <c r="C3" s="348"/>
      <c r="D3" s="348"/>
      <c r="E3" s="348"/>
      <c r="F3" s="348"/>
      <c r="G3" s="348"/>
      <c r="H3" s="348"/>
      <c r="I3" s="348"/>
      <c r="J3" s="348"/>
      <c r="K3" s="348"/>
      <c r="L3" s="349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316" t="s">
        <v>12</v>
      </c>
      <c r="D6" s="316"/>
      <c r="E6" s="316"/>
      <c r="F6" s="316"/>
      <c r="G6" s="316"/>
      <c r="H6" s="316"/>
      <c r="I6" s="316"/>
      <c r="J6" s="316"/>
      <c r="K6" s="316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350" t="s">
        <v>98</v>
      </c>
      <c r="E8" s="351"/>
      <c r="F8" s="351"/>
      <c r="G8" s="351"/>
      <c r="H8" s="351"/>
      <c r="I8" s="351"/>
      <c r="J8" s="351"/>
      <c r="K8" s="352"/>
      <c r="L8" s="5"/>
    </row>
    <row r="9" spans="2:12" x14ac:dyDescent="0.3">
      <c r="B9" s="4"/>
      <c r="C9" s="7" t="s">
        <v>14</v>
      </c>
      <c r="D9" s="337" t="s">
        <v>15</v>
      </c>
      <c r="E9" s="338"/>
      <c r="F9" s="338"/>
      <c r="G9" s="338"/>
      <c r="H9" s="338"/>
      <c r="I9" s="338"/>
      <c r="J9" s="338"/>
      <c r="K9" s="339"/>
      <c r="L9" s="5"/>
    </row>
    <row r="10" spans="2:12" x14ac:dyDescent="0.3">
      <c r="B10" s="4"/>
      <c r="C10" s="7" t="s">
        <v>16</v>
      </c>
      <c r="D10" s="337" t="s">
        <v>10</v>
      </c>
      <c r="E10" s="338"/>
      <c r="F10" s="338"/>
      <c r="G10" s="338"/>
      <c r="H10" s="338"/>
      <c r="I10" s="338"/>
      <c r="J10" s="338"/>
      <c r="K10" s="339"/>
      <c r="L10" s="5"/>
    </row>
    <row r="11" spans="2:12" x14ac:dyDescent="0.3">
      <c r="B11" s="4"/>
      <c r="C11" s="7" t="s">
        <v>17</v>
      </c>
      <c r="D11" s="337" t="s">
        <v>99</v>
      </c>
      <c r="E11" s="338"/>
      <c r="F11" s="338"/>
      <c r="G11" s="338"/>
      <c r="H11" s="338"/>
      <c r="I11" s="338"/>
      <c r="J11" s="338"/>
      <c r="K11" s="339"/>
      <c r="L11" s="5"/>
    </row>
    <row r="12" spans="2:12" x14ac:dyDescent="0.3">
      <c r="B12" s="4"/>
      <c r="C12" s="10" t="s">
        <v>18</v>
      </c>
      <c r="D12" s="334" t="s">
        <v>100</v>
      </c>
      <c r="E12" s="335"/>
      <c r="F12" s="335"/>
      <c r="G12" s="335"/>
      <c r="H12" s="336"/>
      <c r="I12" s="11" t="s">
        <v>19</v>
      </c>
      <c r="J12" s="334" t="s">
        <v>97</v>
      </c>
      <c r="K12" s="336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316" t="s">
        <v>20</v>
      </c>
      <c r="D16" s="316"/>
      <c r="E16" s="316"/>
      <c r="F16" s="316"/>
      <c r="G16" s="316"/>
      <c r="H16" s="316"/>
      <c r="I16" s="316"/>
      <c r="J16" s="316"/>
      <c r="K16" s="316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340" t="s">
        <v>73</v>
      </c>
      <c r="E18" s="340"/>
      <c r="F18" s="340"/>
      <c r="G18" s="331"/>
      <c r="H18" s="340" t="s">
        <v>21</v>
      </c>
      <c r="I18" s="340"/>
      <c r="J18" s="340"/>
      <c r="K18" s="331"/>
      <c r="L18" s="5"/>
    </row>
    <row r="19" spans="2:12" x14ac:dyDescent="0.3">
      <c r="B19" s="4"/>
      <c r="C19" s="15" t="s">
        <v>22</v>
      </c>
      <c r="D19" s="341" t="s">
        <v>102</v>
      </c>
      <c r="E19" s="342"/>
      <c r="F19" s="342"/>
      <c r="G19" s="342"/>
      <c r="H19" s="342"/>
      <c r="I19" s="342"/>
      <c r="J19" s="342"/>
      <c r="K19" s="343"/>
      <c r="L19" s="5"/>
    </row>
    <row r="20" spans="2:12" x14ac:dyDescent="0.3">
      <c r="B20" s="4"/>
      <c r="C20" s="7" t="s">
        <v>23</v>
      </c>
      <c r="D20" s="337"/>
      <c r="E20" s="338"/>
      <c r="F20" s="338"/>
      <c r="G20" s="338"/>
      <c r="H20" s="338"/>
      <c r="I20" s="338"/>
      <c r="J20" s="338"/>
      <c r="K20" s="339"/>
      <c r="L20" s="5"/>
    </row>
    <row r="21" spans="2:12" x14ac:dyDescent="0.3">
      <c r="B21" s="4"/>
      <c r="C21" s="7" t="s">
        <v>24</v>
      </c>
      <c r="D21" s="337" t="s">
        <v>106</v>
      </c>
      <c r="E21" s="339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337" t="s">
        <v>101</v>
      </c>
      <c r="E22" s="338"/>
      <c r="F22" s="338"/>
      <c r="G22" s="339"/>
      <c r="H22" s="7" t="s">
        <v>28</v>
      </c>
      <c r="I22" s="337"/>
      <c r="J22" s="338"/>
      <c r="K22" s="339"/>
      <c r="L22" s="5"/>
    </row>
    <row r="23" spans="2:12" x14ac:dyDescent="0.3">
      <c r="B23" s="4"/>
      <c r="C23" s="10" t="s">
        <v>29</v>
      </c>
      <c r="D23" s="334" t="s">
        <v>103</v>
      </c>
      <c r="E23" s="335"/>
      <c r="F23" s="335"/>
      <c r="G23" s="336"/>
      <c r="H23" s="10" t="s">
        <v>30</v>
      </c>
      <c r="I23" s="334" t="s">
        <v>10</v>
      </c>
      <c r="J23" s="335"/>
      <c r="K23" s="336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316" t="s">
        <v>20</v>
      </c>
      <c r="D27" s="316"/>
      <c r="E27" s="316"/>
      <c r="F27" s="316"/>
      <c r="G27" s="316"/>
      <c r="H27" s="316"/>
      <c r="I27" s="316"/>
      <c r="J27" s="316"/>
      <c r="K27" s="316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330" t="s">
        <v>32</v>
      </c>
      <c r="E29" s="331"/>
      <c r="F29" s="330" t="s">
        <v>33</v>
      </c>
      <c r="G29" s="331"/>
      <c r="H29" s="332" t="s">
        <v>34</v>
      </c>
      <c r="I29" s="332"/>
      <c r="J29" s="332"/>
      <c r="K29" s="333"/>
      <c r="L29" s="5"/>
    </row>
    <row r="30" spans="2:12" x14ac:dyDescent="0.3">
      <c r="B30" s="4"/>
      <c r="C30" s="17" t="s">
        <v>35</v>
      </c>
      <c r="D30" s="317" t="s">
        <v>104</v>
      </c>
      <c r="E30" s="318"/>
      <c r="F30" s="319" t="s">
        <v>109</v>
      </c>
      <c r="G30" s="320"/>
      <c r="H30" s="18" t="s">
        <v>105</v>
      </c>
      <c r="I30" s="330" t="s">
        <v>39</v>
      </c>
      <c r="J30" s="331"/>
      <c r="K30" s="6" t="s">
        <v>37</v>
      </c>
      <c r="L30" s="5"/>
    </row>
    <row r="31" spans="2:12" x14ac:dyDescent="0.3">
      <c r="B31" s="4"/>
      <c r="C31" s="17" t="s">
        <v>38</v>
      </c>
      <c r="D31" s="317" t="s">
        <v>10</v>
      </c>
      <c r="E31" s="318"/>
      <c r="F31" s="319" t="s">
        <v>10</v>
      </c>
      <c r="G31" s="320"/>
      <c r="H31" s="17" t="s">
        <v>36</v>
      </c>
      <c r="I31" s="321" t="s">
        <v>39</v>
      </c>
      <c r="J31" s="322"/>
      <c r="K31" s="7" t="s">
        <v>37</v>
      </c>
      <c r="L31" s="5"/>
    </row>
    <row r="32" spans="2:12" x14ac:dyDescent="0.3">
      <c r="B32" s="4"/>
      <c r="C32" s="17" t="s">
        <v>40</v>
      </c>
      <c r="D32" s="317" t="s">
        <v>10</v>
      </c>
      <c r="E32" s="318"/>
      <c r="F32" s="319" t="s">
        <v>10</v>
      </c>
      <c r="G32" s="320"/>
      <c r="H32" s="17" t="s">
        <v>36</v>
      </c>
      <c r="I32" s="321" t="s">
        <v>39</v>
      </c>
      <c r="J32" s="322"/>
      <c r="K32" s="7" t="s">
        <v>37</v>
      </c>
      <c r="L32" s="5"/>
    </row>
    <row r="33" spans="2:12" x14ac:dyDescent="0.3">
      <c r="B33" s="4"/>
      <c r="C33" s="19" t="s">
        <v>41</v>
      </c>
      <c r="D33" s="317" t="s">
        <v>10</v>
      </c>
      <c r="E33" s="318"/>
      <c r="F33" s="323" t="s">
        <v>10</v>
      </c>
      <c r="G33" s="324"/>
      <c r="H33" s="17" t="s">
        <v>36</v>
      </c>
      <c r="I33" s="321" t="s">
        <v>39</v>
      </c>
      <c r="J33" s="322"/>
      <c r="K33" s="7" t="s">
        <v>37</v>
      </c>
      <c r="L33" s="5"/>
    </row>
    <row r="34" spans="2:12" x14ac:dyDescent="0.3">
      <c r="B34" s="4"/>
      <c r="C34" s="325" t="s">
        <v>42</v>
      </c>
      <c r="D34" s="326"/>
      <c r="E34" s="327"/>
      <c r="F34" s="328" t="s">
        <v>109</v>
      </c>
      <c r="G34" s="32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316" t="s">
        <v>43</v>
      </c>
      <c r="D38" s="316"/>
      <c r="E38" s="316"/>
      <c r="F38" s="316"/>
      <c r="G38" s="316"/>
      <c r="H38" s="316"/>
      <c r="I38" s="316"/>
      <c r="J38" s="316"/>
      <c r="K38" s="316"/>
      <c r="L38" s="5"/>
    </row>
    <row r="39" spans="2:12" x14ac:dyDescent="0.3">
      <c r="B39" s="4"/>
      <c r="C39" s="314" t="s">
        <v>110</v>
      </c>
      <c r="D39" s="314"/>
      <c r="E39" s="314"/>
      <c r="F39" s="314"/>
      <c r="G39" s="314"/>
      <c r="H39" s="314"/>
      <c r="I39" s="314"/>
      <c r="J39" s="314"/>
      <c r="K39" s="314"/>
      <c r="L39" s="5"/>
    </row>
    <row r="40" spans="2:12" x14ac:dyDescent="0.3">
      <c r="B40" s="4"/>
      <c r="C40" s="314"/>
      <c r="D40" s="314"/>
      <c r="E40" s="314"/>
      <c r="F40" s="314"/>
      <c r="G40" s="314"/>
      <c r="H40" s="314"/>
      <c r="I40" s="314"/>
      <c r="J40" s="314"/>
      <c r="K40" s="314"/>
      <c r="L40" s="5"/>
    </row>
    <row r="41" spans="2:12" x14ac:dyDescent="0.3">
      <c r="B41" s="4"/>
      <c r="C41" s="314"/>
      <c r="D41" s="314"/>
      <c r="E41" s="314"/>
      <c r="F41" s="314"/>
      <c r="G41" s="314"/>
      <c r="H41" s="314"/>
      <c r="I41" s="314"/>
      <c r="J41" s="314"/>
      <c r="K41" s="314"/>
      <c r="L41" s="5"/>
    </row>
    <row r="42" spans="2:12" x14ac:dyDescent="0.3">
      <c r="B42" s="4"/>
      <c r="C42" s="314"/>
      <c r="D42" s="314"/>
      <c r="E42" s="314"/>
      <c r="F42" s="314"/>
      <c r="G42" s="314"/>
      <c r="H42" s="314"/>
      <c r="I42" s="314"/>
      <c r="J42" s="314"/>
      <c r="K42" s="314"/>
      <c r="L42" s="5"/>
    </row>
    <row r="43" spans="2:12" x14ac:dyDescent="0.3">
      <c r="B43" s="4"/>
      <c r="C43" s="314"/>
      <c r="D43" s="314"/>
      <c r="E43" s="314"/>
      <c r="F43" s="314"/>
      <c r="G43" s="314"/>
      <c r="H43" s="314"/>
      <c r="I43" s="314"/>
      <c r="J43" s="314"/>
      <c r="K43" s="314"/>
      <c r="L43" s="5"/>
    </row>
    <row r="44" spans="2:12" x14ac:dyDescent="0.3">
      <c r="B44" s="4"/>
      <c r="C44" s="314"/>
      <c r="D44" s="314"/>
      <c r="E44" s="314"/>
      <c r="F44" s="314"/>
      <c r="G44" s="314"/>
      <c r="H44" s="314"/>
      <c r="I44" s="314"/>
      <c r="J44" s="314"/>
      <c r="K44" s="314"/>
      <c r="L44" s="5"/>
    </row>
    <row r="45" spans="2:12" x14ac:dyDescent="0.3">
      <c r="B45" s="4"/>
      <c r="C45" s="315"/>
      <c r="D45" s="315"/>
      <c r="E45" s="315"/>
      <c r="F45" s="315"/>
      <c r="G45" s="315"/>
      <c r="H45" s="315"/>
      <c r="I45" s="315"/>
      <c r="J45" s="315"/>
      <c r="K45" s="315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11" t="s">
        <v>44</v>
      </c>
      <c r="C48" s="312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13" t="s">
        <v>45</v>
      </c>
      <c r="D51" s="313"/>
      <c r="E51" s="313"/>
      <c r="F51" s="313"/>
      <c r="H51" s="313" t="s">
        <v>46</v>
      </c>
      <c r="I51" s="313"/>
      <c r="J51" s="313"/>
      <c r="K51" s="313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BDB50D1-1A40-4481-B8F0-AE91D1336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PRINCIPAL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2026-07-20T13:39:40Z</cp:lastPrinted>
  <dcterms:created xsi:type="dcterms:W3CDTF">2023-09-21T21:02:20Z</dcterms:created>
  <dcterms:modified xsi:type="dcterms:W3CDTF">2026-08-31T16:06:53Z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